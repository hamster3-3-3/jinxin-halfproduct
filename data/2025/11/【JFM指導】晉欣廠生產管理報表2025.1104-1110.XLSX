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5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6007E688CDE5B64E0DE9ED7113232905EA76F00C" xr6:coauthVersionLast="47" xr6:coauthVersionMax="47" xr10:uidLastSave="{00000000-0000-0000-0000-000000000000}"/>
  <bookViews>
    <workbookView xWindow="0" yWindow="0" windowWidth="14490" windowHeight="11640" tabRatio="924" firstSheet="22" activeTab="2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月超用)" sheetId="44" r:id="rId26"/>
    <sheet name="生產管理報表 8-4(月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8-3(月超用)'!$R$24:$W$28</definedName>
    <definedName name="_xlnm._FilterDatabase" localSheetId="26" hidden="1">'生產管理報表 8-4(月超用)'!$R$24:$W$29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8-3(月超用)'!$A$1:$Q$30</definedName>
    <definedName name="_xlnm.Print_Area" localSheetId="26">'生產管理報表 8-4(月超用)'!$A$1:$Q$38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46" l="1"/>
  <c r="AI7" i="46"/>
  <c r="AH7" i="46"/>
  <c r="AG7" i="46"/>
  <c r="AF7" i="46"/>
  <c r="AE7" i="46"/>
  <c r="AD7" i="46"/>
  <c r="L17" i="48" l="1"/>
  <c r="J17" i="48"/>
  <c r="H17" i="48"/>
  <c r="F17" i="48"/>
  <c r="D17" i="48"/>
  <c r="L16" i="48"/>
  <c r="J16" i="48"/>
  <c r="H16" i="48"/>
  <c r="F16" i="48"/>
  <c r="D16" i="48"/>
  <c r="L15" i="48"/>
  <c r="J15" i="48"/>
  <c r="H15" i="48"/>
  <c r="F15" i="48"/>
  <c r="D15" i="48"/>
  <c r="L14" i="48"/>
  <c r="J14" i="48"/>
  <c r="H14" i="48"/>
  <c r="F14" i="48"/>
  <c r="D14" i="48"/>
  <c r="L13" i="48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R28" i="31"/>
  <c r="Q28" i="31"/>
  <c r="P28" i="31"/>
  <c r="R27" i="31"/>
  <c r="Q27" i="31"/>
  <c r="K34" i="30"/>
  <c r="J34" i="30"/>
  <c r="I34" i="30"/>
  <c r="K33" i="30"/>
  <c r="J33" i="30"/>
  <c r="I33" i="30"/>
  <c r="O32" i="48" l="1"/>
  <c r="N32" i="48"/>
  <c r="M32" i="48"/>
  <c r="L37" i="48"/>
  <c r="J37" i="48"/>
  <c r="H37" i="48"/>
  <c r="F37" i="48"/>
  <c r="D37" i="48"/>
  <c r="O25" i="48"/>
  <c r="N25" i="48"/>
  <c r="M25" i="48"/>
  <c r="O18" i="48"/>
  <c r="N18" i="48"/>
  <c r="M18" i="48"/>
  <c r="O11" i="48"/>
  <c r="N11" i="48"/>
  <c r="M11" i="48"/>
  <c r="O4" i="48"/>
  <c r="N4" i="48"/>
  <c r="M4" i="48"/>
  <c r="D38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0" i="48"/>
  <c r="D9" i="48"/>
  <c r="D8" i="48"/>
  <c r="D7" i="48"/>
  <c r="D6" i="48"/>
  <c r="D5" i="48"/>
  <c r="F38" i="48"/>
  <c r="F36" i="48"/>
  <c r="F35" i="48"/>
  <c r="F34" i="48"/>
  <c r="F33" i="48"/>
  <c r="F32" i="48"/>
  <c r="F31" i="48"/>
  <c r="F30" i="48"/>
  <c r="F29" i="48"/>
  <c r="F28" i="48"/>
  <c r="F27" i="48"/>
  <c r="F26" i="48"/>
  <c r="F25" i="48"/>
  <c r="F24" i="48"/>
  <c r="F23" i="48"/>
  <c r="F22" i="48"/>
  <c r="F21" i="48"/>
  <c r="F20" i="48"/>
  <c r="F19" i="48"/>
  <c r="F18" i="48"/>
  <c r="F10" i="48"/>
  <c r="F9" i="48"/>
  <c r="F8" i="48"/>
  <c r="F7" i="48"/>
  <c r="F6" i="48"/>
  <c r="F5" i="48"/>
  <c r="H38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0" i="48"/>
  <c r="H9" i="48"/>
  <c r="H8" i="48"/>
  <c r="H7" i="48"/>
  <c r="H6" i="48"/>
  <c r="H5" i="48"/>
  <c r="J38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J10" i="48"/>
  <c r="J9" i="48"/>
  <c r="J8" i="48"/>
  <c r="J7" i="48"/>
  <c r="J6" i="48"/>
  <c r="J5" i="48"/>
  <c r="L10" i="48"/>
  <c r="L9" i="48"/>
  <c r="L8" i="48"/>
  <c r="L7" i="48"/>
  <c r="L6" i="48"/>
  <c r="L5" i="48"/>
  <c r="L4" i="48"/>
  <c r="J4" i="48"/>
  <c r="H4" i="48"/>
  <c r="F4" i="48"/>
  <c r="D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C179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M21" i="32" s="1"/>
  <c r="J7" i="32"/>
  <c r="I7" i="32"/>
  <c r="H7" i="32"/>
  <c r="K8" i="31"/>
  <c r="J8" i="31"/>
  <c r="I8" i="31"/>
  <c r="AX7" i="31"/>
  <c r="AS7" i="31"/>
  <c r="AN7" i="31"/>
  <c r="AI7" i="31"/>
  <c r="AD7" i="31"/>
  <c r="Y7" i="31"/>
  <c r="T7" i="31"/>
  <c r="K7" i="31"/>
  <c r="J7" i="31"/>
  <c r="I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M16" i="36" s="1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M25" i="8" s="1"/>
  <c r="J7" i="8"/>
  <c r="I7" i="8"/>
  <c r="H7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T9" i="3"/>
  <c r="N9" i="3"/>
  <c r="W9" i="5"/>
  <c r="T9" i="5"/>
  <c r="Q9" i="5"/>
  <c r="N9" i="5"/>
  <c r="H9" i="5"/>
  <c r="K9" i="3"/>
  <c r="H9" i="3"/>
  <c r="M9" i="8" l="1"/>
  <c r="M10" i="8"/>
  <c r="M12" i="8"/>
  <c r="M14" i="8"/>
  <c r="M15" i="8"/>
  <c r="M16" i="8"/>
  <c r="M19" i="8"/>
  <c r="M20" i="8"/>
  <c r="M21" i="8"/>
  <c r="M22" i="8"/>
  <c r="M24" i="8"/>
  <c r="M26" i="8"/>
  <c r="M27" i="8"/>
  <c r="M28" i="8"/>
  <c r="M32" i="33"/>
  <c r="M36" i="33"/>
  <c r="M33" i="33"/>
  <c r="L7" i="33"/>
  <c r="M8" i="33"/>
  <c r="M9" i="33"/>
  <c r="M12" i="33"/>
  <c r="M13" i="33"/>
  <c r="M15" i="33"/>
  <c r="M16" i="33"/>
  <c r="M17" i="33"/>
  <c r="M19" i="33"/>
  <c r="M20" i="33"/>
  <c r="M21" i="33"/>
  <c r="M24" i="33"/>
  <c r="M25" i="33"/>
  <c r="M27" i="33"/>
  <c r="M28" i="33"/>
  <c r="M29" i="33"/>
  <c r="M17" i="30"/>
  <c r="M21" i="30"/>
  <c r="M18" i="30"/>
  <c r="M8" i="30"/>
  <c r="M9" i="30"/>
  <c r="M10" i="30"/>
  <c r="M11" i="30"/>
  <c r="M12" i="30"/>
  <c r="M13" i="30"/>
  <c r="M14" i="30"/>
  <c r="M21" i="37"/>
  <c r="M18" i="37"/>
  <c r="M15" i="37"/>
  <c r="M8" i="37"/>
  <c r="M9" i="37"/>
  <c r="M10" i="37"/>
  <c r="M11" i="37"/>
  <c r="M12" i="37"/>
  <c r="M13" i="37"/>
  <c r="M14" i="37"/>
  <c r="M8" i="36"/>
  <c r="M9" i="36"/>
  <c r="M10" i="36"/>
  <c r="M11" i="36"/>
  <c r="M20" i="35"/>
  <c r="M21" i="35"/>
  <c r="M9" i="35"/>
  <c r="M10" i="35"/>
  <c r="M11" i="35"/>
  <c r="M12" i="35"/>
  <c r="M13" i="35"/>
  <c r="M14" i="35"/>
  <c r="M15" i="35"/>
  <c r="M16" i="35"/>
  <c r="M20" i="34"/>
  <c r="M21" i="34"/>
  <c r="M18" i="34"/>
  <c r="M9" i="34"/>
  <c r="M10" i="34"/>
  <c r="M11" i="34"/>
  <c r="M12" i="34"/>
  <c r="M13" i="34"/>
  <c r="M14" i="34"/>
  <c r="M15" i="34"/>
  <c r="M16" i="34"/>
  <c r="M17" i="34"/>
  <c r="M14" i="31"/>
  <c r="M18" i="31"/>
  <c r="M15" i="31"/>
  <c r="M11" i="31"/>
  <c r="L7" i="31"/>
  <c r="M8" i="31"/>
  <c r="L7" i="32"/>
  <c r="M9" i="32"/>
  <c r="M10" i="32"/>
  <c r="M11" i="32"/>
  <c r="M12" i="32"/>
  <c r="M13" i="32"/>
  <c r="M14" i="32"/>
  <c r="M16" i="32"/>
  <c r="L7" i="8"/>
  <c r="M10" i="33"/>
  <c r="M22" i="33"/>
  <c r="M34" i="33"/>
  <c r="M7" i="30"/>
  <c r="M19" i="30"/>
  <c r="M16" i="37"/>
  <c r="M13" i="36"/>
  <c r="M7" i="34"/>
  <c r="M19" i="34"/>
  <c r="M16" i="31"/>
  <c r="M12" i="36"/>
  <c r="M11" i="33"/>
  <c r="M23" i="33"/>
  <c r="M35" i="33"/>
  <c r="M17" i="8"/>
  <c r="M29" i="8"/>
  <c r="L7" i="35"/>
  <c r="M20" i="30"/>
  <c r="M17" i="37"/>
  <c r="M14" i="36"/>
  <c r="M8" i="34"/>
  <c r="M17" i="31"/>
  <c r="M15" i="32"/>
  <c r="M7" i="8"/>
  <c r="M31" i="8"/>
  <c r="M7" i="37"/>
  <c r="M19" i="37"/>
  <c r="M7" i="31"/>
  <c r="M19" i="31"/>
  <c r="M14" i="33"/>
  <c r="M26" i="33"/>
  <c r="M8" i="8"/>
  <c r="M32" i="8"/>
  <c r="L7" i="36"/>
  <c r="M20" i="37"/>
  <c r="M17" i="36"/>
  <c r="M20" i="31"/>
  <c r="M17" i="32"/>
  <c r="M33" i="8"/>
  <c r="M18" i="36"/>
  <c r="M9" i="31"/>
  <c r="M21" i="31"/>
  <c r="M18" i="32"/>
  <c r="M15" i="36"/>
  <c r="M34" i="8"/>
  <c r="M7" i="36"/>
  <c r="M19" i="36"/>
  <c r="M10" i="31"/>
  <c r="M7" i="32"/>
  <c r="M19" i="32"/>
  <c r="M11" i="8"/>
  <c r="M23" i="8"/>
  <c r="M35" i="8"/>
  <c r="M20" i="36"/>
  <c r="M17" i="35"/>
  <c r="M8" i="32"/>
  <c r="M20" i="32"/>
  <c r="M30" i="8"/>
  <c r="M18" i="33"/>
  <c r="M30" i="33"/>
  <c r="M36" i="8"/>
  <c r="M15" i="30"/>
  <c r="M21" i="36"/>
  <c r="M18" i="35"/>
  <c r="M12" i="31"/>
  <c r="M18" i="8"/>
  <c r="M7" i="33"/>
  <c r="AZ36" i="33" s="1"/>
  <c r="M31" i="33"/>
  <c r="M13" i="8"/>
  <c r="M16" i="30"/>
  <c r="M7" i="35"/>
  <c r="M19" i="35"/>
  <c r="M13" i="31"/>
  <c r="M8" i="35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L38" i="48"/>
  <c r="L36" i="48"/>
  <c r="L35" i="48"/>
  <c r="L34" i="48"/>
  <c r="L33" i="48"/>
  <c r="L32" i="48"/>
  <c r="L31" i="48"/>
  <c r="AZ36" i="8" l="1"/>
  <c r="F39" i="48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K170" i="8"/>
  <c r="J170" i="8"/>
  <c r="I170" i="8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K74" i="30"/>
  <c r="J74" i="30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I55" i="35"/>
  <c r="K55" i="35"/>
  <c r="J54" i="35"/>
  <c r="K56" i="35"/>
  <c r="J55" i="35"/>
  <c r="I54" i="35"/>
  <c r="J56" i="35"/>
  <c r="J55" i="34"/>
  <c r="I54" i="34"/>
  <c r="I56" i="34"/>
  <c r="K54" i="34"/>
  <c r="J54" i="34"/>
  <c r="K56" i="34"/>
  <c r="J56" i="34"/>
  <c r="K55" i="34"/>
  <c r="I55" i="34"/>
  <c r="J57" i="32"/>
  <c r="I57" i="32"/>
  <c r="K57" i="32"/>
  <c r="J100" i="8"/>
  <c r="I99" i="8"/>
  <c r="K99" i="8"/>
  <c r="K54" i="35" l="1"/>
  <c r="I56" i="35"/>
  <c r="I100" i="8"/>
  <c r="J99" i="8"/>
  <c r="K100" i="8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K63" i="8"/>
  <c r="J63" i="8"/>
  <c r="I63" i="8"/>
  <c r="J62" i="8"/>
  <c r="I62" i="8"/>
  <c r="I61" i="8"/>
  <c r="K62" i="8"/>
  <c r="K61" i="8"/>
  <c r="J61" i="8"/>
  <c r="I34" i="34" l="1"/>
  <c r="J35" i="34"/>
  <c r="K36" i="34"/>
  <c r="AH51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I8" i="47" l="1"/>
  <c r="L184" i="41" s="1"/>
  <c r="AH8" i="47"/>
  <c r="J184" i="41" s="1"/>
  <c r="AG8" i="47"/>
  <c r="H184" i="41" s="1"/>
  <c r="AF8" i="47"/>
  <c r="F184" i="41" s="1"/>
  <c r="AE8" i="47"/>
  <c r="L179" i="41" s="1"/>
  <c r="AD8" i="47"/>
  <c r="J179" i="41" s="1"/>
  <c r="AC8" i="47"/>
  <c r="H179" i="41" s="1"/>
  <c r="AB8" i="47"/>
  <c r="AI7" i="47"/>
  <c r="AH7" i="47"/>
  <c r="AG7" i="47"/>
  <c r="AF7" i="47"/>
  <c r="AE7" i="47"/>
  <c r="AD7" i="47"/>
  <c r="AC7" i="47"/>
  <c r="AB7" i="47"/>
  <c r="AA7" i="47"/>
  <c r="AI8" i="46"/>
  <c r="L183" i="41" s="1"/>
  <c r="AH8" i="46"/>
  <c r="J183" i="41" s="1"/>
  <c r="AG8" i="46"/>
  <c r="H183" i="41" s="1"/>
  <c r="AF8" i="46"/>
  <c r="F183" i="41" s="1"/>
  <c r="AE8" i="46"/>
  <c r="L178" i="41" s="1"/>
  <c r="AD8" i="46"/>
  <c r="J178" i="41" s="1"/>
  <c r="AC8" i="46"/>
  <c r="H178" i="41" s="1"/>
  <c r="AB8" i="46"/>
  <c r="F178" i="41" s="1"/>
  <c r="AC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AB9" i="46" l="1"/>
  <c r="G178" i="41" s="1"/>
  <c r="AI9" i="46"/>
  <c r="M183" i="41" s="1"/>
  <c r="AH9" i="46"/>
  <c r="K183" i="41" s="1"/>
  <c r="AG9" i="46"/>
  <c r="I183" i="41" s="1"/>
  <c r="AF9" i="46"/>
  <c r="G183" i="41" s="1"/>
  <c r="AE9" i="46"/>
  <c r="M178" i="41" s="1"/>
  <c r="AD9" i="46"/>
  <c r="K178" i="41" s="1"/>
  <c r="AC9" i="46"/>
  <c r="I178" i="41" s="1"/>
  <c r="AB9" i="47"/>
  <c r="AC9" i="47"/>
  <c r="I179" i="41" s="1"/>
  <c r="AD9" i="47"/>
  <c r="K179" i="41" s="1"/>
  <c r="AE9" i="47"/>
  <c r="M179" i="41" s="1"/>
  <c r="AF9" i="47"/>
  <c r="G184" i="41" s="1"/>
  <c r="AG9" i="47"/>
  <c r="I184" i="41" s="1"/>
  <c r="AH9" i="47"/>
  <c r="K184" i="41" s="1"/>
  <c r="AI9" i="47"/>
  <c r="M184" i="41" s="1"/>
  <c r="G179" i="41"/>
  <c r="F179" i="41"/>
  <c r="E10" i="39"/>
  <c r="E8" i="39"/>
  <c r="E7" i="39"/>
  <c r="E6" i="39"/>
  <c r="S33" i="3"/>
  <c r="S26" i="3"/>
  <c r="S19" i="3"/>
  <c r="S12" i="3"/>
  <c r="B10" i="39" s="1"/>
  <c r="S5" i="3"/>
  <c r="M33" i="3"/>
  <c r="M26" i="3"/>
  <c r="M19" i="3"/>
  <c r="M12" i="3"/>
  <c r="B8" i="39" s="1"/>
  <c r="M5" i="3"/>
  <c r="J33" i="3"/>
  <c r="J26" i="3"/>
  <c r="J19" i="3"/>
  <c r="J12" i="3"/>
  <c r="B7" i="39" s="1"/>
  <c r="J5" i="3"/>
  <c r="G33" i="3"/>
  <c r="G26" i="3"/>
  <c r="G19" i="3"/>
  <c r="G12" i="3"/>
  <c r="B6" i="39" s="1"/>
  <c r="G5" i="3"/>
  <c r="V33" i="5"/>
  <c r="V26" i="5"/>
  <c r="V19" i="5"/>
  <c r="V12" i="5"/>
  <c r="I11" i="39" s="1"/>
  <c r="K11" i="39"/>
  <c r="V5" i="5"/>
  <c r="S33" i="5"/>
  <c r="S26" i="5"/>
  <c r="S19" i="5"/>
  <c r="S12" i="5"/>
  <c r="S5" i="5"/>
  <c r="P33" i="5"/>
  <c r="P26" i="5"/>
  <c r="P19" i="5"/>
  <c r="P12" i="5"/>
  <c r="I9" i="39" s="1"/>
  <c r="K9" i="39"/>
  <c r="P5" i="5"/>
  <c r="K8" i="39"/>
  <c r="M33" i="5"/>
  <c r="M26" i="5"/>
  <c r="M19" i="5"/>
  <c r="M12" i="5"/>
  <c r="I8" i="39" s="1"/>
  <c r="M5" i="5"/>
  <c r="K6" i="39"/>
  <c r="G33" i="5"/>
  <c r="G26" i="5"/>
  <c r="G19" i="5"/>
  <c r="G12" i="5"/>
  <c r="I6" i="39" s="1"/>
  <c r="G5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V26" i="3"/>
  <c r="V33" i="3"/>
  <c r="AZ12" i="37"/>
  <c r="AZ15" i="35"/>
  <c r="AZ7" i="36"/>
  <c r="AZ9" i="37"/>
  <c r="AZ21" i="37"/>
  <c r="AZ18" i="34"/>
  <c r="AZ11" i="37"/>
  <c r="AZ9" i="34"/>
  <c r="AZ9" i="36"/>
  <c r="P12" i="3"/>
  <c r="B9" i="39" s="1"/>
  <c r="P19" i="3"/>
  <c r="V19" i="3"/>
  <c r="P5" i="3"/>
  <c r="V5" i="3"/>
  <c r="V12" i="3"/>
  <c r="B11" i="39" s="1"/>
  <c r="Q9" i="3"/>
  <c r="E9" i="39" s="1"/>
  <c r="W9" i="3"/>
  <c r="E11" i="39" s="1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AZ9" i="35" l="1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9" i="5" l="1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K204" i="33"/>
  <c r="M204" i="33" s="1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169" i="8"/>
  <c r="K168" i="8"/>
  <c r="I168" i="8"/>
  <c r="K169" i="8"/>
  <c r="I169" i="8"/>
  <c r="J168" i="8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71" i="36" s="1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H18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X48" i="1"/>
  <c r="V48" i="1" s="1"/>
  <c r="X42" i="1"/>
  <c r="V42" i="1" s="1"/>
  <c r="K9" i="5"/>
  <c r="AH9" i="6"/>
  <c r="AL9" i="6"/>
  <c r="X9" i="6"/>
  <c r="L9" i="6"/>
  <c r="J9" i="6"/>
  <c r="AF9" i="6"/>
  <c r="Z9" i="6"/>
  <c r="AJ9" i="6"/>
  <c r="V9" i="6"/>
  <c r="P9" i="6"/>
  <c r="AD9" i="6"/>
  <c r="T9" i="6"/>
  <c r="N9" i="6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L10" i="6"/>
  <c r="X10" i="6"/>
  <c r="L10" i="6"/>
  <c r="AH10" i="6"/>
  <c r="Z10" i="6"/>
  <c r="AJ10" i="6"/>
  <c r="V10" i="6"/>
  <c r="P10" i="6"/>
  <c r="J10" i="6"/>
  <c r="AF10" i="6"/>
  <c r="T10" i="6"/>
  <c r="N10" i="6"/>
  <c r="AD10" i="6"/>
  <c r="AH7" i="6"/>
  <c r="AL7" i="6"/>
  <c r="X7" i="6"/>
  <c r="L7" i="6"/>
  <c r="P7" i="6"/>
  <c r="AF7" i="6"/>
  <c r="Z7" i="6"/>
  <c r="AJ7" i="6"/>
  <c r="V7" i="6"/>
  <c r="J7" i="6"/>
  <c r="N7" i="6"/>
  <c r="AD7" i="6"/>
  <c r="T7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8" i="6"/>
  <c r="X8" i="6"/>
  <c r="L8" i="6"/>
  <c r="Z8" i="6"/>
  <c r="AJ8" i="6"/>
  <c r="V8" i="6"/>
  <c r="P8" i="6"/>
  <c r="J8" i="6"/>
  <c r="AH8" i="6"/>
  <c r="AF8" i="6"/>
  <c r="T8" i="6"/>
  <c r="N8" i="6"/>
  <c r="AD8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0" i="7"/>
  <c r="AB10" i="7"/>
  <c r="AF10" i="7"/>
  <c r="Z10" i="7"/>
  <c r="AL10" i="7"/>
  <c r="X10" i="7"/>
  <c r="R10" i="7"/>
  <c r="L10" i="7"/>
  <c r="AJ10" i="7"/>
  <c r="V10" i="7"/>
  <c r="P10" i="7"/>
  <c r="J10" i="7"/>
  <c r="AD10" i="7"/>
  <c r="T10" i="7"/>
  <c r="N10" i="7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AH8" i="7"/>
  <c r="AB8" i="7"/>
  <c r="AF8" i="7"/>
  <c r="Z8" i="7"/>
  <c r="AL8" i="7"/>
  <c r="X8" i="7"/>
  <c r="R8" i="7"/>
  <c r="L8" i="7"/>
  <c r="AJ8" i="7"/>
  <c r="V8" i="7"/>
  <c r="P8" i="7"/>
  <c r="J8" i="7"/>
  <c r="AD8" i="7"/>
  <c r="T8" i="7"/>
  <c r="N8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F45" i="6"/>
  <c r="AH45" i="6" s="1"/>
  <c r="O14" i="1"/>
  <c r="B23" i="13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AD27" i="6"/>
  <c r="L27" i="37"/>
  <c r="B36" i="39" s="1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B34" i="39" s="1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B29" i="39" s="1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2" i="5"/>
  <c r="I7" i="39" s="1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9" i="7"/>
  <c r="F13" i="7"/>
  <c r="F7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P22" i="7"/>
  <c r="J22" i="7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AH19" i="6"/>
  <c r="AJ19" i="6"/>
  <c r="X19" i="6"/>
  <c r="P19" i="6"/>
  <c r="J19" i="6"/>
  <c r="V19" i="6"/>
  <c r="L19" i="6"/>
  <c r="AL19" i="6"/>
  <c r="AH23" i="6"/>
  <c r="AD23" i="6"/>
  <c r="AJ23" i="6"/>
  <c r="X23" i="6"/>
  <c r="P23" i="6"/>
  <c r="J26" i="6"/>
  <c r="P27" i="6"/>
  <c r="AJ27" i="6"/>
  <c r="P45" i="6"/>
  <c r="AJ45" i="6"/>
  <c r="J27" i="6"/>
  <c r="AL27" i="6"/>
  <c r="J45" i="6"/>
  <c r="AL45" i="6"/>
  <c r="H23" i="13"/>
  <c r="N19" i="6"/>
  <c r="F21" i="6"/>
  <c r="L21" i="6" s="1"/>
  <c r="L27" i="6"/>
  <c r="F31" i="6"/>
  <c r="N31" i="6" s="1"/>
  <c r="L45" i="6"/>
  <c r="X27" i="6"/>
  <c r="X45" i="6"/>
  <c r="N27" i="6"/>
  <c r="V27" i="6"/>
  <c r="N45" i="6"/>
  <c r="V45" i="6"/>
  <c r="F20" i="6"/>
  <c r="N20" i="6" s="1"/>
  <c r="N22" i="6"/>
  <c r="T22" i="6"/>
  <c r="T25" i="6"/>
  <c r="AF25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J22" i="6"/>
  <c r="F29" i="6"/>
  <c r="F16" i="6"/>
  <c r="N16" i="6" s="1"/>
  <c r="Z17" i="6"/>
  <c r="AL25" i="6"/>
  <c r="AD25" i="6"/>
  <c r="X25" i="6"/>
  <c r="L25" i="6"/>
  <c r="AJ25" i="6"/>
  <c r="V25" i="6"/>
  <c r="P25" i="6"/>
  <c r="J25" i="6"/>
  <c r="T30" i="6"/>
  <c r="N34" i="6"/>
  <c r="N44" i="6"/>
  <c r="T44" i="6"/>
  <c r="AH44" i="6"/>
  <c r="V30" i="6"/>
  <c r="F33" i="6"/>
  <c r="F43" i="6"/>
  <c r="J44" i="6"/>
  <c r="P44" i="6"/>
  <c r="V44" i="6"/>
  <c r="AJ44" i="6"/>
  <c r="Z19" i="6"/>
  <c r="AF19" i="6"/>
  <c r="AF23" i="6"/>
  <c r="Z27" i="6"/>
  <c r="AF27" i="6"/>
  <c r="F28" i="6"/>
  <c r="N28" i="6" s="1"/>
  <c r="AD30" i="6"/>
  <c r="F32" i="6"/>
  <c r="N32" i="6" s="1"/>
  <c r="L44" i="6"/>
  <c r="X44" i="6"/>
  <c r="AD44" i="6"/>
  <c r="AL44" i="6"/>
  <c r="Z45" i="6"/>
  <c r="AF45" i="6"/>
  <c r="T19" i="6"/>
  <c r="T27" i="6"/>
  <c r="Z44" i="6"/>
  <c r="T45" i="6"/>
  <c r="G7" i="6"/>
  <c r="L27" i="32"/>
  <c r="B30" i="39" s="1"/>
  <c r="L27" i="34"/>
  <c r="B33" i="39" s="1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B35" i="39" s="1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B28" i="39" s="1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AL40" i="6"/>
  <c r="F37" i="6"/>
  <c r="N37" i="6" s="1"/>
  <c r="F41" i="6"/>
  <c r="F39" i="6"/>
  <c r="N39" i="6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C23" i="13"/>
  <c r="E23" i="13" s="1"/>
  <c r="E6" i="13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J22" i="7" l="1"/>
  <c r="V22" i="7"/>
  <c r="Z22" i="7"/>
  <c r="AF22" i="7"/>
  <c r="N22" i="7"/>
  <c r="L22" i="7"/>
  <c r="AD22" i="7"/>
  <c r="N35" i="6"/>
  <c r="X22" i="7"/>
  <c r="AL17" i="6"/>
  <c r="AB22" i="7"/>
  <c r="AL22" i="7"/>
  <c r="R22" i="7"/>
  <c r="P18" i="7"/>
  <c r="V18" i="7"/>
  <c r="AL18" i="7"/>
  <c r="Z18" i="7"/>
  <c r="AH18" i="7"/>
  <c r="AH14" i="7"/>
  <c r="H11" i="7"/>
  <c r="J17" i="6"/>
  <c r="P17" i="6"/>
  <c r="X17" i="6"/>
  <c r="N14" i="6"/>
  <c r="H11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7" i="7"/>
  <c r="X7" i="7"/>
  <c r="R7" i="7"/>
  <c r="L7" i="7"/>
  <c r="AJ7" i="7"/>
  <c r="V7" i="7"/>
  <c r="P7" i="7"/>
  <c r="J7" i="7"/>
  <c r="AH7" i="7"/>
  <c r="AB7" i="7"/>
  <c r="AF7" i="7"/>
  <c r="Z7" i="7"/>
  <c r="N7" i="7"/>
  <c r="T7" i="7"/>
  <c r="AD7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9" i="7"/>
  <c r="X9" i="7"/>
  <c r="R9" i="7"/>
  <c r="L9" i="7"/>
  <c r="AJ9" i="7"/>
  <c r="V9" i="7"/>
  <c r="P9" i="7"/>
  <c r="J9" i="7"/>
  <c r="AH9" i="7"/>
  <c r="AB9" i="7"/>
  <c r="AF9" i="7"/>
  <c r="Z9" i="7"/>
  <c r="N9" i="7"/>
  <c r="AD9" i="7"/>
  <c r="T9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I7" i="13"/>
  <c r="K7" i="13" s="1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<sst xmlns="http://schemas.openxmlformats.org/spreadsheetml/2006/main" count="6957" uniqueCount="687">
  <si>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</si>
  <si>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</si>
  <si>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</si>
  <si>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</si>
  <si>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</si>
  <si>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</si>
  <si>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</si>
  <si>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</si>
  <si>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</si>
  <si>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</si>
  <si>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</si>
  <si>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</si>
  <si>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</si>
  <si>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</si>
  <si>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</si>
  <si>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</si>
  <si>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</si>
  <si>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</si>
  <si>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</si>
  <si>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</si>
  <si>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</si>
  <si>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</si>
  <si>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</si>
  <si>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</si>
  <si>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</si>
  <si>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</si>
  <si>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</si>
  <si>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</si>
  <si>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</si>
  <si>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</si>
  <si>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</si>
  <si>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</si>
  <si>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</si>
  <si>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</si>
  <si>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</si>
  <si>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</si>
  <si>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</si>
  <si>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</si>
  <si>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</si>
  <si>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</si>
  <si>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</si>
  <si>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</si>
  <si>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</si>
  <si>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</si>
  <si>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</si>
  <si>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</si>
  <si>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</si>
  <si>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</si>
  <si>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</si>
  <si>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</si>
  <si>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</si>
  <si>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</si>
  <si>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</si>
  <si>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</si>
  <si>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</si>
  <si>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</si>
  <si>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</si>
  <si>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</si>
  <si>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</si>
  <si>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</si>
  <si>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</si>
  <si>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</si>
  <si>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</si>
  <si>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</si>
  <si>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</si>
  <si>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</si>
  <si>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</si>
  <si>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</si>
  <si>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</si>
  <si>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</si>
  <si>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</si>
  <si>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</si>
  <si>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</si>
  <si>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</si>
  <si>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</si>
  <si>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</si>
  <si>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</si>
  <si>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</si>
  <si>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</si>
  <si>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</si>
  <si>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</si>
  <si>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</si>
  <si>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</si>
  <si>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</si>
  <si>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</si>
  <si>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</si>
  <si>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</si>
  <si>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</si>
  <si>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</si>
  <si>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</si>
  <si>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</si>
  <si>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</si>
  <si>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</si>
  <si>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</si>
  <si>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</si>
  <si>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</si>
  <si>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</si>
  <si>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</si>
  <si>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</si>
  <si>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</si>
  <si>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</si>
  <si>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</si>
  <si>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</si>
  <si>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</si>
  <si>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</si>
  <si>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</si>
  <si>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</si>
  <si>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</si>
  <si>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</si>
  <si>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</si>
  <si>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</si>
  <si>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</si>
  <si>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</si>
  <si>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</si>
  <si>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</si>
  <si>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</si>
  <si>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</si>
  <si>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</si>
  <si>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</si>
  <si>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</si>
  <si>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</si>
  <si>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</si>
  <si>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</si>
  <si>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</si>
  <si>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</si>
  <si>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</si>
  <si>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</si>
  <si>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</si>
  <si>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</si>
  <si>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</si>
  <si>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</si>
  <si>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</si>
  <si>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</si>
  <si>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</si>
  <si>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</si>
  <si>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</si>
  <si>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</si>
  <si>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</si>
  <si>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</si>
  <si>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t>W1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</si>
  <si>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</si>
  <si>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</si>
  <si>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</si>
  <si>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</si>
  <si>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</si>
  <si>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</si>
  <si>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</si>
  <si>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</si>
  <si>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</si>
  <si>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</si>
  <si>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</si>
  <si>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</si>
  <si>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</si>
  <si>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</si>
  <si>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</si>
  <si>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</si>
  <si>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</si>
  <si>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</si>
  <si>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</si>
  <si>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</si>
  <si>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</si>
  <si>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二</t>
  </si>
  <si>
    <t>三</t>
  </si>
  <si>
    <t>四</t>
  </si>
  <si>
    <t>五</t>
  </si>
  <si>
    <t>六</t>
  </si>
  <si>
    <t>日</t>
  </si>
  <si>
    <t>一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</si>
  <si>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</si>
  <si>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</si>
  <si>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</si>
  <si>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</si>
  <si>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</si>
  <si>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</si>
  <si>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</si>
  <si>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</si>
  <si>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</si>
  <si>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</si>
  <si>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</si>
  <si>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</si>
  <si>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</si>
  <si>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</si>
  <si>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</si>
  <si>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</si>
  <si>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</si>
  <si>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</si>
  <si>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</si>
  <si>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</si>
  <si>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</si>
  <si>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</si>
  <si>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</si>
  <si>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</si>
  <si>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</si>
  <si>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</si>
  <si>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</si>
  <si>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</si>
  <si>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</si>
  <si>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</si>
  <si>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</si>
  <si>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</si>
  <si>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</si>
  <si>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</si>
  <si>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</si>
  <si>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</si>
  <si>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</si>
  <si>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</si>
  <si>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</si>
  <si>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</si>
  <si>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</si>
  <si>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</si>
  <si>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</si>
  <si>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</si>
  <si>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</si>
  <si>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</si>
  <si>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</si>
  <si>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</si>
  <si>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</si>
  <si>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</si>
  <si>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</si>
  <si>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</si>
  <si>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</si>
  <si>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</si>
  <si>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</si>
  <si>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</si>
  <si>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</si>
  <si>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</si>
  <si>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</si>
  <si>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</si>
  <si>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</si>
  <si>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筋子銀鮭飯糰</t>
  </si>
  <si>
    <t>博多明太子奶油飯糰</t>
  </si>
  <si>
    <t>壹號醬炙烤牛飯糰</t>
  </si>
  <si>
    <t>明太子龍蝦風味沙拉飯糰</t>
  </si>
  <si>
    <t>鹽蔥燒肉飯糰</t>
  </si>
  <si>
    <t>胡麻鮮蔬雞絲飯糰(區)</t>
  </si>
  <si>
    <t>雞肉飯飯糰</t>
  </si>
  <si>
    <t>碳烤燒肉飯飯糰(區)</t>
  </si>
  <si>
    <t>椒鹽檸檬鯖魚飯糰</t>
  </si>
  <si>
    <t>油蔥雞汁飯糰(區)</t>
  </si>
  <si>
    <t>二配芝麻香鬆飯糰</t>
  </si>
  <si>
    <t>二配大飯糰春川風味辣炒雞</t>
  </si>
  <si>
    <t>二配油蔥G絲飯糰</t>
  </si>
  <si>
    <t>照燒鰤魚大根飯糰</t>
  </si>
  <si>
    <t>照燒雞肉飯糰</t>
  </si>
  <si>
    <t>二配三杯醬爆菇菇飯糰</t>
  </si>
  <si>
    <t>二配大飯糰鮪魚昆布</t>
  </si>
  <si>
    <t>兩粒飯糰(鮪魚.焦糖鮭魚)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</si>
  <si>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</si>
  <si>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</si>
  <si>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</si>
  <si>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</si>
  <si>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</si>
  <si>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</si>
  <si>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</si>
  <si>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</si>
  <si>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</si>
  <si>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香濃起司蟹風味棒細卷</t>
  </si>
  <si>
    <t>滿滿海鮮沙拉脆卷</t>
  </si>
  <si>
    <t>明太子玉子脆卷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</si>
  <si>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</si>
  <si>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</si>
  <si>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</si>
  <si>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</si>
  <si>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</si>
  <si>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</si>
  <si>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</si>
  <si>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</si>
  <si>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</si>
  <si>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</si>
  <si>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</si>
  <si>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</si>
  <si>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</si>
  <si>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德式酸菜燻腸飯卷</t>
  </si>
  <si>
    <t>麻油鹽炙烤豬肉飯卷</t>
  </si>
  <si>
    <t>v</t>
    <phoneticPr fontId="11" type="noConversion"/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</si>
  <si>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</si>
  <si>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</si>
  <si>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</si>
  <si>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</si>
  <si>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</si>
  <si>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</si>
  <si>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</si>
  <si>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</si>
  <si>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</si>
  <si>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</si>
  <si>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</si>
  <si>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</si>
  <si>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</si>
  <si>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</si>
  <si>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</si>
  <si>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</si>
  <si>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</si>
  <si>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</si>
  <si>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</si>
  <si>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</si>
  <si>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</si>
  <si>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</si>
  <si>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</si>
  <si>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</si>
  <si>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二配金咖哩濃厚辛口咖哩飯</t>
  </si>
  <si>
    <t>二配厚香料咖哩雞排飯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</si>
  <si>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</si>
  <si>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</si>
  <si>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</si>
  <si>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</si>
  <si>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</si>
  <si>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</si>
  <si>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</si>
  <si>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</si>
  <si>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</si>
  <si>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照燒豬排纖食餐盒</t>
  </si>
  <si>
    <t>香腸腿排雙拼便當</t>
  </si>
  <si>
    <t>熱食義麵</t>
    <phoneticPr fontId="11" type="noConversion"/>
  </si>
  <si>
    <t>沙茶豬肉炒麵</t>
  </si>
  <si>
    <t>魚介雞叉燒辣拌麵</t>
  </si>
  <si>
    <t>府城鹽水意麵</t>
  </si>
  <si>
    <t>炙烤燒肉拌麵</t>
  </si>
  <si>
    <t>春日部防衛隊的咖哩炒麵</t>
  </si>
  <si>
    <t>蕃茄起司手工千層麵(區2)</t>
  </si>
  <si>
    <t>雙醬雞排鐵板麵</t>
  </si>
  <si>
    <t>家傳炸醬麵</t>
  </si>
  <si>
    <t>擔仔炊粉湯</t>
  </si>
  <si>
    <t>蛤蜊五目中華燴麵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</si>
  <si>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</si>
  <si>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</si>
  <si>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</si>
  <si>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</si>
  <si>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</si>
  <si>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</si>
  <si>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</si>
  <si>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</si>
  <si>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</si>
  <si>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</si>
  <si>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</si>
  <si>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</si>
  <si>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</si>
  <si>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</si>
  <si>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</si>
  <si>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</si>
  <si>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</si>
  <si>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</si>
  <si>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</si>
  <si>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</si>
  <si>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</si>
  <si>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</si>
  <si>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</si>
  <si>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</si>
  <si>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</si>
  <si>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</si>
  <si>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</si>
  <si>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</si>
  <si>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</si>
  <si>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t>▲</t>
    <phoneticPr fontId="11" type="noConversion"/>
  </si>
  <si>
    <t>照燒雞肉飯糰</t>
    <phoneticPr fontId="11" type="noConversion"/>
  </si>
  <si>
    <t>▼1</t>
    <phoneticPr fontId="8"/>
  </si>
  <si>
    <t>▼2</t>
    <phoneticPr fontId="8"/>
  </si>
  <si>
    <t>▼3</t>
    <phoneticPr fontId="8"/>
  </si>
  <si>
    <t>▼</t>
    <phoneticPr fontId="11" type="noConversion"/>
  </si>
  <si>
    <t>訓練新人放料作業</t>
    <phoneticPr fontId="11" type="noConversion"/>
  </si>
  <si>
    <t>▼4</t>
    <phoneticPr fontId="8"/>
  </si>
  <si>
    <t>對比上週差異小。</t>
    <phoneticPr fontId="11" type="noConversion"/>
  </si>
  <si>
    <t>▼5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</si>
  <si>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</si>
  <si>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</si>
  <si>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－</t>
  </si>
  <si>
    <r>
      <t>大口日式塔塔</t>
    </r>
    <r>
      <rPr>
        <sz val="11"/>
        <color theme="1"/>
        <rFont val="細明體"/>
        <family val="3"/>
        <charset val="136"/>
      </rPr>
      <t>醬</t>
    </r>
    <r>
      <rPr>
        <sz val="11"/>
        <color theme="1"/>
        <rFont val="Meiryo UI"/>
        <family val="2"/>
      </rPr>
      <t>蝦排飯</t>
    </r>
    <r>
      <rPr>
        <sz val="11"/>
        <color theme="1"/>
        <rFont val="細明體"/>
        <family val="3"/>
        <charset val="136"/>
      </rPr>
      <t>糰</t>
    </r>
    <phoneticPr fontId="11" type="noConversion"/>
  </si>
  <si>
    <t>德式酸菜燻腸飯卷</t>
    <phoneticPr fontId="11" type="noConversion"/>
  </si>
  <si>
    <r>
      <t>麻油鹽炙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豬肉飯卷</t>
    </r>
    <phoneticPr fontId="11" type="noConversion"/>
  </si>
  <si>
    <t>主要為機台作業，本週多一人新人訓練作業，人時生產性較上週低。</t>
    <phoneticPr fontId="11" type="noConversion"/>
  </si>
  <si>
    <t>優質池上飯</t>
    <phoneticPr fontId="11" type="noConversion"/>
  </si>
  <si>
    <t>多穀紫米飯</t>
    <phoneticPr fontId="11" type="noConversion"/>
  </si>
  <si>
    <t>鐵板滑蛋炸豬排丼</t>
    <phoneticPr fontId="11" type="noConversion"/>
  </si>
  <si>
    <t>二配川味麻婆燒豆腐燴飯</t>
    <phoneticPr fontId="11" type="noConversion"/>
  </si>
  <si>
    <t>對比上週差異小</t>
    <phoneticPr fontId="11" type="noConversion"/>
  </si>
  <si>
    <t>二配金咖哩果香甘口咖哩飯</t>
    <phoneticPr fontId="11" type="noConversion"/>
  </si>
  <si>
    <t>蒜蒜燒豚飯</t>
    <phoneticPr fontId="11" type="noConversion"/>
  </si>
  <si>
    <t>工序較複雜，人時生產性低。</t>
    <phoneticPr fontId="11" type="noConversion"/>
  </si>
  <si>
    <t>妮妮家漢堡排</t>
    <phoneticPr fontId="11" type="noConversion"/>
  </si>
  <si>
    <t>二配粗飽系雞排炒飯</t>
    <phoneticPr fontId="11" type="noConversion"/>
  </si>
  <si>
    <r>
      <t>L型封膜</t>
    </r>
    <r>
      <rPr>
        <sz val="10"/>
        <color theme="1"/>
        <rFont val="細明體"/>
        <family val="3"/>
        <charset val="136"/>
      </rPr>
      <t>商品，</t>
    </r>
    <r>
      <rPr>
        <sz val="10"/>
        <color theme="1"/>
        <rFont val="Meiryo UI"/>
        <family val="2"/>
      </rPr>
      <t>人時性較低</t>
    </r>
    <phoneticPr fontId="11" type="noConversion"/>
  </si>
  <si>
    <t>二配西班牙風味海鮮燉飯</t>
    <phoneticPr fontId="11" type="noConversion"/>
  </si>
  <si>
    <t>二配黃金雞排蘑菇白醬歐姆蛋飯</t>
    <phoneticPr fontId="11" type="noConversion"/>
  </si>
  <si>
    <t>產能及人時生產性對比上週成長。</t>
    <phoneticPr fontId="11" type="noConversion"/>
  </si>
  <si>
    <t>照燒豬排纖食餐盒</t>
    <phoneticPr fontId="11" type="noConversion"/>
  </si>
  <si>
    <t>經典滷肉飯</t>
    <phoneticPr fontId="11" type="noConversion"/>
  </si>
  <si>
    <t>香腸腿排雙拼便當</t>
    <phoneticPr fontId="11" type="noConversion"/>
  </si>
  <si>
    <t>新招牌腿排便當</t>
    <phoneticPr fontId="11" type="noConversion"/>
  </si>
  <si>
    <t>嘉義劉里長雞肉飯</t>
    <phoneticPr fontId="11" type="noConversion"/>
  </si>
  <si>
    <t>健身G肉餐盒</t>
    <phoneticPr fontId="11" type="noConversion"/>
  </si>
  <si>
    <t>蔬活腿排補力餐盒</t>
    <phoneticPr fontId="11" type="noConversion"/>
  </si>
  <si>
    <t>烤蛋白餐盒</t>
    <phoneticPr fontId="11" type="noConversion"/>
  </si>
  <si>
    <t>美式雞丁餐盒</t>
    <phoneticPr fontId="11" type="noConversion"/>
  </si>
  <si>
    <t>海陸雙拼肉肉餐盒</t>
    <phoneticPr fontId="11" type="noConversion"/>
  </si>
  <si>
    <t>熱食義麵</t>
  </si>
  <si>
    <t>蕃茄起司手工千層麵(區2)</t>
    <phoneticPr fontId="11" type="noConversion"/>
  </si>
  <si>
    <t>府城鹽水意麵</t>
    <phoneticPr fontId="11" type="noConversion"/>
  </si>
  <si>
    <t>雙醬雞排鐵板麵</t>
    <phoneticPr fontId="11" type="noConversion"/>
  </si>
  <si>
    <t>沙茶豬肉炒麵</t>
    <phoneticPr fontId="11" type="noConversion"/>
  </si>
  <si>
    <t>蛤蜊五目中華燴麵</t>
    <phoneticPr fontId="11" type="noConversion"/>
  </si>
  <si>
    <t>炙烤燒肉拌麵</t>
    <phoneticPr fontId="11" type="noConversion"/>
  </si>
  <si>
    <t>春日部防衛隊的咖哩炒麵</t>
    <phoneticPr fontId="11" type="noConversion"/>
  </si>
  <si>
    <t>對比上週差異小，主要差異在人員順手度。</t>
    <phoneticPr fontId="11" type="noConversion"/>
  </si>
  <si>
    <t>魚介雞叉燒辣拌麵</t>
    <phoneticPr fontId="11" type="noConversion"/>
  </si>
  <si>
    <t>季節調理麵</t>
  </si>
  <si>
    <r>
      <t>燻之味-糖燻</t>
    </r>
    <r>
      <rPr>
        <sz val="11"/>
        <color theme="1"/>
        <rFont val="細明體"/>
        <family val="3"/>
        <charset val="136"/>
      </rPr>
      <t>雞胗</t>
    </r>
    <phoneticPr fontId="11" type="noConversion"/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</si>
  <si>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</si>
  <si>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</si>
  <si>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</si>
  <si>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</si>
  <si>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</si>
  <si>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</si>
  <si>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</si>
  <si>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</si>
  <si>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</si>
  <si>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</si>
  <si>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</si>
  <si>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</si>
  <si>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</si>
  <si>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（７）原因別分析(8/1-8/11)</t>
  </si>
  <si>
    <t>取樣不穩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</si>
  <si>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</si>
  <si>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</si>
  <si>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</si>
  <si>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</si>
  <si>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</si>
  <si>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</si>
  <si>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</si>
  <si>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</si>
  <si>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</si>
  <si>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</si>
  <si>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</si>
  <si>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</si>
  <si>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</si>
  <si>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</si>
  <si>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</si>
  <si>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</si>
  <si>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</si>
  <si>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</si>
  <si>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</si>
  <si>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</si>
  <si>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</si>
  <si>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112年炒金鉤蝦肉燥</t>
  </si>
  <si>
    <t>反應調配課級，追蹤三天備料狀況</t>
  </si>
  <si>
    <t>二配(V)炒素雞肉絲</t>
  </si>
  <si>
    <t>製程不穩</t>
    <phoneticPr fontId="11" type="noConversion"/>
  </si>
  <si>
    <t>粉絲煲湯凍</t>
  </si>
  <si>
    <t>確認備料量是否正確，調整出料率</t>
    <phoneticPr fontId="11" type="noConversion"/>
  </si>
  <si>
    <t>二配蒸海鮮醬(料)</t>
  </si>
  <si>
    <t>二配炒解凍11N培根片</t>
  </si>
  <si>
    <t>二配蒸蛤蜊-肉</t>
  </si>
  <si>
    <t>拌明太子龍蝦沙拉(114年)</t>
  </si>
  <si>
    <t>確認備料量是否正確，調整出料率</t>
  </si>
  <si>
    <t>壽喜燒牛五花</t>
  </si>
  <si>
    <t>增加放料抽秤頻率</t>
    <phoneticPr fontId="11" type="noConversion"/>
  </si>
  <si>
    <t>二配濃辛辣咖哩醬</t>
  </si>
  <si>
    <t>共用類</t>
  </si>
  <si>
    <t>蒜炒紅K高麗菜(111年)</t>
  </si>
  <si>
    <t>清炒高麗菜</t>
  </si>
  <si>
    <t>原物料規格</t>
  </si>
  <si>
    <t>二配西班牙烤雞腿丁</t>
  </si>
  <si>
    <t>腿肉丁大小差異</t>
  </si>
  <si>
    <t>切蒸新原味雞胸排CL</t>
  </si>
  <si>
    <t>原物料大小差異</t>
  </si>
  <si>
    <t>烤BBQ雞丁(112年)</t>
  </si>
  <si>
    <t>切烤雞胸肉</t>
  </si>
  <si>
    <t>研發設定</t>
  </si>
  <si>
    <t>18切烤千層麵</t>
  </si>
  <si>
    <t>製程報廢</t>
  </si>
  <si>
    <t>二配蒸鼎泰豐香辣醬</t>
  </si>
  <si>
    <t>切-炙燒炭火燒肉片</t>
  </si>
  <si>
    <t>蒸鼎泰豐香辣醬</t>
  </si>
  <si>
    <t>其他原因</t>
    <phoneticPr fontId="11" type="noConversion"/>
  </si>
  <si>
    <t>切筋子</t>
  </si>
  <si>
    <t>需求量少，單價高</t>
    <phoneticPr fontId="11" type="noConversion"/>
  </si>
  <si>
    <t>（８）超用原因別前幾名品項</t>
    <phoneticPr fontId="11" type="noConversion"/>
  </si>
  <si>
    <t>取樣不穩</t>
    <phoneticPr fontId="8"/>
  </si>
  <si>
    <t>煮魚介湯凍</t>
  </si>
  <si>
    <t>二配果香甘口咖哩醬</t>
  </si>
  <si>
    <t>增加線上抽秤頻率</t>
  </si>
  <si>
    <t>煮意麵肉燥</t>
  </si>
  <si>
    <t>拌麻油鹽豬肉片</t>
  </si>
  <si>
    <t>連續式生產，放料不穩</t>
  </si>
  <si>
    <t>原物料大小、厚薄差異</t>
    <phoneticPr fontId="11" type="noConversion"/>
  </si>
  <si>
    <t>原物料大小、厚薄差異</t>
  </si>
  <si>
    <t>二配川燙醃嫩化淨零碳排牛肉片</t>
  </si>
  <si>
    <t>川燙五花肉片</t>
  </si>
  <si>
    <t>切博多明太子</t>
  </si>
  <si>
    <t>賣相要鋪滿</t>
    <phoneticPr fontId="11" type="noConversion"/>
  </si>
  <si>
    <t>不拆包加熱，調整用量</t>
    <phoneticPr fontId="11" type="noConversion"/>
  </si>
  <si>
    <t>壹號醬雞豚雙拼</t>
  </si>
  <si>
    <t>切-究極燒肉片</t>
  </si>
  <si>
    <t>賣相要鋪滿</t>
  </si>
  <si>
    <t>粗剝-蒸鰤魚</t>
  </si>
  <si>
    <t>解凍-醬油漬鮭魚卵</t>
  </si>
  <si>
    <t>針辣椒絲</t>
  </si>
  <si>
    <t>需求量少，單價高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</si>
  <si>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</si>
  <si>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</si>
  <si>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</si>
  <si>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</si>
  <si>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</si>
  <si>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</si>
  <si>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</si>
  <si>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</si>
  <si>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</si>
  <si>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</si>
  <si>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</si>
  <si>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</si>
  <si>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</si>
  <si>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</si>
  <si>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</si>
  <si>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</si>
  <si>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</si>
  <si>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</si>
  <si>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</si>
  <si>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</si>
  <si>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</si>
  <si>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</si>
  <si>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</si>
  <si>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</si>
  <si>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</si>
  <si>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</si>
  <si>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</si>
  <si>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</si>
  <si>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</si>
  <si>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</si>
  <si>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</si>
  <si>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</si>
  <si>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</si>
  <si>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</si>
  <si>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</si>
  <si>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</si>
  <si>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</si>
  <si>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</si>
  <si>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</si>
  <si>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1104-1110</t>
    <phoneticPr fontId="11" type="noConversion"/>
  </si>
  <si>
    <t>其他</t>
  </si>
  <si>
    <t>原物料厚薄大小差異</t>
  </si>
  <si>
    <t>回饋研發，後續開發列入考量</t>
  </si>
  <si>
    <t>月前二十</t>
    <phoneticPr fontId="11" type="noConversion"/>
  </si>
  <si>
    <t>生產課</t>
  </si>
  <si>
    <t>肉片大小長短差異，影響人員放料</t>
  </si>
  <si>
    <t>確認磅秤設定，及秤盤清潔頻率減少外在影響</t>
  </si>
  <si>
    <t>蒸-全熟雞肉絲CL(升)</t>
  </si>
  <si>
    <t>雞肉糾結成塊，放料容易有差異</t>
  </si>
  <si>
    <t>使用前先行撥散</t>
  </si>
  <si>
    <t>炙烤雞腿丁(113年)</t>
  </si>
  <si>
    <t>調配課</t>
  </si>
  <si>
    <t>製程不穩</t>
  </si>
  <si>
    <t>製成率浮動</t>
    <phoneticPr fontId="11" type="noConversion"/>
  </si>
  <si>
    <t>連動調理連續確認製程及起鍋糖鹽度是否符合標準</t>
    <phoneticPr fontId="11" type="noConversion"/>
  </si>
  <si>
    <t>雞肉糾結成塊，放料容易有差異</t>
    <phoneticPr fontId="11" type="noConversion"/>
  </si>
  <si>
    <t>使用前先行撥散</t>
    <phoneticPr fontId="11" type="noConversion"/>
  </si>
  <si>
    <t>二配炒綠咖哩腿肉片</t>
  </si>
  <si>
    <t>原物料厚薄大小差異</t>
    <phoneticPr fontId="11" type="noConversion"/>
  </si>
  <si>
    <t>回饋研發，後續開發列入考量</t>
    <phoneticPr fontId="11" type="noConversion"/>
  </si>
  <si>
    <t>調理多產</t>
  </si>
  <si>
    <t>賣相設定要鋪滿，肉片狀態影響鋪滿效果</t>
  </si>
  <si>
    <t>調整分切方式，穩定分切長度減少小碎肉的報廢。回饋研發設定放料重量範圍。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</si>
  <si>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</si>
  <si>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二配果香甘口咖哩腿丁</t>
  </si>
  <si>
    <t>泡菜炒大白菜</t>
  </si>
  <si>
    <t>菜梗、葉差異，影響人員放料手感</t>
    <phoneticPr fontId="11" type="noConversion"/>
  </si>
  <si>
    <t>增加線上抽秤頻率，維持人員放料手感</t>
    <phoneticPr fontId="11" type="noConversion"/>
  </si>
  <si>
    <t>川燙燴麵混蔬</t>
  </si>
  <si>
    <t>菜梗、葉差異，影響人員放料手感</t>
  </si>
  <si>
    <t>增加線上抽秤頻率，維持人員放料手感</t>
  </si>
  <si>
    <t>其他原因</t>
  </si>
  <si>
    <t>113年拌清酒蛤蜊</t>
  </si>
  <si>
    <t>混料半成品殘袋</t>
    <phoneticPr fontId="11" type="noConversion"/>
  </si>
  <si>
    <t>設定換袋擠袋手法尋找使用輔助工具</t>
    <phoneticPr fontId="11" type="noConversion"/>
  </si>
  <si>
    <t>步留因素</t>
    <phoneticPr fontId="11" type="noConversion"/>
  </si>
  <si>
    <t>二配辛口咖哩豬肉(112年)</t>
  </si>
  <si>
    <t>二配112年拌鮪魚沙拉</t>
  </si>
  <si>
    <t>二配鮪魚飯糰</t>
  </si>
  <si>
    <t>拌鮭魚沙拉(兩粒)</t>
  </si>
  <si>
    <t>112年拌鮪魚沙拉</t>
  </si>
  <si>
    <t>準備課</t>
  </si>
  <si>
    <t>二配油亮後腿肉絲</t>
  </si>
  <si>
    <t>二配油亮蒜味香腸片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</si>
  <si>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</si>
  <si>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</si>
  <si>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</si>
  <si>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</si>
  <si>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</si>
  <si>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原物料肉塊的大小塊差異</t>
    <phoneticPr fontId="11" type="noConversion"/>
  </si>
  <si>
    <t>回饋研發，後續開發列入考量，設定放料量範圍。</t>
    <phoneticPr fontId="11" type="noConversion"/>
  </si>
  <si>
    <t>賣相設定要鋪滿，肉片狀態影響鋪滿效果</t>
    <phoneticPr fontId="11" type="noConversion"/>
  </si>
  <si>
    <t>調整分切方式，穩定分切長度減少小碎肉的報廢。回饋研發設定放料重量範圍。</t>
    <phoneticPr fontId="11" type="noConversion"/>
  </si>
  <si>
    <t>連續式生產，放料易有差異</t>
    <phoneticPr fontId="11" type="noConversion"/>
  </si>
  <si>
    <t>更換放樣方式，以需求長度的放料量進行放樣供人員目視</t>
    <phoneticPr fontId="11" type="noConversion"/>
  </si>
  <si>
    <t>研發設定不拆包加熱製程，協調生產調整用量</t>
  </si>
  <si>
    <t>原物料肉塊的大小塊差異</t>
  </si>
  <si>
    <t>擠醬機設定確認</t>
  </si>
  <si>
    <t>生產前及生產中確認設定及實際出料狀況</t>
  </si>
  <si>
    <t>回饋研發，後續開發列入考量，設定放料量範圍。</t>
  </si>
  <si>
    <t>蒸蛤蜊-肉</t>
  </si>
  <si>
    <t>磅秤易有殘水，避免半成品不足重，有提高放料量</t>
    <phoneticPr fontId="11" type="noConversion"/>
  </si>
  <si>
    <t>設定磅秤擦拭歸零頻率</t>
  </si>
  <si>
    <t>蒸箱加熱作業時因飯袋未覆蓋好，導致過程中有水氣滴入袋中而影響製程率</t>
  </si>
  <si>
    <t>加強人員交郁訓練，於蒸箱加熱作業前確認飯袋覆蓋完全。</t>
  </si>
  <si>
    <t>1.高單價半成品。2.單位用量少以致用量易有不穩定的狀況。</t>
  </si>
  <si>
    <t>尋找少量放料的半成品適用的工具進行測試導入更換，以穩定用料。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</si>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</sst>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3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  <font>
      <b/>
      <sz val="10"/>
      <color rgb="FFFF0000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9" fillId="0" borderId="0"/>
    <xf numFmtId="9" fontId="99" fillId="0" borderId="0" applyFont="0" applyFill="0" applyBorder="0" applyAlignment="0" applyProtection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198" fontId="101" fillId="0" borderId="0"/>
    <xf numFmtId="0" fontId="7" fillId="0" borderId="0"/>
    <xf numFmtId="0" fontId="99" fillId="0" borderId="0">
      <alignment vertical="center"/>
    </xf>
    <xf numFmtId="0" fontId="102" fillId="0" borderId="0"/>
    <xf numFmtId="176" fontId="100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104" fillId="0" borderId="0">
      <alignment vertical="top"/>
    </xf>
    <xf numFmtId="0" fontId="7" fillId="0" borderId="0"/>
    <xf numFmtId="0" fontId="102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102" fillId="0" borderId="0">
      <alignment vertical="center"/>
    </xf>
    <xf numFmtId="0" fontId="99" fillId="0" borderId="0"/>
    <xf numFmtId="0" fontId="99" fillId="0" borderId="0"/>
    <xf numFmtId="0" fontId="102" fillId="0" borderId="0">
      <alignment vertical="center"/>
    </xf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105" fillId="0" borderId="0"/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" fillId="0" borderId="0">
      <alignment vertical="center"/>
    </xf>
    <xf numFmtId="0" fontId="99" fillId="0" borderId="0"/>
    <xf numFmtId="0" fontId="99" fillId="0" borderId="0"/>
    <xf numFmtId="0" fontId="105" fillId="0" borderId="0"/>
    <xf numFmtId="0" fontId="1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2" fillId="0" borderId="0"/>
    <xf numFmtId="0" fontId="99" fillId="0" borderId="0"/>
    <xf numFmtId="0" fontId="1" fillId="0" borderId="0">
      <alignment vertical="center"/>
    </xf>
    <xf numFmtId="0" fontId="102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102" fillId="0" borderId="0">
      <alignment vertical="center"/>
    </xf>
    <xf numFmtId="0" fontId="99" fillId="0" borderId="0"/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9" fillId="0" borderId="0"/>
    <xf numFmtId="0" fontId="102" fillId="0" borderId="0">
      <alignment vertical="center"/>
    </xf>
    <xf numFmtId="0" fontId="99" fillId="0" borderId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102" fillId="0" borderId="0" applyFont="0" applyFill="0" applyBorder="0" applyAlignment="0" applyProtection="0">
      <alignment vertical="center"/>
    </xf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06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106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177" fontId="105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</cellStyleXfs>
  <cellXfs count="713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5" fontId="5" fillId="0" borderId="0" xfId="0" applyNumberFormat="1" applyFont="1" applyAlignment="1">
      <alignment horizontal="right" vertical="center"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93" fontId="24" fillId="0" borderId="0" xfId="0" applyNumberFormat="1" applyFont="1" applyAlignment="1">
      <alignment shrinkToFit="1"/>
    </xf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6" fontId="63" fillId="14" borderId="0" xfId="11" applyNumberFormat="1" applyFont="1" applyFill="1" applyAlignment="1">
      <alignment shrinkToFit="1"/>
    </xf>
    <xf numFmtId="188" fontId="74" fillId="0" borderId="32" xfId="0" applyNumberFormat="1" applyFont="1" applyBorder="1" applyAlignment="1">
      <alignment vertical="center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5" fontId="94" fillId="0" borderId="22" xfId="5" applyNumberFormat="1" applyFont="1" applyBorder="1" applyAlignment="1">
      <alignment horizontal="center" vertical="center"/>
    </xf>
    <xf numFmtId="196" fontId="94" fillId="8" borderId="22" xfId="15" applyNumberFormat="1" applyFont="1" applyFill="1" applyBorder="1" applyAlignment="1">
      <alignment horizontal="center" vertical="center"/>
    </xf>
    <xf numFmtId="191" fontId="94" fillId="0" borderId="22" xfId="15" applyNumberFormat="1" applyFont="1" applyBorder="1" applyAlignment="1">
      <alignment horizontal="center" vertical="center"/>
    </xf>
    <xf numFmtId="196" fontId="94" fillId="8" borderId="22" xfId="18" applyNumberFormat="1" applyFont="1" applyFill="1" applyBorder="1" applyAlignment="1">
      <alignment horizontal="center" vertical="center"/>
    </xf>
    <xf numFmtId="191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6" fontId="94" fillId="8" borderId="22" xfId="3" applyNumberFormat="1" applyFont="1" applyFill="1" applyBorder="1" applyAlignment="1">
      <alignment horizontal="center" vertical="center"/>
    </xf>
    <xf numFmtId="197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5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6" fontId="94" fillId="8" borderId="22" xfId="4" applyNumberFormat="1" applyFont="1" applyFill="1" applyBorder="1" applyAlignment="1">
      <alignment horizontal="center" vertical="center"/>
    </xf>
    <xf numFmtId="196" fontId="94" fillId="8" borderId="22" xfId="6" applyNumberFormat="1" applyFont="1" applyFill="1" applyBorder="1" applyAlignment="1">
      <alignment horizontal="center" vertical="center"/>
    </xf>
    <xf numFmtId="197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9" fontId="55" fillId="0" borderId="0" xfId="0" applyNumberFormat="1" applyFont="1"/>
    <xf numFmtId="179" fontId="55" fillId="0" borderId="0" xfId="0" applyNumberFormat="1" applyFont="1" applyAlignment="1">
      <alignment horizontal="right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9" fontId="24" fillId="0" borderId="34" xfId="0" applyNumberFormat="1" applyFont="1" applyBorder="1" applyAlignment="1">
      <alignment vertical="center"/>
    </xf>
    <xf numFmtId="196" fontId="94" fillId="8" borderId="22" xfId="20" applyNumberFormat="1" applyFont="1" applyFill="1" applyBorder="1" applyAlignment="1">
      <alignment horizontal="center" vertical="center"/>
    </xf>
    <xf numFmtId="196" fontId="94" fillId="0" borderId="23" xfId="15" applyNumberFormat="1" applyFont="1" applyBorder="1">
      <alignment vertical="center"/>
    </xf>
    <xf numFmtId="196" fontId="35" fillId="0" borderId="23" xfId="15" applyNumberFormat="1" applyFont="1" applyBorder="1">
      <alignment vertical="center"/>
    </xf>
    <xf numFmtId="196" fontId="94" fillId="0" borderId="29" xfId="15" applyNumberFormat="1" applyFont="1" applyBorder="1">
      <alignment vertical="center"/>
    </xf>
    <xf numFmtId="196" fontId="35" fillId="0" borderId="29" xfId="15" applyNumberFormat="1" applyFont="1" applyBorder="1">
      <alignment vertical="center"/>
    </xf>
    <xf numFmtId="196" fontId="94" fillId="0" borderId="30" xfId="15" applyNumberFormat="1" applyFont="1" applyBorder="1">
      <alignment vertical="center"/>
    </xf>
    <xf numFmtId="196" fontId="35" fillId="0" borderId="30" xfId="15" applyNumberFormat="1" applyFont="1" applyBorder="1">
      <alignment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6" fontId="94" fillId="8" borderId="30" xfId="15" applyNumberFormat="1" applyFont="1" applyFill="1" applyBorder="1" applyAlignment="1">
      <alignment horizontal="center" vertical="center"/>
    </xf>
    <xf numFmtId="191" fontId="94" fillId="0" borderId="30" xfId="15" applyNumberFormat="1" applyFont="1" applyBorder="1" applyAlignment="1">
      <alignment horizontal="center" vertical="center"/>
    </xf>
    <xf numFmtId="196" fontId="94" fillId="8" borderId="30" xfId="18" applyNumberFormat="1" applyFont="1" applyFill="1" applyBorder="1" applyAlignment="1">
      <alignment horizontal="center" vertical="center"/>
    </xf>
    <xf numFmtId="191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6" fontId="94" fillId="8" borderId="30" xfId="3" applyNumberFormat="1" applyFont="1" applyFill="1" applyBorder="1" applyAlignment="1">
      <alignment horizontal="center" vertical="center"/>
    </xf>
    <xf numFmtId="197" fontId="94" fillId="8" borderId="30" xfId="15" applyNumberFormat="1" applyFont="1" applyFill="1" applyBorder="1" applyAlignment="1">
      <alignment horizontal="center" vertical="center"/>
    </xf>
    <xf numFmtId="10" fontId="94" fillId="0" borderId="30" xfId="15" applyNumberFormat="1" applyFont="1" applyBorder="1" applyAlignment="1">
      <alignment horizontal="center" vertical="center"/>
    </xf>
    <xf numFmtId="187" fontId="27" fillId="0" borderId="0" xfId="577" applyNumberFormat="1" applyFont="1" applyAlignment="1">
      <alignment horizontal="center" vertical="center"/>
    </xf>
    <xf numFmtId="0" fontId="45" fillId="0" borderId="60" xfId="11" applyFont="1" applyBorder="1" applyAlignment="1">
      <alignment shrinkToFit="1"/>
    </xf>
    <xf numFmtId="186" fontId="63" fillId="14" borderId="61" xfId="11" applyNumberFormat="1" applyFont="1" applyFill="1" applyBorder="1" applyAlignment="1">
      <alignment shrinkToFit="1"/>
    </xf>
    <xf numFmtId="0" fontId="24" fillId="0" borderId="61" xfId="11" applyFont="1" applyBorder="1" applyAlignment="1">
      <alignment shrinkToFit="1"/>
    </xf>
    <xf numFmtId="0" fontId="24" fillId="0" borderId="43" xfId="11" applyFont="1" applyBorder="1" applyAlignment="1">
      <alignment shrinkToFit="1"/>
    </xf>
    <xf numFmtId="191" fontId="1" fillId="0" borderId="0" xfId="3" applyNumberFormat="1" applyFont="1">
      <alignment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1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81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5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81" fontId="31" fillId="15" borderId="27" xfId="0" applyNumberFormat="1" applyFont="1" applyFill="1" applyBorder="1" applyAlignment="1">
      <alignment horizontal="center" vertical="center"/>
    </xf>
    <xf numFmtId="181" fontId="31" fillId="15" borderId="28" xfId="0" applyNumberFormat="1" applyFont="1" applyFill="1" applyBorder="1" applyAlignment="1">
      <alignment horizontal="center" vertical="center"/>
    </xf>
    <xf numFmtId="181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0" fontId="84" fillId="0" borderId="27" xfId="0" applyFont="1" applyBorder="1" applyAlignment="1">
      <alignment horizontal="left" vertical="center" wrapText="1" shrinkToFit="1"/>
    </xf>
    <xf numFmtId="0" fontId="84" fillId="0" borderId="25" xfId="0" applyFont="1" applyBorder="1" applyAlignment="1">
      <alignment horizontal="left" vertical="center" wrapText="1" shrinkToFit="1"/>
    </xf>
    <xf numFmtId="0" fontId="97" fillId="0" borderId="27" xfId="0" applyFont="1" applyBorder="1" applyAlignment="1">
      <alignment horizontal="left" vertical="top" wrapText="1" shrinkToFit="1"/>
    </xf>
    <xf numFmtId="0" fontId="97" fillId="0" borderId="25" xfId="0" applyFont="1" applyBorder="1" applyAlignment="1">
      <alignment horizontal="left" vertical="top" wrapText="1" shrinkToFit="1"/>
    </xf>
    <xf numFmtId="0" fontId="52" fillId="0" borderId="27" xfId="0" applyFont="1" applyBorder="1" applyAlignment="1">
      <alignment shrinkToFit="1"/>
    </xf>
    <xf numFmtId="0" fontId="52" fillId="0" borderId="25" xfId="0" applyFont="1" applyBorder="1" applyAlignment="1">
      <alignment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52" fillId="0" borderId="27" xfId="0" applyFont="1" applyBorder="1" applyAlignment="1">
      <alignment horizontal="left" vertical="top" wrapText="1" shrinkToFit="1"/>
    </xf>
    <xf numFmtId="0" fontId="52" fillId="0" borderId="25" xfId="0" applyFont="1" applyBorder="1" applyAlignment="1">
      <alignment horizontal="left" vertical="top" wrapText="1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7" xfId="0" applyFont="1" applyBorder="1" applyAlignment="1">
      <alignment horizontal="center" vertical="center" wrapText="1" shrinkToFit="1"/>
    </xf>
    <xf numFmtId="0" fontId="52" fillId="0" borderId="25" xfId="0" applyFont="1" applyBorder="1" applyAlignment="1">
      <alignment horizontal="center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44" fillId="0" borderId="28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0" fillId="0" borderId="27" xfId="0" applyFont="1" applyBorder="1" applyAlignment="1">
      <alignment shrinkToFit="1"/>
    </xf>
    <xf numFmtId="0" fontId="20" fillId="0" borderId="25" xfId="0" applyFont="1" applyBorder="1" applyAlignment="1">
      <alignment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shrinkToFit="1"/>
    </xf>
    <xf numFmtId="0" fontId="44" fillId="0" borderId="32" xfId="0" applyFont="1" applyBorder="1" applyAlignment="1">
      <alignment horizontal="center" shrinkToFit="1"/>
    </xf>
    <xf numFmtId="0" fontId="44" fillId="0" borderId="35" xfId="0" applyFont="1" applyBorder="1" applyAlignment="1">
      <alignment horizontal="center" shrinkToFit="1"/>
    </xf>
    <xf numFmtId="0" fontId="44" fillId="0" borderId="36" xfId="0" applyFont="1" applyBorder="1" applyAlignment="1">
      <alignment horizontal="center" shrinkToFit="1"/>
    </xf>
    <xf numFmtId="0" fontId="52" fillId="0" borderId="32" xfId="0" applyFont="1" applyBorder="1" applyAlignment="1">
      <alignment horizontal="center" shrinkToFit="1"/>
    </xf>
    <xf numFmtId="0" fontId="52" fillId="0" borderId="35" xfId="0" applyFont="1" applyBorder="1" applyAlignment="1">
      <alignment horizontal="center" shrinkToFit="1"/>
    </xf>
    <xf numFmtId="0" fontId="52" fillId="0" borderId="36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2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12" fillId="19" borderId="61" xfId="11" applyFont="1" applyFill="1" applyBorder="1" applyAlignment="1">
      <alignment horizontal="center" vertical="center" shrinkToFit="1"/>
    </xf>
    <xf numFmtId="0" fontId="12" fillId="19" borderId="62" xfId="11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8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" xfId="577" builtinId="5"/>
    <cellStyle name="百分比 2" xfId="8" xr:uid="{00000000-0005-0000-0000-000012020000}"/>
    <cellStyle name="百分比 2 2" xfId="10" xr:uid="{00000000-0005-0000-0000-000013020000}"/>
    <cellStyle name="百分比 2 2 2" xfId="20" xr:uid="{00000000-0005-0000-0000-000014020000}"/>
    <cellStyle name="百分比 2 2 2 2" xfId="540" xr:uid="{00000000-0005-0000-0000-000015020000}"/>
    <cellStyle name="百分比 2 2 3" xfId="539" xr:uid="{00000000-0005-0000-0000-000016020000}"/>
    <cellStyle name="百分比 2 3" xfId="541" xr:uid="{00000000-0005-0000-0000-000017020000}"/>
    <cellStyle name="百分比 2 4" xfId="542" xr:uid="{00000000-0005-0000-0000-000018020000}"/>
    <cellStyle name="百分比 2 5" xfId="24" xr:uid="{00000000-0005-0000-0000-000019020000}"/>
    <cellStyle name="百分比 3" xfId="3" xr:uid="{00000000-0005-0000-0000-00001A020000}"/>
    <cellStyle name="百分比 3 2" xfId="544" xr:uid="{00000000-0005-0000-0000-00001B020000}"/>
    <cellStyle name="百分比 3 3" xfId="545" xr:uid="{00000000-0005-0000-0000-00001C020000}"/>
    <cellStyle name="百分比 3 4" xfId="543" xr:uid="{00000000-0005-0000-0000-00001D020000}"/>
    <cellStyle name="百分比 4" xfId="13" xr:uid="{00000000-0005-0000-0000-00001E020000}"/>
    <cellStyle name="百分比 4 2" xfId="547" xr:uid="{00000000-0005-0000-0000-00001F020000}"/>
    <cellStyle name="百分比 4 2 2" xfId="548" xr:uid="{00000000-0005-0000-0000-000020020000}"/>
    <cellStyle name="百分比 4 2 2 2" xfId="549" xr:uid="{00000000-0005-0000-0000-000021020000}"/>
    <cellStyle name="百分比 4 2 3" xfId="550" xr:uid="{00000000-0005-0000-0000-000022020000}"/>
    <cellStyle name="百分比 4 3" xfId="551" xr:uid="{00000000-0005-0000-0000-000023020000}"/>
    <cellStyle name="百分比 4 3 2" xfId="552" xr:uid="{00000000-0005-0000-0000-000024020000}"/>
    <cellStyle name="百分比 4 3 2 2" xfId="553" xr:uid="{00000000-0005-0000-0000-000025020000}"/>
    <cellStyle name="百分比 4 3 2 2 2" xfId="554" xr:uid="{00000000-0005-0000-0000-000026020000}"/>
    <cellStyle name="百分比 4 3 2 2 2 2" xfId="555" xr:uid="{00000000-0005-0000-0000-000027020000}"/>
    <cellStyle name="百分比 4 3 2 2 2 2 2" xfId="556" xr:uid="{00000000-0005-0000-0000-000028020000}"/>
    <cellStyle name="百分比 4 4" xfId="557" xr:uid="{00000000-0005-0000-0000-000029020000}"/>
    <cellStyle name="百分比 4 5" xfId="546" xr:uid="{00000000-0005-0000-0000-00002A020000}"/>
    <cellStyle name="百分比 5" xfId="558" xr:uid="{00000000-0005-0000-0000-00002B020000}"/>
    <cellStyle name="百分比 5 2" xfId="559" xr:uid="{00000000-0005-0000-0000-00002C020000}"/>
    <cellStyle name="百分比 5 3" xfId="560" xr:uid="{00000000-0005-0000-0000-00002D020000}"/>
    <cellStyle name="百分比 6" xfId="561" xr:uid="{00000000-0005-0000-0000-00002E020000}"/>
    <cellStyle name="百分比 7" xfId="22" xr:uid="{00000000-0005-0000-0000-00002F020000}"/>
    <cellStyle name="貨幣 2" xfId="562" xr:uid="{00000000-0005-0000-0000-000030020000}"/>
    <cellStyle name="貨幣[0]_ AUDIT" xfId="465" xr:uid="{00000000-0005-0000-0000-000031020000}"/>
    <cellStyle name="超連結 2" xfId="466" xr:uid="{00000000-0005-0000-0000-000032020000}"/>
    <cellStyle name="標準 2_關所SOP" xfId="563" xr:uid="{00000000-0005-0000-0000-000033020000}"/>
    <cellStyle name="樣式 1" xfId="467" xr:uid="{00000000-0005-0000-0000-000034020000}"/>
    <cellStyle name="樣式 2" xfId="468" xr:uid="{00000000-0005-0000-0000-000035020000}"/>
    <cellStyle name="壞_1001024-晉欣重要管制流程 (3)" xfId="564" xr:uid="{00000000-0005-0000-0000-000036020000}"/>
    <cellStyle name="壞_Sheet1" xfId="565" xr:uid="{00000000-0005-0000-0000-000037020000}"/>
    <cellStyle name="壞_工作日報表---" xfId="566" xr:uid="{00000000-0005-0000-0000-000038020000}"/>
    <cellStyle name="壞_晉欣重要管制流程-油炸作業" xfId="567" xr:uid="{00000000-0005-0000-0000-000039020000}"/>
    <cellStyle name="壞_晉欣重要管制流程-原物料驗收" xfId="568" xr:uid="{00000000-0005-0000-0000-00003A020000}"/>
    <cellStyle name="壞_晉欣重要管制流程-烤箱作業" xfId="569" xr:uid="{00000000-0005-0000-0000-00003B020000}"/>
    <cellStyle name="壞_晉欣重要管制流程-理貨作業" xfId="570" xr:uid="{00000000-0005-0000-0000-00003C020000}"/>
    <cellStyle name="壞_晉欣重要管制流程-煮麵作業" xfId="571" xr:uid="{00000000-0005-0000-0000-00003D020000}"/>
    <cellStyle name="壞_晉欣重要管制流程-飯糰機操作&amp;丼飯作業&amp;三明治&amp;標籤&amp;炊飯&amp;美生菜" xfId="572" xr:uid="{00000000-0005-0000-0000-00003E020000}"/>
    <cellStyle name="壞_晉欣重要管制流程-準備室作業" xfId="573" xr:uid="{00000000-0005-0000-0000-00003F020000}"/>
    <cellStyle name="壞_晉欣重要管制流程-補料作業" xfId="574" xr:uid="{00000000-0005-0000-0000-000040020000}"/>
    <cellStyle name="壞_配料相關一、二--------" xfId="575" xr:uid="{00000000-0005-0000-0000-000041020000}"/>
  </cellStyles>
  <dxfs count="6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04-1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7">
          <cell r="Q27">
            <v>1486.9090909090919</v>
          </cell>
          <cell r="R27">
            <v>114.37762237762246</v>
          </cell>
        </row>
        <row r="28">
          <cell r="P28">
            <v>13</v>
          </cell>
          <cell r="Q28">
            <v>1304.0000000000014</v>
          </cell>
          <cell r="R28">
            <v>100.30769230769241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422" t="s">
        <v>53</v>
      </c>
      <c r="D21" s="405"/>
      <c r="E21" s="398"/>
      <c r="F21" s="49" t="s">
        <v>54</v>
      </c>
      <c r="G21" s="49" t="s">
        <v>55</v>
      </c>
      <c r="H21" s="49" t="s">
        <v>56</v>
      </c>
      <c r="I21" s="8" t="s">
        <v>57</v>
      </c>
      <c r="J21" s="414" t="s">
        <v>58</v>
      </c>
      <c r="K21" s="398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97" t="s">
        <v>60</v>
      </c>
      <c r="D22" s="405"/>
      <c r="E22" s="398"/>
      <c r="F22" s="4">
        <v>3</v>
      </c>
      <c r="G22" s="4">
        <v>3000</v>
      </c>
      <c r="H22" s="4">
        <v>1000</v>
      </c>
      <c r="I22" s="4">
        <v>10</v>
      </c>
      <c r="J22" s="404" t="s">
        <v>61</v>
      </c>
      <c r="K22" s="398"/>
      <c r="M22" s="52" t="s">
        <v>26</v>
      </c>
      <c r="N22" s="57" t="s">
        <v>52</v>
      </c>
      <c r="O22" s="410" t="s">
        <v>53</v>
      </c>
      <c r="P22" s="405"/>
      <c r="Q22" s="398"/>
      <c r="R22" s="416" t="s">
        <v>62</v>
      </c>
      <c r="S22" s="405"/>
      <c r="T22" s="398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14" t="s">
        <v>58</v>
      </c>
      <c r="AA22" s="398"/>
    </row>
    <row r="23" spans="1:27" ht="15.75" customHeight="1">
      <c r="A23" s="23"/>
      <c r="B23" s="6">
        <v>2</v>
      </c>
      <c r="C23" s="419"/>
      <c r="D23" s="405"/>
      <c r="E23" s="398"/>
      <c r="F23" s="4"/>
      <c r="G23" s="4"/>
      <c r="H23" s="4"/>
      <c r="I23" s="4"/>
      <c r="J23" s="419"/>
      <c r="K23" s="398"/>
      <c r="M23" s="56" t="s">
        <v>48</v>
      </c>
      <c r="N23" s="24">
        <v>1</v>
      </c>
      <c r="O23" s="404" t="s">
        <v>65</v>
      </c>
      <c r="P23" s="405"/>
      <c r="Q23" s="398"/>
      <c r="R23" s="404" t="s">
        <v>66</v>
      </c>
      <c r="S23" s="405"/>
      <c r="T23" s="398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04" t="s">
        <v>67</v>
      </c>
      <c r="AA23" s="398"/>
    </row>
    <row r="24" spans="1:27" ht="15.75" customHeight="1">
      <c r="A24" s="23"/>
      <c r="B24" s="6">
        <v>3</v>
      </c>
      <c r="C24" s="419"/>
      <c r="D24" s="405"/>
      <c r="E24" s="398"/>
      <c r="F24" s="4"/>
      <c r="G24" s="4"/>
      <c r="H24" s="4"/>
      <c r="I24" s="4"/>
      <c r="J24" s="419"/>
      <c r="K24" s="398"/>
      <c r="M24" s="25"/>
      <c r="N24" s="24">
        <v>2</v>
      </c>
      <c r="O24" s="397"/>
      <c r="P24" s="405"/>
      <c r="Q24" s="398"/>
      <c r="R24" s="397"/>
      <c r="S24" s="405"/>
      <c r="T24" s="398"/>
      <c r="U24" s="4"/>
      <c r="V24" s="14"/>
      <c r="W24" s="4"/>
      <c r="X24" s="16">
        <f>W24*U24</f>
        <v>0</v>
      </c>
      <c r="Y24" s="4"/>
      <c r="Z24" s="397"/>
      <c r="AA24" s="398"/>
    </row>
    <row r="25" spans="1:27" ht="15.75" customHeight="1">
      <c r="A25" s="23"/>
      <c r="B25" s="6">
        <v>4</v>
      </c>
      <c r="C25" s="419"/>
      <c r="D25" s="405"/>
      <c r="E25" s="398"/>
      <c r="F25" s="4"/>
      <c r="G25" s="4"/>
      <c r="H25" s="4"/>
      <c r="I25" s="4"/>
      <c r="J25" s="419"/>
      <c r="K25" s="398"/>
      <c r="M25" s="25"/>
      <c r="N25" s="24">
        <v>3</v>
      </c>
      <c r="O25" s="397"/>
      <c r="P25" s="405"/>
      <c r="Q25" s="398"/>
      <c r="R25" s="397"/>
      <c r="S25" s="405"/>
      <c r="T25" s="398"/>
      <c r="U25" s="4"/>
      <c r="V25" s="14"/>
      <c r="W25" s="4"/>
      <c r="X25" s="16">
        <f>W25*U25</f>
        <v>0</v>
      </c>
      <c r="Y25" s="4"/>
      <c r="Z25" s="397"/>
      <c r="AA25" s="398"/>
    </row>
    <row r="26" spans="1:27" ht="15.75" customHeight="1">
      <c r="A26" s="23"/>
      <c r="B26" s="26">
        <v>5</v>
      </c>
      <c r="C26" s="423"/>
      <c r="D26" s="406"/>
      <c r="E26" s="400"/>
      <c r="F26" s="27"/>
      <c r="G26" s="27"/>
      <c r="H26" s="27"/>
      <c r="I26" s="27"/>
      <c r="J26" s="423"/>
      <c r="K26" s="400"/>
      <c r="M26" s="25"/>
      <c r="N26" s="24">
        <v>4</v>
      </c>
      <c r="O26" s="397"/>
      <c r="P26" s="405"/>
      <c r="Q26" s="398"/>
      <c r="R26" s="397"/>
      <c r="S26" s="405"/>
      <c r="T26" s="398"/>
      <c r="U26" s="4"/>
      <c r="V26" s="14"/>
      <c r="W26" s="4"/>
      <c r="X26" s="16">
        <f>W26*U26</f>
        <v>0</v>
      </c>
      <c r="Y26" s="4"/>
      <c r="Z26" s="397"/>
      <c r="AA26" s="398"/>
    </row>
    <row r="27" spans="1:27" ht="15.75" customHeight="1">
      <c r="A27" s="23"/>
      <c r="B27" s="69" t="s">
        <v>68</v>
      </c>
      <c r="C27" s="407" t="s">
        <v>69</v>
      </c>
      <c r="D27" s="408"/>
      <c r="E27" s="409"/>
      <c r="F27" s="28">
        <v>4</v>
      </c>
      <c r="G27" s="28">
        <v>2800</v>
      </c>
      <c r="H27" s="28">
        <v>700</v>
      </c>
      <c r="I27" s="28" t="s">
        <v>70</v>
      </c>
      <c r="J27" s="407" t="s">
        <v>71</v>
      </c>
      <c r="K27" s="409"/>
      <c r="M27" s="25"/>
      <c r="N27" s="29">
        <v>5</v>
      </c>
      <c r="O27" s="399"/>
      <c r="P27" s="406"/>
      <c r="Q27" s="400"/>
      <c r="R27" s="399"/>
      <c r="S27" s="406"/>
      <c r="T27" s="400"/>
      <c r="U27" s="27"/>
      <c r="V27" s="30"/>
      <c r="W27" s="27"/>
      <c r="X27" s="31">
        <f>W27*U27</f>
        <v>0</v>
      </c>
      <c r="Y27" s="4"/>
      <c r="Z27" s="399"/>
      <c r="AA27" s="400"/>
    </row>
    <row r="28" spans="1:27" ht="15.75" customHeight="1">
      <c r="A28" s="23"/>
      <c r="B28" s="70" t="s">
        <v>72</v>
      </c>
      <c r="C28" s="419"/>
      <c r="D28" s="405"/>
      <c r="E28" s="398"/>
      <c r="F28" s="4"/>
      <c r="G28" s="4"/>
      <c r="H28" s="4"/>
      <c r="I28" s="4"/>
      <c r="J28" s="419"/>
      <c r="K28" s="398"/>
      <c r="M28" s="32"/>
      <c r="N28" s="55"/>
      <c r="O28" s="401"/>
      <c r="P28" s="405"/>
      <c r="Q28" s="405"/>
      <c r="R28" s="401"/>
      <c r="S28" s="405"/>
      <c r="T28" s="405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401"/>
      <c r="AA28" s="398"/>
    </row>
    <row r="29" spans="1:27" ht="15.75" customHeight="1">
      <c r="A29" s="23"/>
      <c r="B29" s="70" t="s">
        <v>75</v>
      </c>
      <c r="C29" s="419"/>
      <c r="D29" s="405"/>
      <c r="E29" s="398"/>
      <c r="F29" s="4"/>
      <c r="G29" s="4"/>
      <c r="H29" s="4"/>
      <c r="I29" s="4"/>
      <c r="J29" s="419"/>
      <c r="K29" s="398"/>
      <c r="M29" s="56" t="s">
        <v>49</v>
      </c>
      <c r="N29" s="24">
        <v>1</v>
      </c>
      <c r="O29" s="420" t="s">
        <v>76</v>
      </c>
      <c r="P29" s="421"/>
      <c r="Q29" s="403"/>
      <c r="R29" s="402" t="s">
        <v>77</v>
      </c>
      <c r="S29" s="421"/>
      <c r="T29" s="40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02" t="s">
        <v>78</v>
      </c>
      <c r="AA29" s="403"/>
    </row>
    <row r="30" spans="1:27" ht="15.75" customHeight="1">
      <c r="A30" s="23"/>
      <c r="B30" s="70" t="s">
        <v>79</v>
      </c>
      <c r="C30" s="419"/>
      <c r="D30" s="405"/>
      <c r="E30" s="398"/>
      <c r="F30" s="4"/>
      <c r="G30" s="4"/>
      <c r="H30" s="4"/>
      <c r="I30" s="4"/>
      <c r="J30" s="419"/>
      <c r="K30" s="398"/>
      <c r="M30" s="25"/>
      <c r="N30" s="24">
        <v>2</v>
      </c>
      <c r="O30" s="397"/>
      <c r="P30" s="405"/>
      <c r="Q30" s="398"/>
      <c r="R30" s="397"/>
      <c r="S30" s="405"/>
      <c r="T30" s="398"/>
      <c r="U30" s="4"/>
      <c r="V30" s="14"/>
      <c r="W30" s="4"/>
      <c r="X30" s="16">
        <f>W30*U30</f>
        <v>0</v>
      </c>
      <c r="Y30" s="4"/>
      <c r="Z30" s="397"/>
      <c r="AA30" s="398"/>
    </row>
    <row r="31" spans="1:27" ht="15.75" customHeight="1">
      <c r="A31" s="20"/>
      <c r="B31" s="70" t="s">
        <v>80</v>
      </c>
      <c r="C31" s="419"/>
      <c r="D31" s="405"/>
      <c r="E31" s="398"/>
      <c r="F31" s="4"/>
      <c r="G31" s="4"/>
      <c r="H31" s="4"/>
      <c r="I31" s="4"/>
      <c r="J31" s="419"/>
      <c r="K31" s="398"/>
      <c r="M31" s="25"/>
      <c r="N31" s="24">
        <v>3</v>
      </c>
      <c r="O31" s="397"/>
      <c r="P31" s="405"/>
      <c r="Q31" s="398"/>
      <c r="R31" s="397"/>
      <c r="S31" s="405"/>
      <c r="T31" s="398"/>
      <c r="U31" s="4"/>
      <c r="V31" s="14"/>
      <c r="W31" s="4"/>
      <c r="X31" s="16">
        <f>W31*U31</f>
        <v>0</v>
      </c>
      <c r="Y31" s="4"/>
      <c r="Z31" s="397"/>
      <c r="AA31" s="398"/>
    </row>
    <row r="32" spans="1:27" ht="15.75" customHeight="1">
      <c r="A32" s="67"/>
      <c r="M32" s="25"/>
      <c r="N32" s="24">
        <v>4</v>
      </c>
      <c r="O32" s="397"/>
      <c r="P32" s="405"/>
      <c r="Q32" s="398"/>
      <c r="R32" s="397"/>
      <c r="S32" s="405"/>
      <c r="T32" s="398"/>
      <c r="U32" s="4"/>
      <c r="V32" s="14"/>
      <c r="W32" s="4"/>
      <c r="X32" s="16">
        <f>W32*U32</f>
        <v>0</v>
      </c>
      <c r="Y32" s="4"/>
      <c r="Z32" s="397"/>
      <c r="AA32" s="398"/>
    </row>
    <row r="33" spans="1:27" ht="15.75" customHeight="1">
      <c r="A33" s="18"/>
      <c r="B33" s="49" t="s">
        <v>52</v>
      </c>
      <c r="C33" s="422" t="s">
        <v>53</v>
      </c>
      <c r="D33" s="405"/>
      <c r="E33" s="398"/>
      <c r="F33" s="49" t="s">
        <v>54</v>
      </c>
      <c r="G33" s="49" t="s">
        <v>55</v>
      </c>
      <c r="H33" s="49" t="s">
        <v>56</v>
      </c>
      <c r="I33" s="8" t="s">
        <v>57</v>
      </c>
      <c r="J33" s="414" t="s">
        <v>58</v>
      </c>
      <c r="K33" s="398"/>
      <c r="M33" s="25"/>
      <c r="N33" s="29">
        <v>5</v>
      </c>
      <c r="O33" s="397"/>
      <c r="P33" s="405"/>
      <c r="Q33" s="398"/>
      <c r="R33" s="397"/>
      <c r="S33" s="405"/>
      <c r="T33" s="398"/>
      <c r="U33" s="27"/>
      <c r="V33" s="30"/>
      <c r="W33" s="27"/>
      <c r="X33" s="31">
        <f>W33*U33</f>
        <v>0</v>
      </c>
      <c r="Y33" s="4"/>
      <c r="Z33" s="397"/>
      <c r="AA33" s="398"/>
    </row>
    <row r="34" spans="1:27" ht="15.75" customHeight="1">
      <c r="A34" s="52" t="s">
        <v>24</v>
      </c>
      <c r="B34" s="6">
        <v>1</v>
      </c>
      <c r="C34" s="404" t="s">
        <v>81</v>
      </c>
      <c r="D34" s="405"/>
      <c r="E34" s="398"/>
      <c r="F34" s="4">
        <v>3</v>
      </c>
      <c r="G34" s="4">
        <v>2500</v>
      </c>
      <c r="H34" s="4">
        <v>833.33</v>
      </c>
      <c r="I34" s="4">
        <v>20</v>
      </c>
      <c r="J34" s="404" t="s">
        <v>82</v>
      </c>
      <c r="K34" s="398"/>
      <c r="M34" s="68"/>
      <c r="N34" s="45"/>
      <c r="O34" s="401"/>
      <c r="P34" s="405"/>
      <c r="Q34" s="405"/>
      <c r="R34" s="401"/>
      <c r="S34" s="405"/>
      <c r="T34" s="405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401"/>
      <c r="AA34" s="398"/>
    </row>
    <row r="35" spans="1:27" ht="15.75" customHeight="1">
      <c r="A35" s="23"/>
      <c r="B35" s="6">
        <v>2</v>
      </c>
      <c r="C35" s="397"/>
      <c r="D35" s="405"/>
      <c r="E35" s="398"/>
      <c r="F35" s="4"/>
      <c r="G35" s="4"/>
      <c r="H35" s="4"/>
      <c r="I35" s="4"/>
      <c r="J35" s="397"/>
      <c r="K35" s="398"/>
      <c r="M35" s="1"/>
      <c r="N35" s="1"/>
      <c r="O35" s="412"/>
      <c r="P35" s="413"/>
      <c r="Q35" s="413"/>
      <c r="R35" s="412"/>
      <c r="S35" s="413"/>
      <c r="T35" s="413"/>
      <c r="U35" s="1"/>
      <c r="V35" s="38"/>
      <c r="W35" s="1"/>
      <c r="X35" s="1"/>
      <c r="Y35" s="412"/>
      <c r="Z35" s="413"/>
      <c r="AA35" s="413"/>
    </row>
    <row r="36" spans="1:27" ht="15.75" customHeight="1">
      <c r="A36" s="23"/>
      <c r="B36" s="6">
        <v>3</v>
      </c>
      <c r="C36" s="397"/>
      <c r="D36" s="405"/>
      <c r="E36" s="398"/>
      <c r="F36" s="4"/>
      <c r="G36" s="4"/>
      <c r="H36" s="4"/>
      <c r="I36" s="4"/>
      <c r="J36" s="397"/>
      <c r="K36" s="398"/>
      <c r="M36" s="52" t="s">
        <v>30</v>
      </c>
      <c r="N36" s="57" t="s">
        <v>52</v>
      </c>
      <c r="O36" s="410" t="s">
        <v>53</v>
      </c>
      <c r="P36" s="401"/>
      <c r="Q36" s="411"/>
      <c r="R36" s="416" t="s">
        <v>62</v>
      </c>
      <c r="S36" s="417"/>
      <c r="T36" s="418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14" t="s">
        <v>58</v>
      </c>
      <c r="AA36" s="415"/>
    </row>
    <row r="37" spans="1:27" ht="15.75" customHeight="1">
      <c r="A37" s="23"/>
      <c r="B37" s="6">
        <v>4</v>
      </c>
      <c r="C37" s="397"/>
      <c r="D37" s="405"/>
      <c r="E37" s="398"/>
      <c r="F37" s="4"/>
      <c r="G37" s="4"/>
      <c r="H37" s="4"/>
      <c r="I37" s="4"/>
      <c r="J37" s="397"/>
      <c r="K37" s="398"/>
      <c r="M37" s="56" t="s">
        <v>48</v>
      </c>
      <c r="N37" s="24">
        <v>1</v>
      </c>
      <c r="O37" s="404" t="s">
        <v>83</v>
      </c>
      <c r="P37" s="405"/>
      <c r="Q37" s="398"/>
      <c r="R37" s="404" t="s">
        <v>84</v>
      </c>
      <c r="S37" s="405"/>
      <c r="T37" s="398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04" t="s">
        <v>85</v>
      </c>
      <c r="AA37" s="398"/>
    </row>
    <row r="38" spans="1:27" ht="15.75" customHeight="1">
      <c r="A38" s="23"/>
      <c r="B38" s="26">
        <v>5</v>
      </c>
      <c r="C38" s="399"/>
      <c r="D38" s="406"/>
      <c r="E38" s="400"/>
      <c r="F38" s="27"/>
      <c r="G38" s="27"/>
      <c r="H38" s="27"/>
      <c r="I38" s="27"/>
      <c r="J38" s="399"/>
      <c r="K38" s="400"/>
      <c r="M38" s="25"/>
      <c r="N38" s="24">
        <v>2</v>
      </c>
      <c r="O38" s="397"/>
      <c r="P38" s="405"/>
      <c r="Q38" s="398"/>
      <c r="R38" s="397"/>
      <c r="S38" s="405"/>
      <c r="T38" s="398"/>
      <c r="U38" s="4"/>
      <c r="V38" s="14"/>
      <c r="W38" s="4"/>
      <c r="X38" s="16">
        <f>W38*U38</f>
        <v>0</v>
      </c>
      <c r="Y38" s="4"/>
      <c r="Z38" s="397"/>
      <c r="AA38" s="398"/>
    </row>
    <row r="39" spans="1:27" ht="14.25">
      <c r="A39" s="23"/>
      <c r="B39" s="69" t="s">
        <v>68</v>
      </c>
      <c r="C39" s="407" t="s">
        <v>86</v>
      </c>
      <c r="D39" s="408"/>
      <c r="E39" s="409"/>
      <c r="F39" s="28">
        <v>7</v>
      </c>
      <c r="G39" s="28">
        <v>2200</v>
      </c>
      <c r="H39" s="28">
        <v>314.29000000000002</v>
      </c>
      <c r="I39" s="28">
        <v>-15</v>
      </c>
      <c r="J39" s="407" t="s">
        <v>87</v>
      </c>
      <c r="K39" s="409"/>
      <c r="M39" s="25"/>
      <c r="N39" s="24">
        <v>3</v>
      </c>
      <c r="O39" s="397"/>
      <c r="P39" s="405"/>
      <c r="Q39" s="398"/>
      <c r="R39" s="397"/>
      <c r="S39" s="405"/>
      <c r="T39" s="398"/>
      <c r="U39" s="4"/>
      <c r="V39" s="14"/>
      <c r="W39" s="4"/>
      <c r="X39" s="16">
        <f>W39*U39</f>
        <v>0</v>
      </c>
      <c r="Y39" s="4"/>
      <c r="Z39" s="397"/>
      <c r="AA39" s="398"/>
    </row>
    <row r="40" spans="1:27" ht="14.25">
      <c r="A40" s="23"/>
      <c r="B40" s="70" t="s">
        <v>72</v>
      </c>
      <c r="C40" s="397"/>
      <c r="D40" s="405"/>
      <c r="E40" s="398"/>
      <c r="F40" s="4"/>
      <c r="G40" s="4"/>
      <c r="H40" s="4"/>
      <c r="I40" s="4"/>
      <c r="J40" s="397"/>
      <c r="K40" s="398"/>
      <c r="M40" s="25"/>
      <c r="N40" s="24">
        <v>4</v>
      </c>
      <c r="O40" s="397"/>
      <c r="P40" s="405"/>
      <c r="Q40" s="398"/>
      <c r="R40" s="397"/>
      <c r="S40" s="405"/>
      <c r="T40" s="398"/>
      <c r="U40" s="4"/>
      <c r="V40" s="14"/>
      <c r="W40" s="4"/>
      <c r="X40" s="16">
        <f>W40*U40</f>
        <v>0</v>
      </c>
      <c r="Y40" s="4"/>
      <c r="Z40" s="397"/>
      <c r="AA40" s="398"/>
    </row>
    <row r="41" spans="1:27" ht="14.25">
      <c r="A41" s="23"/>
      <c r="B41" s="70" t="s">
        <v>75</v>
      </c>
      <c r="C41" s="397"/>
      <c r="D41" s="405"/>
      <c r="E41" s="398"/>
      <c r="F41" s="4"/>
      <c r="G41" s="4"/>
      <c r="H41" s="4"/>
      <c r="I41" s="4"/>
      <c r="J41" s="397"/>
      <c r="K41" s="398"/>
      <c r="M41" s="25"/>
      <c r="N41" s="29">
        <v>5</v>
      </c>
      <c r="O41" s="399"/>
      <c r="P41" s="406"/>
      <c r="Q41" s="400"/>
      <c r="R41" s="399"/>
      <c r="S41" s="406"/>
      <c r="T41" s="400"/>
      <c r="U41" s="27"/>
      <c r="V41" s="30"/>
      <c r="W41" s="27"/>
      <c r="X41" s="31">
        <f>W41*U41</f>
        <v>0</v>
      </c>
      <c r="Y41" s="4"/>
      <c r="Z41" s="397"/>
      <c r="AA41" s="398"/>
    </row>
    <row r="42" spans="1:27" ht="14.25">
      <c r="A42" s="23"/>
      <c r="B42" s="70" t="s">
        <v>79</v>
      </c>
      <c r="C42" s="397"/>
      <c r="D42" s="405"/>
      <c r="E42" s="398"/>
      <c r="F42" s="4"/>
      <c r="G42" s="4"/>
      <c r="H42" s="4"/>
      <c r="I42" s="4"/>
      <c r="J42" s="397"/>
      <c r="K42" s="398"/>
      <c r="M42" s="32"/>
      <c r="N42" s="54"/>
      <c r="O42" s="401"/>
      <c r="P42" s="405"/>
      <c r="Q42" s="405"/>
      <c r="R42" s="401"/>
      <c r="S42" s="405"/>
      <c r="T42" s="405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401"/>
      <c r="AA42" s="398"/>
    </row>
    <row r="43" spans="1:27" ht="14.25">
      <c r="A43" s="20"/>
      <c r="B43" s="70" t="s">
        <v>80</v>
      </c>
      <c r="C43" s="397"/>
      <c r="D43" s="405"/>
      <c r="E43" s="398"/>
      <c r="F43" s="4"/>
      <c r="G43" s="4"/>
      <c r="H43" s="4"/>
      <c r="I43" s="4"/>
      <c r="J43" s="397"/>
      <c r="K43" s="398"/>
      <c r="M43" s="56" t="s">
        <v>49</v>
      </c>
      <c r="N43" s="24">
        <v>1</v>
      </c>
      <c r="O43" s="404" t="s">
        <v>83</v>
      </c>
      <c r="P43" s="405"/>
      <c r="Q43" s="398"/>
      <c r="R43" s="402" t="s">
        <v>88</v>
      </c>
      <c r="S43" s="421"/>
      <c r="T43" s="40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04" t="s">
        <v>89</v>
      </c>
      <c r="AA43" s="398"/>
    </row>
    <row r="44" spans="1:27" ht="14.25">
      <c r="A44" s="67"/>
      <c r="M44" s="25"/>
      <c r="N44" s="24">
        <v>2</v>
      </c>
      <c r="O44" s="397"/>
      <c r="P44" s="405"/>
      <c r="Q44" s="398"/>
      <c r="R44" s="397"/>
      <c r="S44" s="405"/>
      <c r="T44" s="398"/>
      <c r="U44" s="4"/>
      <c r="V44" s="14"/>
      <c r="W44" s="4"/>
      <c r="X44" s="37">
        <f>W44*U44</f>
        <v>0</v>
      </c>
      <c r="Y44" s="4"/>
      <c r="Z44" s="397"/>
      <c r="AA44" s="398"/>
    </row>
    <row r="45" spans="1:27" ht="14.25">
      <c r="A45" s="18"/>
      <c r="B45" s="49" t="s">
        <v>52</v>
      </c>
      <c r="C45" s="422" t="s">
        <v>53</v>
      </c>
      <c r="D45" s="405"/>
      <c r="E45" s="398"/>
      <c r="F45" s="49" t="s">
        <v>54</v>
      </c>
      <c r="G45" s="49" t="s">
        <v>55</v>
      </c>
      <c r="H45" s="49" t="s">
        <v>56</v>
      </c>
      <c r="I45" s="8" t="s">
        <v>57</v>
      </c>
      <c r="J45" s="414" t="s">
        <v>58</v>
      </c>
      <c r="K45" s="398"/>
      <c r="M45" s="25"/>
      <c r="N45" s="24">
        <v>3</v>
      </c>
      <c r="O45" s="397"/>
      <c r="P45" s="405"/>
      <c r="Q45" s="398"/>
      <c r="R45" s="397"/>
      <c r="S45" s="405"/>
      <c r="T45" s="398"/>
      <c r="U45" s="4"/>
      <c r="V45" s="14"/>
      <c r="W45" s="4"/>
      <c r="X45" s="37">
        <f>W45*U45</f>
        <v>0</v>
      </c>
      <c r="Y45" s="4"/>
      <c r="Z45" s="397"/>
      <c r="AA45" s="398"/>
    </row>
    <row r="46" spans="1:27" ht="14.25">
      <c r="A46" s="52" t="s">
        <v>28</v>
      </c>
      <c r="B46" s="6">
        <v>1</v>
      </c>
      <c r="C46" s="404" t="s">
        <v>65</v>
      </c>
      <c r="D46" s="405"/>
      <c r="E46" s="398"/>
      <c r="F46" s="4">
        <v>15</v>
      </c>
      <c r="G46" s="4">
        <v>1200</v>
      </c>
      <c r="H46" s="4">
        <v>80</v>
      </c>
      <c r="I46" s="4">
        <v>5</v>
      </c>
      <c r="J46" s="404" t="s">
        <v>90</v>
      </c>
      <c r="K46" s="398"/>
      <c r="M46" s="25"/>
      <c r="N46" s="24">
        <v>4</v>
      </c>
      <c r="O46" s="397"/>
      <c r="P46" s="405"/>
      <c r="Q46" s="398"/>
      <c r="R46" s="397"/>
      <c r="S46" s="405"/>
      <c r="T46" s="398"/>
      <c r="U46" s="4"/>
      <c r="V46" s="14"/>
      <c r="W46" s="4"/>
      <c r="X46" s="37">
        <f>W46*U46</f>
        <v>0</v>
      </c>
      <c r="Y46" s="4"/>
      <c r="Z46" s="397"/>
      <c r="AA46" s="398"/>
    </row>
    <row r="47" spans="1:27" ht="14.25">
      <c r="A47" s="23"/>
      <c r="B47" s="6">
        <v>2</v>
      </c>
      <c r="C47" s="397"/>
      <c r="D47" s="405"/>
      <c r="E47" s="398"/>
      <c r="F47" s="4"/>
      <c r="G47" s="4"/>
      <c r="H47" s="4"/>
      <c r="I47" s="4"/>
      <c r="J47" s="397"/>
      <c r="K47" s="398"/>
      <c r="M47" s="25"/>
      <c r="N47" s="29">
        <v>5</v>
      </c>
      <c r="O47" s="397"/>
      <c r="P47" s="405"/>
      <c r="Q47" s="398"/>
      <c r="R47" s="397"/>
      <c r="S47" s="405"/>
      <c r="T47" s="398"/>
      <c r="U47" s="27"/>
      <c r="V47" s="30"/>
      <c r="W47" s="27"/>
      <c r="X47" s="40">
        <f>W47*U47</f>
        <v>0</v>
      </c>
      <c r="Y47" s="4"/>
      <c r="Z47" s="397"/>
      <c r="AA47" s="398"/>
    </row>
    <row r="48" spans="1:27" ht="14.25">
      <c r="A48" s="23"/>
      <c r="B48" s="6">
        <v>3</v>
      </c>
      <c r="C48" s="397"/>
      <c r="D48" s="405"/>
      <c r="E48" s="398"/>
      <c r="F48" s="4"/>
      <c r="G48" s="4"/>
      <c r="H48" s="4"/>
      <c r="I48" s="4"/>
      <c r="J48" s="397"/>
      <c r="K48" s="398"/>
      <c r="M48" s="68"/>
      <c r="N48" s="45"/>
      <c r="O48" s="401"/>
      <c r="P48" s="405"/>
      <c r="Q48" s="405"/>
      <c r="R48" s="401"/>
      <c r="S48" s="405"/>
      <c r="T48" s="405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401"/>
      <c r="AA48" s="398"/>
    </row>
    <row r="49" spans="1:27" ht="14.25">
      <c r="A49" s="23"/>
      <c r="B49" s="6">
        <v>4</v>
      </c>
      <c r="C49" s="397"/>
      <c r="D49" s="405"/>
      <c r="E49" s="398"/>
      <c r="F49" s="4"/>
      <c r="G49" s="4"/>
      <c r="H49" s="4"/>
      <c r="I49" s="4"/>
      <c r="J49" s="397"/>
      <c r="K49" s="39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99"/>
      <c r="D50" s="406"/>
      <c r="E50" s="400"/>
      <c r="F50" s="27"/>
      <c r="G50" s="27"/>
      <c r="H50" s="27"/>
      <c r="I50" s="27"/>
      <c r="J50" s="399"/>
      <c r="K50" s="400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407" t="s">
        <v>83</v>
      </c>
      <c r="D51" s="408"/>
      <c r="E51" s="409"/>
      <c r="F51" s="28">
        <v>18</v>
      </c>
      <c r="G51" s="28">
        <v>800</v>
      </c>
      <c r="H51" s="28">
        <v>44.44</v>
      </c>
      <c r="I51" s="28">
        <v>-15</v>
      </c>
      <c r="J51" s="407" t="s">
        <v>92</v>
      </c>
      <c r="K51" s="409"/>
      <c r="M51" s="8"/>
      <c r="N51" s="8" t="s">
        <v>93</v>
      </c>
      <c r="O51" s="410" t="s">
        <v>53</v>
      </c>
      <c r="P51" s="401"/>
      <c r="Q51" s="411"/>
      <c r="R51" s="416" t="s">
        <v>62</v>
      </c>
      <c r="S51" s="417"/>
      <c r="T51" s="418"/>
      <c r="U51" s="57" t="s">
        <v>63</v>
      </c>
      <c r="V51" s="39" t="s">
        <v>94</v>
      </c>
      <c r="W51" s="57" t="s">
        <v>95</v>
      </c>
      <c r="X51" s="8" t="s">
        <v>10</v>
      </c>
      <c r="Y51" s="410" t="s">
        <v>96</v>
      </c>
      <c r="Z51" s="401"/>
      <c r="AA51" s="411"/>
    </row>
    <row r="52" spans="1:27" ht="14.25">
      <c r="A52" s="23"/>
      <c r="B52" s="70" t="s">
        <v>72</v>
      </c>
      <c r="C52" s="397"/>
      <c r="D52" s="405"/>
      <c r="E52" s="398"/>
      <c r="F52" s="4"/>
      <c r="G52" s="4"/>
      <c r="H52" s="4"/>
      <c r="I52" s="4"/>
      <c r="J52" s="397"/>
      <c r="K52" s="398"/>
      <c r="M52" s="56" t="s">
        <v>48</v>
      </c>
      <c r="N52" s="24">
        <v>1</v>
      </c>
      <c r="O52" s="404" t="s">
        <v>83</v>
      </c>
      <c r="P52" s="405"/>
      <c r="Q52" s="398"/>
      <c r="R52" s="402" t="s">
        <v>88</v>
      </c>
      <c r="S52" s="421"/>
      <c r="T52" s="40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04" t="s">
        <v>97</v>
      </c>
      <c r="Z52" s="405"/>
      <c r="AA52" s="398"/>
    </row>
    <row r="53" spans="1:27" ht="14.25">
      <c r="A53" s="23"/>
      <c r="B53" s="70" t="s">
        <v>75</v>
      </c>
      <c r="C53" s="397"/>
      <c r="D53" s="405"/>
      <c r="E53" s="398"/>
      <c r="F53" s="4"/>
      <c r="G53" s="4"/>
      <c r="H53" s="4"/>
      <c r="I53" s="4"/>
      <c r="J53" s="397"/>
      <c r="K53" s="398"/>
      <c r="M53" s="25"/>
      <c r="N53" s="29">
        <v>2</v>
      </c>
      <c r="O53" s="399"/>
      <c r="P53" s="406"/>
      <c r="Q53" s="400"/>
      <c r="R53" s="399"/>
      <c r="S53" s="406"/>
      <c r="T53" s="400"/>
      <c r="U53" s="27"/>
      <c r="V53" s="30"/>
      <c r="W53" s="30"/>
      <c r="X53" s="41">
        <f>W53-V53</f>
        <v>0</v>
      </c>
      <c r="Y53" s="399"/>
      <c r="Z53" s="406"/>
      <c r="AA53" s="400"/>
    </row>
    <row r="54" spans="1:27" ht="14.25">
      <c r="A54" s="23"/>
      <c r="B54" s="70" t="s">
        <v>79</v>
      </c>
      <c r="C54" s="397"/>
      <c r="D54" s="405"/>
      <c r="E54" s="398"/>
      <c r="F54" s="4"/>
      <c r="G54" s="4"/>
      <c r="H54" s="4"/>
      <c r="I54" s="4"/>
      <c r="J54" s="397"/>
      <c r="K54" s="398"/>
      <c r="M54" s="56" t="s">
        <v>49</v>
      </c>
      <c r="N54" s="42">
        <v>1</v>
      </c>
      <c r="O54" s="407" t="s">
        <v>98</v>
      </c>
      <c r="P54" s="408"/>
      <c r="Q54" s="409"/>
      <c r="R54" s="407" t="s">
        <v>99</v>
      </c>
      <c r="S54" s="408"/>
      <c r="T54" s="40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07" t="s">
        <v>100</v>
      </c>
      <c r="Z54" s="408"/>
      <c r="AA54" s="409"/>
    </row>
    <row r="55" spans="1:27" ht="14.25">
      <c r="A55" s="20"/>
      <c r="B55" s="70" t="s">
        <v>80</v>
      </c>
      <c r="C55" s="397"/>
      <c r="D55" s="405"/>
      <c r="E55" s="398"/>
      <c r="F55" s="4"/>
      <c r="G55" s="4"/>
      <c r="H55" s="4"/>
      <c r="I55" s="4"/>
      <c r="J55" s="397"/>
      <c r="K55" s="398"/>
      <c r="M55" s="22"/>
      <c r="N55" s="24">
        <v>2</v>
      </c>
      <c r="O55" s="397"/>
      <c r="P55" s="405"/>
      <c r="Q55" s="398"/>
      <c r="R55" s="397"/>
      <c r="S55" s="405"/>
      <c r="T55" s="398"/>
      <c r="U55" s="4"/>
      <c r="V55" s="14"/>
      <c r="W55" s="14"/>
      <c r="X55" s="13">
        <f>W55-V55</f>
        <v>0</v>
      </c>
      <c r="Y55" s="397"/>
      <c r="Z55" s="405"/>
      <c r="AA55" s="398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24" t="s">
        <v>101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115"/>
    </row>
    <row r="2" spans="1:12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</row>
    <row r="3" spans="1:12" ht="21.6" customHeight="1">
      <c r="A3" s="130" t="s">
        <v>0</v>
      </c>
      <c r="B3" s="131">
        <v>9</v>
      </c>
      <c r="C3" s="130" t="s">
        <v>102</v>
      </c>
      <c r="D3" s="425" t="s">
        <v>103</v>
      </c>
      <c r="E3" s="425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'（１）收支狀況'!H5/1000</f>
        <v>0</v>
      </c>
      <c r="C6" s="271">
        <v>212376.15</v>
      </c>
      <c r="D6" s="133">
        <f t="shared" ref="D6:D11" si="0">B6-C6</f>
        <v>-212376.15</v>
      </c>
      <c r="E6" s="133">
        <f t="shared" ref="E6:E11" si="1">B6</f>
        <v>0</v>
      </c>
      <c r="G6" s="123" t="s">
        <v>106</v>
      </c>
      <c r="H6" s="274">
        <v>266</v>
      </c>
      <c r="I6" s="135">
        <f>'（２）ＫＰＩ達成進度'!H5</f>
        <v>0</v>
      </c>
      <c r="J6" s="277">
        <v>331.32088360675885</v>
      </c>
      <c r="K6" s="135">
        <f t="shared" ref="K6:K11" si="2">I6</f>
        <v>0</v>
      </c>
      <c r="L6" s="117" t="s">
        <v>107</v>
      </c>
    </row>
    <row r="7" spans="1:12" ht="18" customHeight="1">
      <c r="A7" s="123" t="s">
        <v>21</v>
      </c>
      <c r="B7" s="133">
        <f>'（４）訂單數量構成比'!H7</f>
        <v>0</v>
      </c>
      <c r="C7" s="271">
        <v>6558055</v>
      </c>
      <c r="D7" s="133">
        <f t="shared" si="0"/>
        <v>-6558055</v>
      </c>
      <c r="E7" s="133">
        <f t="shared" si="1"/>
        <v>0</v>
      </c>
      <c r="G7" s="123" t="s">
        <v>108</v>
      </c>
      <c r="H7" s="237">
        <v>0.8</v>
      </c>
      <c r="I7" s="134">
        <f>'（２）ＫＰＩ達成進度'!K5</f>
        <v>0</v>
      </c>
      <c r="J7" s="272">
        <v>0.90524831586546117</v>
      </c>
      <c r="K7" s="134">
        <f t="shared" si="2"/>
        <v>0</v>
      </c>
      <c r="L7" s="117" t="s">
        <v>23</v>
      </c>
    </row>
    <row r="8" spans="1:12" ht="18" customHeight="1">
      <c r="A8" s="123" t="s">
        <v>25</v>
      </c>
      <c r="B8" s="133">
        <f>'（１）收支狀況'!N5/1000</f>
        <v>0</v>
      </c>
      <c r="C8" s="271">
        <v>139088.163</v>
      </c>
      <c r="D8" s="133">
        <f>B8-C8</f>
        <v>-139088.163</v>
      </c>
      <c r="E8" s="133">
        <f t="shared" si="1"/>
        <v>0</v>
      </c>
      <c r="G8" s="123" t="s">
        <v>109</v>
      </c>
      <c r="H8" s="232">
        <v>2.5000000000000001E-3</v>
      </c>
      <c r="I8" s="232">
        <f>'（２）ＫＰＩ達成進度'!N5</f>
        <v>0</v>
      </c>
      <c r="J8" s="278">
        <v>2.4946244239327812E-3</v>
      </c>
      <c r="K8" s="232">
        <f t="shared" si="2"/>
        <v>0</v>
      </c>
      <c r="L8" s="117" t="s">
        <v>27</v>
      </c>
    </row>
    <row r="9" spans="1:12" ht="18" customHeight="1">
      <c r="A9" s="123" t="s">
        <v>29</v>
      </c>
      <c r="B9" s="134">
        <f>'（１）收支狀況'!Q5</f>
        <v>0</v>
      </c>
      <c r="C9" s="272">
        <v>0.6549142311883891</v>
      </c>
      <c r="D9" s="134">
        <f t="shared" si="0"/>
        <v>-0.6549142311883891</v>
      </c>
      <c r="E9" s="134">
        <f t="shared" si="1"/>
        <v>0</v>
      </c>
      <c r="G9" s="123" t="s">
        <v>110</v>
      </c>
      <c r="H9" s="232">
        <v>2.5999999999999999E-3</v>
      </c>
      <c r="I9" s="232">
        <f>'（２）ＫＰＩ達成進度'!Q5</f>
        <v>0</v>
      </c>
      <c r="J9" s="278">
        <v>2.3789152192140828E-3</v>
      </c>
      <c r="K9" s="232">
        <f t="shared" si="2"/>
        <v>0</v>
      </c>
      <c r="L9" s="117" t="s">
        <v>31</v>
      </c>
    </row>
    <row r="10" spans="1:12" ht="18" customHeight="1">
      <c r="A10" s="123" t="s">
        <v>33</v>
      </c>
      <c r="B10" s="133">
        <f>'（１）收支狀況'!T5/1000</f>
        <v>0</v>
      </c>
      <c r="C10" s="271">
        <v>30146.176500666668</v>
      </c>
      <c r="D10" s="133">
        <f t="shared" si="0"/>
        <v>-30146.176500666668</v>
      </c>
      <c r="E10" s="133">
        <f t="shared" si="1"/>
        <v>0</v>
      </c>
      <c r="G10" s="123" t="s">
        <v>111</v>
      </c>
      <c r="H10" s="234">
        <v>0.8</v>
      </c>
      <c r="I10" s="234">
        <f>'（２）ＫＰＩ達成進度'!T5</f>
        <v>0</v>
      </c>
      <c r="J10" s="279">
        <v>0.91666666666666707</v>
      </c>
      <c r="K10" s="234">
        <f t="shared" si="2"/>
        <v>0</v>
      </c>
      <c r="L10" s="117" t="s">
        <v>35</v>
      </c>
    </row>
    <row r="11" spans="1:12" ht="18" customHeight="1">
      <c r="A11" s="123" t="s">
        <v>39</v>
      </c>
      <c r="B11" s="134">
        <f>'（１）收支狀況'!W5</f>
        <v>0</v>
      </c>
      <c r="C11" s="272">
        <v>0.14194709010718326</v>
      </c>
      <c r="D11" s="134">
        <f t="shared" si="0"/>
        <v>-0.14194709010718326</v>
      </c>
      <c r="E11" s="134">
        <f t="shared" si="1"/>
        <v>0</v>
      </c>
      <c r="G11" s="123" t="s">
        <v>112</v>
      </c>
      <c r="H11" s="234">
        <v>1</v>
      </c>
      <c r="I11" s="134">
        <f>'（２）ＫＰＩ達成進度'!W5</f>
        <v>0</v>
      </c>
      <c r="J11" s="272">
        <v>0.67912903225806442</v>
      </c>
      <c r="K11" s="134">
        <f t="shared" si="2"/>
        <v>0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20292.466524595442</v>
      </c>
      <c r="C15" s="134" t="str">
        <f>IFERROR(B15/$B$6,"")</f>
        <v/>
      </c>
      <c r="D15" s="272">
        <v>0.19048549479871965</v>
      </c>
      <c r="E15" s="134" t="str">
        <f>IFERROR(C15-D15,"")</f>
        <v/>
      </c>
      <c r="G15" s="123" t="s">
        <v>114</v>
      </c>
      <c r="H15" s="133">
        <f>'（４）訂單數量構成比'!M46</f>
        <v>1067935</v>
      </c>
      <c r="I15" s="134" t="str">
        <f t="shared" ref="I15:I23" si="3">IFERROR(H15/$B$7,"")</f>
        <v/>
      </c>
      <c r="J15" s="272">
        <v>0.3319345446172684</v>
      </c>
      <c r="K15" s="134" t="str">
        <f t="shared" ref="K15:K23" si="4">IFERROR(I15-J15,"")</f>
        <v/>
      </c>
      <c r="L15" s="115"/>
    </row>
    <row r="16" spans="1:12" ht="18" customHeight="1">
      <c r="A16" s="123" t="s">
        <v>115</v>
      </c>
      <c r="B16" s="133">
        <f>'（３）業績構成比'!S46/1000</f>
        <v>4316.2709840110829</v>
      </c>
      <c r="C16" s="134" t="str">
        <f t="shared" ref="C16:C23" si="5">IFERROR(B16/$B$6,"")</f>
        <v/>
      </c>
      <c r="D16" s="272">
        <v>4.0020750239819727E-2</v>
      </c>
      <c r="E16" s="134" t="str">
        <f t="shared" ref="E16:E23" si="6">IFERROR(C16-D16,"")</f>
        <v/>
      </c>
      <c r="G16" s="123" t="s">
        <v>115</v>
      </c>
      <c r="H16" s="133">
        <f>'（４）訂單數量構成比'!S47</f>
        <v>186443</v>
      </c>
      <c r="I16" s="134" t="str">
        <f t="shared" si="3"/>
        <v/>
      </c>
      <c r="J16" s="272">
        <v>5.0408543386720607E-2</v>
      </c>
      <c r="K16" s="134" t="str">
        <f t="shared" si="4"/>
        <v/>
      </c>
      <c r="L16" s="115"/>
    </row>
    <row r="17" spans="1:18" ht="18" customHeight="1">
      <c r="A17" s="123" t="s">
        <v>116</v>
      </c>
      <c r="B17" s="133">
        <f>'（３）業績構成比'!U46/1000</f>
        <v>8063.579320845748</v>
      </c>
      <c r="C17" s="134" t="str">
        <f t="shared" si="5"/>
        <v/>
      </c>
      <c r="D17" s="272">
        <v>9.8025494354577192E-2</v>
      </c>
      <c r="E17" s="134" t="str">
        <f t="shared" si="6"/>
        <v/>
      </c>
      <c r="G17" s="123" t="s">
        <v>117</v>
      </c>
      <c r="H17" s="133">
        <f>'（４）訂單數量構成比'!U46</f>
        <v>241892</v>
      </c>
      <c r="I17" s="134" t="str">
        <f t="shared" si="3"/>
        <v/>
      </c>
      <c r="J17" s="272">
        <v>9.7549349616616515E-2</v>
      </c>
      <c r="K17" s="134" t="str">
        <f t="shared" si="4"/>
        <v/>
      </c>
      <c r="L17" s="115"/>
    </row>
    <row r="18" spans="1:18" ht="18" customHeight="1">
      <c r="A18" s="123" t="s">
        <v>118</v>
      </c>
      <c r="B18" s="133">
        <f>'（３）業績構成比'!W46/1000</f>
        <v>2417.9570997886008</v>
      </c>
      <c r="C18" s="134" t="str">
        <f t="shared" si="5"/>
        <v/>
      </c>
      <c r="D18" s="272">
        <v>2.3157870783418926E-3</v>
      </c>
      <c r="E18" s="134" t="str">
        <f t="shared" si="6"/>
        <v/>
      </c>
      <c r="G18" s="123" t="s">
        <v>119</v>
      </c>
      <c r="H18" s="133">
        <f>'（４）訂單數量構成比'!W46</f>
        <v>76820</v>
      </c>
      <c r="I18" s="134" t="str">
        <f t="shared" si="3"/>
        <v/>
      </c>
      <c r="J18" s="272">
        <v>2.7738407195426083E-3</v>
      </c>
      <c r="K18" s="134" t="str">
        <f t="shared" si="4"/>
        <v/>
      </c>
      <c r="L18" s="115"/>
    </row>
    <row r="19" spans="1:18" ht="18" customHeight="1">
      <c r="A19" s="123" t="s">
        <v>120</v>
      </c>
      <c r="B19" s="133">
        <f>'（３）業績構成比'!AC46/1000</f>
        <v>25211.488315843755</v>
      </c>
      <c r="C19" s="134" t="str">
        <f t="shared" si="5"/>
        <v/>
      </c>
      <c r="D19" s="272">
        <v>0.26645165188277636</v>
      </c>
      <c r="E19" s="134" t="str">
        <f t="shared" si="6"/>
        <v/>
      </c>
      <c r="G19" s="123" t="s">
        <v>121</v>
      </c>
      <c r="H19" s="133">
        <f>'（４）訂單數量構成比'!AC46</f>
        <v>630660</v>
      </c>
      <c r="I19" s="134" t="str">
        <f t="shared" si="3"/>
        <v/>
      </c>
      <c r="J19" s="272">
        <v>0.2096606387107153</v>
      </c>
      <c r="K19" s="134" t="str">
        <f t="shared" si="4"/>
        <v/>
      </c>
      <c r="L19" s="115"/>
    </row>
    <row r="20" spans="1:18" ht="18" customHeight="1">
      <c r="A20" s="123" t="s">
        <v>122</v>
      </c>
      <c r="B20" s="133">
        <f>'（３）業績構成比'!AE46/1000</f>
        <v>15228.706128488871</v>
      </c>
      <c r="C20" s="134" t="str">
        <f t="shared" si="5"/>
        <v/>
      </c>
      <c r="D20" s="272">
        <v>0.11880394760612771</v>
      </c>
      <c r="E20" s="134" t="str">
        <f t="shared" si="6"/>
        <v/>
      </c>
      <c r="G20" s="123" t="s">
        <v>123</v>
      </c>
      <c r="H20" s="133">
        <f>'（４）訂單數量構成比'!AE46</f>
        <v>271923</v>
      </c>
      <c r="I20" s="134" t="str">
        <f t="shared" si="3"/>
        <v/>
      </c>
      <c r="J20" s="272">
        <v>6.9473342324820386E-2</v>
      </c>
      <c r="K20" s="134" t="str">
        <f t="shared" si="4"/>
        <v/>
      </c>
      <c r="L20" s="115"/>
    </row>
    <row r="21" spans="1:18" ht="18" customHeight="1">
      <c r="A21" s="123" t="s">
        <v>124</v>
      </c>
      <c r="B21" s="133">
        <f>'（３）業績構成比'!AG46/1000</f>
        <v>12011.203808465998</v>
      </c>
      <c r="C21" s="134" t="str">
        <f>IFERROR(B21/$B$6,"")</f>
        <v/>
      </c>
      <c r="D21" s="272">
        <v>0.13107603010243102</v>
      </c>
      <c r="E21" s="134" t="str">
        <f>IFERROR(C21-D21,"")</f>
        <v/>
      </c>
      <c r="G21" s="123" t="s">
        <v>125</v>
      </c>
      <c r="H21" s="133">
        <f>'（４）訂單數量構成比'!AG46</f>
        <v>240808</v>
      </c>
      <c r="I21" s="134" t="str">
        <f>IFERROR(H21/$B$7,"")</f>
        <v/>
      </c>
      <c r="J21" s="272">
        <v>8.7948484726035392E-2</v>
      </c>
      <c r="K21" s="134" t="str">
        <f>IFERROR(I21-J21,"")</f>
        <v/>
      </c>
      <c r="L21" s="115"/>
    </row>
    <row r="22" spans="1:18" ht="18" customHeight="1">
      <c r="A22" s="123" t="s">
        <v>126</v>
      </c>
      <c r="B22" s="133">
        <f>'（３）業績構成比'!AI46/1000</f>
        <v>6015.7256636097063</v>
      </c>
      <c r="C22" s="134" t="str">
        <f t="shared" si="5"/>
        <v/>
      </c>
      <c r="D22" s="272">
        <v>9.1535407774179067E-2</v>
      </c>
      <c r="E22" s="134" t="str">
        <f t="shared" si="6"/>
        <v/>
      </c>
      <c r="G22" s="123" t="s">
        <v>127</v>
      </c>
      <c r="H22" s="133">
        <f>'（４）訂單數量構成比'!AI46</f>
        <v>165583</v>
      </c>
      <c r="I22" s="134" t="str">
        <f t="shared" si="3"/>
        <v/>
      </c>
      <c r="J22" s="272">
        <v>7.9981640898101641E-2</v>
      </c>
      <c r="K22" s="134" t="str">
        <f t="shared" si="4"/>
        <v/>
      </c>
      <c r="L22" s="115"/>
    </row>
    <row r="23" spans="1:18" ht="18" customHeight="1">
      <c r="A23" s="123" t="s">
        <v>128</v>
      </c>
      <c r="B23" s="133">
        <f>'（３）業績構成比'!AK46/1000</f>
        <v>8991.544154350795</v>
      </c>
      <c r="C23" s="134" t="str">
        <f t="shared" si="5"/>
        <v/>
      </c>
      <c r="D23" s="272">
        <v>6.1285436163027458E-2</v>
      </c>
      <c r="E23" s="134" t="str">
        <f t="shared" si="6"/>
        <v/>
      </c>
      <c r="G23" s="123" t="s">
        <v>129</v>
      </c>
      <c r="H23" s="133">
        <f>'（４）訂單數量構成比'!AK46</f>
        <v>283558</v>
      </c>
      <c r="I23" s="134" t="str">
        <f t="shared" si="3"/>
        <v/>
      </c>
      <c r="J23" s="272">
        <v>7.026961500017917E-2</v>
      </c>
      <c r="K23" s="134" t="str">
        <f t="shared" si="4"/>
        <v/>
      </c>
      <c r="L23" s="115"/>
    </row>
    <row r="24" spans="1:18" ht="15.75" customHeight="1">
      <c r="C24" s="128">
        <f>SUM(C15:C23)</f>
        <v>0</v>
      </c>
      <c r="D24" s="128">
        <f>SUM(D15:D23)</f>
        <v>1</v>
      </c>
      <c r="I24" s="128">
        <f>SUM(I15:I23)</f>
        <v>0</v>
      </c>
      <c r="J24" s="128">
        <f>SUM(J15:J23)</f>
        <v>1.0000000000000002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73">
        <f>'（５-1）品群別人時生產性（18℃-飯糰）'!$C$1</f>
        <v>756.04671136683851</v>
      </c>
      <c r="C28" s="290">
        <v>717.52753492795955</v>
      </c>
      <c r="D28" s="227">
        <f t="shared" ref="D28:D36" si="7">B28-C28</f>
        <v>38.519176438878958</v>
      </c>
      <c r="E28" s="273">
        <f>R28</f>
        <v>736.78712314739903</v>
      </c>
      <c r="G28" s="138"/>
      <c r="H28" s="138"/>
      <c r="I28" s="138"/>
      <c r="L28" s="115"/>
      <c r="M28" s="273">
        <v>717.52753492795955</v>
      </c>
      <c r="N28" s="273">
        <f>B28</f>
        <v>756.04671136683851</v>
      </c>
      <c r="O28" s="273"/>
      <c r="P28" s="273"/>
      <c r="Q28" s="273"/>
      <c r="R28" s="280">
        <f>AVERAGE(M28:Q28)</f>
        <v>736.78712314739903</v>
      </c>
    </row>
    <row r="29" spans="1:18" ht="18" customHeight="1">
      <c r="A29" s="123" t="s">
        <v>137</v>
      </c>
      <c r="B29" s="273">
        <f>'（５-2）品群別人時生產性（18-壽司手卷)'!$C$1</f>
        <v>182.50774803719358</v>
      </c>
      <c r="C29" s="290">
        <v>197.63271688630809</v>
      </c>
      <c r="D29" s="227">
        <f t="shared" si="7"/>
        <v>-15.124968849114509</v>
      </c>
      <c r="E29" s="273">
        <f t="shared" ref="E29:E36" si="8">R29</f>
        <v>190.07023246175083</v>
      </c>
      <c r="G29" s="140"/>
      <c r="H29" s="140"/>
      <c r="I29" s="140"/>
      <c r="L29" s="115"/>
      <c r="M29" s="273">
        <v>197.63271688630809</v>
      </c>
      <c r="N29" s="273">
        <f t="shared" ref="N29:N36" si="9">B29</f>
        <v>182.50774803719358</v>
      </c>
      <c r="O29" s="273"/>
      <c r="P29" s="273"/>
      <c r="Q29" s="273"/>
      <c r="R29" s="280">
        <f t="shared" ref="R29:R36" si="10">AVERAGE(M29:Q29)</f>
        <v>190.07023246175083</v>
      </c>
    </row>
    <row r="30" spans="1:18" ht="18" customHeight="1">
      <c r="A30" s="123" t="s">
        <v>117</v>
      </c>
      <c r="B30" s="273">
        <f>'（５-3）品群別人時生產性（4℃-飯糰)'!$C$1</f>
        <v>273.59420902756301</v>
      </c>
      <c r="C30" s="290">
        <v>240.45857137830325</v>
      </c>
      <c r="D30" s="227">
        <f t="shared" si="7"/>
        <v>33.135637649259763</v>
      </c>
      <c r="E30" s="273">
        <f t="shared" si="8"/>
        <v>257.02639020293316</v>
      </c>
      <c r="L30" s="115"/>
      <c r="M30" s="273">
        <v>240.45857137830325</v>
      </c>
      <c r="N30" s="273">
        <f t="shared" si="9"/>
        <v>273.59420902756301</v>
      </c>
      <c r="O30" s="273"/>
      <c r="P30" s="273"/>
      <c r="Q30" s="273"/>
      <c r="R30" s="280">
        <f t="shared" si="10"/>
        <v>257.02639020293316</v>
      </c>
    </row>
    <row r="31" spans="1:18" ht="18" customHeight="1">
      <c r="A31" s="123" t="s">
        <v>119</v>
      </c>
      <c r="B31" s="273">
        <f>'（５-4）品群別人時生產性（4℃-壽司手卷)'!$C$1</f>
        <v>118.38412494368384</v>
      </c>
      <c r="C31" s="290">
        <v>106.86512290813759</v>
      </c>
      <c r="D31" s="227">
        <f t="shared" si="7"/>
        <v>11.519002035546251</v>
      </c>
      <c r="E31" s="273">
        <f t="shared" si="8"/>
        <v>112.62462392591073</v>
      </c>
      <c r="L31" s="115"/>
      <c r="M31" s="273">
        <v>106.86512290813759</v>
      </c>
      <c r="N31" s="273">
        <f t="shared" si="9"/>
        <v>118.38412494368384</v>
      </c>
      <c r="O31" s="273"/>
      <c r="P31" s="273"/>
      <c r="Q31" s="273"/>
      <c r="R31" s="280">
        <f t="shared" si="10"/>
        <v>112.62462392591073</v>
      </c>
    </row>
    <row r="32" spans="1:18" ht="18" customHeight="1">
      <c r="A32" s="123" t="s">
        <v>121</v>
      </c>
      <c r="B32" s="273">
        <f>'（５-5）品群別人時生產性(主食) '!$C$1</f>
        <v>87.919974845735311</v>
      </c>
      <c r="C32" s="290">
        <v>89.310428404733287</v>
      </c>
      <c r="D32" s="227">
        <f t="shared" si="7"/>
        <v>-1.3904535589979758</v>
      </c>
      <c r="E32" s="273">
        <f t="shared" si="8"/>
        <v>88.615201625234306</v>
      </c>
      <c r="L32" s="115"/>
      <c r="M32" s="273">
        <v>89.310428404733287</v>
      </c>
      <c r="N32" s="273">
        <f t="shared" si="9"/>
        <v>87.919974845735311</v>
      </c>
      <c r="O32" s="273"/>
      <c r="P32" s="273"/>
      <c r="Q32" s="273"/>
      <c r="R32" s="280">
        <f t="shared" si="10"/>
        <v>88.615201625234306</v>
      </c>
    </row>
    <row r="33" spans="1:18" ht="18" customHeight="1">
      <c r="A33" s="123" t="s">
        <v>123</v>
      </c>
      <c r="B33" s="273">
        <f>'（５-6）品群別人時生產性(便當)'!$C$1</f>
        <v>73.580887867452589</v>
      </c>
      <c r="C33" s="290">
        <v>65.67274245927976</v>
      </c>
      <c r="D33" s="227">
        <f t="shared" si="7"/>
        <v>7.9081454081728282</v>
      </c>
      <c r="E33" s="273">
        <f t="shared" si="8"/>
        <v>69.626815163366174</v>
      </c>
      <c r="L33" s="115"/>
      <c r="M33" s="273">
        <v>65.67274245927976</v>
      </c>
      <c r="N33" s="273">
        <f t="shared" si="9"/>
        <v>73.580887867452589</v>
      </c>
      <c r="O33" s="273"/>
      <c r="P33" s="273"/>
      <c r="Q33" s="273"/>
      <c r="R33" s="280">
        <f t="shared" si="10"/>
        <v>69.626815163366174</v>
      </c>
    </row>
    <row r="34" spans="1:18" ht="18" customHeight="1">
      <c r="A34" s="123" t="s">
        <v>125</v>
      </c>
      <c r="B34" s="273">
        <f>'（５-7）品群別人時生產性(熱食義麵) '!$C$1</f>
        <v>76.863036360369307</v>
      </c>
      <c r="C34" s="290">
        <v>75.478569021952779</v>
      </c>
      <c r="D34" s="227">
        <f t="shared" si="7"/>
        <v>1.3844673384165276</v>
      </c>
      <c r="E34" s="273">
        <f t="shared" si="8"/>
        <v>76.170802691161043</v>
      </c>
      <c r="L34" s="115"/>
      <c r="M34" s="273">
        <v>75.478569021952779</v>
      </c>
      <c r="N34" s="273">
        <f t="shared" si="9"/>
        <v>76.863036360369307</v>
      </c>
      <c r="O34" s="273"/>
      <c r="P34" s="273"/>
      <c r="Q34" s="273"/>
      <c r="R34" s="280">
        <f t="shared" si="10"/>
        <v>76.170802691161043</v>
      </c>
    </row>
    <row r="35" spans="1:18" ht="18" customHeight="1">
      <c r="A35" s="123" t="s">
        <v>127</v>
      </c>
      <c r="B35" s="273">
        <f>'（５-8）品群別人時生產性(季節調理麵) '!$C$1</f>
        <v>119.3911767288601</v>
      </c>
      <c r="C35" s="290">
        <v>114.50557202660302</v>
      </c>
      <c r="D35" s="227">
        <f t="shared" si="7"/>
        <v>4.8856047022570834</v>
      </c>
      <c r="E35" s="273">
        <f t="shared" si="8"/>
        <v>116.94837437773157</v>
      </c>
      <c r="L35" s="115"/>
      <c r="M35" s="273">
        <v>114.50557202660302</v>
      </c>
      <c r="N35" s="273">
        <f t="shared" si="9"/>
        <v>119.3911767288601</v>
      </c>
      <c r="O35" s="273"/>
      <c r="P35" s="273"/>
      <c r="Q35" s="273"/>
      <c r="R35" s="280">
        <f t="shared" si="10"/>
        <v>116.94837437773157</v>
      </c>
    </row>
    <row r="36" spans="1:18" ht="18" customHeight="1">
      <c r="A36" s="119" t="s">
        <v>129</v>
      </c>
      <c r="B36" s="273">
        <f>'（５-9）品群別人時生產性(微波小吃)'!$C$1</f>
        <v>110.97010558613414</v>
      </c>
      <c r="C36" s="290">
        <v>99.648342041865732</v>
      </c>
      <c r="D36" s="227">
        <f t="shared" si="7"/>
        <v>11.321763544268407</v>
      </c>
      <c r="E36" s="273">
        <f t="shared" si="8"/>
        <v>105.30922381399994</v>
      </c>
      <c r="L36" s="115"/>
      <c r="M36" s="273">
        <v>99.648342041865732</v>
      </c>
      <c r="N36" s="273">
        <f t="shared" si="9"/>
        <v>110.97010558613414</v>
      </c>
      <c r="O36" s="273"/>
      <c r="P36" s="273"/>
      <c r="Q36" s="273"/>
      <c r="R36" s="280">
        <f t="shared" si="10"/>
        <v>105.30922381399994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G28" sqref="G28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24" t="s">
        <v>101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115"/>
    </row>
    <row r="2" spans="1:18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</row>
    <row r="3" spans="1:18" ht="21.6" customHeight="1">
      <c r="A3" s="130" t="s">
        <v>0</v>
      </c>
      <c r="B3" s="131">
        <v>11</v>
      </c>
      <c r="C3" s="197" t="s">
        <v>138</v>
      </c>
      <c r="D3" s="131" t="s">
        <v>139</v>
      </c>
      <c r="E3" s="130" t="s">
        <v>102</v>
      </c>
      <c r="F3" s="425" t="s">
        <v>103</v>
      </c>
      <c r="G3" s="425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4">
        <f>'（１）收支狀況'!G12/1000</f>
        <v>49899.447</v>
      </c>
      <c r="C6" s="238">
        <v>52649.495000000003</v>
      </c>
      <c r="D6" s="133">
        <f t="shared" ref="D6:D11" si="0">B6-C6</f>
        <v>-2750.0480000000025</v>
      </c>
      <c r="E6" s="216">
        <f>'（１）收支狀況'!H9/1000</f>
        <v>71561.305999999997</v>
      </c>
      <c r="G6" s="123" t="s">
        <v>106</v>
      </c>
      <c r="H6" s="218">
        <v>366</v>
      </c>
      <c r="I6" s="243">
        <f>'（２）ＫＰＩ達成進度'!G12</f>
        <v>336.19881850450582</v>
      </c>
      <c r="J6" s="244">
        <v>340.19678527438515</v>
      </c>
      <c r="K6" s="245">
        <f>'（２）ＫＰＩ達成進度'!H9</f>
        <v>338.19876657367297</v>
      </c>
      <c r="L6" s="117" t="s">
        <v>107</v>
      </c>
    </row>
    <row r="7" spans="1:18" ht="18" customHeight="1">
      <c r="A7" s="123" t="s">
        <v>21</v>
      </c>
      <c r="B7" s="204">
        <f>'（１）收支狀況'!J12</f>
        <v>1534159</v>
      </c>
      <c r="C7" s="238">
        <v>1631463</v>
      </c>
      <c r="D7" s="133">
        <f t="shared" si="0"/>
        <v>-97304</v>
      </c>
      <c r="E7" s="216">
        <f>'（１）收支狀況'!K9</f>
        <v>2204262</v>
      </c>
      <c r="G7" s="123" t="s">
        <v>108</v>
      </c>
      <c r="H7" s="236">
        <v>0.8</v>
      </c>
      <c r="I7" s="234">
        <f>'（２）ＫＰＩ達成進度'!J12</f>
        <v>0.91857600684291207</v>
      </c>
      <c r="J7" s="241">
        <v>0.92949941331799224</v>
      </c>
      <c r="K7" s="237">
        <f>'（２）ＫＰＩ達成進度'!K9</f>
        <v>0.30801344860990248</v>
      </c>
      <c r="L7" s="117" t="s">
        <v>23</v>
      </c>
    </row>
    <row r="8" spans="1:18" ht="18" customHeight="1">
      <c r="A8" s="123" t="s">
        <v>25</v>
      </c>
      <c r="B8" s="204">
        <f>'（１）收支狀況'!M12/1000</f>
        <v>32893.927000000003</v>
      </c>
      <c r="C8" s="238">
        <v>34902.737999999998</v>
      </c>
      <c r="D8" s="133">
        <f>B8-C8</f>
        <v>-2008.8109999999942</v>
      </c>
      <c r="E8" s="216">
        <f>'（１）收支狀況'!N9/1000</f>
        <v>47078.483999999997</v>
      </c>
      <c r="G8" s="123" t="s">
        <v>109</v>
      </c>
      <c r="H8" s="217">
        <v>2.5000000000000001E-3</v>
      </c>
      <c r="I8" s="232">
        <f>'（２）ＫＰＩ達成進度'!M12</f>
        <v>2.4537701126963094E-3</v>
      </c>
      <c r="J8" s="240">
        <v>2.4552868780055607E-3</v>
      </c>
      <c r="K8" s="232">
        <f>'（２）ＫＰＩ達成進度'!N9</f>
        <v>2.4516729485914626E-3</v>
      </c>
      <c r="L8" s="117" t="s">
        <v>27</v>
      </c>
    </row>
    <row r="9" spans="1:18" ht="18" customHeight="1">
      <c r="A9" s="123" t="s">
        <v>29</v>
      </c>
      <c r="B9" s="205">
        <f>'（１）收支狀況'!P12</f>
        <v>0.65920423927744132</v>
      </c>
      <c r="C9" s="239">
        <v>0.66292635855291682</v>
      </c>
      <c r="D9" s="134">
        <f t="shared" si="0"/>
        <v>-3.7221192754754995E-3</v>
      </c>
      <c r="E9" s="134">
        <f>'（１）收支狀況'!Q9</f>
        <v>0.65787625508120273</v>
      </c>
      <c r="G9" s="123" t="s">
        <v>110</v>
      </c>
      <c r="H9" s="217">
        <v>2.5999999999999999E-3</v>
      </c>
      <c r="I9" s="232">
        <f>'（２）ＫＰＩ達成進度'!P12</f>
        <v>2.2225026974827962E-3</v>
      </c>
      <c r="J9" s="240">
        <v>2.2768681441727376E-3</v>
      </c>
      <c r="K9" s="232">
        <f>'（２）ＫＰＩ達成進度'!Q9</f>
        <v>2.226457537889893E-3</v>
      </c>
      <c r="L9" s="117" t="s">
        <v>31</v>
      </c>
    </row>
    <row r="10" spans="1:18" ht="18" customHeight="1">
      <c r="A10" s="123" t="s">
        <v>33</v>
      </c>
      <c r="B10" s="204">
        <f>'（１）收支狀況'!S12/1000</f>
        <v>6835.2228016666677</v>
      </c>
      <c r="C10" s="238">
        <v>7231.7426086021524</v>
      </c>
      <c r="D10" s="133">
        <f t="shared" si="0"/>
        <v>-396.51980693548467</v>
      </c>
      <c r="E10" s="216">
        <f>'（１）收支狀況'!T9/1000</f>
        <v>9751.6181116666703</v>
      </c>
      <c r="G10" s="123" t="s">
        <v>111</v>
      </c>
      <c r="H10" s="233">
        <v>0.8</v>
      </c>
      <c r="I10" s="234">
        <v>0.91700000000000004</v>
      </c>
      <c r="J10" s="241">
        <v>0.91700000000000004</v>
      </c>
      <c r="K10" s="234">
        <v>0.91700000000000004</v>
      </c>
      <c r="L10" s="117" t="s">
        <v>35</v>
      </c>
    </row>
    <row r="11" spans="1:18" ht="18" customHeight="1">
      <c r="A11" s="123" t="s">
        <v>39</v>
      </c>
      <c r="B11" s="205">
        <f>'（１）收支狀況'!V12</f>
        <v>0.13697993089315535</v>
      </c>
      <c r="C11" s="239">
        <v>0.13774959510252002</v>
      </c>
      <c r="D11" s="134">
        <f t="shared" si="0"/>
        <v>-7.6966420936466773E-4</v>
      </c>
      <c r="E11" s="134">
        <f>'（１）收支狀況'!W9</f>
        <v>0.13626942626880886</v>
      </c>
      <c r="G11" s="123" t="s">
        <v>112</v>
      </c>
      <c r="H11" s="233">
        <v>1</v>
      </c>
      <c r="I11" s="234">
        <f>'（２）ＫＰＩ達成進度'!V12</f>
        <v>0.88342857142857145</v>
      </c>
      <c r="J11" s="241">
        <v>0.87342857142857144</v>
      </c>
      <c r="K11" s="234">
        <f>'（２）ＫＰＩ達成進度'!W9</f>
        <v>0.88139999999999996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4.25">
      <c r="A14" s="136"/>
      <c r="B14" s="198" t="s">
        <v>140</v>
      </c>
      <c r="C14" s="136" t="s">
        <v>15</v>
      </c>
      <c r="D14" s="198" t="s">
        <v>144</v>
      </c>
      <c r="E14" s="136" t="s">
        <v>16</v>
      </c>
      <c r="G14" s="136"/>
      <c r="H14" s="198" t="s">
        <v>140</v>
      </c>
      <c r="I14" s="136" t="s">
        <v>15</v>
      </c>
      <c r="J14" s="198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19">
        <f>SUM('（３）業績構成比'!I14:I20,'（３）業績構成比'!K14:K20)/1000</f>
        <v>9790.0967573699781</v>
      </c>
      <c r="C15" s="134">
        <f>IFERROR(B15/$B$6,"")</f>
        <v>0.19619649807682193</v>
      </c>
      <c r="D15" s="239">
        <v>0.19947712256737621</v>
      </c>
      <c r="E15" s="134">
        <f>IFERROR(C15-D15,"")</f>
        <v>-3.2806244905542736E-3</v>
      </c>
      <c r="G15" s="123" t="s">
        <v>145</v>
      </c>
      <c r="H15" s="219">
        <f>SUM(,'（４）訂單數量構成比'!I14:I20,'（４）訂單數量構成比'!K14:K20)</f>
        <v>514518</v>
      </c>
      <c r="I15" s="134">
        <f t="shared" ref="I15:I23" si="1">IFERROR(H15/$B$7,"")</f>
        <v>0.33537462544625429</v>
      </c>
      <c r="J15" s="239">
        <v>0.33921517067809692</v>
      </c>
      <c r="K15" s="134">
        <f t="shared" ref="K15:K23" si="2">IFERROR(I15-J15,"")</f>
        <v>-3.8405452318426292E-3</v>
      </c>
      <c r="L15" s="115"/>
    </row>
    <row r="16" spans="1:18" ht="18" customHeight="1">
      <c r="A16" s="123" t="s">
        <v>115</v>
      </c>
      <c r="B16" s="219">
        <f>SUM('（３）業績構成比'!O14:O20,'（３）業績構成比'!Q14:Q20)/1000</f>
        <v>1994.7626100554417</v>
      </c>
      <c r="C16" s="134">
        <f t="shared" ref="C16:C23" si="3">IFERROR(B16/$B$6,"")</f>
        <v>3.9975645622995416E-2</v>
      </c>
      <c r="D16" s="239">
        <v>4.4093649406430992E-2</v>
      </c>
      <c r="E16" s="134">
        <f t="shared" ref="E16:E23" si="4">IFERROR(C16-D16,"")</f>
        <v>-4.1180037834355754E-3</v>
      </c>
      <c r="G16" s="123" t="s">
        <v>115</v>
      </c>
      <c r="H16" s="219">
        <f>SUM('（４）訂單數量構成比'!O14:O20,'（４）訂單數量構成比'!Q14:Q20)</f>
        <v>84426</v>
      </c>
      <c r="I16" s="134">
        <f t="shared" si="1"/>
        <v>5.5030801892111576E-2</v>
      </c>
      <c r="J16" s="239">
        <v>6.2530992121794984E-2</v>
      </c>
      <c r="K16" s="134">
        <f t="shared" si="2"/>
        <v>-7.500190229683408E-3</v>
      </c>
      <c r="L16" s="115"/>
    </row>
    <row r="17" spans="1:17" ht="18" customHeight="1">
      <c r="A17" s="123" t="s">
        <v>116</v>
      </c>
      <c r="B17" s="219">
        <f>SUM('（３）業績構成比'!U14:U20)/1000</f>
        <v>3949.4497734478823</v>
      </c>
      <c r="C17" s="134">
        <f t="shared" si="3"/>
        <v>7.9148167182050783E-2</v>
      </c>
      <c r="D17" s="239">
        <v>7.8141861520188677E-2</v>
      </c>
      <c r="E17" s="134">
        <f t="shared" si="4"/>
        <v>1.0063056618621058E-3</v>
      </c>
      <c r="G17" s="123" t="s">
        <v>117</v>
      </c>
      <c r="H17" s="219">
        <f>SUM('（４）訂單數量構成比'!U14:U20)</f>
        <v>118836</v>
      </c>
      <c r="I17" s="134">
        <f t="shared" si="1"/>
        <v>7.7460028588953303E-2</v>
      </c>
      <c r="J17" s="239">
        <v>7.5426779522428641E-2</v>
      </c>
      <c r="K17" s="134">
        <f t="shared" si="2"/>
        <v>2.0332490665246616E-3</v>
      </c>
      <c r="L17" s="115"/>
    </row>
    <row r="18" spans="1:17" ht="18" customHeight="1">
      <c r="A18" s="123" t="s">
        <v>118</v>
      </c>
      <c r="B18" s="219">
        <f>SUM('（３）業績構成比'!W14:W20)/1000</f>
        <v>1022.233241273563</v>
      </c>
      <c r="C18" s="134">
        <f t="shared" si="3"/>
        <v>2.048586312536816E-2</v>
      </c>
      <c r="D18" s="239">
        <v>2.650972926739445E-2</v>
      </c>
      <c r="E18" s="134">
        <f t="shared" si="4"/>
        <v>-6.0238661420262893E-3</v>
      </c>
      <c r="G18" s="123" t="s">
        <v>119</v>
      </c>
      <c r="H18" s="219">
        <f>SUM('（４）訂單數量構成比'!W14:W20)</f>
        <v>32774</v>
      </c>
      <c r="I18" s="134">
        <f t="shared" si="1"/>
        <v>2.136284439878787E-2</v>
      </c>
      <c r="J18" s="239">
        <v>2.6997854073307209E-2</v>
      </c>
      <c r="K18" s="134">
        <f t="shared" si="2"/>
        <v>-5.6350096745193395E-3</v>
      </c>
      <c r="L18" s="115"/>
    </row>
    <row r="19" spans="1:17" ht="18" customHeight="1">
      <c r="A19" s="123" t="s">
        <v>120</v>
      </c>
      <c r="B19" s="219">
        <f>SUM('（３）業績構成比'!Y14:Y20,'（３）業績構成比'!AA14:AA20)/1000</f>
        <v>12482.199653574704</v>
      </c>
      <c r="C19" s="134">
        <f t="shared" si="3"/>
        <v>0.25014705380552021</v>
      </c>
      <c r="D19" s="239">
        <v>0.24177418344219742</v>
      </c>
      <c r="E19" s="134">
        <f t="shared" si="4"/>
        <v>8.372870363322793E-3</v>
      </c>
      <c r="G19" s="123" t="s">
        <v>121</v>
      </c>
      <c r="H19" s="219">
        <f>SUM('（４）訂單數量構成比'!Y14:Y20,'（４）訂單數量構成比'!AA14:AA20)</f>
        <v>311156</v>
      </c>
      <c r="I19" s="134">
        <f t="shared" si="1"/>
        <v>0.20281861267313231</v>
      </c>
      <c r="J19" s="239">
        <v>0.19583894945824698</v>
      </c>
      <c r="K19" s="134">
        <f t="shared" si="2"/>
        <v>6.9796632148853288E-3</v>
      </c>
      <c r="L19" s="115"/>
    </row>
    <row r="20" spans="1:17" ht="18" customHeight="1">
      <c r="A20" s="123" t="s">
        <v>122</v>
      </c>
      <c r="B20" s="219">
        <f>SUM('（３）業績構成比'!AE14:AE20)/1000</f>
        <v>7489.1908322522304</v>
      </c>
      <c r="C20" s="134">
        <f t="shared" si="3"/>
        <v>0.15008564788808643</v>
      </c>
      <c r="D20" s="239">
        <v>0.14700075083790717</v>
      </c>
      <c r="E20" s="134">
        <f t="shared" si="4"/>
        <v>3.0848970501792528E-3</v>
      </c>
      <c r="G20" s="123" t="s">
        <v>123</v>
      </c>
      <c r="H20" s="219">
        <f>SUM('（４）訂單數量構成比'!AE14:AE20)</f>
        <v>133803</v>
      </c>
      <c r="I20" s="134">
        <f t="shared" si="1"/>
        <v>8.7215862241136671E-2</v>
      </c>
      <c r="J20" s="239">
        <v>8.466020988523798E-2</v>
      </c>
      <c r="K20" s="134">
        <f t="shared" si="2"/>
        <v>2.555652355898691E-3</v>
      </c>
      <c r="L20" s="115"/>
    </row>
    <row r="21" spans="1:17" ht="18" customHeight="1">
      <c r="A21" s="123" t="s">
        <v>124</v>
      </c>
      <c r="B21" s="219">
        <f>SUM('（３）業績構成比'!AG14:AG20)/1000</f>
        <v>5719.4088507252955</v>
      </c>
      <c r="C21" s="134">
        <f t="shared" si="3"/>
        <v>0.11461868206125202</v>
      </c>
      <c r="D21" s="239">
        <v>0.11950342463381085</v>
      </c>
      <c r="E21" s="134">
        <f t="shared" si="4"/>
        <v>-4.8847425725588312E-3</v>
      </c>
      <c r="G21" s="123" t="s">
        <v>125</v>
      </c>
      <c r="H21" s="219">
        <f>SUM('（４）訂單數量構成比'!AG14:AG20)</f>
        <v>115069</v>
      </c>
      <c r="I21" s="134">
        <f t="shared" si="1"/>
        <v>7.5004611647163044E-2</v>
      </c>
      <c r="J21" s="239">
        <v>7.7071315745438296E-2</v>
      </c>
      <c r="K21" s="134">
        <f t="shared" si="2"/>
        <v>-2.0667040982752516E-3</v>
      </c>
      <c r="L21" s="115"/>
    </row>
    <row r="22" spans="1:17" ht="18" customHeight="1">
      <c r="A22" s="123" t="s">
        <v>126</v>
      </c>
      <c r="B22" s="219">
        <f>SUM('（３）業績構成比'!AI14:AI20)/1000</f>
        <v>3145.5163332449647</v>
      </c>
      <c r="C22" s="134">
        <f t="shared" si="3"/>
        <v>6.3037098051306348E-2</v>
      </c>
      <c r="D22" s="239">
        <v>5.4515419955400164E-2</v>
      </c>
      <c r="E22" s="134">
        <f t="shared" si="4"/>
        <v>8.5216780959061836E-3</v>
      </c>
      <c r="G22" s="123" t="s">
        <v>127</v>
      </c>
      <c r="H22" s="219">
        <f>SUM('（４）訂單數量構成比'!AI14:AI20)</f>
        <v>85767</v>
      </c>
      <c r="I22" s="134">
        <f t="shared" si="1"/>
        <v>5.5904896428597035E-2</v>
      </c>
      <c r="J22" s="239">
        <v>4.8922960557487356E-2</v>
      </c>
      <c r="K22" s="134">
        <f t="shared" si="2"/>
        <v>6.9819358711096791E-3</v>
      </c>
      <c r="L22" s="115"/>
    </row>
    <row r="23" spans="1:17" ht="18" customHeight="1">
      <c r="A23" s="123" t="s">
        <v>128</v>
      </c>
      <c r="B23" s="219">
        <f>SUM('（３）業績構成比'!AK14:AK20)/1000</f>
        <v>4306.5889480559426</v>
      </c>
      <c r="C23" s="134">
        <f t="shared" si="3"/>
        <v>8.6305344186598756E-2</v>
      </c>
      <c r="D23" s="239">
        <v>8.8983858369293969E-2</v>
      </c>
      <c r="E23" s="134">
        <f t="shared" si="4"/>
        <v>-2.678514182695213E-3</v>
      </c>
      <c r="G23" s="123" t="s">
        <v>129</v>
      </c>
      <c r="H23" s="219">
        <f>SUM('（４）訂單數量構成比'!AK14:AK20)</f>
        <v>137810</v>
      </c>
      <c r="I23" s="134">
        <f t="shared" si="1"/>
        <v>8.9827716683863926E-2</v>
      </c>
      <c r="J23" s="239">
        <v>8.9335767957961651E-2</v>
      </c>
      <c r="K23" s="134">
        <f t="shared" si="2"/>
        <v>4.9194872590227479E-4</v>
      </c>
      <c r="L23" s="115"/>
    </row>
    <row r="24" spans="1:17" ht="15.75" customHeight="1">
      <c r="C24" s="128">
        <f>SUM(C15:C23)</f>
        <v>1</v>
      </c>
      <c r="D24" s="128">
        <f>SUM(D15:D23)</f>
        <v>0.99999999999999989</v>
      </c>
      <c r="I24" s="128">
        <f>SUM(I15:I23)</f>
        <v>1</v>
      </c>
      <c r="J24" s="128">
        <f>SUM(J15:J23)</f>
        <v>1.0000000000000002</v>
      </c>
      <c r="L24" s="115"/>
    </row>
    <row r="25" spans="1:17" ht="9.6" customHeight="1">
      <c r="A25" s="129"/>
      <c r="L25" s="115"/>
    </row>
    <row r="26" spans="1:17" ht="15.75" customHeight="1">
      <c r="A26" s="126" t="s">
        <v>146</v>
      </c>
      <c r="L26" s="115"/>
    </row>
    <row r="27" spans="1:17" ht="15.75" customHeight="1">
      <c r="A27" s="123" t="s">
        <v>131</v>
      </c>
      <c r="B27" s="199" t="s">
        <v>140</v>
      </c>
      <c r="C27" s="199" t="s">
        <v>141</v>
      </c>
      <c r="D27" s="123" t="s">
        <v>10</v>
      </c>
      <c r="E27" s="123" t="s">
        <v>147</v>
      </c>
      <c r="L27" s="115"/>
    </row>
    <row r="28" spans="1:17" ht="18" customHeight="1">
      <c r="A28" s="123" t="s">
        <v>145</v>
      </c>
      <c r="B28" s="226">
        <f>'（５-1）品群別人時生產性（18℃-飯糰）'!L42</f>
        <v>748.13358191012185</v>
      </c>
      <c r="C28" s="242">
        <v>763.95984082355528</v>
      </c>
      <c r="D28" s="227">
        <f t="shared" ref="D28:D36" si="5">B28-C28</f>
        <v>-15.826258913433435</v>
      </c>
      <c r="E28" s="124">
        <f>'（５-1）品群別人時生產性（18℃-飯糰）'!C1</f>
        <v>756.04671136683851</v>
      </c>
      <c r="F28" s="283"/>
      <c r="G28" s="138"/>
      <c r="H28" s="138"/>
      <c r="I28" s="138"/>
      <c r="J28" s="138"/>
      <c r="K28" s="138"/>
      <c r="L28" s="138"/>
      <c r="M28" s="138"/>
      <c r="N28" s="138"/>
      <c r="O28" s="138"/>
      <c r="P28" s="139"/>
      <c r="Q28" s="139"/>
    </row>
    <row r="29" spans="1:17" ht="18" customHeight="1">
      <c r="A29" s="123" t="s">
        <v>137</v>
      </c>
      <c r="B29" s="226">
        <f>'（５-2）品群別人時生產性（18-壽司手卷)'!L27</f>
        <v>182.18847083189692</v>
      </c>
      <c r="C29" s="242">
        <v>182.82702524249024</v>
      </c>
      <c r="D29" s="227">
        <f t="shared" si="5"/>
        <v>-0.63855441059331497</v>
      </c>
      <c r="E29" s="124">
        <f>'（５-2）品群別人時生產性（18-壽司手卷)'!C1</f>
        <v>182.50774803719358</v>
      </c>
      <c r="F29" s="283"/>
      <c r="G29" s="140"/>
      <c r="H29" s="140"/>
      <c r="I29" s="141"/>
      <c r="J29" s="1"/>
      <c r="K29" s="142"/>
      <c r="L29" s="67"/>
      <c r="M29" s="66"/>
      <c r="N29" s="67"/>
      <c r="O29" s="67"/>
      <c r="P29" s="67"/>
      <c r="Q29" s="67"/>
    </row>
    <row r="30" spans="1:17" ht="18" customHeight="1">
      <c r="A30" s="123" t="s">
        <v>117</v>
      </c>
      <c r="B30" s="226">
        <f>'（５-3）品群別人時生產性（4℃-飯糰)'!L27</f>
        <v>267.92876944127636</v>
      </c>
      <c r="C30" s="242">
        <v>279.25964861384966</v>
      </c>
      <c r="D30" s="227">
        <f t="shared" si="5"/>
        <v>-11.330879172573304</v>
      </c>
      <c r="E30" s="124">
        <f>'（５-3）品群別人時生產性（4℃-飯糰)'!C1</f>
        <v>273.59420902756301</v>
      </c>
      <c r="F30" s="283"/>
      <c r="L30" s="115"/>
    </row>
    <row r="31" spans="1:17" ht="18" customHeight="1">
      <c r="A31" s="123" t="s">
        <v>119</v>
      </c>
      <c r="B31" s="226">
        <f>'（５-4）品群別人時生產性（4℃-壽司手卷)'!L27</f>
        <v>114.89806859806865</v>
      </c>
      <c r="C31" s="242">
        <v>121.87018128929903</v>
      </c>
      <c r="D31" s="227">
        <f t="shared" si="5"/>
        <v>-6.9721126912303788</v>
      </c>
      <c r="E31" s="124">
        <f>'（５-4）品群別人時生產性（4℃-壽司手卷)'!C1</f>
        <v>118.38412494368384</v>
      </c>
      <c r="F31" s="283"/>
      <c r="L31" s="115"/>
    </row>
    <row r="32" spans="1:17" ht="18" customHeight="1">
      <c r="A32" s="123" t="s">
        <v>121</v>
      </c>
      <c r="B32" s="226">
        <f>'（５-5）品群別人時生產性(主食) '!L42</f>
        <v>88.921658287275605</v>
      </c>
      <c r="C32" s="242">
        <v>86.918291404195031</v>
      </c>
      <c r="D32" s="227">
        <f t="shared" si="5"/>
        <v>2.0033668830805738</v>
      </c>
      <c r="E32" s="124">
        <f>'（５-5）品群別人時生產性(主食) '!C1</f>
        <v>87.919974845735311</v>
      </c>
      <c r="F32" s="283"/>
      <c r="L32" s="115"/>
    </row>
    <row r="33" spans="1:6" s="115" customFormat="1" ht="18" customHeight="1">
      <c r="A33" s="123" t="s">
        <v>123</v>
      </c>
      <c r="B33" s="226">
        <f>'（５-6）品群別人時生產性(便當)'!L27</f>
        <v>79.014884806717404</v>
      </c>
      <c r="C33" s="242">
        <v>68.146890928187773</v>
      </c>
      <c r="D33" s="227">
        <f t="shared" si="5"/>
        <v>10.867993878529632</v>
      </c>
      <c r="E33" s="124">
        <f>'（５-6）品群別人時生產性(便當)'!C1</f>
        <v>73.580887867452589</v>
      </c>
      <c r="F33" s="283"/>
    </row>
    <row r="34" spans="1:6" s="115" customFormat="1" ht="18" customHeight="1">
      <c r="A34" s="123" t="s">
        <v>125</v>
      </c>
      <c r="B34" s="226">
        <f>'（５-7）品群別人時生產性(熱食義麵) '!L27</f>
        <v>79.308428371577605</v>
      </c>
      <c r="C34" s="242">
        <v>74.417644349161023</v>
      </c>
      <c r="D34" s="227">
        <f t="shared" si="5"/>
        <v>4.8907840224165824</v>
      </c>
      <c r="E34" s="124">
        <f>'（５-7）品群別人時生產性(熱食義麵) '!C1</f>
        <v>76.863036360369307</v>
      </c>
    </row>
    <row r="35" spans="1:6" s="115" customFormat="1" ht="18" customHeight="1">
      <c r="A35" s="123" t="s">
        <v>127</v>
      </c>
      <c r="B35" s="226">
        <f>'（５-8）品群別人時生產性(季節調理麵) '!L27</f>
        <v>118.9683856571551</v>
      </c>
      <c r="C35" s="242">
        <v>119.81396780056511</v>
      </c>
      <c r="D35" s="227">
        <f t="shared" si="5"/>
        <v>-0.84558214341001303</v>
      </c>
      <c r="E35" s="124">
        <f>'（５-8）品群別人時生產性(季節調理麵) '!C1</f>
        <v>119.3911767288601</v>
      </c>
    </row>
    <row r="36" spans="1:6" s="115" customFormat="1" ht="18" customHeight="1">
      <c r="A36" s="119" t="s">
        <v>129</v>
      </c>
      <c r="B36" s="226">
        <f>'（５-9）品群別人時生產性(微波小吃)'!L27</f>
        <v>109.78166916077008</v>
      </c>
      <c r="C36" s="242">
        <v>112.15854201149821</v>
      </c>
      <c r="D36" s="227">
        <f t="shared" si="5"/>
        <v>-2.3768728507281338</v>
      </c>
      <c r="E36" s="124">
        <f>'（５-9）品群別人時生產性(微波小吃)'!C1</f>
        <v>110.97010558613414</v>
      </c>
    </row>
    <row r="37" spans="1:6" s="115" customFormat="1" ht="15.75" customHeight="1">
      <c r="D37" s="283"/>
    </row>
    <row r="38" spans="1:6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R9" sqref="R9:R16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27" t="s">
        <v>148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</row>
    <row r="3" spans="2:23" s="78" customFormat="1" ht="23.45" customHeight="1">
      <c r="B3" s="79"/>
      <c r="C3" s="431" t="s">
        <v>149</v>
      </c>
      <c r="D3" s="432" t="s">
        <v>150</v>
      </c>
      <c r="E3" s="432"/>
      <c r="F3" s="430" t="s">
        <v>151</v>
      </c>
      <c r="G3" s="430"/>
      <c r="H3" s="430"/>
      <c r="I3" s="428" t="s">
        <v>152</v>
      </c>
      <c r="J3" s="428"/>
      <c r="K3" s="428"/>
      <c r="L3" s="429" t="s">
        <v>153</v>
      </c>
      <c r="M3" s="429"/>
      <c r="N3" s="429"/>
      <c r="O3" s="426" t="s">
        <v>154</v>
      </c>
      <c r="P3" s="426"/>
      <c r="Q3" s="426"/>
      <c r="R3" s="433" t="s">
        <v>155</v>
      </c>
      <c r="S3" s="433"/>
      <c r="T3" s="433"/>
      <c r="U3" s="426" t="s">
        <v>156</v>
      </c>
      <c r="V3" s="426"/>
      <c r="W3" s="426"/>
    </row>
    <row r="4" spans="2:23" s="78" customFormat="1" ht="23.45" customHeight="1">
      <c r="B4" s="79"/>
      <c r="C4" s="431"/>
      <c r="D4" s="432"/>
      <c r="E4" s="432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87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87" t="s">
        <v>160</v>
      </c>
    </row>
    <row r="5" spans="2:23">
      <c r="B5" s="79"/>
      <c r="C5" s="79"/>
      <c r="D5" s="82">
        <v>45958</v>
      </c>
      <c r="E5" s="82" t="s">
        <v>161</v>
      </c>
      <c r="F5" s="210">
        <v>8874807</v>
      </c>
      <c r="G5" s="284">
        <f>SUM(F5:F11)</f>
        <v>52649495</v>
      </c>
      <c r="H5" s="301"/>
      <c r="I5" s="211">
        <v>271475</v>
      </c>
      <c r="J5" s="84">
        <f>SUM(I5:I11)</f>
        <v>1631463</v>
      </c>
      <c r="K5" s="302"/>
      <c r="L5" s="210">
        <v>5922651</v>
      </c>
      <c r="M5" s="284">
        <f>SUM(L5:L11)</f>
        <v>34916411</v>
      </c>
      <c r="N5" s="301"/>
      <c r="O5" s="86">
        <f t="shared" ref="O5:O38" si="0">L5/F5</f>
        <v>0.66735547037811638</v>
      </c>
      <c r="P5" s="86">
        <f>M5/G5</f>
        <v>0.66318605715021584</v>
      </c>
      <c r="Q5" s="300"/>
      <c r="R5" s="212">
        <v>1123600.935483871</v>
      </c>
      <c r="S5" s="284">
        <f>SUM(R5:R11)</f>
        <v>7252446.6186021529</v>
      </c>
      <c r="T5" s="301"/>
      <c r="U5" s="86">
        <f t="shared" ref="U5:U40" si="1">R5/F5</f>
        <v>0.12660567553569008</v>
      </c>
      <c r="V5" s="86">
        <f>S5/G5</f>
        <v>0.13774959510252002</v>
      </c>
      <c r="W5" s="300"/>
    </row>
    <row r="6" spans="2:23" ht="16.5" customHeight="1">
      <c r="B6" s="79"/>
      <c r="C6" s="79"/>
      <c r="D6" s="82">
        <v>45959</v>
      </c>
      <c r="E6" s="82" t="s">
        <v>162</v>
      </c>
      <c r="F6" s="210">
        <v>8157355</v>
      </c>
      <c r="G6" s="284"/>
      <c r="I6" s="211">
        <v>254507</v>
      </c>
      <c r="L6" s="210">
        <v>5473618</v>
      </c>
      <c r="M6" s="284"/>
      <c r="O6" s="86">
        <f t="shared" si="0"/>
        <v>0.67100402029824613</v>
      </c>
      <c r="R6" s="212">
        <v>1100557.0688172048</v>
      </c>
      <c r="S6" s="284"/>
      <c r="U6" s="86">
        <f t="shared" si="1"/>
        <v>0.13491592174389919</v>
      </c>
      <c r="V6" s="86"/>
    </row>
    <row r="7" spans="2:23" ht="16.5" customHeight="1">
      <c r="B7" s="79"/>
      <c r="C7" s="79"/>
      <c r="D7" s="82">
        <v>45960</v>
      </c>
      <c r="E7" s="82" t="s">
        <v>163</v>
      </c>
      <c r="F7" s="210">
        <v>7556926</v>
      </c>
      <c r="G7" s="284"/>
      <c r="H7" s="301"/>
      <c r="I7" s="211">
        <v>234639</v>
      </c>
      <c r="K7" s="302"/>
      <c r="L7" s="210">
        <v>4858313</v>
      </c>
      <c r="M7" s="284"/>
      <c r="N7" s="301"/>
      <c r="O7" s="86">
        <f t="shared" si="0"/>
        <v>0.64289540482466023</v>
      </c>
      <c r="Q7" s="300"/>
      <c r="R7" s="212">
        <v>1081448.0521505377</v>
      </c>
      <c r="S7" s="284"/>
      <c r="T7" s="301"/>
      <c r="U7" s="86">
        <f t="shared" si="1"/>
        <v>0.14310687337027486</v>
      </c>
      <c r="V7" s="86"/>
      <c r="W7" s="300"/>
    </row>
    <row r="8" spans="2:23" ht="16.5" customHeight="1">
      <c r="B8" s="79"/>
      <c r="C8" s="79"/>
      <c r="D8" s="82">
        <v>45961</v>
      </c>
      <c r="E8" s="82" t="s">
        <v>164</v>
      </c>
      <c r="F8" s="210">
        <v>6398548</v>
      </c>
      <c r="G8" s="284"/>
      <c r="H8" s="301"/>
      <c r="I8" s="211">
        <v>200739</v>
      </c>
      <c r="K8" s="302"/>
      <c r="L8" s="210">
        <v>4477272</v>
      </c>
      <c r="M8" s="284"/>
      <c r="N8" s="301"/>
      <c r="O8" s="86">
        <f t="shared" si="0"/>
        <v>0.6997325018113485</v>
      </c>
      <c r="Q8" s="300"/>
      <c r="R8" s="212">
        <v>1030445.2521505377</v>
      </c>
      <c r="S8" s="284"/>
      <c r="T8" s="301"/>
      <c r="U8" s="86">
        <f t="shared" si="1"/>
        <v>0.16104360741695423</v>
      </c>
      <c r="V8" s="86"/>
      <c r="W8" s="300"/>
    </row>
    <row r="9" spans="2:23" ht="16.5" customHeight="1">
      <c r="B9" s="79"/>
      <c r="C9" s="79"/>
      <c r="D9" s="82">
        <v>45962</v>
      </c>
      <c r="E9" s="82" t="s">
        <v>165</v>
      </c>
      <c r="F9" s="210">
        <v>6412266</v>
      </c>
      <c r="G9" s="284"/>
      <c r="H9" s="301">
        <f>SUM(F9:F38)</f>
        <v>71561306</v>
      </c>
      <c r="I9" s="211">
        <v>199982</v>
      </c>
      <c r="K9" s="302">
        <f>SUM(I9:I38)</f>
        <v>2204262</v>
      </c>
      <c r="L9" s="210">
        <v>4385153</v>
      </c>
      <c r="M9" s="284"/>
      <c r="N9" s="301">
        <f>SUM(L9:L38)</f>
        <v>47078484</v>
      </c>
      <c r="O9" s="86">
        <f t="shared" si="0"/>
        <v>0.68386947765423334</v>
      </c>
      <c r="Q9" s="300">
        <f>N9/H9</f>
        <v>0.65787625508120273</v>
      </c>
      <c r="R9" s="212">
        <v>950256.83166666678</v>
      </c>
      <c r="S9" s="284"/>
      <c r="T9" s="301">
        <f>SUM(R9:R38)</f>
        <v>9751618.1116666701</v>
      </c>
      <c r="U9" s="86">
        <f t="shared" si="1"/>
        <v>0.14819360763678033</v>
      </c>
      <c r="V9" s="86"/>
      <c r="W9" s="300">
        <f>T9/H9</f>
        <v>0.13626942626880886</v>
      </c>
    </row>
    <row r="10" spans="2:23" ht="16.5" customHeight="1">
      <c r="B10" s="79"/>
      <c r="C10" s="79"/>
      <c r="D10" s="82">
        <v>45963</v>
      </c>
      <c r="E10" s="82" t="s">
        <v>166</v>
      </c>
      <c r="F10" s="210">
        <v>7718290</v>
      </c>
      <c r="G10" s="284"/>
      <c r="H10" s="301"/>
      <c r="I10" s="211">
        <v>239410</v>
      </c>
      <c r="K10" s="302"/>
      <c r="L10" s="210">
        <v>4849950</v>
      </c>
      <c r="M10" s="284"/>
      <c r="N10" s="301"/>
      <c r="O10" s="86">
        <f t="shared" si="0"/>
        <v>0.62837105110069713</v>
      </c>
      <c r="Q10" s="300"/>
      <c r="R10" s="212">
        <v>984498.93333333393</v>
      </c>
      <c r="S10" s="284"/>
      <c r="T10" s="301"/>
      <c r="U10" s="86">
        <f t="shared" si="1"/>
        <v>0.12755402211284286</v>
      </c>
      <c r="V10" s="86"/>
      <c r="W10" s="300"/>
    </row>
    <row r="11" spans="2:23" ht="16.5" customHeight="1">
      <c r="B11" s="79"/>
      <c r="C11" s="79"/>
      <c r="D11" s="82">
        <v>45964</v>
      </c>
      <c r="E11" s="82" t="s">
        <v>167</v>
      </c>
      <c r="F11" s="210">
        <v>7531303</v>
      </c>
      <c r="G11" s="284"/>
      <c r="H11" s="301"/>
      <c r="I11" s="211">
        <v>230711</v>
      </c>
      <c r="K11" s="302"/>
      <c r="L11" s="210">
        <v>4949454</v>
      </c>
      <c r="M11" s="284"/>
      <c r="N11" s="301"/>
      <c r="O11" s="86">
        <f t="shared" si="0"/>
        <v>0.65718428803090245</v>
      </c>
      <c r="Q11" s="300"/>
      <c r="R11" s="212">
        <v>981639.54500000039</v>
      </c>
      <c r="S11" s="284"/>
      <c r="T11" s="301"/>
      <c r="U11" s="86">
        <f t="shared" si="1"/>
        <v>0.13034126299260571</v>
      </c>
      <c r="V11" s="86"/>
      <c r="W11" s="300"/>
    </row>
    <row r="12" spans="2:23" ht="16.5" customHeight="1">
      <c r="B12" s="79"/>
      <c r="C12" s="79"/>
      <c r="D12" s="286">
        <v>45965</v>
      </c>
      <c r="E12" s="286" t="s">
        <v>161</v>
      </c>
      <c r="F12" s="210">
        <v>7342086</v>
      </c>
      <c r="G12" s="284">
        <f>SUM(F12:F18)</f>
        <v>49899447</v>
      </c>
      <c r="H12" s="301"/>
      <c r="I12" s="211">
        <v>226615</v>
      </c>
      <c r="J12" s="84">
        <f>SUM(I12:I18)</f>
        <v>1534159</v>
      </c>
      <c r="K12" s="302"/>
      <c r="L12" s="210">
        <v>4857460</v>
      </c>
      <c r="M12" s="284">
        <f>SUM(L12:L18)</f>
        <v>32893927</v>
      </c>
      <c r="N12" s="301"/>
      <c r="O12" s="86">
        <f t="shared" si="0"/>
        <v>0.66159126983802696</v>
      </c>
      <c r="P12" s="86">
        <f>M12/G12</f>
        <v>0.65920423927744132</v>
      </c>
      <c r="Q12" s="300"/>
      <c r="R12" s="210">
        <v>955604.38166666671</v>
      </c>
      <c r="S12" s="284">
        <f>SUM(R12:R18)</f>
        <v>6835222.8016666677</v>
      </c>
      <c r="T12" s="301"/>
      <c r="U12" s="86">
        <f t="shared" si="1"/>
        <v>0.13015434328427461</v>
      </c>
      <c r="V12" s="86">
        <f>S12/G12</f>
        <v>0.13697993089315535</v>
      </c>
      <c r="W12" s="300"/>
    </row>
    <row r="13" spans="2:23" ht="16.5" customHeight="1">
      <c r="B13" s="79"/>
      <c r="C13" s="79"/>
      <c r="D13" s="286">
        <v>45966</v>
      </c>
      <c r="E13" s="286" t="s">
        <v>162</v>
      </c>
      <c r="F13" s="210">
        <v>7302439</v>
      </c>
      <c r="G13" s="284"/>
      <c r="H13" s="301"/>
      <c r="I13" s="211">
        <v>226209</v>
      </c>
      <c r="K13" s="302"/>
      <c r="L13" s="210">
        <v>4711139</v>
      </c>
      <c r="M13" s="284"/>
      <c r="N13" s="301"/>
      <c r="O13" s="86">
        <f t="shared" si="0"/>
        <v>0.64514595739861713</v>
      </c>
      <c r="Q13" s="300"/>
      <c r="R13" s="210">
        <v>980946.18666666723</v>
      </c>
      <c r="S13" s="284"/>
      <c r="T13" s="301"/>
      <c r="U13" s="86">
        <f t="shared" si="1"/>
        <v>0.13433130857603429</v>
      </c>
      <c r="V13" s="86"/>
      <c r="W13" s="300"/>
    </row>
    <row r="14" spans="2:23" ht="16.5" customHeight="1">
      <c r="B14" s="79"/>
      <c r="C14" s="79"/>
      <c r="D14" s="286">
        <v>45967</v>
      </c>
      <c r="E14" s="286" t="s">
        <v>163</v>
      </c>
      <c r="F14" s="210">
        <v>7792203</v>
      </c>
      <c r="G14" s="284"/>
      <c r="H14" s="301"/>
      <c r="I14" s="211">
        <v>230603</v>
      </c>
      <c r="K14" s="302"/>
      <c r="L14" s="210">
        <v>5027266</v>
      </c>
      <c r="M14" s="284"/>
      <c r="N14" s="301"/>
      <c r="O14" s="86">
        <f t="shared" si="0"/>
        <v>0.64516620011054637</v>
      </c>
      <c r="Q14" s="300"/>
      <c r="R14" s="210">
        <v>991870.96333333419</v>
      </c>
      <c r="S14" s="284"/>
      <c r="T14" s="301"/>
      <c r="U14" s="86">
        <f t="shared" si="1"/>
        <v>0.12729018524457514</v>
      </c>
      <c r="V14" s="86"/>
      <c r="W14" s="300"/>
    </row>
    <row r="15" spans="2:23" ht="16.5" customHeight="1">
      <c r="B15" s="79"/>
      <c r="C15" s="79"/>
      <c r="D15" s="286">
        <v>45968</v>
      </c>
      <c r="E15" s="286" t="s">
        <v>164</v>
      </c>
      <c r="F15" s="210">
        <v>6208479</v>
      </c>
      <c r="G15" s="284"/>
      <c r="H15" s="301"/>
      <c r="I15" s="211">
        <v>193759</v>
      </c>
      <c r="K15" s="302"/>
      <c r="L15" s="210">
        <v>4346463</v>
      </c>
      <c r="M15" s="284"/>
      <c r="N15" s="301"/>
      <c r="O15" s="86">
        <f t="shared" si="0"/>
        <v>0.70008499666343404</v>
      </c>
      <c r="Q15" s="300"/>
      <c r="R15" s="210">
        <v>950263.12333333329</v>
      </c>
      <c r="S15" s="284"/>
      <c r="T15" s="301"/>
      <c r="U15" s="86">
        <f t="shared" si="1"/>
        <v>0.15305892527514925</v>
      </c>
      <c r="V15" s="86"/>
      <c r="W15" s="300"/>
    </row>
    <row r="16" spans="2:23" ht="16.5" customHeight="1">
      <c r="B16" s="79"/>
      <c r="C16" s="79"/>
      <c r="D16" s="286">
        <v>45969</v>
      </c>
      <c r="E16" s="286" t="s">
        <v>165</v>
      </c>
      <c r="F16" s="210">
        <v>6332588</v>
      </c>
      <c r="G16" s="284"/>
      <c r="H16" s="301"/>
      <c r="I16" s="211">
        <v>197295</v>
      </c>
      <c r="K16" s="302"/>
      <c r="L16" s="210">
        <v>4319492</v>
      </c>
      <c r="M16" s="284"/>
      <c r="N16" s="301"/>
      <c r="O16" s="86">
        <f t="shared" si="0"/>
        <v>0.68210532565832482</v>
      </c>
      <c r="Q16" s="300"/>
      <c r="R16" s="210">
        <v>942115.12666666647</v>
      </c>
      <c r="S16" s="284"/>
      <c r="T16" s="301"/>
      <c r="U16" s="86">
        <f t="shared" si="1"/>
        <v>0.14877252817752654</v>
      </c>
      <c r="V16" s="86"/>
      <c r="W16" s="300"/>
    </row>
    <row r="17" spans="2:23" ht="16.5" customHeight="1">
      <c r="B17" s="79"/>
      <c r="C17" s="79"/>
      <c r="D17" s="286">
        <v>45970</v>
      </c>
      <c r="E17" s="286" t="s">
        <v>166</v>
      </c>
      <c r="F17" s="210">
        <v>7101855</v>
      </c>
      <c r="G17" s="284"/>
      <c r="H17" s="301"/>
      <c r="I17" s="211">
        <v>224442</v>
      </c>
      <c r="K17" s="302"/>
      <c r="L17" s="210">
        <v>4667256</v>
      </c>
      <c r="M17" s="284"/>
      <c r="N17" s="301"/>
      <c r="O17" s="86">
        <f t="shared" si="0"/>
        <v>0.65718829798693434</v>
      </c>
      <c r="Q17" s="300"/>
      <c r="R17" s="210">
        <v>958750.42500000005</v>
      </c>
      <c r="S17" s="284"/>
      <c r="T17" s="301"/>
      <c r="U17" s="86">
        <f t="shared" si="1"/>
        <v>0.13500000000000001</v>
      </c>
      <c r="V17" s="86"/>
      <c r="W17" s="300"/>
    </row>
    <row r="18" spans="2:23" ht="16.5" customHeight="1">
      <c r="B18" s="79"/>
      <c r="C18" s="79"/>
      <c r="D18" s="286">
        <v>45971</v>
      </c>
      <c r="E18" s="286" t="s">
        <v>167</v>
      </c>
      <c r="F18" s="210">
        <v>7819797</v>
      </c>
      <c r="G18" s="284"/>
      <c r="H18" s="301"/>
      <c r="I18" s="211">
        <v>235236</v>
      </c>
      <c r="K18" s="302"/>
      <c r="L18" s="210">
        <v>4964851</v>
      </c>
      <c r="M18" s="284"/>
      <c r="N18" s="301"/>
      <c r="O18" s="86">
        <f t="shared" si="0"/>
        <v>0.6349079138499375</v>
      </c>
      <c r="Q18" s="300"/>
      <c r="R18" s="210">
        <v>1055672.595</v>
      </c>
      <c r="S18" s="284"/>
      <c r="T18" s="301"/>
      <c r="U18" s="86">
        <f t="shared" si="1"/>
        <v>0.13500000000000001</v>
      </c>
      <c r="V18" s="86"/>
      <c r="W18" s="300"/>
    </row>
    <row r="19" spans="2:23" ht="16.5" customHeight="1">
      <c r="B19" s="79"/>
      <c r="C19" s="79"/>
      <c r="D19" s="82">
        <v>45972</v>
      </c>
      <c r="E19" s="82" t="s">
        <v>161</v>
      </c>
      <c r="F19" s="210"/>
      <c r="G19" s="284">
        <f>SUM(F19:F25)</f>
        <v>0</v>
      </c>
      <c r="H19" s="301"/>
      <c r="I19" s="211"/>
      <c r="J19" s="84">
        <f>SUM(I19:I25)</f>
        <v>0</v>
      </c>
      <c r="K19" s="302"/>
      <c r="L19" s="210"/>
      <c r="M19" s="284">
        <f>SUM(L19:L25)</f>
        <v>0</v>
      </c>
      <c r="N19" s="301"/>
      <c r="O19" s="86" t="e">
        <f t="shared" si="0"/>
        <v>#DIV/0!</v>
      </c>
      <c r="P19" s="86" t="e">
        <f>M19/G19</f>
        <v>#DIV/0!</v>
      </c>
      <c r="Q19" s="300"/>
      <c r="R19" s="210"/>
      <c r="S19" s="284">
        <f>SUM(R19:R25)</f>
        <v>0</v>
      </c>
      <c r="T19" s="301"/>
      <c r="U19" s="86" t="e">
        <f t="shared" si="1"/>
        <v>#DIV/0!</v>
      </c>
      <c r="V19" s="86" t="e">
        <f>S19/G19</f>
        <v>#DIV/0!</v>
      </c>
      <c r="W19" s="300"/>
    </row>
    <row r="20" spans="2:23" ht="16.5" customHeight="1">
      <c r="B20" s="79"/>
      <c r="C20" s="79"/>
      <c r="D20" s="82">
        <v>45973</v>
      </c>
      <c r="E20" s="82" t="s">
        <v>162</v>
      </c>
      <c r="F20" s="210"/>
      <c r="G20" s="284"/>
      <c r="H20" s="301"/>
      <c r="I20" s="211"/>
      <c r="K20" s="302"/>
      <c r="L20" s="210"/>
      <c r="M20" s="284"/>
      <c r="N20" s="301"/>
      <c r="O20" s="86" t="e">
        <f t="shared" si="0"/>
        <v>#DIV/0!</v>
      </c>
      <c r="Q20" s="300"/>
      <c r="R20" s="210"/>
      <c r="S20" s="284"/>
      <c r="T20" s="301"/>
      <c r="U20" s="86" t="e">
        <f t="shared" si="1"/>
        <v>#DIV/0!</v>
      </c>
      <c r="V20" s="86"/>
      <c r="W20" s="300"/>
    </row>
    <row r="21" spans="2:23" ht="16.5" customHeight="1">
      <c r="B21" s="79"/>
      <c r="C21" s="79"/>
      <c r="D21" s="82">
        <v>45974</v>
      </c>
      <c r="E21" s="82" t="s">
        <v>163</v>
      </c>
      <c r="F21" s="210"/>
      <c r="G21" s="284"/>
      <c r="H21" s="301"/>
      <c r="I21" s="211"/>
      <c r="K21" s="302"/>
      <c r="L21" s="210"/>
      <c r="M21" s="284"/>
      <c r="N21" s="301"/>
      <c r="O21" s="86" t="e">
        <f t="shared" si="0"/>
        <v>#DIV/0!</v>
      </c>
      <c r="Q21" s="300"/>
      <c r="R21" s="210"/>
      <c r="S21" s="284"/>
      <c r="T21" s="301"/>
      <c r="U21" s="86" t="e">
        <f t="shared" si="1"/>
        <v>#DIV/0!</v>
      </c>
      <c r="V21" s="86"/>
      <c r="W21" s="300"/>
    </row>
    <row r="22" spans="2:23" ht="16.5" customHeight="1">
      <c r="B22" s="79"/>
      <c r="C22" s="79"/>
      <c r="D22" s="82">
        <v>45975</v>
      </c>
      <c r="E22" s="82" t="s">
        <v>164</v>
      </c>
      <c r="F22" s="210"/>
      <c r="G22" s="284"/>
      <c r="H22" s="301"/>
      <c r="I22" s="211"/>
      <c r="K22" s="302"/>
      <c r="L22" s="210"/>
      <c r="M22" s="284"/>
      <c r="N22" s="301"/>
      <c r="O22" s="86" t="e">
        <f t="shared" si="0"/>
        <v>#DIV/0!</v>
      </c>
      <c r="Q22" s="300"/>
      <c r="R22" s="210"/>
      <c r="S22" s="284"/>
      <c r="T22" s="301"/>
      <c r="U22" s="86" t="e">
        <f t="shared" si="1"/>
        <v>#DIV/0!</v>
      </c>
      <c r="V22" s="86"/>
      <c r="W22" s="300"/>
    </row>
    <row r="23" spans="2:23" ht="16.5" customHeight="1">
      <c r="B23" s="79"/>
      <c r="C23" s="79"/>
      <c r="D23" s="82">
        <v>45976</v>
      </c>
      <c r="E23" s="82" t="s">
        <v>165</v>
      </c>
      <c r="F23" s="210"/>
      <c r="G23" s="284"/>
      <c r="H23" s="301"/>
      <c r="I23" s="211"/>
      <c r="K23" s="302"/>
      <c r="L23" s="210"/>
      <c r="M23" s="284"/>
      <c r="N23" s="301"/>
      <c r="O23" s="86" t="e">
        <f t="shared" si="0"/>
        <v>#DIV/0!</v>
      </c>
      <c r="Q23" s="300"/>
      <c r="R23" s="210"/>
      <c r="S23" s="284"/>
      <c r="T23" s="301"/>
      <c r="U23" s="86" t="e">
        <f t="shared" si="1"/>
        <v>#DIV/0!</v>
      </c>
      <c r="V23" s="86"/>
      <c r="W23" s="300"/>
    </row>
    <row r="24" spans="2:23" ht="16.5" customHeight="1">
      <c r="B24" s="79"/>
      <c r="C24" s="79"/>
      <c r="D24" s="82">
        <v>45977</v>
      </c>
      <c r="E24" s="82" t="s">
        <v>166</v>
      </c>
      <c r="F24" s="210"/>
      <c r="G24" s="284"/>
      <c r="H24" s="301"/>
      <c r="I24" s="211"/>
      <c r="K24" s="302"/>
      <c r="L24" s="210"/>
      <c r="M24" s="284"/>
      <c r="N24" s="301"/>
      <c r="O24" s="86" t="e">
        <f t="shared" si="0"/>
        <v>#DIV/0!</v>
      </c>
      <c r="Q24" s="300"/>
      <c r="R24" s="210"/>
      <c r="S24" s="284"/>
      <c r="T24" s="301"/>
      <c r="U24" s="86" t="e">
        <f t="shared" si="1"/>
        <v>#DIV/0!</v>
      </c>
      <c r="V24" s="86"/>
      <c r="W24" s="300"/>
    </row>
    <row r="25" spans="2:23" ht="16.5" customHeight="1">
      <c r="B25" s="79"/>
      <c r="C25" s="79"/>
      <c r="D25" s="82">
        <v>45978</v>
      </c>
      <c r="E25" s="82" t="s">
        <v>167</v>
      </c>
      <c r="F25" s="210"/>
      <c r="G25" s="284"/>
      <c r="H25" s="301"/>
      <c r="I25" s="211"/>
      <c r="K25" s="302"/>
      <c r="L25" s="210"/>
      <c r="M25" s="284"/>
      <c r="N25" s="301"/>
      <c r="O25" s="86" t="e">
        <f t="shared" si="0"/>
        <v>#DIV/0!</v>
      </c>
      <c r="Q25" s="300"/>
      <c r="R25" s="210"/>
      <c r="S25" s="284"/>
      <c r="T25" s="301"/>
      <c r="U25" s="86" t="e">
        <f t="shared" si="1"/>
        <v>#DIV/0!</v>
      </c>
      <c r="V25" s="86"/>
      <c r="W25" s="300"/>
    </row>
    <row r="26" spans="2:23">
      <c r="B26" s="79"/>
      <c r="C26" s="79"/>
      <c r="D26" s="286">
        <v>45979</v>
      </c>
      <c r="E26" s="286" t="s">
        <v>161</v>
      </c>
      <c r="F26" s="210"/>
      <c r="G26" s="284">
        <f>SUM(F26:F32)</f>
        <v>0</v>
      </c>
      <c r="H26" s="301"/>
      <c r="I26" s="211"/>
      <c r="J26" s="84">
        <f>SUM(I26:I32)</f>
        <v>0</v>
      </c>
      <c r="K26" s="302"/>
      <c r="L26" s="210"/>
      <c r="M26" s="284">
        <f>SUM(L26:L32)</f>
        <v>0</v>
      </c>
      <c r="N26" s="301"/>
      <c r="O26" s="86" t="e">
        <f t="shared" si="0"/>
        <v>#DIV/0!</v>
      </c>
      <c r="P26" s="86" t="e">
        <f>M26/G26</f>
        <v>#DIV/0!</v>
      </c>
      <c r="Q26" s="300"/>
      <c r="R26" s="210"/>
      <c r="S26" s="284">
        <f>SUM(R26:R32)</f>
        <v>0</v>
      </c>
      <c r="T26" s="301"/>
      <c r="U26" s="86" t="e">
        <f t="shared" si="1"/>
        <v>#DIV/0!</v>
      </c>
      <c r="V26" s="86" t="e">
        <f>S26/G26</f>
        <v>#DIV/0!</v>
      </c>
      <c r="W26" s="300"/>
    </row>
    <row r="27" spans="2:23">
      <c r="B27" s="79"/>
      <c r="C27" s="79"/>
      <c r="D27" s="286">
        <v>45980</v>
      </c>
      <c r="E27" s="286" t="s">
        <v>162</v>
      </c>
      <c r="F27" s="210"/>
      <c r="G27" s="284"/>
      <c r="H27" s="301"/>
      <c r="I27" s="211"/>
      <c r="K27" s="302"/>
      <c r="L27" s="210"/>
      <c r="M27" s="284"/>
      <c r="N27" s="301"/>
      <c r="O27" s="86" t="e">
        <f t="shared" si="0"/>
        <v>#DIV/0!</v>
      </c>
      <c r="Q27" s="300"/>
      <c r="R27" s="210"/>
      <c r="S27" s="284"/>
      <c r="T27" s="301"/>
      <c r="U27" s="86" t="e">
        <f t="shared" si="1"/>
        <v>#DIV/0!</v>
      </c>
      <c r="V27" s="86"/>
      <c r="W27" s="300"/>
    </row>
    <row r="28" spans="2:23">
      <c r="B28" s="79"/>
      <c r="C28" s="79"/>
      <c r="D28" s="286">
        <v>45981</v>
      </c>
      <c r="E28" s="286" t="s">
        <v>163</v>
      </c>
      <c r="F28" s="210"/>
      <c r="G28" s="284"/>
      <c r="H28" s="301"/>
      <c r="I28" s="211"/>
      <c r="K28" s="302"/>
      <c r="L28" s="210"/>
      <c r="M28" s="284"/>
      <c r="N28" s="301"/>
      <c r="O28" s="86" t="e">
        <f t="shared" si="0"/>
        <v>#DIV/0!</v>
      </c>
      <c r="Q28" s="300"/>
      <c r="R28" s="210"/>
      <c r="S28" s="284"/>
      <c r="T28" s="301"/>
      <c r="U28" s="86" t="e">
        <f t="shared" si="1"/>
        <v>#DIV/0!</v>
      </c>
      <c r="V28" s="86"/>
      <c r="W28" s="300"/>
    </row>
    <row r="29" spans="2:23">
      <c r="B29" s="79"/>
      <c r="C29" s="79"/>
      <c r="D29" s="286">
        <v>45982</v>
      </c>
      <c r="E29" s="286" t="s">
        <v>164</v>
      </c>
      <c r="F29" s="210"/>
      <c r="G29" s="284"/>
      <c r="H29" s="301"/>
      <c r="I29" s="211"/>
      <c r="K29" s="302"/>
      <c r="L29" s="210"/>
      <c r="M29" s="284"/>
      <c r="N29" s="301"/>
      <c r="O29" s="86" t="e">
        <f t="shared" si="0"/>
        <v>#DIV/0!</v>
      </c>
      <c r="Q29" s="300"/>
      <c r="R29" s="210"/>
      <c r="S29" s="284"/>
      <c r="T29" s="301"/>
      <c r="U29" s="86" t="e">
        <f t="shared" si="1"/>
        <v>#DIV/0!</v>
      </c>
      <c r="V29" s="86"/>
      <c r="W29" s="300"/>
    </row>
    <row r="30" spans="2:23">
      <c r="B30" s="79"/>
      <c r="C30" s="79"/>
      <c r="D30" s="286">
        <v>45983</v>
      </c>
      <c r="E30" s="286" t="s">
        <v>165</v>
      </c>
      <c r="F30" s="210"/>
      <c r="G30" s="284"/>
      <c r="H30" s="301"/>
      <c r="I30" s="211"/>
      <c r="K30" s="302"/>
      <c r="L30" s="210"/>
      <c r="M30" s="284"/>
      <c r="N30" s="301"/>
      <c r="O30" s="86" t="e">
        <f t="shared" si="0"/>
        <v>#DIV/0!</v>
      </c>
      <c r="Q30" s="300"/>
      <c r="R30" s="210"/>
      <c r="S30" s="284"/>
      <c r="T30" s="301"/>
      <c r="U30" s="86" t="e">
        <f t="shared" si="1"/>
        <v>#DIV/0!</v>
      </c>
      <c r="V30" s="86"/>
      <c r="W30" s="300"/>
    </row>
    <row r="31" spans="2:23">
      <c r="B31" s="79"/>
      <c r="C31" s="79"/>
      <c r="D31" s="286">
        <v>45984</v>
      </c>
      <c r="E31" s="286" t="s">
        <v>166</v>
      </c>
      <c r="F31" s="210"/>
      <c r="G31" s="284"/>
      <c r="H31" s="301"/>
      <c r="I31" s="211"/>
      <c r="K31" s="302"/>
      <c r="L31" s="210"/>
      <c r="M31" s="284"/>
      <c r="N31" s="301"/>
      <c r="O31" s="86" t="e">
        <f t="shared" si="0"/>
        <v>#DIV/0!</v>
      </c>
      <c r="Q31" s="300"/>
      <c r="R31" s="210"/>
      <c r="S31" s="284"/>
      <c r="T31" s="301"/>
      <c r="U31" s="86" t="e">
        <f t="shared" si="1"/>
        <v>#DIV/0!</v>
      </c>
      <c r="V31" s="86"/>
      <c r="W31" s="300"/>
    </row>
    <row r="32" spans="2:23">
      <c r="B32" s="79"/>
      <c r="C32" s="79"/>
      <c r="D32" s="286">
        <v>45985</v>
      </c>
      <c r="E32" s="286" t="s">
        <v>167</v>
      </c>
      <c r="F32" s="210"/>
      <c r="G32" s="284"/>
      <c r="H32" s="301"/>
      <c r="I32" s="211"/>
      <c r="K32" s="302"/>
      <c r="L32" s="210"/>
      <c r="M32" s="284"/>
      <c r="N32" s="301"/>
      <c r="O32" s="86" t="e">
        <f t="shared" si="0"/>
        <v>#DIV/0!</v>
      </c>
      <c r="Q32" s="300"/>
      <c r="R32" s="210"/>
      <c r="S32" s="284"/>
      <c r="T32" s="301"/>
      <c r="U32" s="86" t="e">
        <f t="shared" si="1"/>
        <v>#DIV/0!</v>
      </c>
      <c r="V32" s="86"/>
      <c r="W32" s="300"/>
    </row>
    <row r="33" spans="2:23">
      <c r="B33" s="79"/>
      <c r="C33" s="79"/>
      <c r="D33" s="82">
        <v>45986</v>
      </c>
      <c r="E33" s="82" t="s">
        <v>161</v>
      </c>
      <c r="F33" s="210"/>
      <c r="G33" s="284">
        <f>SUM(F33:F39)</f>
        <v>0</v>
      </c>
      <c r="H33" s="301"/>
      <c r="I33" s="211"/>
      <c r="J33" s="84">
        <f>SUM(I33:I39)</f>
        <v>0</v>
      </c>
      <c r="K33" s="302"/>
      <c r="L33" s="210"/>
      <c r="M33" s="284">
        <f>SUM(L33:L39)</f>
        <v>0</v>
      </c>
      <c r="N33" s="301"/>
      <c r="O33" s="86" t="e">
        <f t="shared" si="0"/>
        <v>#DIV/0!</v>
      </c>
      <c r="P33" s="86" t="e">
        <f>M33/G33</f>
        <v>#DIV/0!</v>
      </c>
      <c r="Q33" s="300"/>
      <c r="R33" s="210"/>
      <c r="S33" s="284">
        <f>SUM(R33:R39)</f>
        <v>0</v>
      </c>
      <c r="T33" s="301"/>
      <c r="U33" s="86" t="e">
        <f t="shared" si="1"/>
        <v>#DIV/0!</v>
      </c>
      <c r="V33" s="86" t="e">
        <f>S33/G33</f>
        <v>#DIV/0!</v>
      </c>
      <c r="W33" s="300"/>
    </row>
    <row r="34" spans="2:23">
      <c r="B34" s="79"/>
      <c r="C34" s="79"/>
      <c r="D34" s="82">
        <v>45987</v>
      </c>
      <c r="E34" s="82" t="s">
        <v>162</v>
      </c>
      <c r="F34" s="210"/>
      <c r="G34" s="284"/>
      <c r="H34" s="301"/>
      <c r="I34" s="211"/>
      <c r="K34" s="302"/>
      <c r="L34" s="210"/>
      <c r="M34" s="284"/>
      <c r="N34" s="301"/>
      <c r="O34" s="86" t="e">
        <f t="shared" si="0"/>
        <v>#DIV/0!</v>
      </c>
      <c r="Q34" s="300"/>
      <c r="R34" s="210"/>
      <c r="S34" s="284"/>
      <c r="T34" s="301"/>
      <c r="U34" s="86" t="e">
        <f t="shared" si="1"/>
        <v>#DIV/0!</v>
      </c>
      <c r="V34" s="86"/>
      <c r="W34" s="300"/>
    </row>
    <row r="35" spans="2:23">
      <c r="B35" s="79"/>
      <c r="C35" s="79"/>
      <c r="D35" s="82">
        <v>45988</v>
      </c>
      <c r="E35" s="82" t="s">
        <v>163</v>
      </c>
      <c r="F35" s="210"/>
      <c r="G35" s="284"/>
      <c r="H35" s="301"/>
      <c r="I35" s="211"/>
      <c r="K35" s="302"/>
      <c r="L35" s="210"/>
      <c r="M35" s="284"/>
      <c r="N35" s="301"/>
      <c r="O35" s="86" t="e">
        <f t="shared" si="0"/>
        <v>#DIV/0!</v>
      </c>
      <c r="Q35" s="300"/>
      <c r="R35" s="210"/>
      <c r="S35" s="284"/>
      <c r="T35" s="301"/>
      <c r="U35" s="86" t="e">
        <f t="shared" si="1"/>
        <v>#DIV/0!</v>
      </c>
      <c r="V35" s="86"/>
      <c r="W35" s="300"/>
    </row>
    <row r="36" spans="2:23">
      <c r="B36" s="79"/>
      <c r="D36" s="82">
        <v>45989</v>
      </c>
      <c r="E36" s="82" t="s">
        <v>164</v>
      </c>
      <c r="F36" s="210"/>
      <c r="G36" s="284"/>
      <c r="I36" s="211"/>
      <c r="L36" s="210"/>
      <c r="M36" s="284"/>
      <c r="N36" s="83"/>
      <c r="O36" s="86" t="e">
        <f t="shared" si="0"/>
        <v>#DIV/0!</v>
      </c>
      <c r="Q36" s="83"/>
      <c r="R36" s="210"/>
      <c r="S36" s="284"/>
      <c r="T36" s="83"/>
      <c r="U36" s="86" t="e">
        <f t="shared" si="1"/>
        <v>#DIV/0!</v>
      </c>
      <c r="V36" s="86"/>
      <c r="W36" s="83"/>
    </row>
    <row r="37" spans="2:23">
      <c r="B37" s="79"/>
      <c r="D37" s="82">
        <v>45990</v>
      </c>
      <c r="E37" s="82" t="s">
        <v>165</v>
      </c>
      <c r="F37" s="210"/>
      <c r="G37" s="284"/>
      <c r="I37" s="211"/>
      <c r="L37" s="210"/>
      <c r="M37" s="284"/>
      <c r="N37" s="83"/>
      <c r="O37" s="86" t="e">
        <f t="shared" si="0"/>
        <v>#DIV/0!</v>
      </c>
      <c r="Q37" s="83"/>
      <c r="R37" s="210"/>
      <c r="S37" s="284"/>
      <c r="T37" s="83"/>
      <c r="U37" s="86" t="e">
        <f t="shared" si="1"/>
        <v>#DIV/0!</v>
      </c>
      <c r="V37" s="86"/>
      <c r="W37" s="83"/>
    </row>
    <row r="38" spans="2:23">
      <c r="B38" s="79"/>
      <c r="D38" s="82">
        <v>45991</v>
      </c>
      <c r="E38" s="82" t="s">
        <v>166</v>
      </c>
      <c r="F38" s="210"/>
      <c r="G38" s="284"/>
      <c r="I38" s="211"/>
      <c r="L38" s="210"/>
      <c r="M38" s="284"/>
      <c r="N38" s="83"/>
      <c r="O38" s="86" t="e">
        <f t="shared" si="0"/>
        <v>#DIV/0!</v>
      </c>
      <c r="Q38" s="83"/>
      <c r="R38" s="210"/>
      <c r="S38" s="284"/>
      <c r="T38" s="83"/>
      <c r="U38" s="86" t="e">
        <f t="shared" si="1"/>
        <v>#DIV/0!</v>
      </c>
      <c r="V38" s="86"/>
      <c r="W38" s="83"/>
    </row>
    <row r="39" spans="2:23">
      <c r="B39" s="79"/>
      <c r="D39" s="82">
        <v>45992</v>
      </c>
      <c r="E39" s="82" t="s">
        <v>167</v>
      </c>
      <c r="F39" s="210"/>
      <c r="G39" s="284"/>
      <c r="I39" s="211"/>
      <c r="L39" s="210"/>
      <c r="M39" s="284"/>
      <c r="N39" s="83"/>
      <c r="O39" s="86" t="e">
        <f>L39/F39</f>
        <v>#DIV/0!</v>
      </c>
      <c r="Q39" s="83"/>
      <c r="R39" s="210"/>
      <c r="S39" s="284"/>
      <c r="T39" s="83"/>
      <c r="U39" s="86" t="e">
        <f t="shared" si="1"/>
        <v>#DIV/0!</v>
      </c>
      <c r="V39" s="86"/>
      <c r="W39" s="83"/>
    </row>
    <row r="40" spans="2:23">
      <c r="B40" s="79"/>
      <c r="D40" s="82"/>
      <c r="E40" s="82"/>
      <c r="F40" s="210"/>
      <c r="G40" s="284"/>
      <c r="I40" s="211"/>
      <c r="L40" s="210"/>
      <c r="M40" s="284"/>
      <c r="N40" s="83"/>
      <c r="O40" s="86" t="e">
        <f>L40/F40</f>
        <v>#DIV/0!</v>
      </c>
      <c r="Q40" s="83"/>
      <c r="R40" s="212"/>
      <c r="S40" s="284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284"/>
      <c r="M41" s="284"/>
      <c r="N41" s="83"/>
      <c r="Q41" s="83"/>
      <c r="S41" s="284"/>
      <c r="T41" s="83"/>
      <c r="V41" s="86"/>
      <c r="W41" s="83"/>
    </row>
    <row r="42" spans="2:23">
      <c r="B42" s="79"/>
      <c r="D42" s="82"/>
      <c r="E42" s="82"/>
      <c r="G42" s="284"/>
      <c r="M42" s="284"/>
      <c r="N42" s="83"/>
      <c r="Q42" s="83"/>
      <c r="S42" s="284"/>
      <c r="T42" s="83"/>
      <c r="V42" s="86"/>
      <c r="W42" s="83"/>
    </row>
    <row r="43" spans="2:23">
      <c r="B43" s="79"/>
      <c r="D43" s="82"/>
      <c r="E43" s="82"/>
      <c r="G43" s="284"/>
      <c r="M43" s="284"/>
      <c r="N43" s="83"/>
      <c r="Q43" s="83"/>
      <c r="S43" s="284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U12" sqref="U12:U18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427" t="s">
        <v>169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4"/>
    </row>
    <row r="3" spans="2:23" s="71" customFormat="1" ht="23.45" customHeight="1">
      <c r="B3" s="79"/>
      <c r="C3" s="431" t="s">
        <v>149</v>
      </c>
      <c r="D3" s="432" t="s">
        <v>150</v>
      </c>
      <c r="E3" s="432"/>
      <c r="F3" s="435" t="s">
        <v>170</v>
      </c>
      <c r="G3" s="435"/>
      <c r="H3" s="435"/>
      <c r="I3" s="437" t="s">
        <v>171</v>
      </c>
      <c r="J3" s="437"/>
      <c r="K3" s="437"/>
      <c r="L3" s="436" t="s">
        <v>172</v>
      </c>
      <c r="M3" s="436"/>
      <c r="N3" s="436"/>
      <c r="O3" s="436" t="s">
        <v>173</v>
      </c>
      <c r="P3" s="436"/>
      <c r="Q3" s="436"/>
      <c r="R3" s="436" t="s">
        <v>174</v>
      </c>
      <c r="S3" s="436"/>
      <c r="T3" s="436"/>
      <c r="U3" s="436" t="s">
        <v>175</v>
      </c>
      <c r="V3" s="436"/>
      <c r="W3" s="436"/>
    </row>
    <row r="4" spans="2:23" ht="15.75">
      <c r="B4" s="79"/>
      <c r="C4" s="431"/>
      <c r="D4" s="432"/>
      <c r="E4" s="432"/>
      <c r="F4" s="81" t="s">
        <v>157</v>
      </c>
      <c r="G4" s="92" t="s">
        <v>176</v>
      </c>
      <c r="H4" s="92" t="s">
        <v>177</v>
      </c>
      <c r="I4" s="81" t="s">
        <v>157</v>
      </c>
      <c r="J4" s="91" t="s">
        <v>176</v>
      </c>
      <c r="K4" s="91" t="s">
        <v>177</v>
      </c>
      <c r="L4" s="81" t="s">
        <v>157</v>
      </c>
      <c r="M4" s="91" t="s">
        <v>176</v>
      </c>
      <c r="N4" s="91" t="s">
        <v>177</v>
      </c>
      <c r="O4" s="81" t="s">
        <v>157</v>
      </c>
      <c r="P4" s="91" t="s">
        <v>176</v>
      </c>
      <c r="Q4" s="91" t="s">
        <v>177</v>
      </c>
      <c r="R4" s="81" t="s">
        <v>157</v>
      </c>
      <c r="S4" s="91" t="s">
        <v>176</v>
      </c>
      <c r="T4" s="91" t="s">
        <v>177</v>
      </c>
      <c r="U4" s="81" t="s">
        <v>157</v>
      </c>
      <c r="V4" s="91" t="s">
        <v>176</v>
      </c>
      <c r="W4" s="91" t="s">
        <v>177</v>
      </c>
    </row>
    <row r="5" spans="2:23" ht="14.45" customHeight="1">
      <c r="B5" s="79"/>
      <c r="C5" s="79"/>
      <c r="D5" s="82">
        <v>45958</v>
      </c>
      <c r="E5" s="82" t="s">
        <v>161</v>
      </c>
      <c r="F5" s="209">
        <v>337.67254644529635</v>
      </c>
      <c r="G5" s="89">
        <f>AVERAGE(F5:F11)</f>
        <v>340.19678527438515</v>
      </c>
      <c r="H5" s="89"/>
      <c r="I5" s="86">
        <f>F5/$C$1</f>
        <v>0.92260258591611022</v>
      </c>
      <c r="J5" s="195">
        <f>AVERAGE(I5:I11)</f>
        <v>0.92949941331799224</v>
      </c>
      <c r="K5" s="195"/>
      <c r="L5" s="231">
        <v>2.4675466181968801E-3</v>
      </c>
      <c r="M5" s="285">
        <f>AVERAGE(L5:L11)</f>
        <v>2.4552868780055607E-3</v>
      </c>
      <c r="N5" s="285"/>
      <c r="O5" s="231">
        <v>2.1732369287074797E-3</v>
      </c>
      <c r="P5" s="285">
        <f>AVERAGE(O5:O11)</f>
        <v>2.2768681441727376E-3</v>
      </c>
      <c r="Q5" s="285"/>
      <c r="R5" s="231">
        <v>0.91666666666666663</v>
      </c>
      <c r="S5" s="285">
        <f>AVERAGE(R5:R11)</f>
        <v>0.91666666666666674</v>
      </c>
      <c r="T5" s="285"/>
      <c r="U5" s="231">
        <v>0.87</v>
      </c>
      <c r="V5" s="285">
        <f>AVERAGE(U5:U11)</f>
        <v>0.87342857142857144</v>
      </c>
      <c r="W5" s="285"/>
    </row>
    <row r="6" spans="2:23" ht="14.45" customHeight="1">
      <c r="B6" s="79"/>
      <c r="C6" s="79"/>
      <c r="D6" s="82">
        <v>45959</v>
      </c>
      <c r="E6" s="82" t="s">
        <v>162</v>
      </c>
      <c r="F6" s="209">
        <v>348.68157785060981</v>
      </c>
      <c r="G6" s="89"/>
      <c r="I6" s="86">
        <f t="shared" ref="I6:I39" si="0">F6/$C$1</f>
        <v>0.95268190669565522</v>
      </c>
      <c r="J6" s="195"/>
      <c r="L6" s="231">
        <v>2.4403743615424361E-3</v>
      </c>
      <c r="M6" s="285"/>
      <c r="O6" s="231">
        <v>2.2650323194061258E-3</v>
      </c>
      <c r="P6" s="285"/>
      <c r="R6" s="231">
        <v>0.91666666666666663</v>
      </c>
      <c r="S6" s="285"/>
      <c r="U6" s="231">
        <v>0.87</v>
      </c>
      <c r="V6" s="285"/>
    </row>
    <row r="7" spans="2:23" ht="14.45" customHeight="1">
      <c r="B7" s="79"/>
      <c r="C7" s="79"/>
      <c r="D7" s="82">
        <v>45960</v>
      </c>
      <c r="E7" s="82" t="s">
        <v>163</v>
      </c>
      <c r="F7" s="209">
        <v>331.92436544080971</v>
      </c>
      <c r="G7" s="89"/>
      <c r="H7" s="89"/>
      <c r="I7" s="86">
        <f t="shared" si="0"/>
        <v>0.90689717333554565</v>
      </c>
      <c r="J7" s="195"/>
      <c r="K7" s="195"/>
      <c r="L7" s="231">
        <v>2.469125673587382E-3</v>
      </c>
      <c r="M7" s="285"/>
      <c r="N7" s="285"/>
      <c r="O7" s="231">
        <v>2.2019024263624956E-3</v>
      </c>
      <c r="P7" s="285"/>
      <c r="Q7" s="285"/>
      <c r="R7" s="231">
        <v>0.91666666666666663</v>
      </c>
      <c r="S7" s="285"/>
      <c r="T7" s="285"/>
      <c r="U7" s="231">
        <v>0.872</v>
      </c>
      <c r="V7" s="285"/>
      <c r="W7" s="285"/>
    </row>
    <row r="8" spans="2:23" ht="14.45" customHeight="1">
      <c r="B8" s="79"/>
      <c r="C8" s="79"/>
      <c r="D8" s="82">
        <v>45961</v>
      </c>
      <c r="E8" s="82" t="s">
        <v>164</v>
      </c>
      <c r="F8" s="209">
        <v>334.50307097879181</v>
      </c>
      <c r="G8" s="89"/>
      <c r="H8" s="89"/>
      <c r="I8" s="86">
        <f t="shared" si="0"/>
        <v>0.91394281688194479</v>
      </c>
      <c r="J8" s="195"/>
      <c r="K8" s="195"/>
      <c r="L8" s="231">
        <v>2.4696227956717679E-3</v>
      </c>
      <c r="M8" s="285"/>
      <c r="N8" s="285"/>
      <c r="O8" s="231">
        <v>2.590848838213707E-3</v>
      </c>
      <c r="P8" s="285"/>
      <c r="Q8" s="285"/>
      <c r="R8" s="231">
        <v>0.91666666666666663</v>
      </c>
      <c r="S8" s="285"/>
      <c r="T8" s="285"/>
      <c r="U8" s="231">
        <v>0.872</v>
      </c>
      <c r="V8" s="285"/>
      <c r="W8" s="285"/>
    </row>
    <row r="9" spans="2:23" ht="14.45" customHeight="1">
      <c r="B9" s="79"/>
      <c r="C9" s="79"/>
      <c r="D9" s="82">
        <v>45962</v>
      </c>
      <c r="E9" s="82" t="s">
        <v>165</v>
      </c>
      <c r="F9" s="209">
        <v>337.32625478682797</v>
      </c>
      <c r="G9" s="89"/>
      <c r="H9" s="89">
        <f>AVERAGE(F9:F38)</f>
        <v>338.19876657367297</v>
      </c>
      <c r="I9" s="86">
        <f t="shared" si="0"/>
        <v>0.92165643384379226</v>
      </c>
      <c r="J9" s="195"/>
      <c r="K9" s="195">
        <f>AVERAGE(I9:I38)</f>
        <v>0.30801344860990248</v>
      </c>
      <c r="L9" s="231">
        <v>2.4398551151808114E-3</v>
      </c>
      <c r="M9" s="285"/>
      <c r="N9" s="285">
        <f>AVERAGE(L9:L38)</f>
        <v>2.4516729485914626E-3</v>
      </c>
      <c r="O9" s="231">
        <v>2.5790165111636261E-3</v>
      </c>
      <c r="P9" s="285"/>
      <c r="Q9" s="195">
        <f>AVERAGE(O9:O38)</f>
        <v>2.226457537889893E-3</v>
      </c>
      <c r="R9" s="231">
        <v>0.91666666666666663</v>
      </c>
      <c r="S9" s="285"/>
      <c r="T9" s="195">
        <f>AVERAGE(R9:R38)</f>
        <v>0.91666666666666663</v>
      </c>
      <c r="U9" s="231">
        <v>0.875</v>
      </c>
      <c r="V9" s="285"/>
      <c r="W9" s="195">
        <f>AVERAGE(U9:U38)</f>
        <v>0.88139999999999996</v>
      </c>
    </row>
    <row r="10" spans="2:23" ht="14.45" customHeight="1">
      <c r="B10" s="79"/>
      <c r="C10" s="79"/>
      <c r="D10" s="82">
        <v>45963</v>
      </c>
      <c r="E10" s="82" t="s">
        <v>166</v>
      </c>
      <c r="F10" s="209">
        <v>347.543771381883</v>
      </c>
      <c r="G10" s="89"/>
      <c r="H10" s="89"/>
      <c r="I10" s="86">
        <f t="shared" si="0"/>
        <v>0.94957314585213937</v>
      </c>
      <c r="J10" s="195"/>
      <c r="K10" s="195"/>
      <c r="L10" s="231">
        <v>2.4331814430398444E-3</v>
      </c>
      <c r="M10" s="285"/>
      <c r="N10" s="285"/>
      <c r="O10" s="231">
        <v>2.0004282824688693E-3</v>
      </c>
      <c r="P10" s="285"/>
      <c r="Q10" s="285"/>
      <c r="R10" s="231">
        <v>0.91666666666666663</v>
      </c>
      <c r="S10" s="285"/>
      <c r="T10" s="285"/>
      <c r="U10" s="231">
        <v>0.875</v>
      </c>
      <c r="V10" s="285"/>
      <c r="W10" s="285"/>
    </row>
    <row r="11" spans="2:23" ht="14.45" customHeight="1">
      <c r="B11" s="79"/>
      <c r="C11" s="79"/>
      <c r="D11" s="82">
        <v>45964</v>
      </c>
      <c r="E11" s="82" t="s">
        <v>167</v>
      </c>
      <c r="F11" s="209">
        <v>343.72591003647744</v>
      </c>
      <c r="G11" s="89"/>
      <c r="H11" s="89"/>
      <c r="I11" s="86">
        <f t="shared" si="0"/>
        <v>0.93914183070075807</v>
      </c>
      <c r="J11" s="195"/>
      <c r="K11" s="195"/>
      <c r="L11" s="231">
        <v>2.4673021388198031E-3</v>
      </c>
      <c r="M11" s="285"/>
      <c r="N11" s="285"/>
      <c r="O11" s="231">
        <v>2.1276117028868596E-3</v>
      </c>
      <c r="P11" s="285"/>
      <c r="Q11" s="285"/>
      <c r="R11" s="231">
        <v>0.91666666666666663</v>
      </c>
      <c r="S11" s="285"/>
      <c r="T11" s="285"/>
      <c r="U11" s="231">
        <v>0.88</v>
      </c>
      <c r="V11" s="285"/>
      <c r="W11" s="285"/>
    </row>
    <row r="12" spans="2:23" ht="14.45" customHeight="1">
      <c r="B12" s="79"/>
      <c r="C12" s="79"/>
      <c r="D12" s="286">
        <v>45965</v>
      </c>
      <c r="E12" s="286" t="s">
        <v>161</v>
      </c>
      <c r="F12" s="209">
        <v>335.91131081802013</v>
      </c>
      <c r="G12" s="89">
        <f>AVERAGE(F12:F18)</f>
        <v>336.19881850450582</v>
      </c>
      <c r="H12" s="89"/>
      <c r="I12" s="86">
        <f t="shared" si="0"/>
        <v>0.91779046671590203</v>
      </c>
      <c r="J12" s="195">
        <f>AVERAGE(I12:I18)</f>
        <v>0.91857600684291207</v>
      </c>
      <c r="K12" s="195"/>
      <c r="L12" s="231">
        <v>2.470415083669682E-3</v>
      </c>
      <c r="M12" s="285">
        <f>AVERAGE(L12:L18)</f>
        <v>2.4537701126963094E-3</v>
      </c>
      <c r="N12" s="285"/>
      <c r="O12" s="231">
        <v>2.2034513869182517E-3</v>
      </c>
      <c r="P12" s="285">
        <f>AVERAGE(O12:O18)</f>
        <v>2.2225026974827962E-3</v>
      </c>
      <c r="Q12" s="285"/>
      <c r="R12" s="231">
        <v>0.91666666666666663</v>
      </c>
      <c r="S12" s="285">
        <f>AVERAGE(R12:R18)</f>
        <v>0.91666666666666674</v>
      </c>
      <c r="T12" s="285"/>
      <c r="U12" s="231">
        <v>0.88</v>
      </c>
      <c r="V12" s="285">
        <f>AVERAGE(U12:U18)</f>
        <v>0.88342857142857145</v>
      </c>
      <c r="W12" s="285"/>
    </row>
    <row r="13" spans="2:23" ht="14.45" customHeight="1">
      <c r="B13" s="79"/>
      <c r="C13" s="79"/>
      <c r="D13" s="286">
        <v>45966</v>
      </c>
      <c r="E13" s="286" t="s">
        <v>162</v>
      </c>
      <c r="F13" s="209">
        <v>337.18721214513744</v>
      </c>
      <c r="G13" s="89"/>
      <c r="H13" s="89"/>
      <c r="I13" s="86">
        <f t="shared" si="0"/>
        <v>0.92127653591567604</v>
      </c>
      <c r="J13" s="195"/>
      <c r="K13" s="195"/>
      <c r="L13" s="231">
        <v>2.4442860803082366E-3</v>
      </c>
      <c r="M13" s="285"/>
      <c r="N13" s="285"/>
      <c r="O13" s="231">
        <v>2.3871310185579202E-3</v>
      </c>
      <c r="P13" s="285"/>
      <c r="Q13" s="285"/>
      <c r="R13" s="231">
        <v>0.91666666666666663</v>
      </c>
      <c r="S13" s="285"/>
      <c r="T13" s="285"/>
      <c r="U13" s="231">
        <v>0.88200000000000001</v>
      </c>
      <c r="V13" s="285"/>
      <c r="W13" s="285"/>
    </row>
    <row r="14" spans="2:23" ht="14.45" customHeight="1">
      <c r="B14" s="79"/>
      <c r="C14" s="79"/>
      <c r="D14" s="286">
        <v>45967</v>
      </c>
      <c r="E14" s="286" t="s">
        <v>163</v>
      </c>
      <c r="F14" s="209">
        <v>328.8584016336535</v>
      </c>
      <c r="G14" s="89"/>
      <c r="H14" s="89"/>
      <c r="I14" s="86">
        <f t="shared" si="0"/>
        <v>0.89852022304276913</v>
      </c>
      <c r="J14" s="195"/>
      <c r="K14" s="195"/>
      <c r="L14" s="231">
        <v>2.4303205396471327E-3</v>
      </c>
      <c r="M14" s="285"/>
      <c r="N14" s="285"/>
      <c r="O14" s="231">
        <v>2.0583738040949669E-3</v>
      </c>
      <c r="P14" s="285"/>
      <c r="Q14" s="285"/>
      <c r="R14" s="231">
        <v>0.91666666666666663</v>
      </c>
      <c r="S14" s="285"/>
      <c r="T14" s="285"/>
      <c r="U14" s="231">
        <v>0.88200000000000001</v>
      </c>
      <c r="V14" s="285"/>
      <c r="W14" s="285"/>
    </row>
    <row r="15" spans="2:23" ht="14.45" customHeight="1">
      <c r="B15" s="79"/>
      <c r="C15" s="79"/>
      <c r="D15" s="286">
        <v>45968</v>
      </c>
      <c r="E15" s="286" t="s">
        <v>164</v>
      </c>
      <c r="F15" s="209">
        <v>336.21897775485053</v>
      </c>
      <c r="G15" s="89"/>
      <c r="H15" s="89"/>
      <c r="I15" s="86">
        <f t="shared" si="0"/>
        <v>0.91863108676188665</v>
      </c>
      <c r="J15" s="195"/>
      <c r="K15" s="195"/>
      <c r="L15" s="231">
        <v>2.4703313001461389E-3</v>
      </c>
      <c r="M15" s="285"/>
      <c r="N15" s="285"/>
      <c r="O15" s="231">
        <v>2.3574054577366523E-3</v>
      </c>
      <c r="P15" s="285"/>
      <c r="Q15" s="285"/>
      <c r="R15" s="231">
        <v>0.91666666666666663</v>
      </c>
      <c r="S15" s="285"/>
      <c r="T15" s="285"/>
      <c r="U15" s="231">
        <v>0.88400000000000001</v>
      </c>
      <c r="V15" s="285"/>
      <c r="W15" s="285"/>
    </row>
    <row r="16" spans="2:23" ht="14.45" customHeight="1">
      <c r="B16" s="79"/>
      <c r="C16" s="79"/>
      <c r="D16" s="286">
        <v>45969</v>
      </c>
      <c r="E16" s="286" t="s">
        <v>165</v>
      </c>
      <c r="F16" s="209">
        <v>339.79293246662274</v>
      </c>
      <c r="G16" s="89"/>
      <c r="H16" s="89"/>
      <c r="I16" s="86">
        <f t="shared" si="0"/>
        <v>0.92839599034596376</v>
      </c>
      <c r="J16" s="195"/>
      <c r="K16" s="195"/>
      <c r="L16" s="231">
        <v>2.4601316239111085E-3</v>
      </c>
      <c r="M16" s="285"/>
      <c r="N16" s="285"/>
      <c r="O16" s="231">
        <v>2.3325595448536454E-3</v>
      </c>
      <c r="P16" s="285"/>
      <c r="Q16" s="285"/>
      <c r="R16" s="231">
        <v>0.91666666666666663</v>
      </c>
      <c r="S16" s="285"/>
      <c r="T16" s="285"/>
      <c r="U16" s="231">
        <v>0.88400000000000001</v>
      </c>
      <c r="V16" s="285"/>
      <c r="W16" s="285"/>
    </row>
    <row r="17" spans="2:23" ht="14.45" customHeight="1">
      <c r="B17" s="79"/>
      <c r="C17" s="79"/>
      <c r="D17" s="286">
        <v>45970</v>
      </c>
      <c r="E17" s="286" t="s">
        <v>166</v>
      </c>
      <c r="F17" s="209">
        <v>335.34657406810624</v>
      </c>
      <c r="G17" s="89"/>
      <c r="H17" s="89"/>
      <c r="I17" s="86">
        <f t="shared" si="0"/>
        <v>0.91624747013143781</v>
      </c>
      <c r="J17" s="195"/>
      <c r="K17" s="195"/>
      <c r="L17" s="231">
        <v>2.4613287655126724E-3</v>
      </c>
      <c r="M17" s="285"/>
      <c r="N17" s="285"/>
      <c r="O17" s="231">
        <v>2.1483471656224698E-3</v>
      </c>
      <c r="P17" s="285"/>
      <c r="Q17" s="285"/>
      <c r="R17" s="231">
        <v>0.91666666666666663</v>
      </c>
      <c r="S17" s="285"/>
      <c r="T17" s="285"/>
      <c r="U17" s="231">
        <v>0.88600000000000001</v>
      </c>
      <c r="V17" s="285"/>
      <c r="W17" s="285"/>
    </row>
    <row r="18" spans="2:23" ht="14.45" customHeight="1">
      <c r="B18" s="79"/>
      <c r="C18" s="79"/>
      <c r="D18" s="286">
        <v>45971</v>
      </c>
      <c r="E18" s="286" t="s">
        <v>167</v>
      </c>
      <c r="F18" s="209">
        <v>340.0763206451503</v>
      </c>
      <c r="G18" s="89"/>
      <c r="H18" s="89"/>
      <c r="I18" s="86">
        <f t="shared" si="0"/>
        <v>0.92917027498674942</v>
      </c>
      <c r="J18" s="195"/>
      <c r="K18" s="195"/>
      <c r="L18" s="231">
        <v>2.4395773956791974E-3</v>
      </c>
      <c r="M18" s="285"/>
      <c r="N18" s="285"/>
      <c r="O18" s="231">
        <v>2.0702505045956691E-3</v>
      </c>
      <c r="P18" s="285"/>
      <c r="Q18" s="285"/>
      <c r="R18" s="231">
        <v>0.91666666666666663</v>
      </c>
      <c r="S18" s="285"/>
      <c r="T18" s="285"/>
      <c r="U18" s="231">
        <v>0.88600000000000001</v>
      </c>
      <c r="V18" s="285"/>
      <c r="W18" s="285"/>
    </row>
    <row r="19" spans="2:23" ht="14.45" customHeight="1">
      <c r="B19" s="79"/>
      <c r="C19" s="79"/>
      <c r="D19" s="82">
        <v>45972</v>
      </c>
      <c r="E19" s="82" t="s">
        <v>161</v>
      </c>
      <c r="F19" s="209"/>
      <c r="G19" s="89" t="e">
        <f>AVERAGE(F19:F25)</f>
        <v>#DIV/0!</v>
      </c>
      <c r="H19" s="89"/>
      <c r="I19" s="86">
        <f t="shared" si="0"/>
        <v>0</v>
      </c>
      <c r="J19" s="195">
        <f>AVERAGE(I19:I25)</f>
        <v>0</v>
      </c>
      <c r="K19" s="195"/>
      <c r="L19" s="231"/>
      <c r="M19" s="285" t="e">
        <f>AVERAGE(L19:L25)</f>
        <v>#DIV/0!</v>
      </c>
      <c r="N19" s="285"/>
      <c r="O19" s="231"/>
      <c r="P19" s="285" t="e">
        <f>AVERAGE(O19:O25)</f>
        <v>#DIV/0!</v>
      </c>
      <c r="Q19" s="285"/>
      <c r="R19" s="231"/>
      <c r="S19" s="285" t="e">
        <f>AVERAGE(R19:R25)</f>
        <v>#DIV/0!</v>
      </c>
      <c r="T19" s="285"/>
      <c r="U19" s="231"/>
      <c r="V19" s="285" t="e">
        <f>AVERAGE(U19:U25)</f>
        <v>#DIV/0!</v>
      </c>
      <c r="W19" s="285"/>
    </row>
    <row r="20" spans="2:23" ht="14.45" customHeight="1">
      <c r="B20" s="79"/>
      <c r="C20" s="79"/>
      <c r="D20" s="82">
        <v>45973</v>
      </c>
      <c r="E20" s="82" t="s">
        <v>162</v>
      </c>
      <c r="F20" s="209"/>
      <c r="G20" s="89"/>
      <c r="H20" s="89"/>
      <c r="I20" s="86">
        <f t="shared" si="0"/>
        <v>0</v>
      </c>
      <c r="J20" s="195"/>
      <c r="K20" s="195"/>
      <c r="L20" s="231"/>
      <c r="M20" s="285"/>
      <c r="N20" s="285"/>
      <c r="O20" s="231"/>
      <c r="P20" s="285"/>
      <c r="Q20" s="285"/>
      <c r="R20" s="231"/>
      <c r="S20" s="285"/>
      <c r="T20" s="285"/>
      <c r="U20" s="231"/>
      <c r="V20" s="285"/>
      <c r="W20" s="285"/>
    </row>
    <row r="21" spans="2:23" ht="14.45" customHeight="1">
      <c r="B21" s="79"/>
      <c r="C21" s="79"/>
      <c r="D21" s="82">
        <v>45974</v>
      </c>
      <c r="E21" s="82" t="s">
        <v>163</v>
      </c>
      <c r="F21" s="209"/>
      <c r="G21" s="89"/>
      <c r="H21" s="89"/>
      <c r="I21" s="86">
        <f t="shared" si="0"/>
        <v>0</v>
      </c>
      <c r="J21" s="195"/>
      <c r="K21" s="195"/>
      <c r="L21" s="231"/>
      <c r="M21" s="285"/>
      <c r="N21" s="285"/>
      <c r="O21" s="231"/>
      <c r="P21" s="285"/>
      <c r="Q21" s="285"/>
      <c r="R21" s="231"/>
      <c r="S21" s="285"/>
      <c r="T21" s="285"/>
      <c r="U21" s="231"/>
      <c r="V21" s="285"/>
      <c r="W21" s="285"/>
    </row>
    <row r="22" spans="2:23" ht="14.45" customHeight="1">
      <c r="B22" s="79"/>
      <c r="C22" s="79"/>
      <c r="D22" s="82">
        <v>45975</v>
      </c>
      <c r="E22" s="82" t="s">
        <v>164</v>
      </c>
      <c r="F22" s="209"/>
      <c r="G22" s="89"/>
      <c r="H22" s="89"/>
      <c r="I22" s="86">
        <f t="shared" si="0"/>
        <v>0</v>
      </c>
      <c r="J22" s="195"/>
      <c r="K22" s="195"/>
      <c r="L22" s="231"/>
      <c r="M22" s="285"/>
      <c r="N22" s="285"/>
      <c r="O22" s="231"/>
      <c r="P22" s="285"/>
      <c r="Q22" s="285"/>
      <c r="R22" s="231"/>
      <c r="S22" s="285"/>
      <c r="T22" s="285"/>
      <c r="U22" s="231"/>
      <c r="V22" s="285"/>
      <c r="W22" s="285"/>
    </row>
    <row r="23" spans="2:23" ht="14.45" customHeight="1">
      <c r="B23" s="79"/>
      <c r="C23" s="79"/>
      <c r="D23" s="82">
        <v>45976</v>
      </c>
      <c r="E23" s="82" t="s">
        <v>165</v>
      </c>
      <c r="F23" s="209"/>
      <c r="G23" s="89"/>
      <c r="H23" s="89"/>
      <c r="I23" s="86">
        <f t="shared" si="0"/>
        <v>0</v>
      </c>
      <c r="J23" s="195"/>
      <c r="K23" s="195"/>
      <c r="L23" s="231"/>
      <c r="M23" s="285"/>
      <c r="N23" s="285"/>
      <c r="O23" s="231"/>
      <c r="P23" s="285"/>
      <c r="Q23" s="285"/>
      <c r="R23" s="231"/>
      <c r="S23" s="285"/>
      <c r="T23" s="285"/>
      <c r="U23" s="231"/>
      <c r="V23" s="285"/>
      <c r="W23" s="285"/>
    </row>
    <row r="24" spans="2:23" ht="14.45" customHeight="1">
      <c r="B24" s="79"/>
      <c r="C24" s="79"/>
      <c r="D24" s="82">
        <v>45977</v>
      </c>
      <c r="E24" s="82" t="s">
        <v>166</v>
      </c>
      <c r="F24" s="209"/>
      <c r="G24" s="89"/>
      <c r="H24" s="89"/>
      <c r="I24" s="86">
        <f t="shared" si="0"/>
        <v>0</v>
      </c>
      <c r="J24" s="195"/>
      <c r="K24" s="195"/>
      <c r="L24" s="231"/>
      <c r="M24" s="285"/>
      <c r="N24" s="285"/>
      <c r="O24" s="231"/>
      <c r="P24" s="285"/>
      <c r="Q24" s="285"/>
      <c r="R24" s="231"/>
      <c r="S24" s="285"/>
      <c r="T24" s="285"/>
      <c r="U24" s="231"/>
      <c r="V24" s="285"/>
      <c r="W24" s="285"/>
    </row>
    <row r="25" spans="2:23" ht="14.45" customHeight="1">
      <c r="B25" s="79"/>
      <c r="C25" s="79"/>
      <c r="D25" s="82">
        <v>45978</v>
      </c>
      <c r="E25" s="82" t="s">
        <v>167</v>
      </c>
      <c r="F25" s="209"/>
      <c r="G25" s="89"/>
      <c r="H25" s="89"/>
      <c r="I25" s="86">
        <f t="shared" si="0"/>
        <v>0</v>
      </c>
      <c r="J25" s="195"/>
      <c r="K25" s="195"/>
      <c r="L25" s="231"/>
      <c r="M25" s="285"/>
      <c r="N25" s="285"/>
      <c r="O25" s="231"/>
      <c r="P25" s="285"/>
      <c r="Q25" s="285"/>
      <c r="R25" s="231"/>
      <c r="S25" s="285"/>
      <c r="T25" s="285"/>
      <c r="U25" s="231"/>
      <c r="V25" s="285"/>
      <c r="W25" s="285"/>
    </row>
    <row r="26" spans="2:23" ht="14.45" customHeight="1">
      <c r="B26" s="79"/>
      <c r="C26" s="79"/>
      <c r="D26" s="286">
        <v>45979</v>
      </c>
      <c r="E26" s="286" t="s">
        <v>161</v>
      </c>
      <c r="F26" s="209"/>
      <c r="G26" s="89" t="e">
        <f>AVERAGE(F26:F32)</f>
        <v>#DIV/0!</v>
      </c>
      <c r="H26" s="89"/>
      <c r="I26" s="86">
        <f t="shared" si="0"/>
        <v>0</v>
      </c>
      <c r="J26" s="195">
        <f>AVERAGE(I26:I32)</f>
        <v>0</v>
      </c>
      <c r="K26" s="195"/>
      <c r="L26" s="231"/>
      <c r="M26" s="285" t="e">
        <f>AVERAGE(L26:L32)</f>
        <v>#DIV/0!</v>
      </c>
      <c r="N26" s="285"/>
      <c r="O26" s="231"/>
      <c r="P26" s="285" t="e">
        <f>AVERAGE(O26:O32)</f>
        <v>#DIV/0!</v>
      </c>
      <c r="Q26" s="285"/>
      <c r="R26" s="231"/>
      <c r="S26" s="285" t="e">
        <f>AVERAGE(R26:R32)</f>
        <v>#DIV/0!</v>
      </c>
      <c r="T26" s="285"/>
      <c r="U26" s="231"/>
      <c r="V26" s="285" t="e">
        <f>AVERAGE(U26:U32)</f>
        <v>#DIV/0!</v>
      </c>
      <c r="W26" s="285"/>
    </row>
    <row r="27" spans="2:23" ht="14.45" customHeight="1">
      <c r="B27" s="79"/>
      <c r="C27" s="79"/>
      <c r="D27" s="286">
        <v>45980</v>
      </c>
      <c r="E27" s="286" t="s">
        <v>162</v>
      </c>
      <c r="F27" s="209"/>
      <c r="G27" s="89"/>
      <c r="H27" s="89"/>
      <c r="I27" s="86">
        <f t="shared" si="0"/>
        <v>0</v>
      </c>
      <c r="J27" s="195"/>
      <c r="K27" s="195"/>
      <c r="L27" s="231"/>
      <c r="M27" s="285"/>
      <c r="N27" s="285"/>
      <c r="O27" s="231"/>
      <c r="P27" s="285"/>
      <c r="Q27" s="285"/>
      <c r="R27" s="231"/>
      <c r="S27" s="285"/>
      <c r="T27" s="285"/>
      <c r="U27" s="231"/>
      <c r="V27" s="285"/>
      <c r="W27" s="285"/>
    </row>
    <row r="28" spans="2:23" ht="14.45" customHeight="1">
      <c r="B28" s="79"/>
      <c r="C28" s="79"/>
      <c r="D28" s="286">
        <v>45981</v>
      </c>
      <c r="E28" s="286" t="s">
        <v>163</v>
      </c>
      <c r="F28" s="209"/>
      <c r="G28" s="89"/>
      <c r="H28" s="89"/>
      <c r="I28" s="86">
        <f t="shared" si="0"/>
        <v>0</v>
      </c>
      <c r="J28" s="195"/>
      <c r="K28" s="195"/>
      <c r="L28" s="231"/>
      <c r="M28" s="285"/>
      <c r="N28" s="285"/>
      <c r="O28" s="231"/>
      <c r="P28" s="285"/>
      <c r="Q28" s="285"/>
      <c r="R28" s="231"/>
      <c r="S28" s="285"/>
      <c r="T28" s="285"/>
      <c r="U28" s="231"/>
      <c r="V28" s="285"/>
      <c r="W28" s="285"/>
    </row>
    <row r="29" spans="2:23" ht="14.45" customHeight="1">
      <c r="B29" s="79"/>
      <c r="C29" s="79"/>
      <c r="D29" s="286">
        <v>45982</v>
      </c>
      <c r="E29" s="286" t="s">
        <v>164</v>
      </c>
      <c r="F29" s="209"/>
      <c r="G29" s="89"/>
      <c r="H29" s="89"/>
      <c r="I29" s="86">
        <f t="shared" si="0"/>
        <v>0</v>
      </c>
      <c r="J29" s="195"/>
      <c r="K29" s="195"/>
      <c r="L29" s="231"/>
      <c r="M29" s="285"/>
      <c r="N29" s="285"/>
      <c r="O29" s="231"/>
      <c r="P29" s="285"/>
      <c r="Q29" s="285"/>
      <c r="R29" s="231"/>
      <c r="S29" s="285"/>
      <c r="T29" s="285"/>
      <c r="U29" s="231"/>
      <c r="V29" s="285"/>
      <c r="W29" s="285"/>
    </row>
    <row r="30" spans="2:23" ht="14.45" customHeight="1">
      <c r="B30" s="79"/>
      <c r="C30" s="79"/>
      <c r="D30" s="286">
        <v>45983</v>
      </c>
      <c r="E30" s="286" t="s">
        <v>165</v>
      </c>
      <c r="F30" s="209"/>
      <c r="G30" s="89"/>
      <c r="H30" s="89"/>
      <c r="I30" s="86">
        <f t="shared" si="0"/>
        <v>0</v>
      </c>
      <c r="J30" s="195"/>
      <c r="K30" s="195"/>
      <c r="L30" s="231"/>
      <c r="M30" s="285"/>
      <c r="N30" s="285"/>
      <c r="O30" s="231"/>
      <c r="P30" s="285"/>
      <c r="Q30" s="285"/>
      <c r="R30" s="231"/>
      <c r="S30" s="285"/>
      <c r="T30" s="285"/>
      <c r="U30" s="231"/>
      <c r="V30" s="285"/>
      <c r="W30" s="285"/>
    </row>
    <row r="31" spans="2:23" ht="14.45" customHeight="1">
      <c r="B31" s="79"/>
      <c r="C31" s="79"/>
      <c r="D31" s="286">
        <v>45984</v>
      </c>
      <c r="E31" s="286" t="s">
        <v>166</v>
      </c>
      <c r="F31" s="209"/>
      <c r="G31" s="89"/>
      <c r="H31" s="89"/>
      <c r="I31" s="86">
        <f t="shared" si="0"/>
        <v>0</v>
      </c>
      <c r="J31" s="195"/>
      <c r="K31" s="195"/>
      <c r="L31" s="231"/>
      <c r="M31" s="285"/>
      <c r="N31" s="285"/>
      <c r="O31" s="231"/>
      <c r="P31" s="285"/>
      <c r="Q31" s="285"/>
      <c r="R31" s="231"/>
      <c r="S31" s="285"/>
      <c r="T31" s="285"/>
      <c r="U31" s="231"/>
      <c r="V31" s="285"/>
      <c r="W31" s="285"/>
    </row>
    <row r="32" spans="2:23" ht="14.45" customHeight="1">
      <c r="B32" s="79"/>
      <c r="C32" s="79"/>
      <c r="D32" s="286">
        <v>45985</v>
      </c>
      <c r="E32" s="286" t="s">
        <v>167</v>
      </c>
      <c r="F32" s="209"/>
      <c r="G32" s="89"/>
      <c r="H32" s="89"/>
      <c r="I32" s="86">
        <f t="shared" si="0"/>
        <v>0</v>
      </c>
      <c r="J32" s="195"/>
      <c r="K32" s="195"/>
      <c r="L32" s="231"/>
      <c r="M32" s="285"/>
      <c r="N32" s="285"/>
      <c r="O32" s="231"/>
      <c r="P32" s="285"/>
      <c r="Q32" s="285"/>
      <c r="R32" s="231"/>
      <c r="S32" s="285"/>
      <c r="T32" s="285"/>
      <c r="U32" s="231"/>
      <c r="V32" s="285"/>
      <c r="W32" s="285"/>
    </row>
    <row r="33" spans="2:23" ht="14.45" customHeight="1">
      <c r="B33" s="79"/>
      <c r="C33" s="79"/>
      <c r="D33" s="82">
        <v>45986</v>
      </c>
      <c r="E33" s="82" t="s">
        <v>161</v>
      </c>
      <c r="F33" s="209"/>
      <c r="G33" s="89" t="e">
        <f>AVERAGE(F33:F39)</f>
        <v>#DIV/0!</v>
      </c>
      <c r="H33" s="89"/>
      <c r="I33" s="86">
        <f t="shared" si="0"/>
        <v>0</v>
      </c>
      <c r="J33" s="195">
        <f>AVERAGE(I33:I39)</f>
        <v>0</v>
      </c>
      <c r="K33" s="195"/>
      <c r="L33" s="231"/>
      <c r="M33" s="285" t="e">
        <f>AVERAGE(L33:L39)</f>
        <v>#DIV/0!</v>
      </c>
      <c r="N33" s="285"/>
      <c r="O33" s="231"/>
      <c r="P33" s="285" t="e">
        <f>AVERAGE(O33:O39)</f>
        <v>#DIV/0!</v>
      </c>
      <c r="Q33" s="285"/>
      <c r="R33" s="213"/>
      <c r="S33" s="285" t="e">
        <f>AVERAGE(R33:R39)</f>
        <v>#DIV/0!</v>
      </c>
      <c r="T33" s="285"/>
      <c r="U33" s="213"/>
      <c r="V33" s="285" t="e">
        <f>AVERAGE(U33:U39)</f>
        <v>#DIV/0!</v>
      </c>
      <c r="W33" s="285"/>
    </row>
    <row r="34" spans="2:23" ht="14.45" customHeight="1">
      <c r="B34" s="79"/>
      <c r="C34" s="79"/>
      <c r="D34" s="82">
        <v>45987</v>
      </c>
      <c r="E34" s="82" t="s">
        <v>162</v>
      </c>
      <c r="F34" s="209"/>
      <c r="G34" s="89"/>
      <c r="H34" s="89"/>
      <c r="I34" s="86">
        <f t="shared" si="0"/>
        <v>0</v>
      </c>
      <c r="J34" s="195"/>
      <c r="K34" s="195"/>
      <c r="L34" s="231"/>
      <c r="M34" s="285"/>
      <c r="N34" s="285"/>
      <c r="O34" s="231"/>
      <c r="P34" s="285"/>
      <c r="Q34" s="285"/>
      <c r="R34" s="213"/>
      <c r="S34" s="285"/>
      <c r="T34" s="285"/>
      <c r="U34" s="213"/>
      <c r="V34" s="285"/>
      <c r="W34" s="285"/>
    </row>
    <row r="35" spans="2:23">
      <c r="B35" s="79"/>
      <c r="C35" s="79"/>
      <c r="D35" s="82">
        <v>45988</v>
      </c>
      <c r="E35" s="82" t="s">
        <v>163</v>
      </c>
      <c r="F35" s="209"/>
      <c r="G35" s="89"/>
      <c r="H35" s="89"/>
      <c r="I35" s="86">
        <f t="shared" si="0"/>
        <v>0</v>
      </c>
      <c r="J35" s="195"/>
      <c r="K35" s="195"/>
      <c r="L35" s="231"/>
      <c r="M35" s="86"/>
      <c r="N35" s="285"/>
      <c r="O35" s="231"/>
      <c r="P35" s="86"/>
      <c r="Q35" s="285"/>
      <c r="R35" s="213"/>
      <c r="S35" s="195"/>
      <c r="T35" s="195"/>
      <c r="U35" s="213"/>
      <c r="V35" s="195"/>
      <c r="W35" s="195"/>
    </row>
    <row r="36" spans="2:23">
      <c r="B36" s="79"/>
      <c r="D36" s="82">
        <v>45989</v>
      </c>
      <c r="E36" s="82" t="s">
        <v>164</v>
      </c>
      <c r="F36" s="209"/>
      <c r="G36" s="89"/>
      <c r="H36" s="89"/>
      <c r="I36" s="86">
        <f t="shared" si="0"/>
        <v>0</v>
      </c>
      <c r="J36" s="195"/>
      <c r="K36" s="83"/>
      <c r="L36" s="231"/>
      <c r="M36" s="86"/>
      <c r="N36" s="86"/>
      <c r="O36" s="231"/>
      <c r="P36" s="86"/>
      <c r="Q36" s="86"/>
      <c r="R36" s="213"/>
      <c r="S36" s="195"/>
      <c r="T36" s="195"/>
      <c r="U36" s="213"/>
      <c r="V36" s="195"/>
      <c r="W36" s="195"/>
    </row>
    <row r="37" spans="2:23">
      <c r="B37" s="79"/>
      <c r="D37" s="82">
        <v>45990</v>
      </c>
      <c r="E37" s="82" t="s">
        <v>165</v>
      </c>
      <c r="F37" s="209"/>
      <c r="G37" s="89"/>
      <c r="H37" s="89"/>
      <c r="I37" s="86">
        <f t="shared" si="0"/>
        <v>0</v>
      </c>
      <c r="J37" s="195"/>
      <c r="K37" s="83"/>
      <c r="L37" s="231"/>
      <c r="M37" s="86"/>
      <c r="N37" s="86"/>
      <c r="O37" s="231"/>
      <c r="P37" s="86"/>
      <c r="Q37" s="86"/>
      <c r="R37" s="213"/>
      <c r="S37" s="195"/>
      <c r="T37" s="195"/>
      <c r="U37" s="213"/>
      <c r="V37" s="195"/>
      <c r="W37" s="195"/>
    </row>
    <row r="38" spans="2:23">
      <c r="B38" s="79"/>
      <c r="D38" s="82">
        <v>45991</v>
      </c>
      <c r="E38" s="82" t="s">
        <v>166</v>
      </c>
      <c r="F38" s="209"/>
      <c r="G38" s="89"/>
      <c r="H38" s="89"/>
      <c r="I38" s="86">
        <f t="shared" si="0"/>
        <v>0</v>
      </c>
      <c r="J38" s="195"/>
      <c r="K38" s="83"/>
      <c r="L38" s="231"/>
      <c r="M38" s="86"/>
      <c r="N38" s="86"/>
      <c r="O38" s="231"/>
      <c r="P38" s="86"/>
      <c r="Q38" s="86"/>
      <c r="R38" s="213"/>
      <c r="S38" s="195"/>
      <c r="T38" s="195"/>
      <c r="U38" s="213"/>
      <c r="V38" s="195"/>
      <c r="W38" s="195"/>
    </row>
    <row r="39" spans="2:23">
      <c r="B39" s="79"/>
      <c r="D39" s="82">
        <v>45992</v>
      </c>
      <c r="E39" s="82" t="s">
        <v>167</v>
      </c>
      <c r="F39" s="209"/>
      <c r="G39" s="89"/>
      <c r="H39" s="89"/>
      <c r="I39" s="86">
        <f t="shared" si="0"/>
        <v>0</v>
      </c>
      <c r="J39" s="195"/>
      <c r="K39" s="83"/>
      <c r="L39" s="231"/>
      <c r="M39" s="86"/>
      <c r="N39" s="86"/>
      <c r="O39" s="231"/>
      <c r="P39" s="86"/>
      <c r="Q39" s="86"/>
      <c r="R39" s="213"/>
      <c r="S39" s="195"/>
      <c r="T39" s="195"/>
      <c r="U39" s="213"/>
      <c r="V39" s="195"/>
      <c r="W39" s="195"/>
    </row>
    <row r="40" spans="2:23">
      <c r="B40" s="79"/>
    </row>
    <row r="41" spans="2:23">
      <c r="B41" s="79"/>
      <c r="D41" s="82"/>
      <c r="E41" s="82"/>
      <c r="F41" s="276"/>
      <c r="G41" s="89"/>
      <c r="H41" s="89"/>
      <c r="I41" s="86"/>
      <c r="J41" s="195"/>
      <c r="K41" s="83"/>
      <c r="L41" s="282"/>
      <c r="M41" s="86"/>
      <c r="N41" s="86"/>
      <c r="O41" s="282"/>
      <c r="P41" s="86"/>
      <c r="Q41" s="86"/>
      <c r="R41" s="281"/>
      <c r="S41" s="195"/>
      <c r="T41" s="195"/>
      <c r="U41" s="281"/>
      <c r="V41" s="195"/>
      <c r="W41" s="195"/>
    </row>
    <row r="42" spans="2:23">
      <c r="B42" s="79"/>
      <c r="D42" s="82"/>
      <c r="E42" s="82"/>
      <c r="F42" s="276"/>
      <c r="G42" s="89"/>
      <c r="H42" s="89"/>
      <c r="I42" s="86"/>
      <c r="J42" s="195"/>
      <c r="K42" s="83"/>
      <c r="L42" s="282"/>
      <c r="M42" s="86"/>
      <c r="N42" s="86"/>
      <c r="O42" s="282"/>
      <c r="P42" s="86"/>
      <c r="Q42" s="86"/>
      <c r="R42" s="281"/>
      <c r="S42" s="195"/>
      <c r="T42" s="195"/>
      <c r="U42" s="281"/>
      <c r="V42" s="195"/>
      <c r="W42" s="195"/>
    </row>
    <row r="43" spans="2:23">
      <c r="B43" s="79"/>
      <c r="D43" s="82"/>
      <c r="E43" s="82"/>
      <c r="F43" s="276"/>
      <c r="G43" s="89"/>
      <c r="H43" s="89"/>
      <c r="I43" s="86"/>
      <c r="J43" s="195"/>
      <c r="K43" s="83"/>
      <c r="L43" s="282"/>
      <c r="M43" s="86"/>
      <c r="N43" s="86"/>
      <c r="O43" s="282"/>
      <c r="P43" s="86"/>
      <c r="Q43" s="86"/>
      <c r="R43" s="281"/>
      <c r="S43" s="195"/>
      <c r="T43" s="195"/>
      <c r="U43" s="281"/>
      <c r="V43" s="195"/>
      <c r="W43" s="195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63" zoomScaleNormal="63" workbookViewId="0">
      <pane xSplit="5" ySplit="6" topLeftCell="F7" activePane="bottomRight" state="frozen"/>
      <selection pane="bottomRight" activeCell="AK20" sqref="AK20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27" t="s">
        <v>178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</row>
    <row r="3" spans="1:38" ht="25.35" customHeight="1">
      <c r="B3" s="79"/>
      <c r="C3" s="441" t="s">
        <v>179</v>
      </c>
      <c r="D3" s="442" t="s">
        <v>150</v>
      </c>
      <c r="E3" s="442"/>
      <c r="F3" s="443" t="s">
        <v>180</v>
      </c>
      <c r="G3" s="443"/>
      <c r="H3" s="443"/>
      <c r="I3" s="444" t="s">
        <v>181</v>
      </c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</row>
    <row r="4" spans="1:38" ht="25.35" customHeight="1">
      <c r="B4" s="79"/>
      <c r="C4" s="441"/>
      <c r="D4" s="442"/>
      <c r="E4" s="442"/>
      <c r="F4" s="443"/>
      <c r="G4" s="443"/>
      <c r="H4" s="443"/>
      <c r="I4" s="439" t="s">
        <v>182</v>
      </c>
      <c r="J4" s="439"/>
      <c r="K4" s="439"/>
      <c r="L4" s="439"/>
      <c r="M4" s="439"/>
      <c r="N4" s="439"/>
      <c r="O4" s="439" t="s">
        <v>183</v>
      </c>
      <c r="P4" s="439"/>
      <c r="Q4" s="439"/>
      <c r="R4" s="439"/>
      <c r="S4" s="439"/>
      <c r="T4" s="439"/>
      <c r="U4" s="439" t="s">
        <v>184</v>
      </c>
      <c r="V4" s="439"/>
      <c r="W4" s="439" t="s">
        <v>185</v>
      </c>
      <c r="X4" s="439"/>
      <c r="Y4" s="439" t="s">
        <v>186</v>
      </c>
      <c r="Z4" s="439"/>
      <c r="AA4" s="439"/>
      <c r="AB4" s="439"/>
      <c r="AC4" s="439"/>
      <c r="AD4" s="439"/>
      <c r="AE4" s="439" t="s">
        <v>187</v>
      </c>
      <c r="AF4" s="439"/>
      <c r="AG4" s="439" t="s">
        <v>188</v>
      </c>
      <c r="AH4" s="439"/>
      <c r="AI4" s="439" t="s">
        <v>189</v>
      </c>
      <c r="AJ4" s="439"/>
      <c r="AK4" s="439" t="s">
        <v>190</v>
      </c>
      <c r="AL4" s="439"/>
    </row>
    <row r="5" spans="1:38" ht="25.35" customHeight="1">
      <c r="B5" s="79"/>
      <c r="C5" s="441"/>
      <c r="D5" s="442"/>
      <c r="E5" s="442"/>
      <c r="F5" s="438" t="s">
        <v>157</v>
      </c>
      <c r="G5" s="438" t="s">
        <v>158</v>
      </c>
      <c r="H5" s="438" t="s">
        <v>159</v>
      </c>
      <c r="I5" s="439" t="s">
        <v>191</v>
      </c>
      <c r="J5" s="439"/>
      <c r="K5" s="439" t="s">
        <v>192</v>
      </c>
      <c r="L5" s="439"/>
      <c r="M5" s="440" t="s">
        <v>193</v>
      </c>
      <c r="N5" s="439"/>
      <c r="O5" s="439" t="s">
        <v>191</v>
      </c>
      <c r="P5" s="439"/>
      <c r="Q5" s="439" t="s">
        <v>192</v>
      </c>
      <c r="R5" s="439"/>
      <c r="S5" s="440" t="s">
        <v>193</v>
      </c>
      <c r="T5" s="439"/>
      <c r="U5" s="439" t="s">
        <v>191</v>
      </c>
      <c r="V5" s="439"/>
      <c r="W5" s="439" t="s">
        <v>191</v>
      </c>
      <c r="X5" s="439"/>
      <c r="Y5" s="439" t="s">
        <v>191</v>
      </c>
      <c r="Z5" s="439"/>
      <c r="AA5" s="439" t="s">
        <v>192</v>
      </c>
      <c r="AB5" s="439"/>
      <c r="AC5" s="440" t="s">
        <v>193</v>
      </c>
      <c r="AD5" s="439"/>
      <c r="AE5" s="439" t="s">
        <v>191</v>
      </c>
      <c r="AF5" s="439"/>
      <c r="AG5" s="439" t="s">
        <v>191</v>
      </c>
      <c r="AH5" s="439"/>
      <c r="AI5" s="439" t="s">
        <v>191</v>
      </c>
      <c r="AJ5" s="439"/>
      <c r="AK5" s="439" t="s">
        <v>191</v>
      </c>
      <c r="AL5" s="439"/>
    </row>
    <row r="6" spans="1:38" s="78" customFormat="1" ht="23.45" customHeight="1">
      <c r="B6" s="79"/>
      <c r="C6" s="441"/>
      <c r="D6" s="442"/>
      <c r="E6" s="442"/>
      <c r="F6" s="438"/>
      <c r="G6" s="438"/>
      <c r="H6" s="438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2">
      <c r="B7" s="79"/>
      <c r="C7" s="371"/>
      <c r="D7" s="82">
        <v>45958</v>
      </c>
      <c r="E7" s="82" t="s">
        <v>161</v>
      </c>
      <c r="F7" s="208">
        <f>SUM(M7,S7,U7,W7,AC7,AE7,AG7,AI7,AK7)</f>
        <v>8874807</v>
      </c>
      <c r="G7" s="284">
        <f>SUM(F7:F13)</f>
        <v>52649495</v>
      </c>
      <c r="H7" s="298"/>
      <c r="I7" s="214">
        <v>780746.64319485764</v>
      </c>
      <c r="J7" s="96">
        <f t="shared" ref="J7:J12" si="0">I7/F7</f>
        <v>8.7973365865292349E-2</v>
      </c>
      <c r="K7" s="214">
        <v>911239.3178483285</v>
      </c>
      <c r="L7" s="96">
        <f t="shared" ref="L7:L12" si="1">K7/F7</f>
        <v>0.10267708558037696</v>
      </c>
      <c r="M7" s="207">
        <f t="shared" ref="M7:M12" si="2">SUM(I7+K7)</f>
        <v>1691985.961043186</v>
      </c>
      <c r="N7" s="96">
        <f t="shared" ref="N7:N12" si="3">M7/F7</f>
        <v>0.19065045144566931</v>
      </c>
      <c r="O7" s="214">
        <v>271416.88609531388</v>
      </c>
      <c r="P7" s="96">
        <f t="shared" ref="P7:P12" si="4">O7/F7</f>
        <v>3.0582849418056515E-2</v>
      </c>
      <c r="Q7" s="214">
        <v>110287.01315592107</v>
      </c>
      <c r="R7" s="96">
        <f t="shared" ref="R7:R13" si="5">Q7/$F7</f>
        <v>1.2426975950679386E-2</v>
      </c>
      <c r="S7" s="207">
        <f t="shared" ref="S7:S13" si="6">SUM(O7+Q7)</f>
        <v>381703.89925123495</v>
      </c>
      <c r="T7" s="96">
        <f t="shared" ref="T7:T12" si="7">S7/F7</f>
        <v>4.3009825368735898E-2</v>
      </c>
      <c r="U7" s="214">
        <v>656894.59442392481</v>
      </c>
      <c r="V7" s="96">
        <f t="shared" ref="V7:V12" si="8">U7/F7</f>
        <v>7.4017901958197491E-2</v>
      </c>
      <c r="W7" s="214">
        <v>326083.50419263262</v>
      </c>
      <c r="X7" s="96">
        <f t="shared" ref="X7:X12" si="9">W7/F7</f>
        <v>3.6742602311535637E-2</v>
      </c>
      <c r="Y7" s="214">
        <v>700989.34191525017</v>
      </c>
      <c r="Z7" s="96">
        <f t="shared" ref="Z7:Z12" si="10">Y7/F7</f>
        <v>7.8986432258780409E-2</v>
      </c>
      <c r="AA7" s="214">
        <v>1516347.3478970779</v>
      </c>
      <c r="AB7" s="96">
        <f t="shared" ref="AB7:AB13" si="11">AA7/$F7</f>
        <v>0.17085975479771875</v>
      </c>
      <c r="AC7" s="207">
        <f t="shared" ref="AC7:AC12" si="12">SUM(Y7+AA7)</f>
        <v>2217336.6898123282</v>
      </c>
      <c r="AD7" s="96">
        <f t="shared" ref="AD7:AD12" si="13">AC7/F7</f>
        <v>0.24984618705649916</v>
      </c>
      <c r="AE7" s="214">
        <v>1283032.8853529831</v>
      </c>
      <c r="AF7" s="96">
        <f t="shared" ref="AF7:AF12" si="14">AE7/F7</f>
        <v>0.14457022956701854</v>
      </c>
      <c r="AG7" s="214">
        <v>1049488.7693342105</v>
      </c>
      <c r="AH7" s="96">
        <f t="shared" ref="AH7:AH12" si="15">AG7/F7</f>
        <v>0.11825482732573346</v>
      </c>
      <c r="AI7" s="214">
        <v>472206.15558981959</v>
      </c>
      <c r="AJ7" s="96">
        <f t="shared" ref="AJ7:AJ12" si="16">AI7/F7</f>
        <v>5.320748446583904E-2</v>
      </c>
      <c r="AK7" s="214">
        <v>796074.54099967936</v>
      </c>
      <c r="AL7" s="96">
        <f t="shared" ref="AL7:AL12" si="17">AK7/F7</f>
        <v>8.9700490500771377E-2</v>
      </c>
    </row>
    <row r="8" spans="1:38" ht="12">
      <c r="B8" s="79"/>
      <c r="C8" s="79"/>
      <c r="D8" s="82">
        <v>45959</v>
      </c>
      <c r="E8" s="82" t="s">
        <v>162</v>
      </c>
      <c r="F8" s="208">
        <f t="shared" ref="F8:F45" si="18">SUM(M8,S8,U8,W8,AC8,AE8,AG8,AI8,AK8)</f>
        <v>8157355.0000000009</v>
      </c>
      <c r="G8" s="284"/>
      <c r="I8" s="214">
        <v>741769.40829235793</v>
      </c>
      <c r="J8" s="96">
        <f t="shared" si="0"/>
        <v>9.0932588846796281E-2</v>
      </c>
      <c r="K8" s="214">
        <v>911358.13100742735</v>
      </c>
      <c r="L8" s="96">
        <f t="shared" si="1"/>
        <v>0.11172225936071524</v>
      </c>
      <c r="M8" s="207">
        <f t="shared" si="2"/>
        <v>1653127.5392997852</v>
      </c>
      <c r="N8" s="96">
        <f t="shared" si="3"/>
        <v>0.20265484820751151</v>
      </c>
      <c r="O8" s="214">
        <v>268793.44718005281</v>
      </c>
      <c r="P8" s="96">
        <f t="shared" si="4"/>
        <v>3.2951054254725068E-2</v>
      </c>
      <c r="Q8" s="214">
        <v>111574.06873548946</v>
      </c>
      <c r="R8" s="96">
        <f t="shared" si="5"/>
        <v>1.3677726264884813E-2</v>
      </c>
      <c r="S8" s="207">
        <f t="shared" si="6"/>
        <v>380367.51591554226</v>
      </c>
      <c r="T8" s="96">
        <f t="shared" si="7"/>
        <v>4.6628780519609878E-2</v>
      </c>
      <c r="U8" s="214">
        <v>647363.60198910965</v>
      </c>
      <c r="V8" s="96">
        <f t="shared" si="8"/>
        <v>7.9359498512582768E-2</v>
      </c>
      <c r="W8" s="214">
        <v>211714.88617649305</v>
      </c>
      <c r="X8" s="96">
        <f t="shared" si="9"/>
        <v>2.5953864478926444E-2</v>
      </c>
      <c r="Y8" s="214">
        <v>676052.95323816617</v>
      </c>
      <c r="Z8" s="96">
        <f t="shared" si="10"/>
        <v>8.2876490386671428E-2</v>
      </c>
      <c r="AA8" s="214">
        <v>1364308.9628745297</v>
      </c>
      <c r="AB8" s="96">
        <f t="shared" si="11"/>
        <v>0.16724893827405202</v>
      </c>
      <c r="AC8" s="207">
        <f t="shared" si="12"/>
        <v>2040361.9161126958</v>
      </c>
      <c r="AD8" s="96">
        <f t="shared" si="13"/>
        <v>0.25012542866072346</v>
      </c>
      <c r="AE8" s="214">
        <v>1168977.5909929636</v>
      </c>
      <c r="AF8" s="96">
        <f t="shared" si="14"/>
        <v>0.14330350842803377</v>
      </c>
      <c r="AG8" s="214">
        <v>940949.51748418831</v>
      </c>
      <c r="AH8" s="96">
        <f t="shared" si="15"/>
        <v>0.11534983061104834</v>
      </c>
      <c r="AI8" s="214">
        <v>411972.80806409148</v>
      </c>
      <c r="AJ8" s="96">
        <f t="shared" si="16"/>
        <v>5.0503233960529047E-2</v>
      </c>
      <c r="AK8" s="214">
        <v>702519.62396513228</v>
      </c>
      <c r="AL8" s="96">
        <f t="shared" si="17"/>
        <v>8.6121006621034904E-2</v>
      </c>
    </row>
    <row r="9" spans="1:38" ht="12">
      <c r="B9" s="79"/>
      <c r="C9" s="79"/>
      <c r="D9" s="82">
        <v>45960</v>
      </c>
      <c r="E9" s="82" t="s">
        <v>163</v>
      </c>
      <c r="F9" s="208">
        <f t="shared" si="18"/>
        <v>7556926.0000000009</v>
      </c>
      <c r="G9" s="284"/>
      <c r="H9" s="299"/>
      <c r="I9" s="214">
        <v>676655.12086018024</v>
      </c>
      <c r="J9" s="96">
        <f t="shared" si="0"/>
        <v>8.9541054240861978E-2</v>
      </c>
      <c r="K9" s="214">
        <v>821105.6942928792</v>
      </c>
      <c r="L9" s="96">
        <f t="shared" si="1"/>
        <v>0.10865604536724048</v>
      </c>
      <c r="M9" s="207">
        <f t="shared" si="2"/>
        <v>1497760.8151530595</v>
      </c>
      <c r="N9" s="96">
        <f t="shared" si="3"/>
        <v>0.19819709960810247</v>
      </c>
      <c r="O9" s="214">
        <v>239899.99463909338</v>
      </c>
      <c r="P9" s="96">
        <f t="shared" si="4"/>
        <v>3.1745711766807475E-2</v>
      </c>
      <c r="Q9" s="214">
        <v>110774.38213012967</v>
      </c>
      <c r="R9" s="96">
        <f t="shared" si="5"/>
        <v>1.4658656460329194E-2</v>
      </c>
      <c r="S9" s="207">
        <f t="shared" si="6"/>
        <v>350674.37676922302</v>
      </c>
      <c r="T9" s="96">
        <f t="shared" si="7"/>
        <v>4.6404368227136665E-2</v>
      </c>
      <c r="U9" s="214">
        <v>606522.59079750499</v>
      </c>
      <c r="V9" s="96">
        <f t="shared" si="8"/>
        <v>8.0260490945326834E-2</v>
      </c>
      <c r="W9" s="214">
        <v>194750.99266798413</v>
      </c>
      <c r="X9" s="96">
        <f t="shared" si="9"/>
        <v>2.5771192237158881E-2</v>
      </c>
      <c r="Y9" s="214">
        <v>642678.44561591453</v>
      </c>
      <c r="Z9" s="96">
        <f t="shared" si="10"/>
        <v>8.5044956853608786E-2</v>
      </c>
      <c r="AA9" s="214">
        <v>1165803.2450973373</v>
      </c>
      <c r="AB9" s="96">
        <f t="shared" si="11"/>
        <v>0.15426950655562024</v>
      </c>
      <c r="AC9" s="207">
        <f t="shared" si="12"/>
        <v>1808481.6907132519</v>
      </c>
      <c r="AD9" s="96">
        <f t="shared" si="13"/>
        <v>0.23931446340922907</v>
      </c>
      <c r="AE9" s="214">
        <v>1092729.8317207724</v>
      </c>
      <c r="AF9" s="96">
        <f t="shared" si="14"/>
        <v>0.14459977929131135</v>
      </c>
      <c r="AG9" s="214">
        <v>926437.91998516361</v>
      </c>
      <c r="AH9" s="96">
        <f t="shared" si="15"/>
        <v>0.12259454704004823</v>
      </c>
      <c r="AI9" s="214">
        <v>400515.05188810895</v>
      </c>
      <c r="AJ9" s="96">
        <f t="shared" si="16"/>
        <v>5.2999731886763067E-2</v>
      </c>
      <c r="AK9" s="214">
        <v>679052.73030493129</v>
      </c>
      <c r="AL9" s="96">
        <f t="shared" si="17"/>
        <v>8.9858327354923315E-2</v>
      </c>
    </row>
    <row r="10" spans="1:38" ht="12">
      <c r="B10" s="79"/>
      <c r="C10" s="79"/>
      <c r="D10" s="82">
        <v>45961</v>
      </c>
      <c r="E10" s="82" t="s">
        <v>164</v>
      </c>
      <c r="F10" s="208">
        <f t="shared" si="18"/>
        <v>6398547.9999999991</v>
      </c>
      <c r="G10" s="284"/>
      <c r="H10" s="299"/>
      <c r="I10" s="214">
        <v>572932.733530759</v>
      </c>
      <c r="J10" s="96">
        <f t="shared" si="0"/>
        <v>8.9541054240862006E-2</v>
      </c>
      <c r="K10" s="214">
        <v>695240.92177246592</v>
      </c>
      <c r="L10" s="96">
        <f t="shared" si="1"/>
        <v>0.10865604536724051</v>
      </c>
      <c r="M10" s="207">
        <f t="shared" si="2"/>
        <v>1268173.6553032249</v>
      </c>
      <c r="N10" s="96">
        <f t="shared" si="3"/>
        <v>0.1981970996081025</v>
      </c>
      <c r="O10" s="214">
        <v>203126.46053408246</v>
      </c>
      <c r="P10" s="96">
        <f t="shared" si="4"/>
        <v>3.1745711766807481E-2</v>
      </c>
      <c r="Q10" s="214">
        <v>93794.116976926452</v>
      </c>
      <c r="R10" s="96">
        <f t="shared" si="5"/>
        <v>1.4658656460329197E-2</v>
      </c>
      <c r="S10" s="207">
        <f t="shared" si="6"/>
        <v>296920.57751100895</v>
      </c>
      <c r="T10" s="96">
        <f t="shared" si="7"/>
        <v>4.6404368227136686E-2</v>
      </c>
      <c r="U10" s="214">
        <v>513550.60381723917</v>
      </c>
      <c r="V10" s="96">
        <f t="shared" si="8"/>
        <v>8.0260490945326848E-2</v>
      </c>
      <c r="W10" s="214">
        <v>164898.21054668847</v>
      </c>
      <c r="X10" s="96">
        <f t="shared" si="9"/>
        <v>2.5771192237158881E-2</v>
      </c>
      <c r="Y10" s="214">
        <v>544164.23858574475</v>
      </c>
      <c r="Z10" s="96">
        <f t="shared" si="10"/>
        <v>8.5044956853608786E-2</v>
      </c>
      <c r="AA10" s="214">
        <v>987100.84263245098</v>
      </c>
      <c r="AB10" s="96">
        <f t="shared" si="11"/>
        <v>0.1542695065556203</v>
      </c>
      <c r="AC10" s="207">
        <f t="shared" si="12"/>
        <v>1531265.0812181956</v>
      </c>
      <c r="AD10" s="96">
        <f t="shared" si="13"/>
        <v>0.23931446340922907</v>
      </c>
      <c r="AE10" s="214">
        <v>925228.62858486164</v>
      </c>
      <c r="AF10" s="96">
        <f t="shared" si="14"/>
        <v>0.14459977929131138</v>
      </c>
      <c r="AG10" s="214">
        <v>784427.09377400659</v>
      </c>
      <c r="AH10" s="96">
        <f t="shared" si="15"/>
        <v>0.12259454704004825</v>
      </c>
      <c r="AI10" s="214">
        <v>339121.32846458408</v>
      </c>
      <c r="AJ10" s="96">
        <f t="shared" si="16"/>
        <v>5.2999731886763081E-2</v>
      </c>
      <c r="AK10" s="214">
        <v>574962.82078018994</v>
      </c>
      <c r="AL10" s="96">
        <f t="shared" si="17"/>
        <v>8.9858327354923342E-2</v>
      </c>
    </row>
    <row r="11" spans="1:38" ht="12">
      <c r="B11" s="79"/>
      <c r="C11" s="79"/>
      <c r="D11" s="82">
        <v>45962</v>
      </c>
      <c r="E11" s="82" t="s">
        <v>165</v>
      </c>
      <c r="F11" s="208">
        <f t="shared" si="18"/>
        <v>6412265.9999999991</v>
      </c>
      <c r="G11" s="284"/>
      <c r="H11" s="299">
        <f>SUM(F11:F40)</f>
        <v>71561306</v>
      </c>
      <c r="I11" s="214">
        <v>567801.04468948324</v>
      </c>
      <c r="J11" s="96">
        <f t="shared" si="0"/>
        <v>8.8549203150568509E-2</v>
      </c>
      <c r="K11" s="214">
        <v>754884.39441394608</v>
      </c>
      <c r="L11" s="96">
        <f t="shared" si="1"/>
        <v>0.1177250591934187</v>
      </c>
      <c r="M11" s="207">
        <f t="shared" si="2"/>
        <v>1322685.4391034292</v>
      </c>
      <c r="N11" s="96">
        <f t="shared" si="3"/>
        <v>0.20627426234398719</v>
      </c>
      <c r="O11" s="214">
        <v>177542.93696378267</v>
      </c>
      <c r="P11" s="96">
        <f t="shared" si="4"/>
        <v>2.7688018083433016E-2</v>
      </c>
      <c r="Q11" s="214">
        <v>86774.65838016363</v>
      </c>
      <c r="R11" s="96">
        <f t="shared" si="5"/>
        <v>1.3532604289991033E-2</v>
      </c>
      <c r="S11" s="207">
        <f t="shared" si="6"/>
        <v>264317.5953439463</v>
      </c>
      <c r="T11" s="96">
        <f t="shared" si="7"/>
        <v>4.1220622373424054E-2</v>
      </c>
      <c r="U11" s="214">
        <v>481081.810100562</v>
      </c>
      <c r="V11" s="96">
        <f t="shared" si="8"/>
        <v>7.5025242262339406E-2</v>
      </c>
      <c r="W11" s="214">
        <v>121515.63250457653</v>
      </c>
      <c r="X11" s="96">
        <f t="shared" si="9"/>
        <v>1.8950497765466458E-2</v>
      </c>
      <c r="Y11" s="214">
        <v>510464.54700394545</v>
      </c>
      <c r="Z11" s="96">
        <f t="shared" si="10"/>
        <v>7.9607512695815411E-2</v>
      </c>
      <c r="AA11" s="214">
        <v>1051831.7261411338</v>
      </c>
      <c r="AB11" s="96">
        <f t="shared" si="11"/>
        <v>0.1640343251732124</v>
      </c>
      <c r="AC11" s="207">
        <f t="shared" si="12"/>
        <v>1562296.2731450791</v>
      </c>
      <c r="AD11" s="96">
        <f t="shared" si="13"/>
        <v>0.24364183786902779</v>
      </c>
      <c r="AE11" s="214">
        <v>950247.30041764677</v>
      </c>
      <c r="AF11" s="96">
        <f t="shared" si="14"/>
        <v>0.14819212122791645</v>
      </c>
      <c r="AG11" s="214">
        <v>756441.5505794856</v>
      </c>
      <c r="AH11" s="96">
        <f t="shared" si="15"/>
        <v>0.11796789942580138</v>
      </c>
      <c r="AI11" s="214">
        <v>395011.69509935041</v>
      </c>
      <c r="AJ11" s="96">
        <f t="shared" si="16"/>
        <v>6.1602512294304461E-2</v>
      </c>
      <c r="AK11" s="214">
        <v>558668.7037059234</v>
      </c>
      <c r="AL11" s="96">
        <f t="shared" si="17"/>
        <v>8.7125004437732856E-2</v>
      </c>
    </row>
    <row r="12" spans="1:38" ht="12">
      <c r="B12" s="79"/>
      <c r="C12" s="79"/>
      <c r="D12" s="82">
        <v>45963</v>
      </c>
      <c r="E12" s="82" t="s">
        <v>166</v>
      </c>
      <c r="F12" s="208">
        <f t="shared" si="18"/>
        <v>7718290</v>
      </c>
      <c r="G12" s="284"/>
      <c r="H12" s="299"/>
      <c r="I12" s="214">
        <v>738673.177693245</v>
      </c>
      <c r="J12" s="96">
        <f t="shared" si="0"/>
        <v>9.5704252845286331E-2</v>
      </c>
      <c r="K12" s="214">
        <v>812138.02655141801</v>
      </c>
      <c r="L12" s="96">
        <f t="shared" si="1"/>
        <v>0.10522253330095371</v>
      </c>
      <c r="M12" s="207">
        <f t="shared" si="2"/>
        <v>1550811.204244663</v>
      </c>
      <c r="N12" s="96">
        <f t="shared" si="3"/>
        <v>0.20092678614624004</v>
      </c>
      <c r="O12" s="214">
        <v>228583.13158135282</v>
      </c>
      <c r="P12" s="96">
        <f t="shared" si="4"/>
        <v>2.961577390605339E-2</v>
      </c>
      <c r="Q12" s="214">
        <v>101174.44209267297</v>
      </c>
      <c r="R12" s="96">
        <f t="shared" si="5"/>
        <v>1.3108401225229029E-2</v>
      </c>
      <c r="S12" s="207">
        <f t="shared" si="6"/>
        <v>329757.57367402577</v>
      </c>
      <c r="T12" s="96">
        <f t="shared" si="7"/>
        <v>4.2724175131282419E-2</v>
      </c>
      <c r="U12" s="214">
        <v>600818.61593109136</v>
      </c>
      <c r="V12" s="96">
        <f t="shared" si="8"/>
        <v>7.7843488121214846E-2</v>
      </c>
      <c r="W12" s="214">
        <v>221851.06652687772</v>
      </c>
      <c r="X12" s="96">
        <f t="shared" si="9"/>
        <v>2.8743551554408778E-2</v>
      </c>
      <c r="Y12" s="214">
        <v>610495.55361586879</v>
      </c>
      <c r="Z12" s="96">
        <f t="shared" si="10"/>
        <v>7.9097255171270947E-2</v>
      </c>
      <c r="AA12" s="214">
        <v>1179022.3883076939</v>
      </c>
      <c r="AB12" s="96">
        <f t="shared" si="11"/>
        <v>0.15275694335243867</v>
      </c>
      <c r="AC12" s="207">
        <f t="shared" si="12"/>
        <v>1789517.9419235627</v>
      </c>
      <c r="AD12" s="96">
        <f t="shared" si="13"/>
        <v>0.23185419852370961</v>
      </c>
      <c r="AE12" s="214">
        <v>1178674.2971610217</v>
      </c>
      <c r="AF12" s="96">
        <f t="shared" si="14"/>
        <v>0.15271184383600794</v>
      </c>
      <c r="AG12" s="214">
        <v>917428.14983973152</v>
      </c>
      <c r="AH12" s="96">
        <f t="shared" si="15"/>
        <v>0.11886417196551717</v>
      </c>
      <c r="AI12" s="214">
        <v>427097.29618554178</v>
      </c>
      <c r="AJ12" s="96">
        <f t="shared" si="16"/>
        <v>5.5335740971839846E-2</v>
      </c>
      <c r="AK12" s="214">
        <v>702333.85451348417</v>
      </c>
      <c r="AL12" s="96">
        <f t="shared" si="17"/>
        <v>9.0996043749779307E-2</v>
      </c>
    </row>
    <row r="13" spans="1:38" ht="12">
      <c r="B13" s="79"/>
      <c r="C13" s="79"/>
      <c r="D13" s="82">
        <v>45964</v>
      </c>
      <c r="E13" s="82" t="s">
        <v>167</v>
      </c>
      <c r="F13" s="208">
        <f t="shared" si="18"/>
        <v>7531302.9999999991</v>
      </c>
      <c r="G13" s="284"/>
      <c r="H13" s="299"/>
      <c r="I13" s="214">
        <v>711882.3604858662</v>
      </c>
      <c r="J13" s="96">
        <f>I13/F13</f>
        <v>9.4523133710842103E-2</v>
      </c>
      <c r="K13" s="214">
        <v>805942.79259224969</v>
      </c>
      <c r="L13" s="96">
        <f>K13/F13</f>
        <v>0.10701239780052002</v>
      </c>
      <c r="M13" s="207">
        <f>SUM(I13+K13)</f>
        <v>1517825.153078116</v>
      </c>
      <c r="N13" s="96">
        <f>M13/F13</f>
        <v>0.20153553151136214</v>
      </c>
      <c r="O13" s="214">
        <v>214696.80218149564</v>
      </c>
      <c r="P13" s="96">
        <f>O13/F13</f>
        <v>2.8507258595424412E-2</v>
      </c>
      <c r="Q13" s="214">
        <v>103070.03330916478</v>
      </c>
      <c r="R13" s="96">
        <f t="shared" si="5"/>
        <v>1.3685551266383093E-2</v>
      </c>
      <c r="S13" s="207">
        <f t="shared" si="6"/>
        <v>317766.83549066039</v>
      </c>
      <c r="T13" s="96">
        <f>S13/F13</f>
        <v>4.2192809861807505E-2</v>
      </c>
      <c r="U13" s="214">
        <v>607897.73033843481</v>
      </c>
      <c r="V13" s="96">
        <f>U13/F13</f>
        <v>8.0716143054984632E-2</v>
      </c>
      <c r="W13" s="214">
        <v>154909.56589978532</v>
      </c>
      <c r="X13" s="96">
        <f>W13/F13</f>
        <v>2.0568760266289291E-2</v>
      </c>
      <c r="Y13" s="214">
        <v>587758.50932678767</v>
      </c>
      <c r="Z13" s="96">
        <f>Y13/F13</f>
        <v>7.8042074436095288E-2</v>
      </c>
      <c r="AA13" s="214">
        <v>1192270.5600171539</v>
      </c>
      <c r="AB13" s="96">
        <f t="shared" si="11"/>
        <v>0.15830866983006181</v>
      </c>
      <c r="AC13" s="207">
        <f>SUM(Y13+AA13)</f>
        <v>1780029.0693439415</v>
      </c>
      <c r="AD13" s="96">
        <f>AC13/F13</f>
        <v>0.2363507442661571</v>
      </c>
      <c r="AE13" s="214">
        <v>1140624.7620063906</v>
      </c>
      <c r="AF13" s="96">
        <f>AE13/F13</f>
        <v>0.1514511847427186</v>
      </c>
      <c r="AG13" s="214">
        <v>916621.9567439151</v>
      </c>
      <c r="AH13" s="96">
        <f>AG13/F13</f>
        <v>0.12170828298156577</v>
      </c>
      <c r="AI13" s="214">
        <v>424284.99507324502</v>
      </c>
      <c r="AJ13" s="96">
        <f>AI13/F13</f>
        <v>5.6336200398954213E-2</v>
      </c>
      <c r="AK13" s="214">
        <v>671342.93202551058</v>
      </c>
      <c r="AL13" s="96">
        <f>AK13/F13</f>
        <v>8.9140342916160811E-2</v>
      </c>
    </row>
    <row r="14" spans="1:38" ht="12">
      <c r="B14" s="79"/>
      <c r="C14" s="79"/>
      <c r="D14" s="286">
        <v>45965</v>
      </c>
      <c r="E14" s="286" t="s">
        <v>161</v>
      </c>
      <c r="F14" s="208">
        <f t="shared" si="18"/>
        <v>7342085.9999999991</v>
      </c>
      <c r="G14" s="284">
        <f>SUM(F14:F20)</f>
        <v>49899447</v>
      </c>
      <c r="H14" s="299"/>
      <c r="I14" s="214">
        <v>673504.23001040518</v>
      </c>
      <c r="J14" s="96">
        <f t="shared" ref="J14" si="19">I14/F14</f>
        <v>9.1731999599351632E-2</v>
      </c>
      <c r="K14" s="214">
        <v>791412.02714385977</v>
      </c>
      <c r="L14" s="96">
        <f t="shared" ref="L14" si="20">K14/F14</f>
        <v>0.10779116822437927</v>
      </c>
      <c r="M14" s="207">
        <f t="shared" ref="M14" si="21">SUM(I14+K14)</f>
        <v>1464916.257154265</v>
      </c>
      <c r="N14" s="96">
        <f t="shared" ref="N14" si="22">M14/F14</f>
        <v>0.19952316782373089</v>
      </c>
      <c r="O14" s="214">
        <v>209859.10838725851</v>
      </c>
      <c r="P14" s="96">
        <f t="shared" ref="P14" si="23">O14/F14</f>
        <v>2.8583035991032867E-2</v>
      </c>
      <c r="Q14" s="214">
        <v>102126.94983450638</v>
      </c>
      <c r="R14" s="96">
        <f t="shared" ref="R14" si="24">Q14/$F14</f>
        <v>1.390980027127255E-2</v>
      </c>
      <c r="S14" s="207">
        <f t="shared" ref="S14" si="25">SUM(O14+Q14)</f>
        <v>311986.05822176486</v>
      </c>
      <c r="T14" s="96">
        <f t="shared" ref="T14" si="26">S14/F14</f>
        <v>4.2492836262305413E-2</v>
      </c>
      <c r="U14" s="214">
        <v>603739.46945959865</v>
      </c>
      <c r="V14" s="96">
        <f t="shared" ref="V14" si="27">U14/F14</f>
        <v>8.222996427167957E-2</v>
      </c>
      <c r="W14" s="214">
        <v>141811.93288463712</v>
      </c>
      <c r="X14" s="96">
        <f t="shared" ref="X14" si="28">W14/F14</f>
        <v>1.9314937591937378E-2</v>
      </c>
      <c r="Y14" s="214">
        <v>594997.2722461042</v>
      </c>
      <c r="Z14" s="96">
        <f t="shared" ref="Z14" si="29">Y14/F14</f>
        <v>8.1039267620415273E-2</v>
      </c>
      <c r="AA14" s="214">
        <v>1177404.8779099288</v>
      </c>
      <c r="AB14" s="96">
        <f t="shared" ref="AB14" si="30">AA14/$F14</f>
        <v>0.16036380912862216</v>
      </c>
      <c r="AC14" s="207">
        <f t="shared" ref="AC14" si="31">SUM(Y14+AA14)</f>
        <v>1772402.150156033</v>
      </c>
      <c r="AD14" s="96">
        <f t="shared" ref="AD14" si="32">AC14/F14</f>
        <v>0.24140307674903744</v>
      </c>
      <c r="AE14" s="214">
        <v>1130602.9296462366</v>
      </c>
      <c r="AF14" s="96">
        <f t="shared" ref="AF14" si="33">AE14/F14</f>
        <v>0.15398933350089289</v>
      </c>
      <c r="AG14" s="214">
        <v>880469.57045633474</v>
      </c>
      <c r="AH14" s="96">
        <f t="shared" ref="AH14" si="34">AG14/F14</f>
        <v>0.11992090128831709</v>
      </c>
      <c r="AI14" s="214">
        <v>410273.60633020633</v>
      </c>
      <c r="AJ14" s="96">
        <f t="shared" ref="AJ14" si="35">AI14/F14</f>
        <v>5.5879705894238553E-2</v>
      </c>
      <c r="AK14" s="214">
        <v>625884.02569092275</v>
      </c>
      <c r="AL14" s="96">
        <f t="shared" ref="AL14" si="36">AK14/F14</f>
        <v>8.5246076617860753E-2</v>
      </c>
    </row>
    <row r="15" spans="1:38" ht="12">
      <c r="B15" s="79"/>
      <c r="C15" s="79"/>
      <c r="D15" s="286">
        <v>45966</v>
      </c>
      <c r="E15" s="286" t="s">
        <v>162</v>
      </c>
      <c r="F15" s="208">
        <f t="shared" si="18"/>
        <v>7302438.9999999991</v>
      </c>
      <c r="G15" s="284"/>
      <c r="H15" s="299"/>
      <c r="I15" s="214">
        <v>671273.38408956362</v>
      </c>
      <c r="J15" s="96">
        <f t="shared" ref="J15:J40" si="37">I15/F15</f>
        <v>9.1924545222433721E-2</v>
      </c>
      <c r="K15" s="214">
        <v>787143.1907171628</v>
      </c>
      <c r="L15" s="96">
        <f t="shared" ref="L15:L40" si="38">K15/F15</f>
        <v>0.10779182006411323</v>
      </c>
      <c r="M15" s="207">
        <f t="shared" ref="M15:M40" si="39">SUM(I15+K15)</f>
        <v>1458416.5748067265</v>
      </c>
      <c r="N15" s="96">
        <f t="shared" ref="N15:N40" si="40">M15/F15</f>
        <v>0.19971636528654696</v>
      </c>
      <c r="O15" s="214">
        <v>205452.13265072159</v>
      </c>
      <c r="P15" s="96">
        <f t="shared" ref="P15:P40" si="41">O15/F15</f>
        <v>2.8134727678070522E-2</v>
      </c>
      <c r="Q15" s="214">
        <v>103532.0472794595</v>
      </c>
      <c r="R15" s="96">
        <f t="shared" ref="R15:R45" si="42">Q15/$F15</f>
        <v>1.4177735312744072E-2</v>
      </c>
      <c r="S15" s="207">
        <f t="shared" ref="S15:S45" si="43">SUM(O15+Q15)</f>
        <v>308984.17993018107</v>
      </c>
      <c r="T15" s="96">
        <f t="shared" ref="T15:T40" si="44">S15/F15</f>
        <v>4.2312462990814592E-2</v>
      </c>
      <c r="U15" s="214">
        <v>590084.22733384278</v>
      </c>
      <c r="V15" s="96">
        <f t="shared" ref="V15:V40" si="45">U15/F15</f>
        <v>8.0806457586820354E-2</v>
      </c>
      <c r="W15" s="214">
        <v>147962.37630213893</v>
      </c>
      <c r="X15" s="96">
        <f t="shared" ref="X15:X40" si="46">W15/F15</f>
        <v>2.0262048926685858E-2</v>
      </c>
      <c r="Y15" s="214">
        <v>602219.4396076448</v>
      </c>
      <c r="Z15" s="96">
        <f t="shared" ref="Z15:Z40" si="47">Y15/F15</f>
        <v>8.2468260208355709E-2</v>
      </c>
      <c r="AA15" s="214">
        <v>1149748.3315936758</v>
      </c>
      <c r="AB15" s="96">
        <f t="shared" ref="AB15:AB45" si="48">AA15/$F15</f>
        <v>0.15744716684297888</v>
      </c>
      <c r="AC15" s="207">
        <f t="shared" ref="AC15:AC40" si="49">SUM(Y15+AA15)</f>
        <v>1751967.7712013205</v>
      </c>
      <c r="AD15" s="96">
        <f t="shared" ref="AD15:AD40" si="50">AC15/F15</f>
        <v>0.23991542705133459</v>
      </c>
      <c r="AE15" s="214">
        <v>1104042.1780046409</v>
      </c>
      <c r="AF15" s="96">
        <f t="shared" ref="AF15:AF40" si="51">AE15/F15</f>
        <v>0.15118814111348838</v>
      </c>
      <c r="AG15" s="214">
        <v>867385.08818924823</v>
      </c>
      <c r="AH15" s="96">
        <f t="shared" ref="AH15:AH40" si="52">AG15/F15</f>
        <v>0.11878018949411948</v>
      </c>
      <c r="AI15" s="214">
        <v>439061.15911133634</v>
      </c>
      <c r="AJ15" s="96">
        <f t="shared" ref="AJ15:AJ40" si="53">AI15/F15</f>
        <v>6.0125275830628148E-2</v>
      </c>
      <c r="AK15" s="214">
        <v>634535.44512056431</v>
      </c>
      <c r="AL15" s="96">
        <f t="shared" ref="AL15:AL40" si="54">AK15/F15</f>
        <v>8.6893631719561701E-2</v>
      </c>
    </row>
    <row r="16" spans="1:38" ht="12">
      <c r="B16" s="79"/>
      <c r="C16" s="79"/>
      <c r="D16" s="286">
        <v>45967</v>
      </c>
      <c r="E16" s="286" t="s">
        <v>163</v>
      </c>
      <c r="F16" s="208">
        <f t="shared" si="18"/>
        <v>7792203.0000000009</v>
      </c>
      <c r="G16" s="284"/>
      <c r="H16" s="299"/>
      <c r="I16" s="214">
        <v>639847.82860686909</v>
      </c>
      <c r="J16" s="96">
        <f t="shared" si="37"/>
        <v>8.2113855171235789E-2</v>
      </c>
      <c r="K16" s="214">
        <v>737767.77222270682</v>
      </c>
      <c r="L16" s="96">
        <f t="shared" si="38"/>
        <v>9.4680255663604593E-2</v>
      </c>
      <c r="M16" s="207">
        <f t="shared" si="39"/>
        <v>1377615.6008295759</v>
      </c>
      <c r="N16" s="96">
        <f t="shared" si="40"/>
        <v>0.1767941108348404</v>
      </c>
      <c r="O16" s="214">
        <v>182346.73199253157</v>
      </c>
      <c r="P16" s="96">
        <f t="shared" si="41"/>
        <v>2.3401178330766222E-2</v>
      </c>
      <c r="Q16" s="214">
        <v>102698.18752645809</v>
      </c>
      <c r="R16" s="96">
        <f t="shared" si="42"/>
        <v>1.3179608838021556E-2</v>
      </c>
      <c r="S16" s="207">
        <f t="shared" si="43"/>
        <v>285044.91951898963</v>
      </c>
      <c r="T16" s="96">
        <f t="shared" si="44"/>
        <v>3.6580787168787772E-2</v>
      </c>
      <c r="U16" s="214">
        <v>565885.32224459318</v>
      </c>
      <c r="V16" s="96">
        <f t="shared" si="45"/>
        <v>7.2621994350582642E-2</v>
      </c>
      <c r="W16" s="214">
        <v>165987.30867016854</v>
      </c>
      <c r="X16" s="96">
        <f t="shared" si="46"/>
        <v>2.130171771322802E-2</v>
      </c>
      <c r="Y16" s="214">
        <v>564704.70022328501</v>
      </c>
      <c r="Z16" s="96">
        <f t="shared" si="47"/>
        <v>7.2470481098000777E-2</v>
      </c>
      <c r="AA16" s="214">
        <v>1865678.4813983964</v>
      </c>
      <c r="AB16" s="96">
        <f t="shared" si="48"/>
        <v>0.23942888569489221</v>
      </c>
      <c r="AC16" s="207">
        <f t="shared" si="49"/>
        <v>2430383.1816216814</v>
      </c>
      <c r="AD16" s="96">
        <f t="shared" si="50"/>
        <v>0.31189936679289298</v>
      </c>
      <c r="AE16" s="214">
        <v>1076925.9193461549</v>
      </c>
      <c r="AF16" s="96">
        <f t="shared" si="51"/>
        <v>0.13820557797918698</v>
      </c>
      <c r="AG16" s="214">
        <v>826737.45000736834</v>
      </c>
      <c r="AH16" s="96">
        <f t="shared" si="52"/>
        <v>0.10609803800123896</v>
      </c>
      <c r="AI16" s="214">
        <v>453248.69905183988</v>
      </c>
      <c r="AJ16" s="96">
        <f t="shared" si="53"/>
        <v>5.8166952150995016E-2</v>
      </c>
      <c r="AK16" s="214">
        <v>610374.59870962903</v>
      </c>
      <c r="AL16" s="96">
        <f t="shared" si="54"/>
        <v>7.8331455008247217E-2</v>
      </c>
    </row>
    <row r="17" spans="2:38" ht="12">
      <c r="B17" s="79"/>
      <c r="C17" s="79"/>
      <c r="D17" s="286">
        <v>45968</v>
      </c>
      <c r="E17" s="286" t="s">
        <v>164</v>
      </c>
      <c r="F17" s="208">
        <f t="shared" si="18"/>
        <v>6208479.0000000009</v>
      </c>
      <c r="G17" s="284"/>
      <c r="H17" s="299"/>
      <c r="I17" s="214">
        <v>544969.64328995743</v>
      </c>
      <c r="J17" s="96">
        <f t="shared" si="37"/>
        <v>8.7778285678337217E-2</v>
      </c>
      <c r="K17" s="214">
        <v>709438.85798189789</v>
      </c>
      <c r="L17" s="96">
        <f t="shared" si="38"/>
        <v>0.11426934970415424</v>
      </c>
      <c r="M17" s="207">
        <f t="shared" si="39"/>
        <v>1254408.5012718553</v>
      </c>
      <c r="N17" s="96">
        <f t="shared" si="40"/>
        <v>0.20204763538249146</v>
      </c>
      <c r="O17" s="214">
        <v>164398.55902397502</v>
      </c>
      <c r="P17" s="96">
        <f t="shared" si="41"/>
        <v>2.6479683514106272E-2</v>
      </c>
      <c r="Q17" s="214">
        <v>96678.260095114761</v>
      </c>
      <c r="R17" s="96">
        <f t="shared" si="42"/>
        <v>1.5571971829994874E-2</v>
      </c>
      <c r="S17" s="207">
        <f t="shared" si="43"/>
        <v>261076.81911908978</v>
      </c>
      <c r="T17" s="96">
        <f t="shared" si="44"/>
        <v>4.2051655344101144E-2</v>
      </c>
      <c r="U17" s="214">
        <v>499063.51269832626</v>
      </c>
      <c r="V17" s="96">
        <f t="shared" si="45"/>
        <v>8.0384183098360512E-2</v>
      </c>
      <c r="W17" s="214">
        <v>146789.4129943322</v>
      </c>
      <c r="X17" s="96">
        <f t="shared" si="46"/>
        <v>2.3643377547758828E-2</v>
      </c>
      <c r="Y17" s="214">
        <v>530434.63767470443</v>
      </c>
      <c r="Z17" s="96">
        <f t="shared" si="47"/>
        <v>8.5437131650876866E-2</v>
      </c>
      <c r="AA17" s="214">
        <v>860363.66983558552</v>
      </c>
      <c r="AB17" s="96">
        <f t="shared" si="48"/>
        <v>0.13857881613767001</v>
      </c>
      <c r="AC17" s="207">
        <f t="shared" si="49"/>
        <v>1390798.3075102898</v>
      </c>
      <c r="AD17" s="96">
        <f t="shared" si="50"/>
        <v>0.22401594778854686</v>
      </c>
      <c r="AE17" s="214">
        <v>953583.58857187617</v>
      </c>
      <c r="AF17" s="96">
        <f t="shared" si="51"/>
        <v>0.15359375276486817</v>
      </c>
      <c r="AG17" s="214">
        <v>671689.04687753366</v>
      </c>
      <c r="AH17" s="96">
        <f t="shared" si="52"/>
        <v>0.1081889858816521</v>
      </c>
      <c r="AI17" s="214">
        <v>440097.88355192548</v>
      </c>
      <c r="AJ17" s="96">
        <f t="shared" si="53"/>
        <v>7.0886586481475639E-2</v>
      </c>
      <c r="AK17" s="214">
        <v>590971.92740477133</v>
      </c>
      <c r="AL17" s="96">
        <f t="shared" si="54"/>
        <v>9.5187875710745135E-2</v>
      </c>
    </row>
    <row r="18" spans="2:38" ht="12">
      <c r="B18" s="79"/>
      <c r="C18" s="79"/>
      <c r="D18" s="286">
        <v>45969</v>
      </c>
      <c r="E18" s="286" t="s">
        <v>165</v>
      </c>
      <c r="F18" s="208">
        <f t="shared" si="18"/>
        <v>6332588</v>
      </c>
      <c r="G18" s="284"/>
      <c r="H18" s="299"/>
      <c r="I18" s="214">
        <v>525873.5925814166</v>
      </c>
      <c r="J18" s="96">
        <f t="shared" si="37"/>
        <v>8.3042445297470263E-2</v>
      </c>
      <c r="K18" s="214">
        <v>758939.38620316307</v>
      </c>
      <c r="L18" s="96">
        <f t="shared" si="38"/>
        <v>0.11984663872071941</v>
      </c>
      <c r="M18" s="207">
        <f t="shared" si="39"/>
        <v>1284812.9787845798</v>
      </c>
      <c r="N18" s="96">
        <f t="shared" si="40"/>
        <v>0.2028890840181897</v>
      </c>
      <c r="O18" s="214">
        <v>154500.20523543729</v>
      </c>
      <c r="P18" s="96">
        <f t="shared" si="41"/>
        <v>2.4397640464757425E-2</v>
      </c>
      <c r="Q18" s="214">
        <v>90902.18475912766</v>
      </c>
      <c r="R18" s="96">
        <f t="shared" si="42"/>
        <v>1.4354665858433813E-2</v>
      </c>
      <c r="S18" s="207">
        <f t="shared" si="43"/>
        <v>245402.38999456493</v>
      </c>
      <c r="T18" s="96">
        <f t="shared" si="44"/>
        <v>3.8752306323191231E-2</v>
      </c>
      <c r="U18" s="214">
        <v>528904.54887912783</v>
      </c>
      <c r="V18" s="96">
        <f t="shared" si="45"/>
        <v>8.3521073671479623E-2</v>
      </c>
      <c r="W18" s="214">
        <v>133171.31883461835</v>
      </c>
      <c r="X18" s="96">
        <f t="shared" si="46"/>
        <v>2.1029525185377346E-2</v>
      </c>
      <c r="Y18" s="214">
        <v>546381.27192677907</v>
      </c>
      <c r="Z18" s="96">
        <f t="shared" si="47"/>
        <v>8.6280881043702684E-2</v>
      </c>
      <c r="AA18" s="214">
        <v>911127.87856593868</v>
      </c>
      <c r="AB18" s="96">
        <f t="shared" si="48"/>
        <v>0.14387922892914218</v>
      </c>
      <c r="AC18" s="207">
        <f t="shared" si="49"/>
        <v>1457509.1504927177</v>
      </c>
      <c r="AD18" s="96">
        <f t="shared" si="50"/>
        <v>0.23016010997284486</v>
      </c>
      <c r="AE18" s="214">
        <v>946260.1126237358</v>
      </c>
      <c r="AF18" s="96">
        <f t="shared" si="51"/>
        <v>0.14942707667445534</v>
      </c>
      <c r="AG18" s="214">
        <v>720981.82812985883</v>
      </c>
      <c r="AH18" s="96">
        <f t="shared" si="52"/>
        <v>0.11385263467793244</v>
      </c>
      <c r="AI18" s="214">
        <v>444253.15738603461</v>
      </c>
      <c r="AJ18" s="96">
        <f t="shared" si="53"/>
        <v>7.0153491334985732E-2</v>
      </c>
      <c r="AK18" s="214">
        <v>571292.51487476239</v>
      </c>
      <c r="AL18" s="96">
        <f t="shared" si="54"/>
        <v>9.0214698141543773E-2</v>
      </c>
    </row>
    <row r="19" spans="2:38" ht="12">
      <c r="B19" s="79"/>
      <c r="C19" s="79"/>
      <c r="D19" s="286">
        <v>45970</v>
      </c>
      <c r="E19" s="286" t="s">
        <v>166</v>
      </c>
      <c r="F19" s="208">
        <f t="shared" si="18"/>
        <v>7101855</v>
      </c>
      <c r="G19" s="284"/>
      <c r="H19" s="299"/>
      <c r="I19" s="214">
        <v>685774.53906767664</v>
      </c>
      <c r="J19" s="96">
        <f t="shared" si="37"/>
        <v>9.6562734534523256E-2</v>
      </c>
      <c r="K19" s="214">
        <v>818212.64165828016</v>
      </c>
      <c r="L19" s="96">
        <f t="shared" si="38"/>
        <v>0.11521111620249641</v>
      </c>
      <c r="M19" s="207">
        <f t="shared" si="39"/>
        <v>1503987.1807259568</v>
      </c>
      <c r="N19" s="96">
        <f t="shared" si="40"/>
        <v>0.21177385073701965</v>
      </c>
      <c r="O19" s="214">
        <v>195573.00727608069</v>
      </c>
      <c r="P19" s="96">
        <f t="shared" si="41"/>
        <v>2.7538299117073031E-2</v>
      </c>
      <c r="Q19" s="214">
        <v>102486.25749363673</v>
      </c>
      <c r="R19" s="96">
        <f t="shared" si="42"/>
        <v>1.4430913823731508E-2</v>
      </c>
      <c r="S19" s="207">
        <f t="shared" si="43"/>
        <v>298059.26476971741</v>
      </c>
      <c r="T19" s="96">
        <f t="shared" si="44"/>
        <v>4.1969212940804537E-2</v>
      </c>
      <c r="U19" s="214">
        <v>589179.10223522992</v>
      </c>
      <c r="V19" s="96">
        <f t="shared" si="45"/>
        <v>8.2961297046367455E-2</v>
      </c>
      <c r="W19" s="214">
        <v>145516.12579335365</v>
      </c>
      <c r="X19" s="96">
        <f t="shared" si="46"/>
        <v>2.0489875644230087E-2</v>
      </c>
      <c r="Y19" s="214">
        <v>610695.73021973309</v>
      </c>
      <c r="Z19" s="96">
        <f t="shared" si="47"/>
        <v>8.5991016462562686E-2</v>
      </c>
      <c r="AA19" s="214">
        <v>797865.73769258347</v>
      </c>
      <c r="AB19" s="96">
        <f t="shared" si="48"/>
        <v>0.11234610361554601</v>
      </c>
      <c r="AC19" s="207">
        <f t="shared" si="49"/>
        <v>1408561.4679123166</v>
      </c>
      <c r="AD19" s="96">
        <f t="shared" si="50"/>
        <v>0.19833712007810869</v>
      </c>
      <c r="AE19" s="214">
        <v>1139093.2493172737</v>
      </c>
      <c r="AF19" s="96">
        <f t="shared" si="51"/>
        <v>0.16039376322344989</v>
      </c>
      <c r="AG19" s="214">
        <v>875891.8919325968</v>
      </c>
      <c r="AH19" s="96">
        <f t="shared" si="52"/>
        <v>0.12333283232797583</v>
      </c>
      <c r="AI19" s="214">
        <v>501676.7522637237</v>
      </c>
      <c r="AJ19" s="96">
        <f t="shared" si="53"/>
        <v>7.0640241495176073E-2</v>
      </c>
      <c r="AK19" s="214">
        <v>639889.96504983178</v>
      </c>
      <c r="AL19" s="96">
        <f t="shared" si="54"/>
        <v>9.0101806506867818E-2</v>
      </c>
    </row>
    <row r="20" spans="2:38" ht="12">
      <c r="B20" s="79"/>
      <c r="C20" s="79"/>
      <c r="D20" s="286">
        <v>45971</v>
      </c>
      <c r="E20" s="286" t="s">
        <v>167</v>
      </c>
      <c r="F20" s="208">
        <f t="shared" si="18"/>
        <v>7819797.0000000009</v>
      </c>
      <c r="G20" s="284"/>
      <c r="H20" s="299"/>
      <c r="I20" s="214">
        <v>653047.43997405574</v>
      </c>
      <c r="J20" s="96">
        <f t="shared" si="37"/>
        <v>8.3512070706446173E-2</v>
      </c>
      <c r="K20" s="214">
        <v>792892.22382296296</v>
      </c>
      <c r="L20" s="96">
        <f t="shared" si="38"/>
        <v>0.1013954996303565</v>
      </c>
      <c r="M20" s="207">
        <f t="shared" si="39"/>
        <v>1445939.6637970186</v>
      </c>
      <c r="N20" s="96">
        <f t="shared" si="40"/>
        <v>0.18490757033680266</v>
      </c>
      <c r="O20" s="214">
        <v>183067.09479799325</v>
      </c>
      <c r="P20" s="96">
        <f t="shared" si="41"/>
        <v>2.3410722145088068E-2</v>
      </c>
      <c r="Q20" s="214">
        <v>101141.88370314059</v>
      </c>
      <c r="R20" s="96">
        <f t="shared" si="42"/>
        <v>1.2934080475892222E-2</v>
      </c>
      <c r="S20" s="207">
        <f t="shared" si="43"/>
        <v>284208.97850113385</v>
      </c>
      <c r="T20" s="96">
        <f t="shared" si="44"/>
        <v>3.634480262098029E-2</v>
      </c>
      <c r="U20" s="214">
        <v>572593.59059716389</v>
      </c>
      <c r="V20" s="96">
        <f t="shared" si="45"/>
        <v>7.3223587594046721E-2</v>
      </c>
      <c r="W20" s="214">
        <v>140994.76579431418</v>
      </c>
      <c r="X20" s="96">
        <f t="shared" si="46"/>
        <v>1.8030489256219077E-2</v>
      </c>
      <c r="Y20" s="214">
        <v>616118.19077542785</v>
      </c>
      <c r="Z20" s="96">
        <f t="shared" si="47"/>
        <v>7.878953773038197E-2</v>
      </c>
      <c r="AA20" s="214">
        <v>1654459.4339049163</v>
      </c>
      <c r="AB20" s="96">
        <f t="shared" si="48"/>
        <v>0.21157319479072362</v>
      </c>
      <c r="AC20" s="207">
        <f t="shared" si="49"/>
        <v>2270577.624680344</v>
      </c>
      <c r="AD20" s="96">
        <f t="shared" si="50"/>
        <v>0.29036273252110556</v>
      </c>
      <c r="AE20" s="214">
        <v>1138682.8547423123</v>
      </c>
      <c r="AF20" s="96">
        <f t="shared" si="51"/>
        <v>0.1456153982951619</v>
      </c>
      <c r="AG20" s="214">
        <v>876253.97513235465</v>
      </c>
      <c r="AH20" s="96">
        <f t="shared" si="52"/>
        <v>0.11205584686307772</v>
      </c>
      <c r="AI20" s="214">
        <v>456905.07554989768</v>
      </c>
      <c r="AJ20" s="96">
        <f t="shared" si="53"/>
        <v>5.8429275791928824E-2</v>
      </c>
      <c r="AK20" s="214">
        <v>633640.47120546084</v>
      </c>
      <c r="AL20" s="96">
        <f t="shared" si="54"/>
        <v>8.1030296720677117E-2</v>
      </c>
    </row>
    <row r="21" spans="2:38" ht="12">
      <c r="B21" s="79"/>
      <c r="C21" s="79"/>
      <c r="D21" s="82">
        <v>45972</v>
      </c>
      <c r="E21" s="82" t="s">
        <v>161</v>
      </c>
      <c r="F21" s="208">
        <f t="shared" si="18"/>
        <v>0</v>
      </c>
      <c r="G21" s="284">
        <f>SUM(F21:F27)</f>
        <v>0</v>
      </c>
      <c r="H21" s="299"/>
      <c r="I21" s="214"/>
      <c r="J21" s="96" t="e">
        <f t="shared" si="37"/>
        <v>#DIV/0!</v>
      </c>
      <c r="K21" s="214"/>
      <c r="L21" s="96" t="e">
        <f t="shared" si="38"/>
        <v>#DIV/0!</v>
      </c>
      <c r="M21" s="207">
        <f t="shared" si="39"/>
        <v>0</v>
      </c>
      <c r="N21" s="96" t="e">
        <f t="shared" si="40"/>
        <v>#DIV/0!</v>
      </c>
      <c r="O21" s="214"/>
      <c r="P21" s="96" t="e">
        <f t="shared" si="41"/>
        <v>#DIV/0!</v>
      </c>
      <c r="Q21" s="214"/>
      <c r="R21" s="96" t="e">
        <f t="shared" si="42"/>
        <v>#DIV/0!</v>
      </c>
      <c r="S21" s="207">
        <f t="shared" si="43"/>
        <v>0</v>
      </c>
      <c r="T21" s="96" t="e">
        <f t="shared" si="44"/>
        <v>#DIV/0!</v>
      </c>
      <c r="U21" s="214"/>
      <c r="V21" s="96" t="e">
        <f t="shared" si="45"/>
        <v>#DIV/0!</v>
      </c>
      <c r="W21" s="214"/>
      <c r="X21" s="96" t="e">
        <f t="shared" si="46"/>
        <v>#DIV/0!</v>
      </c>
      <c r="Y21" s="214"/>
      <c r="Z21" s="96" t="e">
        <f t="shared" si="47"/>
        <v>#DIV/0!</v>
      </c>
      <c r="AA21" s="214"/>
      <c r="AB21" s="96" t="e">
        <f t="shared" si="48"/>
        <v>#DIV/0!</v>
      </c>
      <c r="AC21" s="207">
        <f t="shared" si="49"/>
        <v>0</v>
      </c>
      <c r="AD21" s="96" t="e">
        <f t="shared" si="50"/>
        <v>#DIV/0!</v>
      </c>
      <c r="AE21" s="214"/>
      <c r="AF21" s="96" t="e">
        <f t="shared" si="51"/>
        <v>#DIV/0!</v>
      </c>
      <c r="AG21" s="214"/>
      <c r="AH21" s="96" t="e">
        <f t="shared" si="52"/>
        <v>#DIV/0!</v>
      </c>
      <c r="AI21" s="214"/>
      <c r="AJ21" s="96" t="e">
        <f t="shared" si="53"/>
        <v>#DIV/0!</v>
      </c>
      <c r="AK21" s="214"/>
      <c r="AL21" s="96" t="e">
        <f t="shared" si="54"/>
        <v>#DIV/0!</v>
      </c>
    </row>
    <row r="22" spans="2:38" ht="12">
      <c r="B22" s="79"/>
      <c r="C22" s="79"/>
      <c r="D22" s="82">
        <v>45973</v>
      </c>
      <c r="E22" s="82" t="s">
        <v>162</v>
      </c>
      <c r="F22" s="208">
        <f t="shared" si="18"/>
        <v>0</v>
      </c>
      <c r="G22" s="284"/>
      <c r="H22" s="299"/>
      <c r="I22" s="214"/>
      <c r="J22" s="96" t="e">
        <f t="shared" si="37"/>
        <v>#DIV/0!</v>
      </c>
      <c r="K22" s="214"/>
      <c r="L22" s="96" t="e">
        <f t="shared" si="38"/>
        <v>#DIV/0!</v>
      </c>
      <c r="M22" s="207">
        <f t="shared" si="39"/>
        <v>0</v>
      </c>
      <c r="N22" s="96" t="e">
        <f t="shared" si="40"/>
        <v>#DIV/0!</v>
      </c>
      <c r="O22" s="214"/>
      <c r="P22" s="96" t="e">
        <f t="shared" si="41"/>
        <v>#DIV/0!</v>
      </c>
      <c r="Q22" s="214"/>
      <c r="R22" s="96" t="e">
        <f t="shared" si="42"/>
        <v>#DIV/0!</v>
      </c>
      <c r="S22" s="207">
        <f t="shared" si="43"/>
        <v>0</v>
      </c>
      <c r="T22" s="96" t="e">
        <f t="shared" si="44"/>
        <v>#DIV/0!</v>
      </c>
      <c r="U22" s="214"/>
      <c r="V22" s="96" t="e">
        <f t="shared" si="45"/>
        <v>#DIV/0!</v>
      </c>
      <c r="W22" s="214"/>
      <c r="X22" s="96" t="e">
        <f t="shared" si="46"/>
        <v>#DIV/0!</v>
      </c>
      <c r="Y22" s="214"/>
      <c r="Z22" s="96" t="e">
        <f t="shared" si="47"/>
        <v>#DIV/0!</v>
      </c>
      <c r="AA22" s="214"/>
      <c r="AB22" s="96" t="e">
        <f t="shared" si="48"/>
        <v>#DIV/0!</v>
      </c>
      <c r="AC22" s="207">
        <f t="shared" si="49"/>
        <v>0</v>
      </c>
      <c r="AD22" s="96" t="e">
        <f t="shared" si="50"/>
        <v>#DIV/0!</v>
      </c>
      <c r="AE22" s="214"/>
      <c r="AF22" s="96" t="e">
        <f t="shared" si="51"/>
        <v>#DIV/0!</v>
      </c>
      <c r="AG22" s="214"/>
      <c r="AH22" s="96" t="e">
        <f t="shared" si="52"/>
        <v>#DIV/0!</v>
      </c>
      <c r="AI22" s="214"/>
      <c r="AJ22" s="96" t="e">
        <f t="shared" si="53"/>
        <v>#DIV/0!</v>
      </c>
      <c r="AK22" s="214"/>
      <c r="AL22" s="96" t="e">
        <f t="shared" si="54"/>
        <v>#DIV/0!</v>
      </c>
    </row>
    <row r="23" spans="2:38" ht="12">
      <c r="B23" s="79"/>
      <c r="C23" s="79"/>
      <c r="D23" s="82">
        <v>45974</v>
      </c>
      <c r="E23" s="82" t="s">
        <v>163</v>
      </c>
      <c r="F23" s="208">
        <f t="shared" si="18"/>
        <v>0</v>
      </c>
      <c r="G23" s="284"/>
      <c r="H23" s="299"/>
      <c r="I23" s="214"/>
      <c r="J23" s="96" t="e">
        <f t="shared" si="37"/>
        <v>#DIV/0!</v>
      </c>
      <c r="K23" s="214"/>
      <c r="L23" s="96" t="e">
        <f t="shared" si="38"/>
        <v>#DIV/0!</v>
      </c>
      <c r="M23" s="207">
        <f t="shared" si="39"/>
        <v>0</v>
      </c>
      <c r="N23" s="96" t="e">
        <f t="shared" si="40"/>
        <v>#DIV/0!</v>
      </c>
      <c r="O23" s="214"/>
      <c r="P23" s="96" t="e">
        <f t="shared" si="41"/>
        <v>#DIV/0!</v>
      </c>
      <c r="Q23" s="214"/>
      <c r="R23" s="96" t="e">
        <f t="shared" si="42"/>
        <v>#DIV/0!</v>
      </c>
      <c r="S23" s="207">
        <f t="shared" si="43"/>
        <v>0</v>
      </c>
      <c r="T23" s="96" t="e">
        <f t="shared" si="44"/>
        <v>#DIV/0!</v>
      </c>
      <c r="U23" s="214"/>
      <c r="V23" s="96" t="e">
        <f t="shared" si="45"/>
        <v>#DIV/0!</v>
      </c>
      <c r="W23" s="214"/>
      <c r="X23" s="96" t="e">
        <f t="shared" si="46"/>
        <v>#DIV/0!</v>
      </c>
      <c r="Y23" s="214"/>
      <c r="Z23" s="96" t="e">
        <f t="shared" si="47"/>
        <v>#DIV/0!</v>
      </c>
      <c r="AA23" s="214"/>
      <c r="AB23" s="96" t="e">
        <f t="shared" si="48"/>
        <v>#DIV/0!</v>
      </c>
      <c r="AC23" s="207">
        <f t="shared" si="49"/>
        <v>0</v>
      </c>
      <c r="AD23" s="96" t="e">
        <f t="shared" si="50"/>
        <v>#DIV/0!</v>
      </c>
      <c r="AE23" s="214"/>
      <c r="AF23" s="96" t="e">
        <f t="shared" si="51"/>
        <v>#DIV/0!</v>
      </c>
      <c r="AG23" s="214"/>
      <c r="AH23" s="96" t="e">
        <f t="shared" si="52"/>
        <v>#DIV/0!</v>
      </c>
      <c r="AI23" s="214"/>
      <c r="AJ23" s="96" t="e">
        <f t="shared" si="53"/>
        <v>#DIV/0!</v>
      </c>
      <c r="AK23" s="214"/>
      <c r="AL23" s="96" t="e">
        <f t="shared" si="54"/>
        <v>#DIV/0!</v>
      </c>
    </row>
    <row r="24" spans="2:38" ht="12">
      <c r="B24" s="79"/>
      <c r="C24" s="79"/>
      <c r="D24" s="82">
        <v>45975</v>
      </c>
      <c r="E24" s="82" t="s">
        <v>164</v>
      </c>
      <c r="F24" s="208">
        <f t="shared" si="18"/>
        <v>0</v>
      </c>
      <c r="G24" s="284"/>
      <c r="H24" s="299"/>
      <c r="I24" s="214"/>
      <c r="J24" s="96" t="e">
        <f t="shared" si="37"/>
        <v>#DIV/0!</v>
      </c>
      <c r="K24" s="214"/>
      <c r="L24" s="96" t="e">
        <f t="shared" si="38"/>
        <v>#DIV/0!</v>
      </c>
      <c r="M24" s="207">
        <f t="shared" si="39"/>
        <v>0</v>
      </c>
      <c r="N24" s="96" t="e">
        <f t="shared" si="40"/>
        <v>#DIV/0!</v>
      </c>
      <c r="O24" s="214"/>
      <c r="P24" s="96" t="e">
        <f t="shared" si="41"/>
        <v>#DIV/0!</v>
      </c>
      <c r="Q24" s="214"/>
      <c r="R24" s="96" t="e">
        <f t="shared" si="42"/>
        <v>#DIV/0!</v>
      </c>
      <c r="S24" s="207">
        <f t="shared" si="43"/>
        <v>0</v>
      </c>
      <c r="T24" s="96" t="e">
        <f t="shared" si="44"/>
        <v>#DIV/0!</v>
      </c>
      <c r="U24" s="214"/>
      <c r="V24" s="96" t="e">
        <f t="shared" si="45"/>
        <v>#DIV/0!</v>
      </c>
      <c r="W24" s="214"/>
      <c r="X24" s="96" t="e">
        <f t="shared" si="46"/>
        <v>#DIV/0!</v>
      </c>
      <c r="Y24" s="214"/>
      <c r="Z24" s="96" t="e">
        <f t="shared" si="47"/>
        <v>#DIV/0!</v>
      </c>
      <c r="AA24" s="214"/>
      <c r="AB24" s="96" t="e">
        <f t="shared" si="48"/>
        <v>#DIV/0!</v>
      </c>
      <c r="AC24" s="207">
        <f t="shared" si="49"/>
        <v>0</v>
      </c>
      <c r="AD24" s="96" t="e">
        <f t="shared" si="50"/>
        <v>#DIV/0!</v>
      </c>
      <c r="AE24" s="214"/>
      <c r="AF24" s="96" t="e">
        <f t="shared" si="51"/>
        <v>#DIV/0!</v>
      </c>
      <c r="AG24" s="214"/>
      <c r="AH24" s="96" t="e">
        <f t="shared" si="52"/>
        <v>#DIV/0!</v>
      </c>
      <c r="AI24" s="214"/>
      <c r="AJ24" s="96" t="e">
        <f t="shared" si="53"/>
        <v>#DIV/0!</v>
      </c>
      <c r="AK24" s="214"/>
      <c r="AL24" s="96" t="e">
        <f t="shared" si="54"/>
        <v>#DIV/0!</v>
      </c>
    </row>
    <row r="25" spans="2:38" ht="12">
      <c r="B25" s="79"/>
      <c r="C25" s="79"/>
      <c r="D25" s="82">
        <v>45976</v>
      </c>
      <c r="E25" s="82" t="s">
        <v>165</v>
      </c>
      <c r="F25" s="208">
        <f t="shared" si="18"/>
        <v>0</v>
      </c>
      <c r="G25" s="284"/>
      <c r="H25" s="299"/>
      <c r="I25" s="214"/>
      <c r="J25" s="96" t="e">
        <f t="shared" si="37"/>
        <v>#DIV/0!</v>
      </c>
      <c r="K25" s="214"/>
      <c r="L25" s="96" t="e">
        <f t="shared" si="38"/>
        <v>#DIV/0!</v>
      </c>
      <c r="M25" s="207">
        <f t="shared" si="39"/>
        <v>0</v>
      </c>
      <c r="N25" s="96" t="e">
        <f t="shared" si="40"/>
        <v>#DIV/0!</v>
      </c>
      <c r="O25" s="214"/>
      <c r="P25" s="96" t="e">
        <f t="shared" si="41"/>
        <v>#DIV/0!</v>
      </c>
      <c r="Q25" s="214"/>
      <c r="R25" s="96" t="e">
        <f t="shared" si="42"/>
        <v>#DIV/0!</v>
      </c>
      <c r="S25" s="207">
        <f t="shared" si="43"/>
        <v>0</v>
      </c>
      <c r="T25" s="96" t="e">
        <f t="shared" si="44"/>
        <v>#DIV/0!</v>
      </c>
      <c r="U25" s="214"/>
      <c r="V25" s="96" t="e">
        <f t="shared" si="45"/>
        <v>#DIV/0!</v>
      </c>
      <c r="W25" s="214"/>
      <c r="X25" s="96" t="e">
        <f t="shared" si="46"/>
        <v>#DIV/0!</v>
      </c>
      <c r="Y25" s="214"/>
      <c r="Z25" s="96" t="e">
        <f t="shared" si="47"/>
        <v>#DIV/0!</v>
      </c>
      <c r="AA25" s="214"/>
      <c r="AB25" s="96" t="e">
        <f t="shared" si="48"/>
        <v>#DIV/0!</v>
      </c>
      <c r="AC25" s="207">
        <f t="shared" si="49"/>
        <v>0</v>
      </c>
      <c r="AD25" s="96" t="e">
        <f t="shared" si="50"/>
        <v>#DIV/0!</v>
      </c>
      <c r="AE25" s="214"/>
      <c r="AF25" s="96" t="e">
        <f t="shared" si="51"/>
        <v>#DIV/0!</v>
      </c>
      <c r="AG25" s="214"/>
      <c r="AH25" s="96" t="e">
        <f t="shared" si="52"/>
        <v>#DIV/0!</v>
      </c>
      <c r="AI25" s="214"/>
      <c r="AJ25" s="96" t="e">
        <f t="shared" si="53"/>
        <v>#DIV/0!</v>
      </c>
      <c r="AK25" s="214"/>
      <c r="AL25" s="96" t="e">
        <f t="shared" si="54"/>
        <v>#DIV/0!</v>
      </c>
    </row>
    <row r="26" spans="2:38" ht="12">
      <c r="B26" s="79"/>
      <c r="C26" s="79"/>
      <c r="D26" s="82">
        <v>45977</v>
      </c>
      <c r="E26" s="82" t="s">
        <v>166</v>
      </c>
      <c r="F26" s="208">
        <f t="shared" si="18"/>
        <v>0</v>
      </c>
      <c r="G26" s="284"/>
      <c r="H26" s="299"/>
      <c r="I26" s="214"/>
      <c r="J26" s="96" t="e">
        <f t="shared" si="37"/>
        <v>#DIV/0!</v>
      </c>
      <c r="K26" s="214"/>
      <c r="L26" s="96" t="e">
        <f t="shared" si="38"/>
        <v>#DIV/0!</v>
      </c>
      <c r="M26" s="207">
        <f t="shared" si="39"/>
        <v>0</v>
      </c>
      <c r="N26" s="96" t="e">
        <f t="shared" si="40"/>
        <v>#DIV/0!</v>
      </c>
      <c r="O26" s="214"/>
      <c r="P26" s="96" t="e">
        <f t="shared" si="41"/>
        <v>#DIV/0!</v>
      </c>
      <c r="Q26" s="214"/>
      <c r="R26" s="96" t="e">
        <f t="shared" si="42"/>
        <v>#DIV/0!</v>
      </c>
      <c r="S26" s="207">
        <f t="shared" si="43"/>
        <v>0</v>
      </c>
      <c r="T26" s="96" t="e">
        <f t="shared" si="44"/>
        <v>#DIV/0!</v>
      </c>
      <c r="U26" s="214"/>
      <c r="V26" s="96" t="e">
        <f t="shared" si="45"/>
        <v>#DIV/0!</v>
      </c>
      <c r="W26" s="214"/>
      <c r="X26" s="96" t="e">
        <f t="shared" si="46"/>
        <v>#DIV/0!</v>
      </c>
      <c r="Y26" s="214"/>
      <c r="Z26" s="96" t="e">
        <f t="shared" si="47"/>
        <v>#DIV/0!</v>
      </c>
      <c r="AA26" s="214"/>
      <c r="AB26" s="96" t="e">
        <f t="shared" si="48"/>
        <v>#DIV/0!</v>
      </c>
      <c r="AC26" s="207">
        <f t="shared" si="49"/>
        <v>0</v>
      </c>
      <c r="AD26" s="96" t="e">
        <f t="shared" si="50"/>
        <v>#DIV/0!</v>
      </c>
      <c r="AE26" s="214"/>
      <c r="AF26" s="96" t="e">
        <f t="shared" si="51"/>
        <v>#DIV/0!</v>
      </c>
      <c r="AG26" s="214"/>
      <c r="AH26" s="96" t="e">
        <f t="shared" si="52"/>
        <v>#DIV/0!</v>
      </c>
      <c r="AI26" s="214"/>
      <c r="AJ26" s="96" t="e">
        <f t="shared" si="53"/>
        <v>#DIV/0!</v>
      </c>
      <c r="AK26" s="214"/>
      <c r="AL26" s="96" t="e">
        <f t="shared" si="54"/>
        <v>#DIV/0!</v>
      </c>
    </row>
    <row r="27" spans="2:38" ht="12">
      <c r="B27" s="79"/>
      <c r="C27" s="79"/>
      <c r="D27" s="82">
        <v>45978</v>
      </c>
      <c r="E27" s="82" t="s">
        <v>167</v>
      </c>
      <c r="F27" s="208">
        <f t="shared" si="18"/>
        <v>0</v>
      </c>
      <c r="G27" s="284"/>
      <c r="H27" s="299"/>
      <c r="I27" s="214"/>
      <c r="J27" s="96" t="e">
        <f t="shared" si="37"/>
        <v>#DIV/0!</v>
      </c>
      <c r="K27" s="214"/>
      <c r="L27" s="96" t="e">
        <f t="shared" si="38"/>
        <v>#DIV/0!</v>
      </c>
      <c r="M27" s="207">
        <f t="shared" si="39"/>
        <v>0</v>
      </c>
      <c r="N27" s="96" t="e">
        <f t="shared" si="40"/>
        <v>#DIV/0!</v>
      </c>
      <c r="O27" s="214"/>
      <c r="P27" s="96" t="e">
        <f t="shared" si="41"/>
        <v>#DIV/0!</v>
      </c>
      <c r="Q27" s="214"/>
      <c r="R27" s="96" t="e">
        <f t="shared" si="42"/>
        <v>#DIV/0!</v>
      </c>
      <c r="S27" s="207">
        <f t="shared" si="43"/>
        <v>0</v>
      </c>
      <c r="T27" s="96" t="e">
        <f t="shared" si="44"/>
        <v>#DIV/0!</v>
      </c>
      <c r="U27" s="214"/>
      <c r="V27" s="96" t="e">
        <f t="shared" si="45"/>
        <v>#DIV/0!</v>
      </c>
      <c r="W27" s="214"/>
      <c r="X27" s="96" t="e">
        <f t="shared" si="46"/>
        <v>#DIV/0!</v>
      </c>
      <c r="Y27" s="214"/>
      <c r="Z27" s="96" t="e">
        <f t="shared" si="47"/>
        <v>#DIV/0!</v>
      </c>
      <c r="AA27" s="214"/>
      <c r="AB27" s="96" t="e">
        <f t="shared" si="48"/>
        <v>#DIV/0!</v>
      </c>
      <c r="AC27" s="207">
        <f t="shared" si="49"/>
        <v>0</v>
      </c>
      <c r="AD27" s="96" t="e">
        <f t="shared" si="50"/>
        <v>#DIV/0!</v>
      </c>
      <c r="AE27" s="214"/>
      <c r="AF27" s="96" t="e">
        <f t="shared" si="51"/>
        <v>#DIV/0!</v>
      </c>
      <c r="AG27" s="214"/>
      <c r="AH27" s="96" t="e">
        <f t="shared" si="52"/>
        <v>#DIV/0!</v>
      </c>
      <c r="AI27" s="214"/>
      <c r="AJ27" s="96" t="e">
        <f t="shared" si="53"/>
        <v>#DIV/0!</v>
      </c>
      <c r="AK27" s="214"/>
      <c r="AL27" s="96" t="e">
        <f t="shared" si="54"/>
        <v>#DIV/0!</v>
      </c>
    </row>
    <row r="28" spans="2:38" ht="12">
      <c r="B28" s="79"/>
      <c r="C28" s="79"/>
      <c r="D28" s="286">
        <v>45979</v>
      </c>
      <c r="E28" s="286" t="s">
        <v>161</v>
      </c>
      <c r="F28" s="208">
        <f t="shared" si="18"/>
        <v>0</v>
      </c>
      <c r="G28" s="284">
        <f>SUM(F28:F34)</f>
        <v>0</v>
      </c>
      <c r="H28" s="299"/>
      <c r="I28" s="214"/>
      <c r="J28" s="96" t="e">
        <f t="shared" si="37"/>
        <v>#DIV/0!</v>
      </c>
      <c r="K28" s="214"/>
      <c r="L28" s="96" t="e">
        <f t="shared" si="38"/>
        <v>#DIV/0!</v>
      </c>
      <c r="M28" s="207">
        <f t="shared" si="39"/>
        <v>0</v>
      </c>
      <c r="N28" s="96" t="e">
        <f t="shared" si="40"/>
        <v>#DIV/0!</v>
      </c>
      <c r="O28" s="214"/>
      <c r="P28" s="96" t="e">
        <f t="shared" si="41"/>
        <v>#DIV/0!</v>
      </c>
      <c r="Q28" s="214"/>
      <c r="R28" s="96" t="e">
        <f t="shared" si="42"/>
        <v>#DIV/0!</v>
      </c>
      <c r="S28" s="207">
        <f t="shared" si="43"/>
        <v>0</v>
      </c>
      <c r="T28" s="96" t="e">
        <f t="shared" si="44"/>
        <v>#DIV/0!</v>
      </c>
      <c r="U28" s="214"/>
      <c r="V28" s="96" t="e">
        <f t="shared" si="45"/>
        <v>#DIV/0!</v>
      </c>
      <c r="W28" s="214"/>
      <c r="X28" s="96" t="e">
        <f t="shared" si="46"/>
        <v>#DIV/0!</v>
      </c>
      <c r="Y28" s="214"/>
      <c r="Z28" s="96" t="e">
        <f t="shared" si="47"/>
        <v>#DIV/0!</v>
      </c>
      <c r="AA28" s="214"/>
      <c r="AB28" s="96" t="e">
        <f t="shared" si="48"/>
        <v>#DIV/0!</v>
      </c>
      <c r="AC28" s="207">
        <f t="shared" si="49"/>
        <v>0</v>
      </c>
      <c r="AD28" s="96" t="e">
        <f t="shared" si="50"/>
        <v>#DIV/0!</v>
      </c>
      <c r="AE28" s="214"/>
      <c r="AF28" s="96" t="e">
        <f t="shared" si="51"/>
        <v>#DIV/0!</v>
      </c>
      <c r="AG28" s="214"/>
      <c r="AH28" s="96" t="e">
        <f t="shared" si="52"/>
        <v>#DIV/0!</v>
      </c>
      <c r="AI28" s="214"/>
      <c r="AJ28" s="96" t="e">
        <f t="shared" si="53"/>
        <v>#DIV/0!</v>
      </c>
      <c r="AK28" s="214"/>
      <c r="AL28" s="96" t="e">
        <f t="shared" si="54"/>
        <v>#DIV/0!</v>
      </c>
    </row>
    <row r="29" spans="2:38" ht="12">
      <c r="B29" s="79"/>
      <c r="C29" s="79"/>
      <c r="D29" s="286">
        <v>45980</v>
      </c>
      <c r="E29" s="286" t="s">
        <v>162</v>
      </c>
      <c r="F29" s="208">
        <f t="shared" si="18"/>
        <v>0</v>
      </c>
      <c r="G29" s="284"/>
      <c r="H29" s="299"/>
      <c r="I29" s="214"/>
      <c r="J29" s="96" t="e">
        <f t="shared" si="37"/>
        <v>#DIV/0!</v>
      </c>
      <c r="K29" s="214"/>
      <c r="L29" s="96" t="e">
        <f t="shared" si="38"/>
        <v>#DIV/0!</v>
      </c>
      <c r="M29" s="207">
        <f t="shared" si="39"/>
        <v>0</v>
      </c>
      <c r="N29" s="96" t="e">
        <f t="shared" si="40"/>
        <v>#DIV/0!</v>
      </c>
      <c r="O29" s="214"/>
      <c r="P29" s="96" t="e">
        <f t="shared" si="41"/>
        <v>#DIV/0!</v>
      </c>
      <c r="Q29" s="214"/>
      <c r="R29" s="96" t="e">
        <f t="shared" si="42"/>
        <v>#DIV/0!</v>
      </c>
      <c r="S29" s="207">
        <f t="shared" si="43"/>
        <v>0</v>
      </c>
      <c r="T29" s="96" t="e">
        <f t="shared" si="44"/>
        <v>#DIV/0!</v>
      </c>
      <c r="U29" s="214"/>
      <c r="V29" s="96" t="e">
        <f t="shared" si="45"/>
        <v>#DIV/0!</v>
      </c>
      <c r="W29" s="214"/>
      <c r="X29" s="96" t="e">
        <f t="shared" si="46"/>
        <v>#DIV/0!</v>
      </c>
      <c r="Y29" s="214"/>
      <c r="Z29" s="96" t="e">
        <f t="shared" si="47"/>
        <v>#DIV/0!</v>
      </c>
      <c r="AA29" s="214"/>
      <c r="AB29" s="96" t="e">
        <f t="shared" si="48"/>
        <v>#DIV/0!</v>
      </c>
      <c r="AC29" s="207">
        <f t="shared" si="49"/>
        <v>0</v>
      </c>
      <c r="AD29" s="96" t="e">
        <f t="shared" si="50"/>
        <v>#DIV/0!</v>
      </c>
      <c r="AE29" s="214"/>
      <c r="AF29" s="96" t="e">
        <f t="shared" si="51"/>
        <v>#DIV/0!</v>
      </c>
      <c r="AG29" s="214"/>
      <c r="AH29" s="96" t="e">
        <f t="shared" si="52"/>
        <v>#DIV/0!</v>
      </c>
      <c r="AI29" s="214"/>
      <c r="AJ29" s="96" t="e">
        <f t="shared" si="53"/>
        <v>#DIV/0!</v>
      </c>
      <c r="AK29" s="214"/>
      <c r="AL29" s="96" t="e">
        <f t="shared" si="54"/>
        <v>#DIV/0!</v>
      </c>
    </row>
    <row r="30" spans="2:38" ht="12">
      <c r="B30" s="79"/>
      <c r="C30" s="79"/>
      <c r="D30" s="286">
        <v>45981</v>
      </c>
      <c r="E30" s="286" t="s">
        <v>163</v>
      </c>
      <c r="F30" s="208">
        <f t="shared" si="18"/>
        <v>0</v>
      </c>
      <c r="G30" s="284"/>
      <c r="H30" s="299"/>
      <c r="I30" s="214"/>
      <c r="J30" s="96" t="e">
        <f t="shared" si="37"/>
        <v>#DIV/0!</v>
      </c>
      <c r="K30" s="214"/>
      <c r="L30" s="96" t="e">
        <f t="shared" si="38"/>
        <v>#DIV/0!</v>
      </c>
      <c r="M30" s="207">
        <f t="shared" si="39"/>
        <v>0</v>
      </c>
      <c r="N30" s="96" t="e">
        <f t="shared" si="40"/>
        <v>#DIV/0!</v>
      </c>
      <c r="O30" s="214"/>
      <c r="P30" s="96" t="e">
        <f t="shared" si="41"/>
        <v>#DIV/0!</v>
      </c>
      <c r="Q30" s="214"/>
      <c r="R30" s="96" t="e">
        <f t="shared" si="42"/>
        <v>#DIV/0!</v>
      </c>
      <c r="S30" s="207">
        <f t="shared" si="43"/>
        <v>0</v>
      </c>
      <c r="T30" s="96" t="e">
        <f t="shared" si="44"/>
        <v>#DIV/0!</v>
      </c>
      <c r="U30" s="214"/>
      <c r="V30" s="96" t="e">
        <f t="shared" si="45"/>
        <v>#DIV/0!</v>
      </c>
      <c r="W30" s="214"/>
      <c r="X30" s="96" t="e">
        <f t="shared" si="46"/>
        <v>#DIV/0!</v>
      </c>
      <c r="Y30" s="214"/>
      <c r="Z30" s="96" t="e">
        <f t="shared" si="47"/>
        <v>#DIV/0!</v>
      </c>
      <c r="AA30" s="214"/>
      <c r="AB30" s="96" t="e">
        <f t="shared" si="48"/>
        <v>#DIV/0!</v>
      </c>
      <c r="AC30" s="207">
        <f t="shared" si="49"/>
        <v>0</v>
      </c>
      <c r="AD30" s="96" t="e">
        <f t="shared" si="50"/>
        <v>#DIV/0!</v>
      </c>
      <c r="AE30" s="214"/>
      <c r="AF30" s="96" t="e">
        <f t="shared" si="51"/>
        <v>#DIV/0!</v>
      </c>
      <c r="AG30" s="214"/>
      <c r="AH30" s="96" t="e">
        <f t="shared" si="52"/>
        <v>#DIV/0!</v>
      </c>
      <c r="AI30" s="214"/>
      <c r="AJ30" s="96" t="e">
        <f t="shared" si="53"/>
        <v>#DIV/0!</v>
      </c>
      <c r="AK30" s="214"/>
      <c r="AL30" s="96" t="e">
        <f t="shared" si="54"/>
        <v>#DIV/0!</v>
      </c>
    </row>
    <row r="31" spans="2:38" ht="12">
      <c r="B31" s="79"/>
      <c r="C31" s="79"/>
      <c r="D31" s="286">
        <v>45982</v>
      </c>
      <c r="E31" s="286" t="s">
        <v>164</v>
      </c>
      <c r="F31" s="208">
        <f t="shared" si="18"/>
        <v>0</v>
      </c>
      <c r="G31" s="284"/>
      <c r="H31" s="299"/>
      <c r="I31" s="214"/>
      <c r="J31" s="96" t="e">
        <f t="shared" si="37"/>
        <v>#DIV/0!</v>
      </c>
      <c r="K31" s="214"/>
      <c r="L31" s="96" t="e">
        <f t="shared" si="38"/>
        <v>#DIV/0!</v>
      </c>
      <c r="M31" s="207">
        <f t="shared" si="39"/>
        <v>0</v>
      </c>
      <c r="N31" s="96" t="e">
        <f t="shared" si="40"/>
        <v>#DIV/0!</v>
      </c>
      <c r="O31" s="214"/>
      <c r="P31" s="96" t="e">
        <f t="shared" si="41"/>
        <v>#DIV/0!</v>
      </c>
      <c r="Q31" s="214"/>
      <c r="R31" s="96" t="e">
        <f t="shared" si="42"/>
        <v>#DIV/0!</v>
      </c>
      <c r="S31" s="207">
        <f t="shared" si="43"/>
        <v>0</v>
      </c>
      <c r="T31" s="96" t="e">
        <f t="shared" si="44"/>
        <v>#DIV/0!</v>
      </c>
      <c r="U31" s="214"/>
      <c r="V31" s="96" t="e">
        <f t="shared" si="45"/>
        <v>#DIV/0!</v>
      </c>
      <c r="W31" s="214"/>
      <c r="X31" s="96" t="e">
        <f t="shared" si="46"/>
        <v>#DIV/0!</v>
      </c>
      <c r="Y31" s="214"/>
      <c r="Z31" s="96" t="e">
        <f t="shared" si="47"/>
        <v>#DIV/0!</v>
      </c>
      <c r="AA31" s="214"/>
      <c r="AB31" s="96" t="e">
        <f t="shared" si="48"/>
        <v>#DIV/0!</v>
      </c>
      <c r="AC31" s="207">
        <f t="shared" si="49"/>
        <v>0</v>
      </c>
      <c r="AD31" s="96" t="e">
        <f t="shared" si="50"/>
        <v>#DIV/0!</v>
      </c>
      <c r="AE31" s="214"/>
      <c r="AF31" s="96" t="e">
        <f t="shared" si="51"/>
        <v>#DIV/0!</v>
      </c>
      <c r="AG31" s="214"/>
      <c r="AH31" s="96" t="e">
        <f t="shared" si="52"/>
        <v>#DIV/0!</v>
      </c>
      <c r="AI31" s="214"/>
      <c r="AJ31" s="96" t="e">
        <f t="shared" si="53"/>
        <v>#DIV/0!</v>
      </c>
      <c r="AK31" s="214"/>
      <c r="AL31" s="96" t="e">
        <f t="shared" si="54"/>
        <v>#DIV/0!</v>
      </c>
    </row>
    <row r="32" spans="2:38" ht="12">
      <c r="B32" s="79"/>
      <c r="C32" s="79"/>
      <c r="D32" s="286">
        <v>45983</v>
      </c>
      <c r="E32" s="286" t="s">
        <v>165</v>
      </c>
      <c r="F32" s="208">
        <f t="shared" si="18"/>
        <v>0</v>
      </c>
      <c r="G32" s="284"/>
      <c r="H32" s="299"/>
      <c r="I32" s="214"/>
      <c r="J32" s="96" t="e">
        <f t="shared" si="37"/>
        <v>#DIV/0!</v>
      </c>
      <c r="K32" s="214"/>
      <c r="L32" s="96" t="e">
        <f t="shared" si="38"/>
        <v>#DIV/0!</v>
      </c>
      <c r="M32" s="207">
        <f t="shared" si="39"/>
        <v>0</v>
      </c>
      <c r="N32" s="96" t="e">
        <f t="shared" si="40"/>
        <v>#DIV/0!</v>
      </c>
      <c r="O32" s="214"/>
      <c r="P32" s="96" t="e">
        <f t="shared" si="41"/>
        <v>#DIV/0!</v>
      </c>
      <c r="Q32" s="214"/>
      <c r="R32" s="96" t="e">
        <f t="shared" si="42"/>
        <v>#DIV/0!</v>
      </c>
      <c r="S32" s="207">
        <f t="shared" si="43"/>
        <v>0</v>
      </c>
      <c r="T32" s="96" t="e">
        <f t="shared" si="44"/>
        <v>#DIV/0!</v>
      </c>
      <c r="U32" s="214"/>
      <c r="V32" s="96" t="e">
        <f t="shared" si="45"/>
        <v>#DIV/0!</v>
      </c>
      <c r="W32" s="214"/>
      <c r="X32" s="96" t="e">
        <f t="shared" si="46"/>
        <v>#DIV/0!</v>
      </c>
      <c r="Y32" s="214"/>
      <c r="Z32" s="96" t="e">
        <f t="shared" si="47"/>
        <v>#DIV/0!</v>
      </c>
      <c r="AA32" s="214"/>
      <c r="AB32" s="96" t="e">
        <f t="shared" si="48"/>
        <v>#DIV/0!</v>
      </c>
      <c r="AC32" s="207">
        <f t="shared" si="49"/>
        <v>0</v>
      </c>
      <c r="AD32" s="96" t="e">
        <f t="shared" si="50"/>
        <v>#DIV/0!</v>
      </c>
      <c r="AE32" s="214"/>
      <c r="AF32" s="96" t="e">
        <f t="shared" si="51"/>
        <v>#DIV/0!</v>
      </c>
      <c r="AG32" s="214"/>
      <c r="AH32" s="96" t="e">
        <f t="shared" si="52"/>
        <v>#DIV/0!</v>
      </c>
      <c r="AI32" s="214"/>
      <c r="AJ32" s="96" t="e">
        <f t="shared" si="53"/>
        <v>#DIV/0!</v>
      </c>
      <c r="AK32" s="214"/>
      <c r="AL32" s="96" t="e">
        <f t="shared" si="54"/>
        <v>#DIV/0!</v>
      </c>
    </row>
    <row r="33" spans="2:38" ht="12">
      <c r="B33" s="79"/>
      <c r="C33" s="79"/>
      <c r="D33" s="286">
        <v>45984</v>
      </c>
      <c r="E33" s="286" t="s">
        <v>166</v>
      </c>
      <c r="F33" s="208">
        <f t="shared" si="18"/>
        <v>0</v>
      </c>
      <c r="G33" s="284"/>
      <c r="H33" s="299"/>
      <c r="I33" s="214"/>
      <c r="J33" s="96" t="e">
        <f t="shared" si="37"/>
        <v>#DIV/0!</v>
      </c>
      <c r="K33" s="214"/>
      <c r="L33" s="96" t="e">
        <f t="shared" si="38"/>
        <v>#DIV/0!</v>
      </c>
      <c r="M33" s="207">
        <f t="shared" si="39"/>
        <v>0</v>
      </c>
      <c r="N33" s="96" t="e">
        <f t="shared" si="40"/>
        <v>#DIV/0!</v>
      </c>
      <c r="O33" s="214"/>
      <c r="P33" s="96" t="e">
        <f t="shared" si="41"/>
        <v>#DIV/0!</v>
      </c>
      <c r="Q33" s="214"/>
      <c r="R33" s="96" t="e">
        <f t="shared" si="42"/>
        <v>#DIV/0!</v>
      </c>
      <c r="S33" s="207">
        <f t="shared" si="43"/>
        <v>0</v>
      </c>
      <c r="T33" s="96" t="e">
        <f t="shared" si="44"/>
        <v>#DIV/0!</v>
      </c>
      <c r="U33" s="214"/>
      <c r="V33" s="96" t="e">
        <f t="shared" si="45"/>
        <v>#DIV/0!</v>
      </c>
      <c r="W33" s="214"/>
      <c r="X33" s="96" t="e">
        <f t="shared" si="46"/>
        <v>#DIV/0!</v>
      </c>
      <c r="Y33" s="214"/>
      <c r="Z33" s="96" t="e">
        <f t="shared" si="47"/>
        <v>#DIV/0!</v>
      </c>
      <c r="AA33" s="214"/>
      <c r="AB33" s="96" t="e">
        <f t="shared" si="48"/>
        <v>#DIV/0!</v>
      </c>
      <c r="AC33" s="207">
        <f t="shared" si="49"/>
        <v>0</v>
      </c>
      <c r="AD33" s="96" t="e">
        <f t="shared" si="50"/>
        <v>#DIV/0!</v>
      </c>
      <c r="AE33" s="214"/>
      <c r="AF33" s="96" t="e">
        <f t="shared" si="51"/>
        <v>#DIV/0!</v>
      </c>
      <c r="AG33" s="214"/>
      <c r="AH33" s="96" t="e">
        <f t="shared" si="52"/>
        <v>#DIV/0!</v>
      </c>
      <c r="AI33" s="214"/>
      <c r="AJ33" s="96" t="e">
        <f t="shared" si="53"/>
        <v>#DIV/0!</v>
      </c>
      <c r="AK33" s="214"/>
      <c r="AL33" s="96" t="e">
        <f t="shared" si="54"/>
        <v>#DIV/0!</v>
      </c>
    </row>
    <row r="34" spans="2:38" ht="12">
      <c r="B34" s="79"/>
      <c r="C34" s="79"/>
      <c r="D34" s="286">
        <v>45985</v>
      </c>
      <c r="E34" s="286" t="s">
        <v>167</v>
      </c>
      <c r="F34" s="208">
        <f t="shared" si="18"/>
        <v>0</v>
      </c>
      <c r="G34" s="284"/>
      <c r="H34" s="299"/>
      <c r="I34" s="214"/>
      <c r="J34" s="96" t="e">
        <f t="shared" si="37"/>
        <v>#DIV/0!</v>
      </c>
      <c r="K34" s="214"/>
      <c r="L34" s="96" t="e">
        <f t="shared" si="38"/>
        <v>#DIV/0!</v>
      </c>
      <c r="M34" s="207">
        <f t="shared" si="39"/>
        <v>0</v>
      </c>
      <c r="N34" s="96" t="e">
        <f t="shared" si="40"/>
        <v>#DIV/0!</v>
      </c>
      <c r="O34" s="214"/>
      <c r="P34" s="96" t="e">
        <f t="shared" si="41"/>
        <v>#DIV/0!</v>
      </c>
      <c r="Q34" s="214"/>
      <c r="R34" s="96" t="e">
        <f t="shared" si="42"/>
        <v>#DIV/0!</v>
      </c>
      <c r="S34" s="207">
        <f t="shared" si="43"/>
        <v>0</v>
      </c>
      <c r="T34" s="96" t="e">
        <f t="shared" si="44"/>
        <v>#DIV/0!</v>
      </c>
      <c r="U34" s="214"/>
      <c r="V34" s="96" t="e">
        <f t="shared" si="45"/>
        <v>#DIV/0!</v>
      </c>
      <c r="W34" s="214"/>
      <c r="X34" s="96" t="e">
        <f t="shared" si="46"/>
        <v>#DIV/0!</v>
      </c>
      <c r="Y34" s="214"/>
      <c r="Z34" s="96" t="e">
        <f t="shared" si="47"/>
        <v>#DIV/0!</v>
      </c>
      <c r="AA34" s="214"/>
      <c r="AB34" s="96" t="e">
        <f t="shared" si="48"/>
        <v>#DIV/0!</v>
      </c>
      <c r="AC34" s="207">
        <f t="shared" si="49"/>
        <v>0</v>
      </c>
      <c r="AD34" s="96" t="e">
        <f t="shared" si="50"/>
        <v>#DIV/0!</v>
      </c>
      <c r="AE34" s="214"/>
      <c r="AF34" s="96" t="e">
        <f t="shared" si="51"/>
        <v>#DIV/0!</v>
      </c>
      <c r="AG34" s="214"/>
      <c r="AH34" s="96" t="e">
        <f t="shared" si="52"/>
        <v>#DIV/0!</v>
      </c>
      <c r="AI34" s="214"/>
      <c r="AJ34" s="96" t="e">
        <f t="shared" si="53"/>
        <v>#DIV/0!</v>
      </c>
      <c r="AK34" s="214"/>
      <c r="AL34" s="96" t="e">
        <f t="shared" si="54"/>
        <v>#DIV/0!</v>
      </c>
    </row>
    <row r="35" spans="2:38" ht="12">
      <c r="B35" s="79"/>
      <c r="C35" s="79"/>
      <c r="D35" s="82">
        <v>45986</v>
      </c>
      <c r="E35" s="82" t="s">
        <v>161</v>
      </c>
      <c r="F35" s="208">
        <f t="shared" si="18"/>
        <v>0</v>
      </c>
      <c r="G35" s="284">
        <f>SUM(F35:F41)</f>
        <v>0</v>
      </c>
      <c r="H35" s="299"/>
      <c r="I35" s="214"/>
      <c r="J35" s="96" t="e">
        <f t="shared" si="37"/>
        <v>#DIV/0!</v>
      </c>
      <c r="K35" s="214"/>
      <c r="L35" s="96" t="e">
        <f t="shared" si="38"/>
        <v>#DIV/0!</v>
      </c>
      <c r="M35" s="207">
        <f t="shared" si="39"/>
        <v>0</v>
      </c>
      <c r="N35" s="96" t="e">
        <f t="shared" si="40"/>
        <v>#DIV/0!</v>
      </c>
      <c r="O35" s="214"/>
      <c r="P35" s="96" t="e">
        <f t="shared" si="41"/>
        <v>#DIV/0!</v>
      </c>
      <c r="Q35" s="214"/>
      <c r="R35" s="96" t="e">
        <f t="shared" si="42"/>
        <v>#DIV/0!</v>
      </c>
      <c r="S35" s="207">
        <f t="shared" si="43"/>
        <v>0</v>
      </c>
      <c r="T35" s="96" t="e">
        <f t="shared" si="44"/>
        <v>#DIV/0!</v>
      </c>
      <c r="U35" s="214"/>
      <c r="V35" s="96" t="e">
        <f t="shared" si="45"/>
        <v>#DIV/0!</v>
      </c>
      <c r="W35" s="214"/>
      <c r="X35" s="96" t="e">
        <f t="shared" si="46"/>
        <v>#DIV/0!</v>
      </c>
      <c r="Y35" s="214"/>
      <c r="Z35" s="96" t="e">
        <f t="shared" si="47"/>
        <v>#DIV/0!</v>
      </c>
      <c r="AA35" s="214"/>
      <c r="AB35" s="96" t="e">
        <f t="shared" si="48"/>
        <v>#DIV/0!</v>
      </c>
      <c r="AC35" s="207">
        <f t="shared" si="49"/>
        <v>0</v>
      </c>
      <c r="AD35" s="96" t="e">
        <f t="shared" si="50"/>
        <v>#DIV/0!</v>
      </c>
      <c r="AE35" s="214"/>
      <c r="AF35" s="96" t="e">
        <f t="shared" si="51"/>
        <v>#DIV/0!</v>
      </c>
      <c r="AG35" s="214"/>
      <c r="AH35" s="96" t="e">
        <f t="shared" si="52"/>
        <v>#DIV/0!</v>
      </c>
      <c r="AI35" s="214"/>
      <c r="AJ35" s="96" t="e">
        <f t="shared" si="53"/>
        <v>#DIV/0!</v>
      </c>
      <c r="AK35" s="214"/>
      <c r="AL35" s="96" t="e">
        <f t="shared" si="54"/>
        <v>#DIV/0!</v>
      </c>
    </row>
    <row r="36" spans="2:38" ht="12">
      <c r="B36" s="79"/>
      <c r="C36" s="79"/>
      <c r="D36" s="82">
        <v>45987</v>
      </c>
      <c r="E36" s="82" t="s">
        <v>162</v>
      </c>
      <c r="F36" s="208">
        <f t="shared" si="18"/>
        <v>0</v>
      </c>
      <c r="G36" s="284"/>
      <c r="H36" s="299"/>
      <c r="I36" s="214"/>
      <c r="J36" s="96" t="e">
        <f t="shared" si="37"/>
        <v>#DIV/0!</v>
      </c>
      <c r="K36" s="214"/>
      <c r="L36" s="96" t="e">
        <f t="shared" si="38"/>
        <v>#DIV/0!</v>
      </c>
      <c r="M36" s="207">
        <f t="shared" si="39"/>
        <v>0</v>
      </c>
      <c r="N36" s="96" t="e">
        <f t="shared" si="40"/>
        <v>#DIV/0!</v>
      </c>
      <c r="O36" s="214"/>
      <c r="P36" s="96" t="e">
        <f t="shared" si="41"/>
        <v>#DIV/0!</v>
      </c>
      <c r="Q36" s="214"/>
      <c r="R36" s="96" t="e">
        <f t="shared" si="42"/>
        <v>#DIV/0!</v>
      </c>
      <c r="S36" s="207">
        <f t="shared" si="43"/>
        <v>0</v>
      </c>
      <c r="T36" s="96" t="e">
        <f t="shared" si="44"/>
        <v>#DIV/0!</v>
      </c>
      <c r="U36" s="214"/>
      <c r="V36" s="96" t="e">
        <f t="shared" si="45"/>
        <v>#DIV/0!</v>
      </c>
      <c r="W36" s="214"/>
      <c r="X36" s="96" t="e">
        <f t="shared" si="46"/>
        <v>#DIV/0!</v>
      </c>
      <c r="Y36" s="214"/>
      <c r="Z36" s="96" t="e">
        <f t="shared" si="47"/>
        <v>#DIV/0!</v>
      </c>
      <c r="AA36" s="214"/>
      <c r="AB36" s="96" t="e">
        <f t="shared" si="48"/>
        <v>#DIV/0!</v>
      </c>
      <c r="AC36" s="207">
        <f t="shared" si="49"/>
        <v>0</v>
      </c>
      <c r="AD36" s="96" t="e">
        <f t="shared" si="50"/>
        <v>#DIV/0!</v>
      </c>
      <c r="AE36" s="214"/>
      <c r="AF36" s="96" t="e">
        <f t="shared" si="51"/>
        <v>#DIV/0!</v>
      </c>
      <c r="AG36" s="214"/>
      <c r="AH36" s="96" t="e">
        <f t="shared" si="52"/>
        <v>#DIV/0!</v>
      </c>
      <c r="AI36" s="214"/>
      <c r="AJ36" s="96" t="e">
        <f t="shared" si="53"/>
        <v>#DIV/0!</v>
      </c>
      <c r="AK36" s="214"/>
      <c r="AL36" s="96" t="e">
        <f t="shared" si="54"/>
        <v>#DIV/0!</v>
      </c>
    </row>
    <row r="37" spans="2:38" ht="12">
      <c r="B37" s="79"/>
      <c r="C37" s="79"/>
      <c r="D37" s="82">
        <v>45988</v>
      </c>
      <c r="E37" s="82" t="s">
        <v>163</v>
      </c>
      <c r="F37" s="208">
        <f t="shared" si="18"/>
        <v>0</v>
      </c>
      <c r="G37" s="284"/>
      <c r="H37" s="299"/>
      <c r="I37" s="214"/>
      <c r="J37" s="96" t="e">
        <f t="shared" si="37"/>
        <v>#DIV/0!</v>
      </c>
      <c r="K37" s="214"/>
      <c r="L37" s="96" t="e">
        <f t="shared" si="38"/>
        <v>#DIV/0!</v>
      </c>
      <c r="M37" s="207">
        <f t="shared" si="39"/>
        <v>0</v>
      </c>
      <c r="N37" s="96" t="e">
        <f t="shared" si="40"/>
        <v>#DIV/0!</v>
      </c>
      <c r="O37" s="214"/>
      <c r="P37" s="96" t="e">
        <f t="shared" si="41"/>
        <v>#DIV/0!</v>
      </c>
      <c r="Q37" s="214"/>
      <c r="R37" s="96" t="e">
        <f t="shared" si="42"/>
        <v>#DIV/0!</v>
      </c>
      <c r="S37" s="207">
        <f t="shared" si="43"/>
        <v>0</v>
      </c>
      <c r="T37" s="96" t="e">
        <f t="shared" si="44"/>
        <v>#DIV/0!</v>
      </c>
      <c r="U37" s="214"/>
      <c r="V37" s="96" t="e">
        <f t="shared" si="45"/>
        <v>#DIV/0!</v>
      </c>
      <c r="W37" s="214"/>
      <c r="X37" s="96" t="e">
        <f t="shared" si="46"/>
        <v>#DIV/0!</v>
      </c>
      <c r="Y37" s="214"/>
      <c r="Z37" s="96" t="e">
        <f t="shared" si="47"/>
        <v>#DIV/0!</v>
      </c>
      <c r="AA37" s="214"/>
      <c r="AB37" s="96" t="e">
        <f t="shared" si="48"/>
        <v>#DIV/0!</v>
      </c>
      <c r="AC37" s="207">
        <f t="shared" si="49"/>
        <v>0</v>
      </c>
      <c r="AD37" s="96" t="e">
        <f t="shared" si="50"/>
        <v>#DIV/0!</v>
      </c>
      <c r="AE37" s="214"/>
      <c r="AF37" s="96" t="e">
        <f t="shared" si="51"/>
        <v>#DIV/0!</v>
      </c>
      <c r="AG37" s="214"/>
      <c r="AH37" s="96" t="e">
        <f t="shared" si="52"/>
        <v>#DIV/0!</v>
      </c>
      <c r="AI37" s="214"/>
      <c r="AJ37" s="96" t="e">
        <f t="shared" si="53"/>
        <v>#DIV/0!</v>
      </c>
      <c r="AK37" s="214"/>
      <c r="AL37" s="96" t="e">
        <f t="shared" si="54"/>
        <v>#DIV/0!</v>
      </c>
    </row>
    <row r="38" spans="2:38" ht="12">
      <c r="B38" s="79"/>
      <c r="C38" s="75"/>
      <c r="D38" s="82">
        <v>45989</v>
      </c>
      <c r="E38" s="82" t="s">
        <v>164</v>
      </c>
      <c r="F38" s="208">
        <f t="shared" si="18"/>
        <v>0</v>
      </c>
      <c r="G38" s="284"/>
      <c r="H38" s="93"/>
      <c r="I38" s="214"/>
      <c r="J38" s="96" t="e">
        <f t="shared" si="37"/>
        <v>#DIV/0!</v>
      </c>
      <c r="K38" s="214"/>
      <c r="L38" s="96" t="e">
        <f t="shared" si="38"/>
        <v>#DIV/0!</v>
      </c>
      <c r="M38" s="207">
        <f t="shared" si="39"/>
        <v>0</v>
      </c>
      <c r="N38" s="96" t="e">
        <f t="shared" si="40"/>
        <v>#DIV/0!</v>
      </c>
      <c r="O38" s="214"/>
      <c r="P38" s="96" t="e">
        <f t="shared" si="41"/>
        <v>#DIV/0!</v>
      </c>
      <c r="Q38" s="214"/>
      <c r="R38" s="96" t="e">
        <f t="shared" si="42"/>
        <v>#DIV/0!</v>
      </c>
      <c r="S38" s="207">
        <f t="shared" si="43"/>
        <v>0</v>
      </c>
      <c r="T38" s="96" t="e">
        <f t="shared" si="44"/>
        <v>#DIV/0!</v>
      </c>
      <c r="U38" s="214"/>
      <c r="V38" s="96" t="e">
        <f t="shared" si="45"/>
        <v>#DIV/0!</v>
      </c>
      <c r="W38" s="214"/>
      <c r="X38" s="96" t="e">
        <f t="shared" si="46"/>
        <v>#DIV/0!</v>
      </c>
      <c r="Y38" s="214"/>
      <c r="Z38" s="96" t="e">
        <f t="shared" si="47"/>
        <v>#DIV/0!</v>
      </c>
      <c r="AA38" s="214"/>
      <c r="AB38" s="96" t="e">
        <f t="shared" si="48"/>
        <v>#DIV/0!</v>
      </c>
      <c r="AC38" s="207">
        <f t="shared" si="49"/>
        <v>0</v>
      </c>
      <c r="AD38" s="96" t="e">
        <f t="shared" si="50"/>
        <v>#DIV/0!</v>
      </c>
      <c r="AE38" s="214"/>
      <c r="AF38" s="96" t="e">
        <f t="shared" si="51"/>
        <v>#DIV/0!</v>
      </c>
      <c r="AG38" s="214"/>
      <c r="AH38" s="96" t="e">
        <f t="shared" si="52"/>
        <v>#DIV/0!</v>
      </c>
      <c r="AI38" s="214"/>
      <c r="AJ38" s="96" t="e">
        <f t="shared" si="53"/>
        <v>#DIV/0!</v>
      </c>
      <c r="AK38" s="214"/>
      <c r="AL38" s="96" t="e">
        <f t="shared" si="54"/>
        <v>#DIV/0!</v>
      </c>
    </row>
    <row r="39" spans="2:38" ht="12">
      <c r="B39" s="79"/>
      <c r="C39" s="75"/>
      <c r="D39" s="82">
        <v>45990</v>
      </c>
      <c r="E39" s="82" t="s">
        <v>165</v>
      </c>
      <c r="F39" s="208">
        <f t="shared" si="18"/>
        <v>0</v>
      </c>
      <c r="G39" s="284"/>
      <c r="H39" s="93"/>
      <c r="I39" s="214"/>
      <c r="J39" s="96" t="e">
        <f t="shared" si="37"/>
        <v>#DIV/0!</v>
      </c>
      <c r="K39" s="214"/>
      <c r="L39" s="96" t="e">
        <f t="shared" si="38"/>
        <v>#DIV/0!</v>
      </c>
      <c r="M39" s="207">
        <f t="shared" si="39"/>
        <v>0</v>
      </c>
      <c r="N39" s="96" t="e">
        <f t="shared" si="40"/>
        <v>#DIV/0!</v>
      </c>
      <c r="O39" s="214"/>
      <c r="P39" s="96" t="e">
        <f t="shared" si="41"/>
        <v>#DIV/0!</v>
      </c>
      <c r="Q39" s="214"/>
      <c r="R39" s="96" t="e">
        <f t="shared" si="42"/>
        <v>#DIV/0!</v>
      </c>
      <c r="S39" s="207">
        <f t="shared" si="43"/>
        <v>0</v>
      </c>
      <c r="T39" s="96" t="e">
        <f t="shared" si="44"/>
        <v>#DIV/0!</v>
      </c>
      <c r="U39" s="214"/>
      <c r="V39" s="96" t="e">
        <f t="shared" si="45"/>
        <v>#DIV/0!</v>
      </c>
      <c r="W39" s="214"/>
      <c r="X39" s="96" t="e">
        <f t="shared" si="46"/>
        <v>#DIV/0!</v>
      </c>
      <c r="Y39" s="214"/>
      <c r="Z39" s="96" t="e">
        <f t="shared" si="47"/>
        <v>#DIV/0!</v>
      </c>
      <c r="AA39" s="214"/>
      <c r="AB39" s="96" t="e">
        <f t="shared" si="48"/>
        <v>#DIV/0!</v>
      </c>
      <c r="AC39" s="207">
        <f t="shared" si="49"/>
        <v>0</v>
      </c>
      <c r="AD39" s="96" t="e">
        <f t="shared" si="50"/>
        <v>#DIV/0!</v>
      </c>
      <c r="AE39" s="214"/>
      <c r="AF39" s="96" t="e">
        <f t="shared" si="51"/>
        <v>#DIV/0!</v>
      </c>
      <c r="AG39" s="214"/>
      <c r="AH39" s="96" t="e">
        <f t="shared" si="52"/>
        <v>#DIV/0!</v>
      </c>
      <c r="AI39" s="214"/>
      <c r="AJ39" s="96" t="e">
        <f t="shared" si="53"/>
        <v>#DIV/0!</v>
      </c>
      <c r="AK39" s="214"/>
      <c r="AL39" s="96" t="e">
        <f t="shared" si="54"/>
        <v>#DIV/0!</v>
      </c>
    </row>
    <row r="40" spans="2:38" ht="12">
      <c r="B40" s="79"/>
      <c r="C40" s="75"/>
      <c r="D40" s="82">
        <v>45991</v>
      </c>
      <c r="E40" s="82" t="s">
        <v>166</v>
      </c>
      <c r="F40" s="208">
        <f t="shared" si="18"/>
        <v>0</v>
      </c>
      <c r="G40" s="284"/>
      <c r="H40" s="93"/>
      <c r="I40" s="214"/>
      <c r="J40" s="96" t="e">
        <f t="shared" si="37"/>
        <v>#DIV/0!</v>
      </c>
      <c r="K40" s="214"/>
      <c r="L40" s="96" t="e">
        <f t="shared" si="38"/>
        <v>#DIV/0!</v>
      </c>
      <c r="M40" s="207">
        <f t="shared" si="39"/>
        <v>0</v>
      </c>
      <c r="N40" s="96" t="e">
        <f t="shared" si="40"/>
        <v>#DIV/0!</v>
      </c>
      <c r="O40" s="214"/>
      <c r="P40" s="96" t="e">
        <f t="shared" si="41"/>
        <v>#DIV/0!</v>
      </c>
      <c r="Q40" s="214"/>
      <c r="R40" s="96" t="e">
        <f t="shared" si="42"/>
        <v>#DIV/0!</v>
      </c>
      <c r="S40" s="207">
        <f t="shared" si="43"/>
        <v>0</v>
      </c>
      <c r="T40" s="96" t="e">
        <f t="shared" si="44"/>
        <v>#DIV/0!</v>
      </c>
      <c r="U40" s="214"/>
      <c r="V40" s="96" t="e">
        <f t="shared" si="45"/>
        <v>#DIV/0!</v>
      </c>
      <c r="W40" s="214"/>
      <c r="X40" s="96" t="e">
        <f t="shared" si="46"/>
        <v>#DIV/0!</v>
      </c>
      <c r="Y40" s="214"/>
      <c r="Z40" s="96" t="e">
        <f t="shared" si="47"/>
        <v>#DIV/0!</v>
      </c>
      <c r="AA40" s="214"/>
      <c r="AB40" s="96" t="e">
        <f t="shared" si="48"/>
        <v>#DIV/0!</v>
      </c>
      <c r="AC40" s="207">
        <f t="shared" si="49"/>
        <v>0</v>
      </c>
      <c r="AD40" s="96" t="e">
        <f t="shared" si="50"/>
        <v>#DIV/0!</v>
      </c>
      <c r="AE40" s="214"/>
      <c r="AF40" s="96" t="e">
        <f t="shared" si="51"/>
        <v>#DIV/0!</v>
      </c>
      <c r="AG40" s="214"/>
      <c r="AH40" s="96" t="e">
        <f t="shared" si="52"/>
        <v>#DIV/0!</v>
      </c>
      <c r="AI40" s="214"/>
      <c r="AJ40" s="96" t="e">
        <f t="shared" si="53"/>
        <v>#DIV/0!</v>
      </c>
      <c r="AK40" s="214"/>
      <c r="AL40" s="96" t="e">
        <f t="shared" si="54"/>
        <v>#DIV/0!</v>
      </c>
    </row>
    <row r="41" spans="2:38" ht="12">
      <c r="B41" s="79"/>
      <c r="C41" s="75"/>
      <c r="D41" s="82">
        <v>45992</v>
      </c>
      <c r="E41" s="82" t="s">
        <v>167</v>
      </c>
      <c r="F41" s="208">
        <f t="shared" si="18"/>
        <v>0</v>
      </c>
      <c r="G41" s="284"/>
      <c r="H41" s="93"/>
      <c r="I41" s="214"/>
      <c r="J41" s="96" t="e">
        <f>I41/F41</f>
        <v>#DIV/0!</v>
      </c>
      <c r="K41" s="214"/>
      <c r="L41" s="96" t="e">
        <f>K41/F41</f>
        <v>#DIV/0!</v>
      </c>
      <c r="M41" s="207">
        <f>SUM(I41+K41)</f>
        <v>0</v>
      </c>
      <c r="N41" s="96" t="e">
        <f>M41/F41</f>
        <v>#DIV/0!</v>
      </c>
      <c r="O41" s="214"/>
      <c r="P41" s="96" t="e">
        <f>O41/F41</f>
        <v>#DIV/0!</v>
      </c>
      <c r="Q41" s="214"/>
      <c r="R41" s="96" t="e">
        <f t="shared" si="42"/>
        <v>#DIV/0!</v>
      </c>
      <c r="S41" s="207">
        <f t="shared" si="43"/>
        <v>0</v>
      </c>
      <c r="T41" s="96" t="e">
        <f>S41/F41</f>
        <v>#DIV/0!</v>
      </c>
      <c r="U41" s="214"/>
      <c r="V41" s="96" t="e">
        <f>U41/F41</f>
        <v>#DIV/0!</v>
      </c>
      <c r="W41" s="214"/>
      <c r="X41" s="96" t="e">
        <f>W41/F41</f>
        <v>#DIV/0!</v>
      </c>
      <c r="Y41" s="214"/>
      <c r="Z41" s="96" t="e">
        <f>Y41/F41</f>
        <v>#DIV/0!</v>
      </c>
      <c r="AA41" s="214"/>
      <c r="AB41" s="96" t="e">
        <f t="shared" si="48"/>
        <v>#DIV/0!</v>
      </c>
      <c r="AC41" s="207">
        <f>SUM(Y41+AA41)</f>
        <v>0</v>
      </c>
      <c r="AD41" s="96" t="e">
        <f>AC41/F41</f>
        <v>#DIV/0!</v>
      </c>
      <c r="AE41" s="214"/>
      <c r="AF41" s="96" t="e">
        <f>AE41/F41</f>
        <v>#DIV/0!</v>
      </c>
      <c r="AG41" s="214"/>
      <c r="AH41" s="96" t="e">
        <f>AG41/F41</f>
        <v>#DIV/0!</v>
      </c>
      <c r="AI41" s="214"/>
      <c r="AJ41" s="96" t="e">
        <f>AI41/F41</f>
        <v>#DIV/0!</v>
      </c>
      <c r="AK41" s="214"/>
      <c r="AL41" s="96" t="e">
        <f>AK41/F41</f>
        <v>#DIV/0!</v>
      </c>
    </row>
    <row r="42" spans="2:38" ht="12">
      <c r="B42" s="79"/>
      <c r="C42" s="75"/>
      <c r="D42" s="82"/>
      <c r="E42" s="82"/>
      <c r="F42" s="208">
        <f t="shared" si="18"/>
        <v>0</v>
      </c>
      <c r="G42" s="284"/>
      <c r="H42" s="93"/>
      <c r="I42" s="214"/>
      <c r="J42" s="96" t="e">
        <f>I42/F42</f>
        <v>#DIV/0!</v>
      </c>
      <c r="K42" s="214"/>
      <c r="L42" s="96" t="e">
        <f>K42/F42</f>
        <v>#DIV/0!</v>
      </c>
      <c r="M42" s="207">
        <f>SUM(I42+K42)</f>
        <v>0</v>
      </c>
      <c r="N42" s="96" t="e">
        <f>M42/F42</f>
        <v>#DIV/0!</v>
      </c>
      <c r="O42" s="214"/>
      <c r="P42" s="96" t="e">
        <f>O42/F42</f>
        <v>#DIV/0!</v>
      </c>
      <c r="Q42" s="214"/>
      <c r="R42" s="96" t="e">
        <f t="shared" si="42"/>
        <v>#DIV/0!</v>
      </c>
      <c r="S42" s="207">
        <f t="shared" si="43"/>
        <v>0</v>
      </c>
      <c r="T42" s="96" t="e">
        <f>S42/F42</f>
        <v>#DIV/0!</v>
      </c>
      <c r="U42" s="214"/>
      <c r="V42" s="96" t="e">
        <f>U42/F42</f>
        <v>#DIV/0!</v>
      </c>
      <c r="W42" s="214"/>
      <c r="X42" s="96" t="e">
        <f>W42/F42</f>
        <v>#DIV/0!</v>
      </c>
      <c r="Y42" s="214"/>
      <c r="Z42" s="96" t="e">
        <f>Y42/F42</f>
        <v>#DIV/0!</v>
      </c>
      <c r="AA42" s="214"/>
      <c r="AB42" s="96" t="e">
        <f t="shared" si="48"/>
        <v>#DIV/0!</v>
      </c>
      <c r="AC42" s="207">
        <f>SUM(Y42+AA42)</f>
        <v>0</v>
      </c>
      <c r="AD42" s="96" t="e">
        <f>AC42/F42</f>
        <v>#DIV/0!</v>
      </c>
      <c r="AE42" s="214"/>
      <c r="AF42" s="96" t="e">
        <f>AE42/F42</f>
        <v>#DIV/0!</v>
      </c>
      <c r="AG42" s="214"/>
      <c r="AH42" s="96" t="e">
        <f>AG42/F42</f>
        <v>#DIV/0!</v>
      </c>
      <c r="AI42" s="214"/>
      <c r="AJ42" s="96" t="e">
        <f>AI42/F42</f>
        <v>#DIV/0!</v>
      </c>
      <c r="AK42" s="214"/>
      <c r="AL42" s="96" t="e">
        <f>AK42/F42</f>
        <v>#DIV/0!</v>
      </c>
    </row>
    <row r="43" spans="2:38" ht="12">
      <c r="B43" s="79"/>
      <c r="C43" s="75"/>
      <c r="D43" s="82"/>
      <c r="E43" s="82"/>
      <c r="F43" s="208">
        <f t="shared" si="18"/>
        <v>0</v>
      </c>
      <c r="G43" s="208"/>
      <c r="H43" s="93"/>
      <c r="I43" s="214"/>
      <c r="J43" s="96" t="e">
        <f>I43/F43</f>
        <v>#DIV/0!</v>
      </c>
      <c r="K43" s="214"/>
      <c r="L43" s="96" t="e">
        <f>K43/F43</f>
        <v>#DIV/0!</v>
      </c>
      <c r="M43" s="207">
        <f>SUM(I43+K43)</f>
        <v>0</v>
      </c>
      <c r="N43" s="96" t="e">
        <f>M43/F43</f>
        <v>#DIV/0!</v>
      </c>
      <c r="O43" s="214"/>
      <c r="P43" s="96" t="e">
        <f>O43/F43</f>
        <v>#DIV/0!</v>
      </c>
      <c r="Q43" s="214"/>
      <c r="R43" s="96" t="e">
        <f t="shared" si="42"/>
        <v>#DIV/0!</v>
      </c>
      <c r="S43" s="207">
        <f t="shared" si="43"/>
        <v>0</v>
      </c>
      <c r="T43" s="96" t="e">
        <f>S43/F43</f>
        <v>#DIV/0!</v>
      </c>
      <c r="U43" s="214"/>
      <c r="V43" s="96" t="e">
        <f>U43/F43</f>
        <v>#DIV/0!</v>
      </c>
      <c r="W43" s="214"/>
      <c r="X43" s="96" t="e">
        <f>W43/F43</f>
        <v>#DIV/0!</v>
      </c>
      <c r="Y43" s="214"/>
      <c r="Z43" s="96" t="e">
        <f>Y43/F43</f>
        <v>#DIV/0!</v>
      </c>
      <c r="AA43" s="214"/>
      <c r="AB43" s="96" t="e">
        <f t="shared" si="48"/>
        <v>#DIV/0!</v>
      </c>
      <c r="AC43" s="207">
        <f>SUM(Y43+AA43)</f>
        <v>0</v>
      </c>
      <c r="AD43" s="96" t="e">
        <f>AC43/F43</f>
        <v>#DIV/0!</v>
      </c>
      <c r="AE43" s="214"/>
      <c r="AF43" s="96" t="e">
        <f>AE43/F43</f>
        <v>#DIV/0!</v>
      </c>
      <c r="AG43" s="214"/>
      <c r="AH43" s="96" t="e">
        <f>AG43/F43</f>
        <v>#DIV/0!</v>
      </c>
      <c r="AI43" s="214"/>
      <c r="AJ43" s="96" t="e">
        <f>AI43/F43</f>
        <v>#DIV/0!</v>
      </c>
      <c r="AK43" s="214"/>
      <c r="AL43" s="96" t="e">
        <f>AK43/F43</f>
        <v>#DIV/0!</v>
      </c>
    </row>
    <row r="44" spans="2:38" ht="12">
      <c r="B44" s="79"/>
      <c r="C44" s="75"/>
      <c r="D44" s="82"/>
      <c r="E44" s="82"/>
      <c r="F44" s="208">
        <f t="shared" si="18"/>
        <v>0</v>
      </c>
      <c r="G44" s="208"/>
      <c r="H44" s="93"/>
      <c r="I44" s="214"/>
      <c r="J44" s="96" t="e">
        <f>I44/F44</f>
        <v>#DIV/0!</v>
      </c>
      <c r="K44" s="214"/>
      <c r="L44" s="96" t="e">
        <f>K44/F44</f>
        <v>#DIV/0!</v>
      </c>
      <c r="M44" s="207">
        <f>SUM(I44+K44)</f>
        <v>0</v>
      </c>
      <c r="N44" s="96" t="e">
        <f>M44/F44</f>
        <v>#DIV/0!</v>
      </c>
      <c r="O44" s="214"/>
      <c r="P44" s="96" t="e">
        <f>O44/F44</f>
        <v>#DIV/0!</v>
      </c>
      <c r="Q44" s="214"/>
      <c r="R44" s="96" t="e">
        <f t="shared" si="42"/>
        <v>#DIV/0!</v>
      </c>
      <c r="S44" s="207">
        <f t="shared" si="43"/>
        <v>0</v>
      </c>
      <c r="T44" s="96" t="e">
        <f>S44/F44</f>
        <v>#DIV/0!</v>
      </c>
      <c r="U44" s="214"/>
      <c r="V44" s="96" t="e">
        <f>U44/F44</f>
        <v>#DIV/0!</v>
      </c>
      <c r="W44" s="214"/>
      <c r="X44" s="96" t="e">
        <f>W44/F44</f>
        <v>#DIV/0!</v>
      </c>
      <c r="Y44" s="214"/>
      <c r="Z44" s="96" t="e">
        <f>Y44/F44</f>
        <v>#DIV/0!</v>
      </c>
      <c r="AA44" s="214"/>
      <c r="AB44" s="96" t="e">
        <f t="shared" si="48"/>
        <v>#DIV/0!</v>
      </c>
      <c r="AC44" s="207">
        <f>SUM(Y44+AA44)</f>
        <v>0</v>
      </c>
      <c r="AD44" s="96" t="e">
        <f>AC44/F44</f>
        <v>#DIV/0!</v>
      </c>
      <c r="AE44" s="214"/>
      <c r="AF44" s="96" t="e">
        <f>AE44/F44</f>
        <v>#DIV/0!</v>
      </c>
      <c r="AG44" s="214"/>
      <c r="AH44" s="96" t="e">
        <f>AG44/F44</f>
        <v>#DIV/0!</v>
      </c>
      <c r="AI44" s="214"/>
      <c r="AJ44" s="96" t="e">
        <f>AI44/F44</f>
        <v>#DIV/0!</v>
      </c>
      <c r="AK44" s="214"/>
      <c r="AL44" s="96" t="e">
        <f>AK44/F44</f>
        <v>#DIV/0!</v>
      </c>
    </row>
    <row r="45" spans="2:38" ht="12">
      <c r="B45" s="79"/>
      <c r="C45" s="75"/>
      <c r="D45" s="82"/>
      <c r="E45" s="82"/>
      <c r="F45" s="208">
        <f t="shared" si="18"/>
        <v>0</v>
      </c>
      <c r="G45" s="208"/>
      <c r="H45" s="93"/>
      <c r="I45" s="214"/>
      <c r="J45" s="96" t="e">
        <f>I45/F45</f>
        <v>#DIV/0!</v>
      </c>
      <c r="K45" s="214"/>
      <c r="L45" s="96" t="e">
        <f>K45/F45</f>
        <v>#DIV/0!</v>
      </c>
      <c r="M45" s="207">
        <f>SUM(I45+K45)</f>
        <v>0</v>
      </c>
      <c r="N45" s="96" t="e">
        <f>M45/F45</f>
        <v>#DIV/0!</v>
      </c>
      <c r="O45" s="214"/>
      <c r="P45" s="96" t="e">
        <f>O45/F45</f>
        <v>#DIV/0!</v>
      </c>
      <c r="Q45" s="214"/>
      <c r="R45" s="96" t="e">
        <f t="shared" si="42"/>
        <v>#DIV/0!</v>
      </c>
      <c r="S45" s="207">
        <f t="shared" si="43"/>
        <v>0</v>
      </c>
      <c r="T45" s="96" t="e">
        <f>S45/F45</f>
        <v>#DIV/0!</v>
      </c>
      <c r="U45" s="214"/>
      <c r="V45" s="96" t="e">
        <f>U45/F45</f>
        <v>#DIV/0!</v>
      </c>
      <c r="W45" s="214"/>
      <c r="X45" s="96" t="e">
        <f>W45/F45</f>
        <v>#DIV/0!</v>
      </c>
      <c r="Y45" s="214"/>
      <c r="Z45" s="96" t="e">
        <f>Y45/F45</f>
        <v>#DIV/0!</v>
      </c>
      <c r="AA45" s="214"/>
      <c r="AB45" s="96" t="e">
        <f t="shared" si="48"/>
        <v>#DIV/0!</v>
      </c>
      <c r="AC45" s="207">
        <f>SUM(Y45+AA45)</f>
        <v>0</v>
      </c>
      <c r="AD45" s="96" t="e">
        <f>AC45/F45</f>
        <v>#DIV/0!</v>
      </c>
      <c r="AE45" s="214"/>
      <c r="AF45" s="96" t="e">
        <f>AE45/F45</f>
        <v>#DIV/0!</v>
      </c>
      <c r="AG45" s="214"/>
      <c r="AH45" s="96" t="e">
        <f>AG45/F45</f>
        <v>#DIV/0!</v>
      </c>
      <c r="AI45" s="214"/>
      <c r="AJ45" s="96" t="e">
        <f>AI45/F45</f>
        <v>#DIV/0!</v>
      </c>
      <c r="AK45" s="214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70">
        <f>SUM(I7:I45)</f>
        <v>9184751.1463666949</v>
      </c>
      <c r="J46" s="266" t="e">
        <f>I46/$H$7</f>
        <v>#DIV/0!</v>
      </c>
      <c r="K46" s="270">
        <f>SUM(K7:K45)</f>
        <v>11107715.378228748</v>
      </c>
      <c r="L46" s="266" t="e">
        <f>K46/$H$7</f>
        <v>#DIV/0!</v>
      </c>
      <c r="M46" s="270">
        <f>SUM(M7:M45)</f>
        <v>20292466.524595443</v>
      </c>
      <c r="N46" s="266" t="e">
        <f>M46/$H$7</f>
        <v>#DIV/0!</v>
      </c>
      <c r="O46" s="270">
        <f>SUM(O7:O45)</f>
        <v>2899256.4985391716</v>
      </c>
      <c r="P46" s="266" t="e">
        <f>O46/$H$7</f>
        <v>#DIV/0!</v>
      </c>
      <c r="Q46" s="270">
        <f>SUM(Q7:Q45)</f>
        <v>1417014.4854719117</v>
      </c>
      <c r="R46" s="266" t="e">
        <f>Q46/$H$7</f>
        <v>#DIV/0!</v>
      </c>
      <c r="S46" s="270">
        <f>SUM(S7:S45)</f>
        <v>4316270.9840110829</v>
      </c>
      <c r="T46" s="266" t="e">
        <f>S46/$H$7</f>
        <v>#DIV/0!</v>
      </c>
      <c r="U46" s="270">
        <f>SUM(U7:U45)</f>
        <v>8063579.3208457483</v>
      </c>
      <c r="V46" s="266" t="e">
        <f>U46/$H$7</f>
        <v>#DIV/0!</v>
      </c>
      <c r="W46" s="270">
        <f>SUM(W7:W45)</f>
        <v>2417957.0997886006</v>
      </c>
      <c r="X46" s="266" t="e">
        <f>W46/$H$7</f>
        <v>#DIV/0!</v>
      </c>
      <c r="Y46" s="270">
        <f>SUM(Y7:Y45)</f>
        <v>8338154.8319753548</v>
      </c>
      <c r="Z46" s="266" t="e">
        <f>Y46/$H$7</f>
        <v>#DIV/0!</v>
      </c>
      <c r="AA46" s="270">
        <f>SUM(AA7:AA45)</f>
        <v>16873333.483868405</v>
      </c>
      <c r="AB46" s="266" t="e">
        <f>AA46/$H$7</f>
        <v>#DIV/0!</v>
      </c>
      <c r="AC46" s="270">
        <f>SUM(AC7:AC45)</f>
        <v>25211488.315843754</v>
      </c>
      <c r="AD46" s="266" t="e">
        <f>AC46/$H$7</f>
        <v>#DIV/0!</v>
      </c>
      <c r="AE46" s="270">
        <f>SUM(AE7:AE45)</f>
        <v>15228706.128488872</v>
      </c>
      <c r="AF46" s="266" t="e">
        <f>AE46/$H$7</f>
        <v>#DIV/0!</v>
      </c>
      <c r="AG46" s="270">
        <f>SUM(AG7:AG45)</f>
        <v>12011203.808465999</v>
      </c>
      <c r="AH46" s="266" t="e">
        <f>AG46/$H$7</f>
        <v>#DIV/0!</v>
      </c>
      <c r="AI46" s="270">
        <f>SUM(AI7:AI45)</f>
        <v>6015725.6636097059</v>
      </c>
      <c r="AJ46" s="266" t="e">
        <f>AI46/$H$7</f>
        <v>#DIV/0!</v>
      </c>
      <c r="AK46" s="270">
        <f>SUM(AK7:AK45)</f>
        <v>8991544.1543507949</v>
      </c>
      <c r="AL46" s="266" t="e">
        <f>AK46/$H$7</f>
        <v>#DIV/0!</v>
      </c>
    </row>
    <row r="47" spans="2:38" ht="12">
      <c r="B47" s="79"/>
      <c r="C47" s="75"/>
      <c r="D47" s="78"/>
      <c r="F47" s="93"/>
      <c r="G47" s="93"/>
      <c r="H47" s="93"/>
      <c r="I47" s="267"/>
      <c r="J47" s="268"/>
      <c r="K47" s="267"/>
      <c r="L47" s="268"/>
      <c r="M47" s="269">
        <f>M46</f>
        <v>20292466.524595443</v>
      </c>
      <c r="N47" s="268"/>
      <c r="O47" s="267"/>
      <c r="P47" s="268"/>
      <c r="Q47" s="267"/>
      <c r="R47" s="268"/>
      <c r="S47" s="269">
        <f>S46</f>
        <v>4316270.9840110829</v>
      </c>
      <c r="T47" s="268"/>
      <c r="U47" s="269">
        <f>U46</f>
        <v>8063579.3208457483</v>
      </c>
      <c r="V47" s="268"/>
      <c r="W47" s="269">
        <f>W46</f>
        <v>2417957.0997886006</v>
      </c>
      <c r="X47" s="268"/>
      <c r="Y47" s="267"/>
      <c r="Z47" s="268"/>
      <c r="AA47" s="267"/>
      <c r="AB47" s="268"/>
      <c r="AC47" s="269">
        <f>AC46</f>
        <v>25211488.315843754</v>
      </c>
      <c r="AD47" s="268"/>
      <c r="AE47" s="269">
        <f>AE46</f>
        <v>15228706.128488872</v>
      </c>
      <c r="AF47" s="268"/>
      <c r="AG47" s="269">
        <f>AG46</f>
        <v>12011203.808465999</v>
      </c>
      <c r="AH47" s="268"/>
      <c r="AI47" s="269">
        <f>AI46</f>
        <v>6015725.6636097059</v>
      </c>
      <c r="AJ47" s="268"/>
      <c r="AK47" s="269">
        <f>AK46</f>
        <v>8991544.1543507949</v>
      </c>
      <c r="AL47" s="268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Normal="100" workbookViewId="0">
      <pane xSplit="5" ySplit="6" topLeftCell="AB7" activePane="bottomRight" state="frozen"/>
      <selection pane="bottomRight" activeCell="AG7" sqref="AG7:AG13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27" t="s">
        <v>196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</row>
    <row r="3" spans="1:38" ht="25.35" customHeight="1">
      <c r="B3" s="79"/>
      <c r="C3" s="441" t="s">
        <v>179</v>
      </c>
      <c r="D3" s="442" t="s">
        <v>150</v>
      </c>
      <c r="E3" s="442"/>
      <c r="F3" s="449" t="s">
        <v>197</v>
      </c>
      <c r="G3" s="450"/>
      <c r="H3" s="450"/>
      <c r="I3" s="448" t="s">
        <v>198</v>
      </c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</row>
    <row r="4" spans="1:38" ht="25.35" customHeight="1">
      <c r="B4" s="79"/>
      <c r="C4" s="441"/>
      <c r="D4" s="442"/>
      <c r="E4" s="442"/>
      <c r="F4" s="450"/>
      <c r="G4" s="450"/>
      <c r="H4" s="450"/>
      <c r="I4" s="445" t="s">
        <v>182</v>
      </c>
      <c r="J4" s="445"/>
      <c r="K4" s="445"/>
      <c r="L4" s="445"/>
      <c r="M4" s="445"/>
      <c r="N4" s="445"/>
      <c r="O4" s="445" t="s">
        <v>183</v>
      </c>
      <c r="P4" s="445"/>
      <c r="Q4" s="445"/>
      <c r="R4" s="445"/>
      <c r="S4" s="445"/>
      <c r="T4" s="445"/>
      <c r="U4" s="445" t="s">
        <v>184</v>
      </c>
      <c r="V4" s="445"/>
      <c r="W4" s="445" t="s">
        <v>185</v>
      </c>
      <c r="X4" s="445"/>
      <c r="Y4" s="445" t="s">
        <v>186</v>
      </c>
      <c r="Z4" s="445"/>
      <c r="AA4" s="445"/>
      <c r="AB4" s="445"/>
      <c r="AC4" s="445"/>
      <c r="AD4" s="445"/>
      <c r="AE4" s="445" t="s">
        <v>187</v>
      </c>
      <c r="AF4" s="445"/>
      <c r="AG4" s="445" t="s">
        <v>188</v>
      </c>
      <c r="AH4" s="445"/>
      <c r="AI4" s="445" t="s">
        <v>189</v>
      </c>
      <c r="AJ4" s="445"/>
      <c r="AK4" s="445" t="s">
        <v>190</v>
      </c>
      <c r="AL4" s="445"/>
    </row>
    <row r="5" spans="1:38" ht="25.35" customHeight="1">
      <c r="B5" s="79"/>
      <c r="C5" s="441"/>
      <c r="D5" s="442"/>
      <c r="E5" s="442"/>
      <c r="F5" s="447" t="s">
        <v>157</v>
      </c>
      <c r="G5" s="447" t="s">
        <v>158</v>
      </c>
      <c r="H5" s="447" t="s">
        <v>159</v>
      </c>
      <c r="I5" s="445" t="s">
        <v>191</v>
      </c>
      <c r="J5" s="445"/>
      <c r="K5" s="445" t="s">
        <v>192</v>
      </c>
      <c r="L5" s="445"/>
      <c r="M5" s="446" t="s">
        <v>193</v>
      </c>
      <c r="N5" s="445"/>
      <c r="O5" s="445" t="s">
        <v>191</v>
      </c>
      <c r="P5" s="445"/>
      <c r="Q5" s="445" t="s">
        <v>192</v>
      </c>
      <c r="R5" s="445"/>
      <c r="S5" s="446" t="s">
        <v>193</v>
      </c>
      <c r="T5" s="445"/>
      <c r="U5" s="445" t="s">
        <v>191</v>
      </c>
      <c r="V5" s="445"/>
      <c r="W5" s="445" t="s">
        <v>191</v>
      </c>
      <c r="X5" s="445"/>
      <c r="Y5" s="445" t="s">
        <v>191</v>
      </c>
      <c r="Z5" s="445"/>
      <c r="AA5" s="445" t="s">
        <v>192</v>
      </c>
      <c r="AB5" s="445"/>
      <c r="AC5" s="446" t="s">
        <v>193</v>
      </c>
      <c r="AD5" s="445"/>
      <c r="AE5" s="445" t="s">
        <v>191</v>
      </c>
      <c r="AF5" s="445"/>
      <c r="AG5" s="445" t="s">
        <v>191</v>
      </c>
      <c r="AH5" s="445"/>
      <c r="AI5" s="445" t="s">
        <v>191</v>
      </c>
      <c r="AJ5" s="445"/>
      <c r="AK5" s="445" t="s">
        <v>191</v>
      </c>
      <c r="AL5" s="445"/>
    </row>
    <row r="6" spans="1:38" s="78" customFormat="1" ht="23.45" customHeight="1">
      <c r="B6" s="79"/>
      <c r="C6" s="441"/>
      <c r="D6" s="442"/>
      <c r="E6" s="442"/>
      <c r="F6" s="447"/>
      <c r="G6" s="447"/>
      <c r="H6" s="447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2">
      <c r="B7" s="79"/>
      <c r="C7" s="75"/>
      <c r="D7" s="82">
        <v>45958</v>
      </c>
      <c r="E7" s="82" t="s">
        <v>161</v>
      </c>
      <c r="F7" s="84">
        <f>SUM(M7,S7,U7,W7,AC7,AE7,AG7,AI7,AK7)</f>
        <v>271475</v>
      </c>
      <c r="G7" s="289">
        <f>SUM(F7:F13)</f>
        <v>1631463</v>
      </c>
      <c r="H7" s="84"/>
      <c r="I7" s="215">
        <v>39611</v>
      </c>
      <c r="J7" s="96">
        <f t="shared" ref="J7:J12" si="0">I7/F7</f>
        <v>0.14591030481628142</v>
      </c>
      <c r="K7" s="215">
        <v>48686</v>
      </c>
      <c r="L7" s="96">
        <f t="shared" ref="L7:L12" si="1">K7/F7</f>
        <v>0.17933879731098629</v>
      </c>
      <c r="M7" s="101">
        <f t="shared" ref="M7:M12" si="2">SUM(I7+K7)</f>
        <v>88297</v>
      </c>
      <c r="N7" s="96">
        <f t="shared" ref="N7:N12" si="3">M7/F7</f>
        <v>0.32524910212726771</v>
      </c>
      <c r="O7" s="215">
        <v>13319</v>
      </c>
      <c r="P7" s="96">
        <f t="shared" ref="P7:P12" si="4">O7/F7</f>
        <v>4.9061607882862145E-2</v>
      </c>
      <c r="Q7" s="215">
        <v>3833</v>
      </c>
      <c r="R7" s="96">
        <f t="shared" ref="R7:R12" si="5">Q7/D7</f>
        <v>8.3402236824927103E-2</v>
      </c>
      <c r="S7" s="101">
        <f t="shared" ref="S7:S13" si="6">SUM(O7+Q7)</f>
        <v>17152</v>
      </c>
      <c r="T7" s="96">
        <f t="shared" ref="T7:T12" si="7">S7/F7</f>
        <v>6.3180771710102224E-2</v>
      </c>
      <c r="U7" s="215">
        <v>19724</v>
      </c>
      <c r="V7" s="96">
        <f t="shared" ref="V7:V12" si="8">U7/F7</f>
        <v>7.2654940602265405E-2</v>
      </c>
      <c r="W7" s="215">
        <v>10654</v>
      </c>
      <c r="X7" s="96">
        <f t="shared" ref="X7:X12" si="9">W7/F7</f>
        <v>3.9244866009761487E-2</v>
      </c>
      <c r="Y7" s="215">
        <v>25133</v>
      </c>
      <c r="Z7" s="96">
        <f t="shared" ref="Z7:Z12" si="10">Y7/F7</f>
        <v>9.2579427203241554E-2</v>
      </c>
      <c r="AA7" s="215">
        <v>29209</v>
      </c>
      <c r="AB7" s="96">
        <f t="shared" ref="AB7:AB12" si="11">AA7/D7</f>
        <v>0.63555855346185652</v>
      </c>
      <c r="AC7" s="101">
        <f t="shared" ref="AC7:AC12" si="12">SUM(Y7+AA7)</f>
        <v>54342</v>
      </c>
      <c r="AD7" s="96">
        <f t="shared" ref="AD7:AD12" si="13">AC7/F7</f>
        <v>0.20017312828068884</v>
      </c>
      <c r="AE7" s="215">
        <v>23182</v>
      </c>
      <c r="AF7" s="96">
        <f t="shared" ref="AF7:AF12" si="14">AE7/F7</f>
        <v>8.5392761764435027E-2</v>
      </c>
      <c r="AG7" s="215">
        <v>21121</v>
      </c>
      <c r="AH7" s="96">
        <f t="shared" ref="AH7:AH12" si="15">AG7/F7</f>
        <v>7.7800902477207848E-2</v>
      </c>
      <c r="AI7" s="215">
        <v>12873</v>
      </c>
      <c r="AJ7" s="96">
        <f t="shared" ref="AJ7:AJ12" si="16">AI7/F7</f>
        <v>4.7418731006538352E-2</v>
      </c>
      <c r="AK7" s="215">
        <v>24130</v>
      </c>
      <c r="AL7" s="96">
        <f t="shared" ref="AL7:AL12" si="17">AK7/F7</f>
        <v>8.8884796021733131E-2</v>
      </c>
    </row>
    <row r="8" spans="1:38" ht="12">
      <c r="B8" s="79"/>
      <c r="C8" s="75"/>
      <c r="D8" s="82">
        <v>45959</v>
      </c>
      <c r="E8" s="82" t="s">
        <v>162</v>
      </c>
      <c r="F8" s="84">
        <f t="shared" ref="F8:F45" si="18">SUM(M8,S8,U8,W8,AC8,AE8,AG8,AI8,AK8)</f>
        <v>254507</v>
      </c>
      <c r="G8" s="289"/>
      <c r="I8" s="215">
        <v>38040</v>
      </c>
      <c r="J8" s="96">
        <f t="shared" si="0"/>
        <v>0.14946543709996188</v>
      </c>
      <c r="K8" s="215">
        <v>48933</v>
      </c>
      <c r="L8" s="96">
        <f t="shared" si="1"/>
        <v>0.19226583158812921</v>
      </c>
      <c r="M8" s="101">
        <f t="shared" si="2"/>
        <v>86973</v>
      </c>
      <c r="N8" s="96">
        <f t="shared" si="3"/>
        <v>0.34173126868809112</v>
      </c>
      <c r="O8" s="215">
        <v>13181</v>
      </c>
      <c r="P8" s="96">
        <f t="shared" si="4"/>
        <v>5.1790324038238633E-2</v>
      </c>
      <c r="Q8" s="215">
        <v>3880</v>
      </c>
      <c r="R8" s="96">
        <f t="shared" si="5"/>
        <v>8.44230727387454E-2</v>
      </c>
      <c r="S8" s="101">
        <f t="shared" si="6"/>
        <v>17061</v>
      </c>
      <c r="T8" s="96">
        <f t="shared" si="7"/>
        <v>6.7035484289233699E-2</v>
      </c>
      <c r="U8" s="215">
        <v>19460</v>
      </c>
      <c r="V8" s="96">
        <f t="shared" si="8"/>
        <v>7.646155115576389E-2</v>
      </c>
      <c r="W8" s="215">
        <v>7036</v>
      </c>
      <c r="X8" s="96">
        <f t="shared" si="9"/>
        <v>2.7645605032474548E-2</v>
      </c>
      <c r="Y8" s="215">
        <v>24276</v>
      </c>
      <c r="Z8" s="96">
        <f t="shared" si="10"/>
        <v>9.5384409859060854E-2</v>
      </c>
      <c r="AA8" s="215">
        <v>26287</v>
      </c>
      <c r="AB8" s="96">
        <f t="shared" si="11"/>
        <v>0.57196631780500007</v>
      </c>
      <c r="AC8" s="101">
        <f t="shared" si="12"/>
        <v>50563</v>
      </c>
      <c r="AD8" s="96">
        <f t="shared" si="13"/>
        <v>0.19867037055955239</v>
      </c>
      <c r="AE8" s="215">
        <v>20957</v>
      </c>
      <c r="AF8" s="96">
        <f t="shared" si="14"/>
        <v>8.2343511180439047E-2</v>
      </c>
      <c r="AG8" s="215">
        <v>18916</v>
      </c>
      <c r="AH8" s="96">
        <f t="shared" si="15"/>
        <v>7.432408538861407E-2</v>
      </c>
      <c r="AI8" s="215">
        <v>11229</v>
      </c>
      <c r="AJ8" s="96">
        <f t="shared" si="16"/>
        <v>4.4120593932583385E-2</v>
      </c>
      <c r="AK8" s="215">
        <v>22312</v>
      </c>
      <c r="AL8" s="96">
        <f t="shared" si="17"/>
        <v>8.766752977324789E-2</v>
      </c>
    </row>
    <row r="9" spans="1:38" ht="12">
      <c r="B9" s="79"/>
      <c r="C9" s="75"/>
      <c r="D9" s="82">
        <v>45960</v>
      </c>
      <c r="E9" s="82" t="s">
        <v>163</v>
      </c>
      <c r="F9" s="84">
        <f t="shared" si="18"/>
        <v>234639</v>
      </c>
      <c r="G9" s="289"/>
      <c r="H9" s="372"/>
      <c r="I9" s="215">
        <v>34492</v>
      </c>
      <c r="J9" s="96">
        <f t="shared" si="0"/>
        <v>0.14700028554502875</v>
      </c>
      <c r="K9" s="215">
        <v>43753</v>
      </c>
      <c r="L9" s="96">
        <f t="shared" si="1"/>
        <v>0.18646942750352669</v>
      </c>
      <c r="M9" s="101">
        <f t="shared" si="2"/>
        <v>78245</v>
      </c>
      <c r="N9" s="96">
        <f t="shared" si="3"/>
        <v>0.33346971304855544</v>
      </c>
      <c r="O9" s="215">
        <v>11424</v>
      </c>
      <c r="P9" s="96">
        <f t="shared" si="4"/>
        <v>4.8687558334292252E-2</v>
      </c>
      <c r="Q9" s="215">
        <v>3838</v>
      </c>
      <c r="R9" s="96">
        <f t="shared" si="5"/>
        <v>8.3507397737162745E-2</v>
      </c>
      <c r="S9" s="101">
        <f t="shared" si="6"/>
        <v>15262</v>
      </c>
      <c r="T9" s="96">
        <f t="shared" si="7"/>
        <v>6.5044600428743729E-2</v>
      </c>
      <c r="U9" s="215">
        <v>18215</v>
      </c>
      <c r="V9" s="96">
        <f t="shared" si="8"/>
        <v>7.7629891024083811E-2</v>
      </c>
      <c r="W9" s="215">
        <v>6482</v>
      </c>
      <c r="X9" s="96">
        <f t="shared" si="9"/>
        <v>2.7625416064678079E-2</v>
      </c>
      <c r="Y9" s="215">
        <v>23435</v>
      </c>
      <c r="Z9" s="96">
        <f t="shared" si="10"/>
        <v>9.987683206969003E-2</v>
      </c>
      <c r="AA9" s="215">
        <v>22410</v>
      </c>
      <c r="AB9" s="96">
        <f t="shared" si="11"/>
        <v>0.48759791122715407</v>
      </c>
      <c r="AC9" s="101">
        <f t="shared" si="12"/>
        <v>45845</v>
      </c>
      <c r="AD9" s="96">
        <f t="shared" si="13"/>
        <v>0.19538525138617194</v>
      </c>
      <c r="AE9" s="215">
        <v>19538</v>
      </c>
      <c r="AF9" s="96">
        <f t="shared" si="14"/>
        <v>8.3268339875297803E-2</v>
      </c>
      <c r="AG9" s="215">
        <v>18659</v>
      </c>
      <c r="AH9" s="96">
        <f t="shared" si="15"/>
        <v>7.9522159572790546E-2</v>
      </c>
      <c r="AI9" s="215">
        <v>10892</v>
      </c>
      <c r="AJ9" s="96">
        <f t="shared" si="16"/>
        <v>4.6420245568724719E-2</v>
      </c>
      <c r="AK9" s="215">
        <v>21501</v>
      </c>
      <c r="AL9" s="96">
        <f t="shared" si="17"/>
        <v>9.1634383030953934E-2</v>
      </c>
    </row>
    <row r="10" spans="1:38" ht="12">
      <c r="B10" s="79"/>
      <c r="C10" s="75"/>
      <c r="D10" s="82">
        <v>45961</v>
      </c>
      <c r="E10" s="82" t="s">
        <v>164</v>
      </c>
      <c r="F10" s="84">
        <f t="shared" si="18"/>
        <v>200739</v>
      </c>
      <c r="G10" s="289"/>
      <c r="H10" s="372"/>
      <c r="I10" s="367">
        <v>29694</v>
      </c>
      <c r="J10" s="368">
        <f t="shared" si="0"/>
        <v>0.14792342295219166</v>
      </c>
      <c r="K10" s="367">
        <v>40162</v>
      </c>
      <c r="L10" s="368">
        <f t="shared" si="1"/>
        <v>0.20007073862079616</v>
      </c>
      <c r="M10" s="369">
        <f t="shared" si="2"/>
        <v>69856</v>
      </c>
      <c r="N10" s="368">
        <f t="shared" si="3"/>
        <v>0.34799416157298779</v>
      </c>
      <c r="O10" s="367">
        <v>9868</v>
      </c>
      <c r="P10" s="368">
        <f t="shared" si="4"/>
        <v>4.915835986031613E-2</v>
      </c>
      <c r="Q10" s="367">
        <v>3220</v>
      </c>
      <c r="R10" s="368">
        <f t="shared" si="5"/>
        <v>7.0059398185418079E-2</v>
      </c>
      <c r="S10" s="369">
        <f t="shared" si="6"/>
        <v>13088</v>
      </c>
      <c r="T10" s="368">
        <f t="shared" si="7"/>
        <v>6.5199089364797069E-2</v>
      </c>
      <c r="U10" s="367">
        <v>14842</v>
      </c>
      <c r="V10" s="368">
        <f t="shared" si="8"/>
        <v>7.3936803511026758E-2</v>
      </c>
      <c r="W10" s="367">
        <v>3927</v>
      </c>
      <c r="X10" s="368">
        <f t="shared" si="9"/>
        <v>1.9562715765247412E-2</v>
      </c>
      <c r="Y10" s="367">
        <v>20835</v>
      </c>
      <c r="Z10" s="368">
        <f t="shared" si="10"/>
        <v>0.1037914904428138</v>
      </c>
      <c r="AA10" s="367">
        <v>19274</v>
      </c>
      <c r="AB10" s="368">
        <f t="shared" si="11"/>
        <v>0.41935554056700247</v>
      </c>
      <c r="AC10" s="369">
        <f t="shared" si="12"/>
        <v>40109</v>
      </c>
      <c r="AD10" s="368">
        <f t="shared" si="13"/>
        <v>0.19980671419106402</v>
      </c>
      <c r="AE10" s="367">
        <v>16017</v>
      </c>
      <c r="AF10" s="368">
        <f t="shared" si="14"/>
        <v>7.9790175302258154E-2</v>
      </c>
      <c r="AG10" s="367">
        <v>14964</v>
      </c>
      <c r="AH10" s="368">
        <f t="shared" si="15"/>
        <v>7.4544557858712057E-2</v>
      </c>
      <c r="AI10" s="367">
        <v>10827</v>
      </c>
      <c r="AJ10" s="368">
        <f t="shared" si="16"/>
        <v>5.393570756056372E-2</v>
      </c>
      <c r="AK10" s="367">
        <v>17109</v>
      </c>
      <c r="AL10" s="368">
        <f t="shared" si="17"/>
        <v>8.5230074873342998E-2</v>
      </c>
    </row>
    <row r="11" spans="1:38" ht="12">
      <c r="B11" s="79"/>
      <c r="C11" s="75"/>
      <c r="D11" s="82">
        <v>45962</v>
      </c>
      <c r="E11" s="82" t="s">
        <v>165</v>
      </c>
      <c r="F11" s="84">
        <f t="shared" si="18"/>
        <v>199982</v>
      </c>
      <c r="G11" s="289"/>
      <c r="H11" s="372">
        <f>SUM(F11:F40)</f>
        <v>2204262</v>
      </c>
      <c r="I11" s="215">
        <v>28452</v>
      </c>
      <c r="J11" s="96">
        <f t="shared" si="0"/>
        <v>0.1422728045524097</v>
      </c>
      <c r="K11" s="215">
        <v>40897</v>
      </c>
      <c r="L11" s="96">
        <f t="shared" si="1"/>
        <v>0.20450340530647759</v>
      </c>
      <c r="M11" s="101">
        <f t="shared" si="2"/>
        <v>69349</v>
      </c>
      <c r="N11" s="96">
        <f t="shared" si="3"/>
        <v>0.3467762098588873</v>
      </c>
      <c r="O11" s="215">
        <v>8441</v>
      </c>
      <c r="P11" s="96">
        <f t="shared" si="4"/>
        <v>4.2208798791891274E-2</v>
      </c>
      <c r="Q11" s="215">
        <v>3019</v>
      </c>
      <c r="R11" s="96">
        <f t="shared" si="5"/>
        <v>6.5684696053261396E-2</v>
      </c>
      <c r="S11" s="101">
        <f t="shared" si="6"/>
        <v>11460</v>
      </c>
      <c r="T11" s="96">
        <f t="shared" si="7"/>
        <v>5.7305157464171773E-2</v>
      </c>
      <c r="U11" s="215">
        <v>14533</v>
      </c>
      <c r="V11" s="96">
        <f t="shared" si="8"/>
        <v>7.2671540438639479E-2</v>
      </c>
      <c r="W11" s="215">
        <v>3967</v>
      </c>
      <c r="X11" s="96">
        <f t="shared" si="9"/>
        <v>1.9836785310677962E-2</v>
      </c>
      <c r="Y11" s="215">
        <v>20037</v>
      </c>
      <c r="Z11" s="96">
        <f t="shared" si="10"/>
        <v>0.10019401746157154</v>
      </c>
      <c r="AA11" s="215">
        <v>20083</v>
      </c>
      <c r="AB11" s="96">
        <f t="shared" si="11"/>
        <v>0.43694791349375572</v>
      </c>
      <c r="AC11" s="101">
        <f t="shared" si="12"/>
        <v>40120</v>
      </c>
      <c r="AD11" s="96">
        <f t="shared" si="13"/>
        <v>0.20061805562500626</v>
      </c>
      <c r="AE11" s="215">
        <v>16927</v>
      </c>
      <c r="AF11" s="96">
        <f t="shared" si="14"/>
        <v>8.4642617835605199E-2</v>
      </c>
      <c r="AG11" s="215">
        <v>15181</v>
      </c>
      <c r="AH11" s="96">
        <f t="shared" si="15"/>
        <v>7.5911832064885845E-2</v>
      </c>
      <c r="AI11" s="215">
        <v>10780</v>
      </c>
      <c r="AJ11" s="96">
        <f t="shared" si="16"/>
        <v>5.3904851436629299E-2</v>
      </c>
      <c r="AK11" s="215">
        <v>17665</v>
      </c>
      <c r="AL11" s="96">
        <f t="shared" si="17"/>
        <v>8.8332949965496899E-2</v>
      </c>
    </row>
    <row r="12" spans="1:38" ht="12">
      <c r="B12" s="79"/>
      <c r="C12" s="75"/>
      <c r="D12" s="82">
        <v>45963</v>
      </c>
      <c r="E12" s="82" t="s">
        <v>166</v>
      </c>
      <c r="F12" s="84">
        <f t="shared" si="18"/>
        <v>239410</v>
      </c>
      <c r="G12" s="289"/>
      <c r="H12" s="372"/>
      <c r="I12" s="215">
        <v>37061</v>
      </c>
      <c r="J12" s="96">
        <f t="shared" si="0"/>
        <v>0.15480138674240843</v>
      </c>
      <c r="K12" s="215">
        <v>44045</v>
      </c>
      <c r="L12" s="96">
        <f t="shared" si="1"/>
        <v>0.18397310053882462</v>
      </c>
      <c r="M12" s="101">
        <f t="shared" si="2"/>
        <v>81106</v>
      </c>
      <c r="N12" s="96">
        <f t="shared" si="3"/>
        <v>0.33877448728123305</v>
      </c>
      <c r="O12" s="215">
        <v>10789</v>
      </c>
      <c r="P12" s="96">
        <f t="shared" si="4"/>
        <v>4.5064951338707658E-2</v>
      </c>
      <c r="Q12" s="215">
        <v>3520</v>
      </c>
      <c r="R12" s="96">
        <f t="shared" si="5"/>
        <v>7.6583338772490919E-2</v>
      </c>
      <c r="S12" s="101">
        <f t="shared" si="6"/>
        <v>14309</v>
      </c>
      <c r="T12" s="96">
        <f t="shared" si="7"/>
        <v>5.9767762415939181E-2</v>
      </c>
      <c r="U12" s="215">
        <v>18035</v>
      </c>
      <c r="V12" s="96">
        <f t="shared" si="8"/>
        <v>7.5331022095985967E-2</v>
      </c>
      <c r="W12" s="215">
        <v>7001</v>
      </c>
      <c r="X12" s="96">
        <f t="shared" si="9"/>
        <v>2.9242721690823273E-2</v>
      </c>
      <c r="Y12" s="215">
        <v>23595</v>
      </c>
      <c r="Z12" s="96">
        <f t="shared" si="10"/>
        <v>9.8554780502067577E-2</v>
      </c>
      <c r="AA12" s="215">
        <v>22513</v>
      </c>
      <c r="AB12" s="96">
        <f t="shared" si="11"/>
        <v>0.48980701868894544</v>
      </c>
      <c r="AC12" s="101">
        <f t="shared" si="12"/>
        <v>46108</v>
      </c>
      <c r="AD12" s="96">
        <f t="shared" si="13"/>
        <v>0.19259011737187251</v>
      </c>
      <c r="AE12" s="215">
        <v>21075</v>
      </c>
      <c r="AF12" s="96">
        <f t="shared" si="14"/>
        <v>8.8028904389958654E-2</v>
      </c>
      <c r="AG12" s="215">
        <v>18470</v>
      </c>
      <c r="AH12" s="96">
        <f t="shared" si="15"/>
        <v>7.7147988805814291E-2</v>
      </c>
      <c r="AI12" s="215">
        <v>11644</v>
      </c>
      <c r="AJ12" s="96">
        <f t="shared" si="16"/>
        <v>4.8636230733887474E-2</v>
      </c>
      <c r="AK12" s="215">
        <v>21662</v>
      </c>
      <c r="AL12" s="96">
        <f t="shared" si="17"/>
        <v>9.0480765214485614E-2</v>
      </c>
    </row>
    <row r="13" spans="1:38" ht="12">
      <c r="B13" s="79"/>
      <c r="C13" s="75"/>
      <c r="D13" s="82">
        <v>45964</v>
      </c>
      <c r="E13" s="82" t="s">
        <v>167</v>
      </c>
      <c r="F13" s="84">
        <f t="shared" si="18"/>
        <v>230711</v>
      </c>
      <c r="G13" s="289"/>
      <c r="H13" s="372"/>
      <c r="I13" s="215">
        <v>35896</v>
      </c>
      <c r="J13" s="96">
        <f>I13/F13</f>
        <v>0.15558859352176532</v>
      </c>
      <c r="K13" s="215">
        <v>43695</v>
      </c>
      <c r="L13" s="96">
        <f>K13/F13</f>
        <v>0.18939279011403878</v>
      </c>
      <c r="M13" s="101">
        <f>SUM(I13+K13)</f>
        <v>79591</v>
      </c>
      <c r="N13" s="96">
        <f>M13/F13</f>
        <v>0.34498138363580411</v>
      </c>
      <c r="O13" s="215">
        <v>10101</v>
      </c>
      <c r="P13" s="96">
        <f>O13/F13</f>
        <v>4.3782047670028738E-2</v>
      </c>
      <c r="Q13" s="215">
        <v>3584</v>
      </c>
      <c r="R13" s="96">
        <f>Q13/D13</f>
        <v>7.7974066660865024E-2</v>
      </c>
      <c r="S13" s="101">
        <f t="shared" si="6"/>
        <v>13685</v>
      </c>
      <c r="T13" s="96">
        <f>S13/F13</f>
        <v>5.9316634230704213E-2</v>
      </c>
      <c r="U13" s="215">
        <v>18247</v>
      </c>
      <c r="V13" s="96">
        <f>U13/F13</f>
        <v>7.9090290449956871E-2</v>
      </c>
      <c r="W13" s="215">
        <v>4979</v>
      </c>
      <c r="X13" s="96">
        <f>W13/F13</f>
        <v>2.1581112300670537E-2</v>
      </c>
      <c r="Y13" s="215">
        <v>19668</v>
      </c>
      <c r="Z13" s="96">
        <f>Y13/F13</f>
        <v>8.5249511293349692E-2</v>
      </c>
      <c r="AA13" s="215">
        <v>22749</v>
      </c>
      <c r="AB13" s="96">
        <f>AA13/D13</f>
        <v>0.49493081542076406</v>
      </c>
      <c r="AC13" s="101">
        <f>SUM(Y13+AA13)</f>
        <v>42417</v>
      </c>
      <c r="AD13" s="96">
        <f>AC13/F13</f>
        <v>0.18385339233933362</v>
      </c>
      <c r="AE13" s="215">
        <v>20424</v>
      </c>
      <c r="AF13" s="96">
        <f>AE13/F13</f>
        <v>8.8526338145992173E-2</v>
      </c>
      <c r="AG13" s="215">
        <v>18428</v>
      </c>
      <c r="AH13" s="96">
        <f>AG13/F13</f>
        <v>7.9874821746687419E-2</v>
      </c>
      <c r="AI13" s="215">
        <v>11571</v>
      </c>
      <c r="AJ13" s="96">
        <f>AI13/F13</f>
        <v>5.015365543905579E-2</v>
      </c>
      <c r="AK13" s="215">
        <v>21369</v>
      </c>
      <c r="AL13" s="96">
        <f>AK13/F13</f>
        <v>9.2622371711795271E-2</v>
      </c>
    </row>
    <row r="14" spans="1:38" ht="12">
      <c r="B14" s="79"/>
      <c r="C14" s="75"/>
      <c r="D14" s="286">
        <v>45965</v>
      </c>
      <c r="E14" s="286" t="s">
        <v>161</v>
      </c>
      <c r="F14" s="84">
        <f t="shared" si="18"/>
        <v>226615</v>
      </c>
      <c r="G14" s="289">
        <f>SUM(F14:F20)</f>
        <v>1534159</v>
      </c>
      <c r="H14" s="372"/>
      <c r="I14" s="215">
        <v>34133</v>
      </c>
      <c r="J14" s="96">
        <f t="shared" ref="J14" si="19">I14/F14</f>
        <v>0.15062109745603777</v>
      </c>
      <c r="K14" s="215">
        <v>42907</v>
      </c>
      <c r="L14" s="96">
        <f t="shared" ref="L14" si="20">K14/F14</f>
        <v>0.18933874633188447</v>
      </c>
      <c r="M14" s="101">
        <f t="shared" ref="M14" si="21">SUM(I14+K14)</f>
        <v>77040</v>
      </c>
      <c r="N14" s="96">
        <f t="shared" ref="N14" si="22">M14/F14</f>
        <v>0.33995984378792227</v>
      </c>
      <c r="O14" s="215">
        <v>9896</v>
      </c>
      <c r="P14" s="96">
        <f t="shared" ref="P14" si="23">O14/F14</f>
        <v>4.3668777441916905E-2</v>
      </c>
      <c r="Q14" s="215">
        <v>3549</v>
      </c>
      <c r="R14" s="96">
        <f t="shared" ref="R14" si="24">Q14/D14</f>
        <v>7.7210921353203524E-2</v>
      </c>
      <c r="S14" s="101">
        <f t="shared" ref="S14" si="25">SUM(O14+Q14)</f>
        <v>13445</v>
      </c>
      <c r="T14" s="96">
        <f t="shared" ref="T14" si="26">S14/F14</f>
        <v>5.9329700152240587E-2</v>
      </c>
      <c r="U14" s="215">
        <v>18133</v>
      </c>
      <c r="V14" s="96">
        <f t="shared" ref="V14" si="27">U14/F14</f>
        <v>8.0016768528120383E-2</v>
      </c>
      <c r="W14" s="215">
        <v>4554</v>
      </c>
      <c r="X14" s="96">
        <f t="shared" ref="X14" si="28">W14/F14</f>
        <v>2.0095757121108487E-2</v>
      </c>
      <c r="Y14" s="215">
        <v>21740</v>
      </c>
      <c r="Z14" s="96">
        <f t="shared" ref="Z14" si="29">Y14/F14</f>
        <v>9.5933631930807756E-2</v>
      </c>
      <c r="AA14" s="215">
        <v>22476</v>
      </c>
      <c r="AB14" s="96">
        <f t="shared" ref="AB14" si="30">AA14/D14</f>
        <v>0.48898074621994997</v>
      </c>
      <c r="AC14" s="101">
        <f t="shared" ref="AC14" si="31">SUM(Y14+AA14)</f>
        <v>44216</v>
      </c>
      <c r="AD14" s="96">
        <f t="shared" ref="AD14" si="32">AC14/F14</f>
        <v>0.19511506299229972</v>
      </c>
      <c r="AE14" s="215">
        <v>20219</v>
      </c>
      <c r="AF14" s="96">
        <f t="shared" ref="AF14" si="33">AE14/F14</f>
        <v>8.9221807912097606E-2</v>
      </c>
      <c r="AG14" s="215">
        <v>17728</v>
      </c>
      <c r="AH14" s="96">
        <f t="shared" ref="AH14" si="34">AG14/F14</f>
        <v>7.8229596452132469E-2</v>
      </c>
      <c r="AI14" s="215">
        <v>11185</v>
      </c>
      <c r="AJ14" s="96">
        <f t="shared" ref="AJ14" si="35">AI14/F14</f>
        <v>4.9356838691172251E-2</v>
      </c>
      <c r="AK14" s="215">
        <v>20095</v>
      </c>
      <c r="AL14" s="96">
        <f t="shared" ref="AL14" si="36">AK14/F14</f>
        <v>8.8674624362906254E-2</v>
      </c>
    </row>
    <row r="15" spans="1:38" ht="12">
      <c r="B15" s="79"/>
      <c r="C15" s="75"/>
      <c r="D15" s="286">
        <v>45966</v>
      </c>
      <c r="E15" s="286" t="s">
        <v>162</v>
      </c>
      <c r="F15" s="84">
        <f t="shared" si="18"/>
        <v>226209</v>
      </c>
      <c r="G15" s="289"/>
      <c r="H15" s="372"/>
      <c r="I15" s="215">
        <v>33977</v>
      </c>
      <c r="J15" s="96">
        <f t="shared" ref="J15:J40" si="37">I15/F15</f>
        <v>0.15020180452590304</v>
      </c>
      <c r="K15" s="215">
        <v>42639</v>
      </c>
      <c r="L15" s="96">
        <f t="shared" ref="L15:L40" si="38">K15/F15</f>
        <v>0.18849382650557669</v>
      </c>
      <c r="M15" s="101">
        <f t="shared" ref="M15:M40" si="39">SUM(I15+K15)</f>
        <v>76616</v>
      </c>
      <c r="N15" s="96">
        <f t="shared" ref="N15:N40" si="40">M15/F15</f>
        <v>0.33869563103147976</v>
      </c>
      <c r="O15" s="215">
        <v>9656</v>
      </c>
      <c r="P15" s="96">
        <f t="shared" ref="P15:P40" si="41">O15/F15</f>
        <v>4.2686188436357526E-2</v>
      </c>
      <c r="Q15" s="215">
        <v>3598</v>
      </c>
      <c r="R15" s="96">
        <f t="shared" ref="R15:R40" si="42">Q15/D15</f>
        <v>7.8275246921637731E-2</v>
      </c>
      <c r="S15" s="101">
        <f t="shared" ref="S15:S45" si="43">SUM(O15+Q15)</f>
        <v>13254</v>
      </c>
      <c r="T15" s="96">
        <f t="shared" ref="T15:T40" si="44">S15/F15</f>
        <v>5.8591833216185031E-2</v>
      </c>
      <c r="U15" s="215">
        <v>17749</v>
      </c>
      <c r="V15" s="96">
        <f t="shared" ref="V15:V40" si="45">U15/F15</f>
        <v>7.8462837464468693E-2</v>
      </c>
      <c r="W15" s="215">
        <v>4771</v>
      </c>
      <c r="X15" s="96">
        <f t="shared" ref="X15:X40" si="46">W15/F15</f>
        <v>2.1091114853962485E-2</v>
      </c>
      <c r="Y15" s="215">
        <v>22299</v>
      </c>
      <c r="Z15" s="96">
        <f t="shared" ref="Z15:Z40" si="47">Y15/F15</f>
        <v>9.8576979695768077E-2</v>
      </c>
      <c r="AA15" s="215">
        <v>21944</v>
      </c>
      <c r="AB15" s="96">
        <f t="shared" ref="AB15:AB40" si="48">AA15/D15</f>
        <v>0.47739633642257323</v>
      </c>
      <c r="AC15" s="101">
        <f t="shared" ref="AC15:AC40" si="49">SUM(Y15+AA15)</f>
        <v>44243</v>
      </c>
      <c r="AD15" s="96">
        <f t="shared" ref="AD15:AD40" si="50">AC15/F15</f>
        <v>0.19558461422843476</v>
      </c>
      <c r="AE15" s="215">
        <v>19698</v>
      </c>
      <c r="AF15" s="96">
        <f t="shared" ref="AF15:AF40" si="51">AE15/F15</f>
        <v>8.7078763444425292E-2</v>
      </c>
      <c r="AG15" s="215">
        <v>17441</v>
      </c>
      <c r="AH15" s="96">
        <f t="shared" ref="AH15:AH40" si="52">AG15/F15</f>
        <v>7.7101264759580748E-2</v>
      </c>
      <c r="AI15" s="215">
        <v>11975</v>
      </c>
      <c r="AJ15" s="96">
        <f t="shared" ref="AJ15:AJ40" si="53">AI15/F15</f>
        <v>5.2937769938419782E-2</v>
      </c>
      <c r="AK15" s="215">
        <v>20462</v>
      </c>
      <c r="AL15" s="96">
        <f t="shared" ref="AL15:AL40" si="54">AK15/F15</f>
        <v>9.0456171063043475E-2</v>
      </c>
    </row>
    <row r="16" spans="1:38" ht="12">
      <c r="B16" s="79"/>
      <c r="C16" s="75"/>
      <c r="D16" s="286">
        <v>45967</v>
      </c>
      <c r="E16" s="286" t="s">
        <v>163</v>
      </c>
      <c r="F16" s="84">
        <f t="shared" si="18"/>
        <v>230603</v>
      </c>
      <c r="G16" s="289"/>
      <c r="H16" s="372"/>
      <c r="I16" s="215">
        <v>32344</v>
      </c>
      <c r="J16" s="96">
        <f t="shared" si="37"/>
        <v>0.14025836610972103</v>
      </c>
      <c r="K16" s="215">
        <v>39901</v>
      </c>
      <c r="L16" s="96">
        <f t="shared" si="38"/>
        <v>0.17302897186940325</v>
      </c>
      <c r="M16" s="101">
        <f t="shared" si="39"/>
        <v>72245</v>
      </c>
      <c r="N16" s="96">
        <f t="shared" si="40"/>
        <v>0.31328733797912428</v>
      </c>
      <c r="O16" s="215">
        <v>8434</v>
      </c>
      <c r="P16" s="96">
        <f t="shared" si="41"/>
        <v>3.6573678573132179E-2</v>
      </c>
      <c r="Q16" s="215">
        <v>3568</v>
      </c>
      <c r="R16" s="96">
        <f t="shared" si="42"/>
        <v>7.7620901951399923E-2</v>
      </c>
      <c r="S16" s="101">
        <f t="shared" si="43"/>
        <v>12002</v>
      </c>
      <c r="T16" s="96">
        <f t="shared" si="44"/>
        <v>5.2046157248604744E-2</v>
      </c>
      <c r="U16" s="215">
        <v>17024</v>
      </c>
      <c r="V16" s="96">
        <f t="shared" si="45"/>
        <v>7.3823844442613501E-2</v>
      </c>
      <c r="W16" s="215">
        <v>5323</v>
      </c>
      <c r="X16" s="96">
        <f t="shared" si="46"/>
        <v>2.3082960759400355E-2</v>
      </c>
      <c r="Y16" s="215">
        <v>21057</v>
      </c>
      <c r="Z16" s="96">
        <f t="shared" si="47"/>
        <v>9.1312775636049837E-2</v>
      </c>
      <c r="AA16" s="215">
        <v>35355</v>
      </c>
      <c r="AB16" s="96">
        <f t="shared" si="48"/>
        <v>0.76913872995844845</v>
      </c>
      <c r="AC16" s="101">
        <f t="shared" si="49"/>
        <v>56412</v>
      </c>
      <c r="AD16" s="96">
        <f t="shared" si="50"/>
        <v>0.24462821385671479</v>
      </c>
      <c r="AE16" s="215">
        <v>19147</v>
      </c>
      <c r="AF16" s="96">
        <f t="shared" si="51"/>
        <v>8.3030142712800792E-2</v>
      </c>
      <c r="AG16" s="215">
        <v>16657</v>
      </c>
      <c r="AH16" s="96">
        <f t="shared" si="52"/>
        <v>7.2232364713381875E-2</v>
      </c>
      <c r="AI16" s="215">
        <v>12345</v>
      </c>
      <c r="AJ16" s="96">
        <f t="shared" si="53"/>
        <v>5.3533562009167271E-2</v>
      </c>
      <c r="AK16" s="215">
        <v>19448</v>
      </c>
      <c r="AL16" s="96">
        <f t="shared" si="54"/>
        <v>8.4335416278192396E-2</v>
      </c>
    </row>
    <row r="17" spans="2:38" ht="12">
      <c r="B17" s="79"/>
      <c r="C17" s="75"/>
      <c r="D17" s="286">
        <v>45968</v>
      </c>
      <c r="E17" s="286" t="s">
        <v>164</v>
      </c>
      <c r="F17" s="84">
        <f t="shared" si="18"/>
        <v>193759</v>
      </c>
      <c r="G17" s="289"/>
      <c r="H17" s="372"/>
      <c r="I17" s="215">
        <v>27431</v>
      </c>
      <c r="J17" s="96">
        <f t="shared" si="37"/>
        <v>0.1415727785548026</v>
      </c>
      <c r="K17" s="215">
        <v>38382</v>
      </c>
      <c r="L17" s="96">
        <f t="shared" si="38"/>
        <v>0.19809144349423768</v>
      </c>
      <c r="M17" s="101">
        <f t="shared" si="39"/>
        <v>65813</v>
      </c>
      <c r="N17" s="96">
        <f t="shared" si="40"/>
        <v>0.33966422204904029</v>
      </c>
      <c r="O17" s="215">
        <v>7608</v>
      </c>
      <c r="P17" s="96">
        <f t="shared" si="41"/>
        <v>3.9265272838939096E-2</v>
      </c>
      <c r="Q17" s="215">
        <v>3362</v>
      </c>
      <c r="R17" s="96">
        <f t="shared" si="42"/>
        <v>7.3137835015663066E-2</v>
      </c>
      <c r="S17" s="101">
        <f t="shared" si="43"/>
        <v>10970</v>
      </c>
      <c r="T17" s="96">
        <f t="shared" si="44"/>
        <v>5.6616724900520748E-2</v>
      </c>
      <c r="U17" s="215">
        <v>15029</v>
      </c>
      <c r="V17" s="96">
        <f t="shared" si="45"/>
        <v>7.756542921877177E-2</v>
      </c>
      <c r="W17" s="215">
        <v>4721</v>
      </c>
      <c r="X17" s="96">
        <f t="shared" si="46"/>
        <v>2.4365319804499404E-2</v>
      </c>
      <c r="Y17" s="215">
        <v>19727</v>
      </c>
      <c r="Z17" s="96">
        <f t="shared" si="47"/>
        <v>0.10181204485985167</v>
      </c>
      <c r="AA17" s="215">
        <v>16577</v>
      </c>
      <c r="AB17" s="96">
        <f t="shared" si="48"/>
        <v>0.3606204316045945</v>
      </c>
      <c r="AC17" s="101">
        <f t="shared" si="49"/>
        <v>36304</v>
      </c>
      <c r="AD17" s="96">
        <f t="shared" si="50"/>
        <v>0.18736678038181453</v>
      </c>
      <c r="AE17" s="215">
        <v>16983</v>
      </c>
      <c r="AF17" s="96">
        <f t="shared" si="51"/>
        <v>8.76501220588463E-2</v>
      </c>
      <c r="AG17" s="215">
        <v>13425</v>
      </c>
      <c r="AH17" s="96">
        <f t="shared" si="52"/>
        <v>6.9287104082907114E-2</v>
      </c>
      <c r="AI17" s="215">
        <v>12006</v>
      </c>
      <c r="AJ17" s="96">
        <f t="shared" si="53"/>
        <v>6.1963573304981964E-2</v>
      </c>
      <c r="AK17" s="215">
        <v>18508</v>
      </c>
      <c r="AL17" s="96">
        <f t="shared" si="54"/>
        <v>9.5520724198617873E-2</v>
      </c>
    </row>
    <row r="18" spans="2:38" ht="12">
      <c r="B18" s="79"/>
      <c r="C18" s="75"/>
      <c r="D18" s="286">
        <v>45969</v>
      </c>
      <c r="E18" s="286" t="s">
        <v>165</v>
      </c>
      <c r="F18" s="84">
        <f t="shared" si="18"/>
        <v>197295</v>
      </c>
      <c r="G18" s="289"/>
      <c r="H18" s="372"/>
      <c r="I18" s="215">
        <v>26578</v>
      </c>
      <c r="J18" s="96">
        <f t="shared" si="37"/>
        <v>0.13471197952304925</v>
      </c>
      <c r="K18" s="215">
        <v>41146</v>
      </c>
      <c r="L18" s="96">
        <f t="shared" si="38"/>
        <v>0.20855064750753946</v>
      </c>
      <c r="M18" s="101">
        <f t="shared" si="39"/>
        <v>67724</v>
      </c>
      <c r="N18" s="96">
        <f t="shared" si="40"/>
        <v>0.34326262703058869</v>
      </c>
      <c r="O18" s="215">
        <v>7115</v>
      </c>
      <c r="P18" s="96">
        <f t="shared" si="41"/>
        <v>3.6062748675840743E-2</v>
      </c>
      <c r="Q18" s="215">
        <v>3161</v>
      </c>
      <c r="R18" s="96">
        <f t="shared" si="42"/>
        <v>6.8763732080314999E-2</v>
      </c>
      <c r="S18" s="101">
        <f t="shared" si="43"/>
        <v>10276</v>
      </c>
      <c r="T18" s="96">
        <f t="shared" si="44"/>
        <v>5.2084442079120101E-2</v>
      </c>
      <c r="U18" s="215">
        <v>15914</v>
      </c>
      <c r="V18" s="96">
        <f t="shared" si="45"/>
        <v>8.0660939202716747E-2</v>
      </c>
      <c r="W18" s="215">
        <v>4276</v>
      </c>
      <c r="X18" s="96">
        <f t="shared" si="46"/>
        <v>2.167312907068096E-2</v>
      </c>
      <c r="Y18" s="215">
        <v>19826</v>
      </c>
      <c r="Z18" s="96">
        <f t="shared" si="47"/>
        <v>0.10048911528421907</v>
      </c>
      <c r="AA18" s="215">
        <v>17575</v>
      </c>
      <c r="AB18" s="96">
        <f t="shared" si="48"/>
        <v>0.38232286976005569</v>
      </c>
      <c r="AC18" s="101">
        <f t="shared" si="49"/>
        <v>37401</v>
      </c>
      <c r="AD18" s="96">
        <f t="shared" si="50"/>
        <v>0.18956891963810538</v>
      </c>
      <c r="AE18" s="215">
        <v>16928</v>
      </c>
      <c r="AF18" s="96">
        <f t="shared" si="51"/>
        <v>8.5800451101142955E-2</v>
      </c>
      <c r="AG18" s="215">
        <v>14459</v>
      </c>
      <c r="AH18" s="96">
        <f t="shared" si="52"/>
        <v>7.3286195798170251E-2</v>
      </c>
      <c r="AI18" s="215">
        <v>12123</v>
      </c>
      <c r="AJ18" s="96">
        <f t="shared" si="53"/>
        <v>6.1446057933551283E-2</v>
      </c>
      <c r="AK18" s="215">
        <v>18194</v>
      </c>
      <c r="AL18" s="96">
        <f t="shared" si="54"/>
        <v>9.2217238145923613E-2</v>
      </c>
    </row>
    <row r="19" spans="2:38" ht="12">
      <c r="B19" s="79"/>
      <c r="C19" s="75"/>
      <c r="D19" s="286">
        <v>45970</v>
      </c>
      <c r="E19" s="286" t="s">
        <v>166</v>
      </c>
      <c r="F19" s="84">
        <f t="shared" si="18"/>
        <v>224442</v>
      </c>
      <c r="G19" s="289"/>
      <c r="H19" s="372"/>
      <c r="I19" s="215">
        <v>34695</v>
      </c>
      <c r="J19" s="96">
        <f t="shared" si="37"/>
        <v>0.15458336674953885</v>
      </c>
      <c r="K19" s="215">
        <v>44336</v>
      </c>
      <c r="L19" s="96">
        <f t="shared" si="38"/>
        <v>0.19753878507587708</v>
      </c>
      <c r="M19" s="101">
        <f t="shared" si="39"/>
        <v>79031</v>
      </c>
      <c r="N19" s="96">
        <f t="shared" si="40"/>
        <v>0.3521221518254159</v>
      </c>
      <c r="O19" s="215">
        <v>8983</v>
      </c>
      <c r="P19" s="96">
        <f t="shared" si="41"/>
        <v>4.0023703228451002E-2</v>
      </c>
      <c r="Q19" s="215">
        <v>3569</v>
      </c>
      <c r="R19" s="96">
        <f t="shared" si="42"/>
        <v>7.763758973243419E-2</v>
      </c>
      <c r="S19" s="101">
        <f t="shared" si="43"/>
        <v>12552</v>
      </c>
      <c r="T19" s="96">
        <f t="shared" si="44"/>
        <v>5.592536156334376E-2</v>
      </c>
      <c r="U19" s="215">
        <v>17742</v>
      </c>
      <c r="V19" s="96">
        <f t="shared" si="45"/>
        <v>7.9049375785280832E-2</v>
      </c>
      <c r="W19" s="215">
        <v>4624</v>
      </c>
      <c r="X19" s="96">
        <f t="shared" si="46"/>
        <v>2.0602204578465705E-2</v>
      </c>
      <c r="Y19" s="215">
        <v>22731</v>
      </c>
      <c r="Z19" s="96">
        <f t="shared" si="47"/>
        <v>0.10127783569920068</v>
      </c>
      <c r="AA19" s="215">
        <v>15383</v>
      </c>
      <c r="AB19" s="96">
        <f t="shared" si="48"/>
        <v>0.33463128127039371</v>
      </c>
      <c r="AC19" s="101">
        <f t="shared" si="49"/>
        <v>38114</v>
      </c>
      <c r="AD19" s="96">
        <f t="shared" si="50"/>
        <v>0.169816700973971</v>
      </c>
      <c r="AE19" s="215">
        <v>20390</v>
      </c>
      <c r="AF19" s="96">
        <f t="shared" si="51"/>
        <v>9.0847524081945449E-2</v>
      </c>
      <c r="AG19" s="215">
        <v>17670</v>
      </c>
      <c r="AH19" s="96">
        <f t="shared" si="52"/>
        <v>7.8728580212259744E-2</v>
      </c>
      <c r="AI19" s="215">
        <v>13668</v>
      </c>
      <c r="AJ19" s="96">
        <f t="shared" si="53"/>
        <v>6.0897692945170688E-2</v>
      </c>
      <c r="AK19" s="215">
        <v>20651</v>
      </c>
      <c r="AL19" s="96">
        <f t="shared" si="54"/>
        <v>9.2010408034146909E-2</v>
      </c>
    </row>
    <row r="20" spans="2:38" ht="12">
      <c r="B20" s="79"/>
      <c r="C20" s="75"/>
      <c r="D20" s="286">
        <v>45971</v>
      </c>
      <c r="E20" s="286" t="s">
        <v>167</v>
      </c>
      <c r="F20" s="84">
        <f t="shared" si="18"/>
        <v>235236</v>
      </c>
      <c r="G20" s="289"/>
      <c r="H20" s="372"/>
      <c r="I20" s="215">
        <v>33080</v>
      </c>
      <c r="J20" s="96">
        <f t="shared" si="37"/>
        <v>0.14062473430937442</v>
      </c>
      <c r="K20" s="215">
        <v>42969</v>
      </c>
      <c r="L20" s="96">
        <f t="shared" si="38"/>
        <v>0.18266336785185941</v>
      </c>
      <c r="M20" s="101">
        <f t="shared" si="39"/>
        <v>76049</v>
      </c>
      <c r="N20" s="96">
        <f t="shared" si="40"/>
        <v>0.32328810216123383</v>
      </c>
      <c r="O20" s="215">
        <v>8405</v>
      </c>
      <c r="P20" s="96">
        <f t="shared" si="41"/>
        <v>3.5730075328606163E-2</v>
      </c>
      <c r="Q20" s="215">
        <v>3522</v>
      </c>
      <c r="R20" s="96">
        <f t="shared" si="42"/>
        <v>7.6613517217376179E-2</v>
      </c>
      <c r="S20" s="101">
        <f t="shared" si="43"/>
        <v>11927</v>
      </c>
      <c r="T20" s="96">
        <f t="shared" si="44"/>
        <v>5.0702273461545003E-2</v>
      </c>
      <c r="U20" s="215">
        <v>17245</v>
      </c>
      <c r="V20" s="96">
        <f t="shared" si="45"/>
        <v>7.3309357411280585E-2</v>
      </c>
      <c r="W20" s="215">
        <v>4505</v>
      </c>
      <c r="X20" s="96">
        <f t="shared" si="46"/>
        <v>1.9150980292132157E-2</v>
      </c>
      <c r="Y20" s="215">
        <v>22690</v>
      </c>
      <c r="Z20" s="96">
        <f t="shared" si="47"/>
        <v>9.6456324712203917E-2</v>
      </c>
      <c r="AA20" s="215">
        <v>31776</v>
      </c>
      <c r="AB20" s="96">
        <f t="shared" si="48"/>
        <v>0.69121837680276699</v>
      </c>
      <c r="AC20" s="101">
        <f t="shared" si="49"/>
        <v>54466</v>
      </c>
      <c r="AD20" s="96">
        <f t="shared" si="50"/>
        <v>0.23153768980938291</v>
      </c>
      <c r="AE20" s="215">
        <v>20438</v>
      </c>
      <c r="AF20" s="96">
        <f t="shared" si="51"/>
        <v>8.6882960091142505E-2</v>
      </c>
      <c r="AG20" s="215">
        <v>17689</v>
      </c>
      <c r="AH20" s="96">
        <f t="shared" si="52"/>
        <v>7.5196823615433006E-2</v>
      </c>
      <c r="AI20" s="215">
        <v>12465</v>
      </c>
      <c r="AJ20" s="96">
        <f t="shared" si="53"/>
        <v>5.2989338366576544E-2</v>
      </c>
      <c r="AK20" s="215">
        <v>20452</v>
      </c>
      <c r="AL20" s="96">
        <f t="shared" si="54"/>
        <v>8.6942474791273441E-2</v>
      </c>
    </row>
    <row r="21" spans="2:38" ht="12">
      <c r="B21" s="79"/>
      <c r="C21" s="75"/>
      <c r="D21" s="82">
        <v>45972</v>
      </c>
      <c r="E21" s="82" t="s">
        <v>161</v>
      </c>
      <c r="F21" s="84">
        <f t="shared" si="18"/>
        <v>0</v>
      </c>
      <c r="G21" s="289">
        <f>SUM(F21:F27)</f>
        <v>0</v>
      </c>
      <c r="H21" s="372"/>
      <c r="I21" s="215"/>
      <c r="J21" s="96" t="e">
        <f t="shared" si="37"/>
        <v>#DIV/0!</v>
      </c>
      <c r="K21" s="215"/>
      <c r="L21" s="96" t="e">
        <f t="shared" si="38"/>
        <v>#DIV/0!</v>
      </c>
      <c r="M21" s="101">
        <f t="shared" si="39"/>
        <v>0</v>
      </c>
      <c r="N21" s="96" t="e">
        <f t="shared" si="40"/>
        <v>#DIV/0!</v>
      </c>
      <c r="O21" s="215"/>
      <c r="P21" s="96" t="e">
        <f t="shared" si="41"/>
        <v>#DIV/0!</v>
      </c>
      <c r="Q21" s="215"/>
      <c r="R21" s="96">
        <f t="shared" si="42"/>
        <v>0</v>
      </c>
      <c r="S21" s="101">
        <f t="shared" si="43"/>
        <v>0</v>
      </c>
      <c r="T21" s="96" t="e">
        <f t="shared" si="44"/>
        <v>#DIV/0!</v>
      </c>
      <c r="U21" s="215"/>
      <c r="V21" s="96" t="e">
        <f t="shared" si="45"/>
        <v>#DIV/0!</v>
      </c>
      <c r="W21" s="215"/>
      <c r="X21" s="96" t="e">
        <f t="shared" si="46"/>
        <v>#DIV/0!</v>
      </c>
      <c r="Y21" s="215"/>
      <c r="Z21" s="96" t="e">
        <f t="shared" si="47"/>
        <v>#DIV/0!</v>
      </c>
      <c r="AA21" s="215"/>
      <c r="AB21" s="96">
        <f t="shared" si="48"/>
        <v>0</v>
      </c>
      <c r="AC21" s="101">
        <f t="shared" si="49"/>
        <v>0</v>
      </c>
      <c r="AD21" s="96" t="e">
        <f t="shared" si="50"/>
        <v>#DIV/0!</v>
      </c>
      <c r="AE21" s="215"/>
      <c r="AF21" s="96" t="e">
        <f t="shared" si="51"/>
        <v>#DIV/0!</v>
      </c>
      <c r="AG21" s="215"/>
      <c r="AH21" s="96" t="e">
        <f t="shared" si="52"/>
        <v>#DIV/0!</v>
      </c>
      <c r="AI21" s="215"/>
      <c r="AJ21" s="96" t="e">
        <f t="shared" si="53"/>
        <v>#DIV/0!</v>
      </c>
      <c r="AK21" s="215"/>
      <c r="AL21" s="96" t="e">
        <f t="shared" si="54"/>
        <v>#DIV/0!</v>
      </c>
    </row>
    <row r="22" spans="2:38" ht="12">
      <c r="B22" s="79"/>
      <c r="C22" s="75"/>
      <c r="D22" s="82">
        <v>45973</v>
      </c>
      <c r="E22" s="82" t="s">
        <v>162</v>
      </c>
      <c r="F22" s="84">
        <f t="shared" si="18"/>
        <v>0</v>
      </c>
      <c r="G22" s="289"/>
      <c r="H22" s="372"/>
      <c r="I22" s="215"/>
      <c r="J22" s="96" t="e">
        <f t="shared" si="37"/>
        <v>#DIV/0!</v>
      </c>
      <c r="K22" s="215"/>
      <c r="L22" s="96" t="e">
        <f t="shared" si="38"/>
        <v>#DIV/0!</v>
      </c>
      <c r="M22" s="101">
        <f t="shared" si="39"/>
        <v>0</v>
      </c>
      <c r="N22" s="96" t="e">
        <f t="shared" si="40"/>
        <v>#DIV/0!</v>
      </c>
      <c r="O22" s="215"/>
      <c r="P22" s="96" t="e">
        <f t="shared" si="41"/>
        <v>#DIV/0!</v>
      </c>
      <c r="Q22" s="215"/>
      <c r="R22" s="96">
        <f t="shared" si="42"/>
        <v>0</v>
      </c>
      <c r="S22" s="101">
        <f t="shared" si="43"/>
        <v>0</v>
      </c>
      <c r="T22" s="96" t="e">
        <f t="shared" si="44"/>
        <v>#DIV/0!</v>
      </c>
      <c r="U22" s="215"/>
      <c r="V22" s="96" t="e">
        <f t="shared" si="45"/>
        <v>#DIV/0!</v>
      </c>
      <c r="W22" s="215"/>
      <c r="X22" s="96" t="e">
        <f t="shared" si="46"/>
        <v>#DIV/0!</v>
      </c>
      <c r="Y22" s="215"/>
      <c r="Z22" s="96" t="e">
        <f t="shared" si="47"/>
        <v>#DIV/0!</v>
      </c>
      <c r="AA22" s="215"/>
      <c r="AB22" s="96">
        <f t="shared" si="48"/>
        <v>0</v>
      </c>
      <c r="AC22" s="101">
        <f t="shared" si="49"/>
        <v>0</v>
      </c>
      <c r="AD22" s="96" t="e">
        <f t="shared" si="50"/>
        <v>#DIV/0!</v>
      </c>
      <c r="AE22" s="215"/>
      <c r="AF22" s="96" t="e">
        <f t="shared" si="51"/>
        <v>#DIV/0!</v>
      </c>
      <c r="AG22" s="215"/>
      <c r="AH22" s="96" t="e">
        <f t="shared" si="52"/>
        <v>#DIV/0!</v>
      </c>
      <c r="AI22" s="215"/>
      <c r="AJ22" s="96" t="e">
        <f t="shared" si="53"/>
        <v>#DIV/0!</v>
      </c>
      <c r="AK22" s="215"/>
      <c r="AL22" s="96" t="e">
        <f t="shared" si="54"/>
        <v>#DIV/0!</v>
      </c>
    </row>
    <row r="23" spans="2:38" ht="12">
      <c r="B23" s="79"/>
      <c r="C23" s="75"/>
      <c r="D23" s="82">
        <v>45974</v>
      </c>
      <c r="E23" s="82" t="s">
        <v>163</v>
      </c>
      <c r="F23" s="84">
        <f t="shared" si="18"/>
        <v>0</v>
      </c>
      <c r="G23" s="289"/>
      <c r="H23" s="372"/>
      <c r="I23" s="215"/>
      <c r="J23" s="96" t="e">
        <f t="shared" si="37"/>
        <v>#DIV/0!</v>
      </c>
      <c r="K23" s="215"/>
      <c r="L23" s="96" t="e">
        <f t="shared" si="38"/>
        <v>#DIV/0!</v>
      </c>
      <c r="M23" s="101">
        <f t="shared" si="39"/>
        <v>0</v>
      </c>
      <c r="N23" s="96" t="e">
        <f t="shared" si="40"/>
        <v>#DIV/0!</v>
      </c>
      <c r="O23" s="215"/>
      <c r="P23" s="96" t="e">
        <f t="shared" si="41"/>
        <v>#DIV/0!</v>
      </c>
      <c r="Q23" s="215"/>
      <c r="R23" s="96">
        <f t="shared" si="42"/>
        <v>0</v>
      </c>
      <c r="S23" s="101">
        <f t="shared" si="43"/>
        <v>0</v>
      </c>
      <c r="T23" s="96" t="e">
        <f t="shared" si="44"/>
        <v>#DIV/0!</v>
      </c>
      <c r="U23" s="215"/>
      <c r="V23" s="96" t="e">
        <f t="shared" si="45"/>
        <v>#DIV/0!</v>
      </c>
      <c r="W23" s="215"/>
      <c r="X23" s="96" t="e">
        <f t="shared" si="46"/>
        <v>#DIV/0!</v>
      </c>
      <c r="Y23" s="215"/>
      <c r="Z23" s="96" t="e">
        <f t="shared" si="47"/>
        <v>#DIV/0!</v>
      </c>
      <c r="AA23" s="215"/>
      <c r="AB23" s="96">
        <f t="shared" si="48"/>
        <v>0</v>
      </c>
      <c r="AC23" s="101">
        <f t="shared" si="49"/>
        <v>0</v>
      </c>
      <c r="AD23" s="96" t="e">
        <f t="shared" si="50"/>
        <v>#DIV/0!</v>
      </c>
      <c r="AE23" s="215"/>
      <c r="AF23" s="96" t="e">
        <f t="shared" si="51"/>
        <v>#DIV/0!</v>
      </c>
      <c r="AG23" s="215"/>
      <c r="AH23" s="96" t="e">
        <f t="shared" si="52"/>
        <v>#DIV/0!</v>
      </c>
      <c r="AI23" s="215"/>
      <c r="AJ23" s="96" t="e">
        <f t="shared" si="53"/>
        <v>#DIV/0!</v>
      </c>
      <c r="AK23" s="215"/>
      <c r="AL23" s="96" t="e">
        <f t="shared" si="54"/>
        <v>#DIV/0!</v>
      </c>
    </row>
    <row r="24" spans="2:38" ht="12">
      <c r="B24" s="79"/>
      <c r="C24" s="75"/>
      <c r="D24" s="82">
        <v>45975</v>
      </c>
      <c r="E24" s="82" t="s">
        <v>164</v>
      </c>
      <c r="F24" s="84">
        <f t="shared" si="18"/>
        <v>0</v>
      </c>
      <c r="G24" s="289"/>
      <c r="H24" s="372"/>
      <c r="I24" s="215"/>
      <c r="J24" s="96" t="e">
        <f t="shared" si="37"/>
        <v>#DIV/0!</v>
      </c>
      <c r="K24" s="215"/>
      <c r="L24" s="96" t="e">
        <f t="shared" si="38"/>
        <v>#DIV/0!</v>
      </c>
      <c r="M24" s="101">
        <f t="shared" si="39"/>
        <v>0</v>
      </c>
      <c r="N24" s="96" t="e">
        <f t="shared" si="40"/>
        <v>#DIV/0!</v>
      </c>
      <c r="O24" s="215"/>
      <c r="P24" s="96" t="e">
        <f t="shared" si="41"/>
        <v>#DIV/0!</v>
      </c>
      <c r="Q24" s="215"/>
      <c r="R24" s="96">
        <f t="shared" si="42"/>
        <v>0</v>
      </c>
      <c r="S24" s="101">
        <f t="shared" si="43"/>
        <v>0</v>
      </c>
      <c r="T24" s="96" t="e">
        <f t="shared" si="44"/>
        <v>#DIV/0!</v>
      </c>
      <c r="U24" s="215"/>
      <c r="V24" s="96" t="e">
        <f t="shared" si="45"/>
        <v>#DIV/0!</v>
      </c>
      <c r="W24" s="215"/>
      <c r="X24" s="96" t="e">
        <f t="shared" si="46"/>
        <v>#DIV/0!</v>
      </c>
      <c r="Y24" s="215"/>
      <c r="Z24" s="96" t="e">
        <f t="shared" si="47"/>
        <v>#DIV/0!</v>
      </c>
      <c r="AA24" s="215"/>
      <c r="AB24" s="96">
        <f t="shared" si="48"/>
        <v>0</v>
      </c>
      <c r="AC24" s="101">
        <f t="shared" si="49"/>
        <v>0</v>
      </c>
      <c r="AD24" s="96" t="e">
        <f t="shared" si="50"/>
        <v>#DIV/0!</v>
      </c>
      <c r="AE24" s="215"/>
      <c r="AF24" s="96" t="e">
        <f t="shared" si="51"/>
        <v>#DIV/0!</v>
      </c>
      <c r="AG24" s="215"/>
      <c r="AH24" s="96" t="e">
        <f t="shared" si="52"/>
        <v>#DIV/0!</v>
      </c>
      <c r="AI24" s="215"/>
      <c r="AJ24" s="96" t="e">
        <f t="shared" si="53"/>
        <v>#DIV/0!</v>
      </c>
      <c r="AK24" s="215"/>
      <c r="AL24" s="96" t="e">
        <f t="shared" si="54"/>
        <v>#DIV/0!</v>
      </c>
    </row>
    <row r="25" spans="2:38" ht="12">
      <c r="B25" s="79"/>
      <c r="C25" s="75"/>
      <c r="D25" s="82">
        <v>45976</v>
      </c>
      <c r="E25" s="82" t="s">
        <v>165</v>
      </c>
      <c r="F25" s="84">
        <f t="shared" si="18"/>
        <v>0</v>
      </c>
      <c r="G25" s="289"/>
      <c r="H25" s="372"/>
      <c r="I25" s="215"/>
      <c r="J25" s="96" t="e">
        <f t="shared" si="37"/>
        <v>#DIV/0!</v>
      </c>
      <c r="K25" s="215"/>
      <c r="L25" s="96" t="e">
        <f t="shared" si="38"/>
        <v>#DIV/0!</v>
      </c>
      <c r="M25" s="101">
        <f t="shared" si="39"/>
        <v>0</v>
      </c>
      <c r="N25" s="96" t="e">
        <f t="shared" si="40"/>
        <v>#DIV/0!</v>
      </c>
      <c r="O25" s="215"/>
      <c r="P25" s="96" t="e">
        <f t="shared" si="41"/>
        <v>#DIV/0!</v>
      </c>
      <c r="Q25" s="215"/>
      <c r="R25" s="96">
        <f t="shared" si="42"/>
        <v>0</v>
      </c>
      <c r="S25" s="101">
        <f t="shared" si="43"/>
        <v>0</v>
      </c>
      <c r="T25" s="96" t="e">
        <f t="shared" si="44"/>
        <v>#DIV/0!</v>
      </c>
      <c r="U25" s="215"/>
      <c r="V25" s="96" t="e">
        <f t="shared" si="45"/>
        <v>#DIV/0!</v>
      </c>
      <c r="W25" s="215"/>
      <c r="X25" s="96" t="e">
        <f t="shared" si="46"/>
        <v>#DIV/0!</v>
      </c>
      <c r="Y25" s="215"/>
      <c r="Z25" s="96" t="e">
        <f t="shared" si="47"/>
        <v>#DIV/0!</v>
      </c>
      <c r="AA25" s="215"/>
      <c r="AB25" s="96">
        <f t="shared" si="48"/>
        <v>0</v>
      </c>
      <c r="AC25" s="101">
        <f t="shared" si="49"/>
        <v>0</v>
      </c>
      <c r="AD25" s="96" t="e">
        <f t="shared" si="50"/>
        <v>#DIV/0!</v>
      </c>
      <c r="AE25" s="215"/>
      <c r="AF25" s="96" t="e">
        <f t="shared" si="51"/>
        <v>#DIV/0!</v>
      </c>
      <c r="AG25" s="215"/>
      <c r="AH25" s="96" t="e">
        <f t="shared" si="52"/>
        <v>#DIV/0!</v>
      </c>
      <c r="AI25" s="215"/>
      <c r="AJ25" s="96" t="e">
        <f t="shared" si="53"/>
        <v>#DIV/0!</v>
      </c>
      <c r="AK25" s="215"/>
      <c r="AL25" s="96" t="e">
        <f t="shared" si="54"/>
        <v>#DIV/0!</v>
      </c>
    </row>
    <row r="26" spans="2:38" ht="12">
      <c r="B26" s="79"/>
      <c r="C26" s="75"/>
      <c r="D26" s="82">
        <v>45977</v>
      </c>
      <c r="E26" s="82" t="s">
        <v>166</v>
      </c>
      <c r="F26" s="84">
        <f t="shared" si="18"/>
        <v>0</v>
      </c>
      <c r="G26" s="289"/>
      <c r="H26" s="372"/>
      <c r="I26" s="215"/>
      <c r="J26" s="96" t="e">
        <f t="shared" si="37"/>
        <v>#DIV/0!</v>
      </c>
      <c r="K26" s="215"/>
      <c r="L26" s="96" t="e">
        <f t="shared" si="38"/>
        <v>#DIV/0!</v>
      </c>
      <c r="M26" s="101">
        <f t="shared" si="39"/>
        <v>0</v>
      </c>
      <c r="N26" s="96" t="e">
        <f t="shared" si="40"/>
        <v>#DIV/0!</v>
      </c>
      <c r="O26" s="215"/>
      <c r="P26" s="96" t="e">
        <f t="shared" si="41"/>
        <v>#DIV/0!</v>
      </c>
      <c r="Q26" s="215"/>
      <c r="R26" s="96">
        <f t="shared" si="42"/>
        <v>0</v>
      </c>
      <c r="S26" s="101">
        <f t="shared" si="43"/>
        <v>0</v>
      </c>
      <c r="T26" s="96" t="e">
        <f t="shared" si="44"/>
        <v>#DIV/0!</v>
      </c>
      <c r="U26" s="215"/>
      <c r="V26" s="96" t="e">
        <f t="shared" si="45"/>
        <v>#DIV/0!</v>
      </c>
      <c r="W26" s="215"/>
      <c r="X26" s="96" t="e">
        <f t="shared" si="46"/>
        <v>#DIV/0!</v>
      </c>
      <c r="Y26" s="215"/>
      <c r="Z26" s="96" t="e">
        <f t="shared" si="47"/>
        <v>#DIV/0!</v>
      </c>
      <c r="AA26" s="215"/>
      <c r="AB26" s="96">
        <f t="shared" si="48"/>
        <v>0</v>
      </c>
      <c r="AC26" s="101">
        <f t="shared" si="49"/>
        <v>0</v>
      </c>
      <c r="AD26" s="96" t="e">
        <f t="shared" si="50"/>
        <v>#DIV/0!</v>
      </c>
      <c r="AE26" s="215"/>
      <c r="AF26" s="96" t="e">
        <f t="shared" si="51"/>
        <v>#DIV/0!</v>
      </c>
      <c r="AG26" s="215"/>
      <c r="AH26" s="96" t="e">
        <f t="shared" si="52"/>
        <v>#DIV/0!</v>
      </c>
      <c r="AI26" s="215"/>
      <c r="AJ26" s="96" t="e">
        <f t="shared" si="53"/>
        <v>#DIV/0!</v>
      </c>
      <c r="AK26" s="215"/>
      <c r="AL26" s="96" t="e">
        <f t="shared" si="54"/>
        <v>#DIV/0!</v>
      </c>
    </row>
    <row r="27" spans="2:38" ht="12">
      <c r="B27" s="79"/>
      <c r="C27" s="75"/>
      <c r="D27" s="82">
        <v>45978</v>
      </c>
      <c r="E27" s="82" t="s">
        <v>167</v>
      </c>
      <c r="F27" s="84">
        <f t="shared" si="18"/>
        <v>0</v>
      </c>
      <c r="G27" s="289"/>
      <c r="H27" s="372"/>
      <c r="I27" s="215"/>
      <c r="J27" s="96" t="e">
        <f t="shared" si="37"/>
        <v>#DIV/0!</v>
      </c>
      <c r="K27" s="215"/>
      <c r="L27" s="96" t="e">
        <f t="shared" si="38"/>
        <v>#DIV/0!</v>
      </c>
      <c r="M27" s="101">
        <f t="shared" si="39"/>
        <v>0</v>
      </c>
      <c r="N27" s="96" t="e">
        <f t="shared" si="40"/>
        <v>#DIV/0!</v>
      </c>
      <c r="O27" s="215"/>
      <c r="P27" s="96" t="e">
        <f t="shared" si="41"/>
        <v>#DIV/0!</v>
      </c>
      <c r="Q27" s="215"/>
      <c r="R27" s="96">
        <f t="shared" si="42"/>
        <v>0</v>
      </c>
      <c r="S27" s="101">
        <f t="shared" si="43"/>
        <v>0</v>
      </c>
      <c r="T27" s="96" t="e">
        <f t="shared" si="44"/>
        <v>#DIV/0!</v>
      </c>
      <c r="U27" s="215"/>
      <c r="V27" s="96" t="e">
        <f t="shared" si="45"/>
        <v>#DIV/0!</v>
      </c>
      <c r="W27" s="215"/>
      <c r="X27" s="96" t="e">
        <f t="shared" si="46"/>
        <v>#DIV/0!</v>
      </c>
      <c r="Y27" s="215"/>
      <c r="Z27" s="96" t="e">
        <f t="shared" si="47"/>
        <v>#DIV/0!</v>
      </c>
      <c r="AA27" s="215"/>
      <c r="AB27" s="96">
        <f t="shared" si="48"/>
        <v>0</v>
      </c>
      <c r="AC27" s="101">
        <f t="shared" si="49"/>
        <v>0</v>
      </c>
      <c r="AD27" s="96" t="e">
        <f t="shared" si="50"/>
        <v>#DIV/0!</v>
      </c>
      <c r="AE27" s="215"/>
      <c r="AF27" s="96" t="e">
        <f t="shared" si="51"/>
        <v>#DIV/0!</v>
      </c>
      <c r="AG27" s="215"/>
      <c r="AH27" s="96" t="e">
        <f t="shared" si="52"/>
        <v>#DIV/0!</v>
      </c>
      <c r="AI27" s="215"/>
      <c r="AJ27" s="96" t="e">
        <f t="shared" si="53"/>
        <v>#DIV/0!</v>
      </c>
      <c r="AK27" s="215"/>
      <c r="AL27" s="96" t="e">
        <f t="shared" si="54"/>
        <v>#DIV/0!</v>
      </c>
    </row>
    <row r="28" spans="2:38" ht="12">
      <c r="B28" s="79"/>
      <c r="C28" s="75"/>
      <c r="D28" s="286">
        <v>45979</v>
      </c>
      <c r="E28" s="286" t="s">
        <v>161</v>
      </c>
      <c r="F28" s="84">
        <f t="shared" si="18"/>
        <v>0</v>
      </c>
      <c r="G28" s="289">
        <f>SUM(F28:F34)</f>
        <v>0</v>
      </c>
      <c r="H28" s="372"/>
      <c r="I28" s="215"/>
      <c r="J28" s="96" t="e">
        <f t="shared" si="37"/>
        <v>#DIV/0!</v>
      </c>
      <c r="K28" s="215"/>
      <c r="L28" s="96" t="e">
        <f t="shared" si="38"/>
        <v>#DIV/0!</v>
      </c>
      <c r="M28" s="101">
        <f t="shared" si="39"/>
        <v>0</v>
      </c>
      <c r="N28" s="96" t="e">
        <f t="shared" si="40"/>
        <v>#DIV/0!</v>
      </c>
      <c r="O28" s="215"/>
      <c r="P28" s="96" t="e">
        <f t="shared" si="41"/>
        <v>#DIV/0!</v>
      </c>
      <c r="Q28" s="215"/>
      <c r="R28" s="96">
        <f t="shared" si="42"/>
        <v>0</v>
      </c>
      <c r="S28" s="101">
        <f t="shared" si="43"/>
        <v>0</v>
      </c>
      <c r="T28" s="96" t="e">
        <f t="shared" si="44"/>
        <v>#DIV/0!</v>
      </c>
      <c r="U28" s="215"/>
      <c r="V28" s="96" t="e">
        <f t="shared" si="45"/>
        <v>#DIV/0!</v>
      </c>
      <c r="W28" s="215"/>
      <c r="X28" s="96" t="e">
        <f t="shared" si="46"/>
        <v>#DIV/0!</v>
      </c>
      <c r="Y28" s="215"/>
      <c r="Z28" s="96" t="e">
        <f t="shared" si="47"/>
        <v>#DIV/0!</v>
      </c>
      <c r="AA28" s="215"/>
      <c r="AB28" s="96">
        <f t="shared" si="48"/>
        <v>0</v>
      </c>
      <c r="AC28" s="101">
        <f t="shared" si="49"/>
        <v>0</v>
      </c>
      <c r="AD28" s="96" t="e">
        <f t="shared" si="50"/>
        <v>#DIV/0!</v>
      </c>
      <c r="AE28" s="215"/>
      <c r="AF28" s="96" t="e">
        <f t="shared" si="51"/>
        <v>#DIV/0!</v>
      </c>
      <c r="AG28" s="215"/>
      <c r="AH28" s="96" t="e">
        <f t="shared" si="52"/>
        <v>#DIV/0!</v>
      </c>
      <c r="AI28" s="215"/>
      <c r="AJ28" s="96" t="e">
        <f t="shared" si="53"/>
        <v>#DIV/0!</v>
      </c>
      <c r="AK28" s="215"/>
      <c r="AL28" s="96" t="e">
        <f t="shared" si="54"/>
        <v>#DIV/0!</v>
      </c>
    </row>
    <row r="29" spans="2:38" ht="12">
      <c r="B29" s="79"/>
      <c r="C29" s="75"/>
      <c r="D29" s="286">
        <v>45980</v>
      </c>
      <c r="E29" s="286" t="s">
        <v>162</v>
      </c>
      <c r="F29" s="84">
        <f t="shared" si="18"/>
        <v>0</v>
      </c>
      <c r="G29" s="289"/>
      <c r="H29" s="372"/>
      <c r="I29" s="215"/>
      <c r="J29" s="96" t="e">
        <f t="shared" si="37"/>
        <v>#DIV/0!</v>
      </c>
      <c r="K29" s="215"/>
      <c r="L29" s="96" t="e">
        <f t="shared" si="38"/>
        <v>#DIV/0!</v>
      </c>
      <c r="M29" s="101">
        <f t="shared" si="39"/>
        <v>0</v>
      </c>
      <c r="N29" s="96" t="e">
        <f t="shared" si="40"/>
        <v>#DIV/0!</v>
      </c>
      <c r="O29" s="215"/>
      <c r="P29" s="96" t="e">
        <f t="shared" si="41"/>
        <v>#DIV/0!</v>
      </c>
      <c r="Q29" s="215"/>
      <c r="R29" s="96">
        <f t="shared" si="42"/>
        <v>0</v>
      </c>
      <c r="S29" s="101">
        <f t="shared" si="43"/>
        <v>0</v>
      </c>
      <c r="T29" s="96" t="e">
        <f t="shared" si="44"/>
        <v>#DIV/0!</v>
      </c>
      <c r="U29" s="215"/>
      <c r="V29" s="96" t="e">
        <f t="shared" si="45"/>
        <v>#DIV/0!</v>
      </c>
      <c r="W29" s="215"/>
      <c r="X29" s="96" t="e">
        <f t="shared" si="46"/>
        <v>#DIV/0!</v>
      </c>
      <c r="Y29" s="215"/>
      <c r="Z29" s="96" t="e">
        <f t="shared" si="47"/>
        <v>#DIV/0!</v>
      </c>
      <c r="AA29" s="215"/>
      <c r="AB29" s="96">
        <f t="shared" si="48"/>
        <v>0</v>
      </c>
      <c r="AC29" s="101">
        <f t="shared" si="49"/>
        <v>0</v>
      </c>
      <c r="AD29" s="96" t="e">
        <f t="shared" si="50"/>
        <v>#DIV/0!</v>
      </c>
      <c r="AE29" s="215"/>
      <c r="AF29" s="96" t="e">
        <f t="shared" si="51"/>
        <v>#DIV/0!</v>
      </c>
      <c r="AG29" s="215"/>
      <c r="AH29" s="96" t="e">
        <f t="shared" si="52"/>
        <v>#DIV/0!</v>
      </c>
      <c r="AI29" s="215"/>
      <c r="AJ29" s="96" t="e">
        <f t="shared" si="53"/>
        <v>#DIV/0!</v>
      </c>
      <c r="AK29" s="215"/>
      <c r="AL29" s="96" t="e">
        <f t="shared" si="54"/>
        <v>#DIV/0!</v>
      </c>
    </row>
    <row r="30" spans="2:38" ht="12">
      <c r="B30" s="79"/>
      <c r="C30" s="75"/>
      <c r="D30" s="286">
        <v>45981</v>
      </c>
      <c r="E30" s="286" t="s">
        <v>163</v>
      </c>
      <c r="F30" s="84">
        <f t="shared" si="18"/>
        <v>0</v>
      </c>
      <c r="G30" s="289"/>
      <c r="H30" s="372"/>
      <c r="I30" s="215"/>
      <c r="J30" s="96" t="e">
        <f t="shared" si="37"/>
        <v>#DIV/0!</v>
      </c>
      <c r="K30" s="215"/>
      <c r="L30" s="96" t="e">
        <f t="shared" si="38"/>
        <v>#DIV/0!</v>
      </c>
      <c r="M30" s="101">
        <f t="shared" si="39"/>
        <v>0</v>
      </c>
      <c r="N30" s="96" t="e">
        <f t="shared" si="40"/>
        <v>#DIV/0!</v>
      </c>
      <c r="O30" s="215"/>
      <c r="P30" s="96" t="e">
        <f t="shared" si="41"/>
        <v>#DIV/0!</v>
      </c>
      <c r="Q30" s="215"/>
      <c r="R30" s="96">
        <f t="shared" si="42"/>
        <v>0</v>
      </c>
      <c r="S30" s="101">
        <f t="shared" si="43"/>
        <v>0</v>
      </c>
      <c r="T30" s="96" t="e">
        <f t="shared" si="44"/>
        <v>#DIV/0!</v>
      </c>
      <c r="U30" s="215"/>
      <c r="V30" s="96" t="e">
        <f t="shared" si="45"/>
        <v>#DIV/0!</v>
      </c>
      <c r="W30" s="215"/>
      <c r="X30" s="96" t="e">
        <f t="shared" si="46"/>
        <v>#DIV/0!</v>
      </c>
      <c r="Y30" s="215"/>
      <c r="Z30" s="96" t="e">
        <f t="shared" si="47"/>
        <v>#DIV/0!</v>
      </c>
      <c r="AA30" s="215"/>
      <c r="AB30" s="96">
        <f t="shared" si="48"/>
        <v>0</v>
      </c>
      <c r="AC30" s="101">
        <f t="shared" si="49"/>
        <v>0</v>
      </c>
      <c r="AD30" s="96" t="e">
        <f t="shared" si="50"/>
        <v>#DIV/0!</v>
      </c>
      <c r="AE30" s="215"/>
      <c r="AF30" s="96" t="e">
        <f t="shared" si="51"/>
        <v>#DIV/0!</v>
      </c>
      <c r="AG30" s="215"/>
      <c r="AH30" s="96" t="e">
        <f t="shared" si="52"/>
        <v>#DIV/0!</v>
      </c>
      <c r="AI30" s="215"/>
      <c r="AJ30" s="96" t="e">
        <f t="shared" si="53"/>
        <v>#DIV/0!</v>
      </c>
      <c r="AK30" s="215"/>
      <c r="AL30" s="96" t="e">
        <f t="shared" si="54"/>
        <v>#DIV/0!</v>
      </c>
    </row>
    <row r="31" spans="2:38" ht="12">
      <c r="B31" s="79"/>
      <c r="C31" s="75"/>
      <c r="D31" s="286">
        <v>45982</v>
      </c>
      <c r="E31" s="286" t="s">
        <v>164</v>
      </c>
      <c r="F31" s="84">
        <f t="shared" si="18"/>
        <v>0</v>
      </c>
      <c r="G31" s="289"/>
      <c r="H31" s="372"/>
      <c r="I31" s="215"/>
      <c r="J31" s="96" t="e">
        <f t="shared" si="37"/>
        <v>#DIV/0!</v>
      </c>
      <c r="K31" s="215"/>
      <c r="L31" s="96" t="e">
        <f t="shared" si="38"/>
        <v>#DIV/0!</v>
      </c>
      <c r="M31" s="101">
        <f t="shared" si="39"/>
        <v>0</v>
      </c>
      <c r="N31" s="96" t="e">
        <f t="shared" si="40"/>
        <v>#DIV/0!</v>
      </c>
      <c r="O31" s="215"/>
      <c r="P31" s="96" t="e">
        <f t="shared" si="41"/>
        <v>#DIV/0!</v>
      </c>
      <c r="Q31" s="215"/>
      <c r="R31" s="96">
        <f t="shared" si="42"/>
        <v>0</v>
      </c>
      <c r="S31" s="101">
        <f t="shared" si="43"/>
        <v>0</v>
      </c>
      <c r="T31" s="96" t="e">
        <f t="shared" si="44"/>
        <v>#DIV/0!</v>
      </c>
      <c r="U31" s="215"/>
      <c r="V31" s="96" t="e">
        <f t="shared" si="45"/>
        <v>#DIV/0!</v>
      </c>
      <c r="W31" s="215"/>
      <c r="X31" s="96" t="e">
        <f t="shared" si="46"/>
        <v>#DIV/0!</v>
      </c>
      <c r="Y31" s="215"/>
      <c r="Z31" s="96" t="e">
        <f t="shared" si="47"/>
        <v>#DIV/0!</v>
      </c>
      <c r="AA31" s="215"/>
      <c r="AB31" s="96">
        <f t="shared" si="48"/>
        <v>0</v>
      </c>
      <c r="AC31" s="101">
        <f t="shared" si="49"/>
        <v>0</v>
      </c>
      <c r="AD31" s="96" t="e">
        <f t="shared" si="50"/>
        <v>#DIV/0!</v>
      </c>
      <c r="AE31" s="215"/>
      <c r="AF31" s="96" t="e">
        <f t="shared" si="51"/>
        <v>#DIV/0!</v>
      </c>
      <c r="AG31" s="215"/>
      <c r="AH31" s="96" t="e">
        <f t="shared" si="52"/>
        <v>#DIV/0!</v>
      </c>
      <c r="AI31" s="215"/>
      <c r="AJ31" s="96" t="e">
        <f t="shared" si="53"/>
        <v>#DIV/0!</v>
      </c>
      <c r="AK31" s="215"/>
      <c r="AL31" s="96" t="e">
        <f t="shared" si="54"/>
        <v>#DIV/0!</v>
      </c>
    </row>
    <row r="32" spans="2:38" ht="12">
      <c r="B32" s="79"/>
      <c r="C32" s="75"/>
      <c r="D32" s="286">
        <v>45983</v>
      </c>
      <c r="E32" s="286" t="s">
        <v>165</v>
      </c>
      <c r="F32" s="84">
        <f t="shared" si="18"/>
        <v>0</v>
      </c>
      <c r="G32" s="289"/>
      <c r="H32" s="372"/>
      <c r="I32" s="215"/>
      <c r="J32" s="96" t="e">
        <f t="shared" si="37"/>
        <v>#DIV/0!</v>
      </c>
      <c r="K32" s="215"/>
      <c r="L32" s="96" t="e">
        <f t="shared" si="38"/>
        <v>#DIV/0!</v>
      </c>
      <c r="M32" s="101">
        <f t="shared" si="39"/>
        <v>0</v>
      </c>
      <c r="N32" s="96" t="e">
        <f t="shared" si="40"/>
        <v>#DIV/0!</v>
      </c>
      <c r="O32" s="215"/>
      <c r="P32" s="96" t="e">
        <f t="shared" si="41"/>
        <v>#DIV/0!</v>
      </c>
      <c r="Q32" s="215"/>
      <c r="R32" s="96">
        <f t="shared" si="42"/>
        <v>0</v>
      </c>
      <c r="S32" s="101">
        <f t="shared" si="43"/>
        <v>0</v>
      </c>
      <c r="T32" s="96" t="e">
        <f t="shared" si="44"/>
        <v>#DIV/0!</v>
      </c>
      <c r="U32" s="215"/>
      <c r="V32" s="96" t="e">
        <f t="shared" si="45"/>
        <v>#DIV/0!</v>
      </c>
      <c r="W32" s="215"/>
      <c r="X32" s="96" t="e">
        <f t="shared" si="46"/>
        <v>#DIV/0!</v>
      </c>
      <c r="Y32" s="215"/>
      <c r="Z32" s="96" t="e">
        <f t="shared" si="47"/>
        <v>#DIV/0!</v>
      </c>
      <c r="AA32" s="215"/>
      <c r="AB32" s="96">
        <f t="shared" si="48"/>
        <v>0</v>
      </c>
      <c r="AC32" s="101">
        <f t="shared" si="49"/>
        <v>0</v>
      </c>
      <c r="AD32" s="96" t="e">
        <f t="shared" si="50"/>
        <v>#DIV/0!</v>
      </c>
      <c r="AE32" s="215"/>
      <c r="AF32" s="96" t="e">
        <f t="shared" si="51"/>
        <v>#DIV/0!</v>
      </c>
      <c r="AG32" s="215"/>
      <c r="AH32" s="96" t="e">
        <f t="shared" si="52"/>
        <v>#DIV/0!</v>
      </c>
      <c r="AI32" s="215"/>
      <c r="AJ32" s="96" t="e">
        <f t="shared" si="53"/>
        <v>#DIV/0!</v>
      </c>
      <c r="AK32" s="215"/>
      <c r="AL32" s="96" t="e">
        <f t="shared" si="54"/>
        <v>#DIV/0!</v>
      </c>
    </row>
    <row r="33" spans="2:38" ht="12">
      <c r="B33" s="79"/>
      <c r="C33" s="75"/>
      <c r="D33" s="286">
        <v>45984</v>
      </c>
      <c r="E33" s="286" t="s">
        <v>166</v>
      </c>
      <c r="F33" s="84">
        <f t="shared" si="18"/>
        <v>0</v>
      </c>
      <c r="G33" s="289"/>
      <c r="H33" s="372"/>
      <c r="I33" s="215"/>
      <c r="J33" s="96" t="e">
        <f t="shared" si="37"/>
        <v>#DIV/0!</v>
      </c>
      <c r="K33" s="215"/>
      <c r="L33" s="96" t="e">
        <f t="shared" si="38"/>
        <v>#DIV/0!</v>
      </c>
      <c r="M33" s="101">
        <f t="shared" si="39"/>
        <v>0</v>
      </c>
      <c r="N33" s="96" t="e">
        <f t="shared" si="40"/>
        <v>#DIV/0!</v>
      </c>
      <c r="O33" s="215"/>
      <c r="P33" s="96" t="e">
        <f t="shared" si="41"/>
        <v>#DIV/0!</v>
      </c>
      <c r="Q33" s="215"/>
      <c r="R33" s="96">
        <f t="shared" si="42"/>
        <v>0</v>
      </c>
      <c r="S33" s="101">
        <f t="shared" si="43"/>
        <v>0</v>
      </c>
      <c r="T33" s="96" t="e">
        <f t="shared" si="44"/>
        <v>#DIV/0!</v>
      </c>
      <c r="U33" s="215"/>
      <c r="V33" s="96" t="e">
        <f t="shared" si="45"/>
        <v>#DIV/0!</v>
      </c>
      <c r="W33" s="215"/>
      <c r="X33" s="96" t="e">
        <f t="shared" si="46"/>
        <v>#DIV/0!</v>
      </c>
      <c r="Y33" s="215"/>
      <c r="Z33" s="96" t="e">
        <f t="shared" si="47"/>
        <v>#DIV/0!</v>
      </c>
      <c r="AA33" s="215"/>
      <c r="AB33" s="96">
        <f t="shared" si="48"/>
        <v>0</v>
      </c>
      <c r="AC33" s="101">
        <f t="shared" si="49"/>
        <v>0</v>
      </c>
      <c r="AD33" s="96" t="e">
        <f t="shared" si="50"/>
        <v>#DIV/0!</v>
      </c>
      <c r="AE33" s="215"/>
      <c r="AF33" s="96" t="e">
        <f t="shared" si="51"/>
        <v>#DIV/0!</v>
      </c>
      <c r="AG33" s="215"/>
      <c r="AH33" s="96" t="e">
        <f t="shared" si="52"/>
        <v>#DIV/0!</v>
      </c>
      <c r="AI33" s="215"/>
      <c r="AJ33" s="96" t="e">
        <f t="shared" si="53"/>
        <v>#DIV/0!</v>
      </c>
      <c r="AK33" s="215"/>
      <c r="AL33" s="96" t="e">
        <f t="shared" si="54"/>
        <v>#DIV/0!</v>
      </c>
    </row>
    <row r="34" spans="2:38" ht="12">
      <c r="B34" s="79"/>
      <c r="C34" s="75"/>
      <c r="D34" s="286">
        <v>45985</v>
      </c>
      <c r="E34" s="286" t="s">
        <v>167</v>
      </c>
      <c r="F34" s="84">
        <f t="shared" si="18"/>
        <v>0</v>
      </c>
      <c r="G34" s="289"/>
      <c r="H34" s="372"/>
      <c r="I34" s="215"/>
      <c r="J34" s="96" t="e">
        <f t="shared" si="37"/>
        <v>#DIV/0!</v>
      </c>
      <c r="K34" s="215"/>
      <c r="L34" s="96" t="e">
        <f t="shared" si="38"/>
        <v>#DIV/0!</v>
      </c>
      <c r="M34" s="101">
        <f t="shared" si="39"/>
        <v>0</v>
      </c>
      <c r="N34" s="96" t="e">
        <f t="shared" si="40"/>
        <v>#DIV/0!</v>
      </c>
      <c r="O34" s="215"/>
      <c r="P34" s="96" t="e">
        <f t="shared" si="41"/>
        <v>#DIV/0!</v>
      </c>
      <c r="Q34" s="215"/>
      <c r="R34" s="96">
        <f t="shared" si="42"/>
        <v>0</v>
      </c>
      <c r="S34" s="101">
        <f t="shared" si="43"/>
        <v>0</v>
      </c>
      <c r="T34" s="96" t="e">
        <f t="shared" si="44"/>
        <v>#DIV/0!</v>
      </c>
      <c r="U34" s="215"/>
      <c r="V34" s="96" t="e">
        <f t="shared" si="45"/>
        <v>#DIV/0!</v>
      </c>
      <c r="W34" s="215"/>
      <c r="X34" s="96" t="e">
        <f t="shared" si="46"/>
        <v>#DIV/0!</v>
      </c>
      <c r="Y34" s="215"/>
      <c r="Z34" s="96" t="e">
        <f t="shared" si="47"/>
        <v>#DIV/0!</v>
      </c>
      <c r="AA34" s="215"/>
      <c r="AB34" s="96">
        <f t="shared" si="48"/>
        <v>0</v>
      </c>
      <c r="AC34" s="101">
        <f t="shared" si="49"/>
        <v>0</v>
      </c>
      <c r="AD34" s="96" t="e">
        <f t="shared" si="50"/>
        <v>#DIV/0!</v>
      </c>
      <c r="AE34" s="215"/>
      <c r="AF34" s="96" t="e">
        <f t="shared" si="51"/>
        <v>#DIV/0!</v>
      </c>
      <c r="AG34" s="215"/>
      <c r="AH34" s="96" t="e">
        <f t="shared" si="52"/>
        <v>#DIV/0!</v>
      </c>
      <c r="AI34" s="215"/>
      <c r="AJ34" s="96" t="e">
        <f t="shared" si="53"/>
        <v>#DIV/0!</v>
      </c>
      <c r="AK34" s="215"/>
      <c r="AL34" s="96" t="e">
        <f t="shared" si="54"/>
        <v>#DIV/0!</v>
      </c>
    </row>
    <row r="35" spans="2:38" ht="12">
      <c r="B35" s="79"/>
      <c r="C35" s="75"/>
      <c r="D35" s="82">
        <v>45986</v>
      </c>
      <c r="E35" s="82" t="s">
        <v>161</v>
      </c>
      <c r="F35" s="84">
        <f t="shared" si="18"/>
        <v>0</v>
      </c>
      <c r="G35" s="289">
        <f>SUM(F35:F41)</f>
        <v>0</v>
      </c>
      <c r="H35" s="372"/>
      <c r="I35" s="215"/>
      <c r="J35" s="96" t="e">
        <f t="shared" si="37"/>
        <v>#DIV/0!</v>
      </c>
      <c r="K35" s="215"/>
      <c r="L35" s="96" t="e">
        <f t="shared" si="38"/>
        <v>#DIV/0!</v>
      </c>
      <c r="M35" s="101">
        <f t="shared" si="39"/>
        <v>0</v>
      </c>
      <c r="N35" s="96" t="e">
        <f t="shared" si="40"/>
        <v>#DIV/0!</v>
      </c>
      <c r="O35" s="215"/>
      <c r="P35" s="96" t="e">
        <f t="shared" si="41"/>
        <v>#DIV/0!</v>
      </c>
      <c r="Q35" s="215"/>
      <c r="R35" s="96">
        <f t="shared" si="42"/>
        <v>0</v>
      </c>
      <c r="S35" s="101">
        <f t="shared" si="43"/>
        <v>0</v>
      </c>
      <c r="T35" s="96" t="e">
        <f t="shared" si="44"/>
        <v>#DIV/0!</v>
      </c>
      <c r="U35" s="215"/>
      <c r="V35" s="96" t="e">
        <f t="shared" si="45"/>
        <v>#DIV/0!</v>
      </c>
      <c r="W35" s="215"/>
      <c r="X35" s="96" t="e">
        <f t="shared" si="46"/>
        <v>#DIV/0!</v>
      </c>
      <c r="Y35" s="215"/>
      <c r="Z35" s="96" t="e">
        <f t="shared" si="47"/>
        <v>#DIV/0!</v>
      </c>
      <c r="AA35" s="215"/>
      <c r="AB35" s="96">
        <f t="shared" si="48"/>
        <v>0</v>
      </c>
      <c r="AC35" s="101">
        <f t="shared" si="49"/>
        <v>0</v>
      </c>
      <c r="AD35" s="96" t="e">
        <f t="shared" si="50"/>
        <v>#DIV/0!</v>
      </c>
      <c r="AE35" s="215"/>
      <c r="AF35" s="96" t="e">
        <f t="shared" si="51"/>
        <v>#DIV/0!</v>
      </c>
      <c r="AG35" s="215"/>
      <c r="AH35" s="96" t="e">
        <f t="shared" si="52"/>
        <v>#DIV/0!</v>
      </c>
      <c r="AI35" s="215"/>
      <c r="AJ35" s="96" t="e">
        <f t="shared" si="53"/>
        <v>#DIV/0!</v>
      </c>
      <c r="AK35" s="215"/>
      <c r="AL35" s="96" t="e">
        <f t="shared" si="54"/>
        <v>#DIV/0!</v>
      </c>
    </row>
    <row r="36" spans="2:38" ht="12">
      <c r="B36" s="79"/>
      <c r="C36" s="75"/>
      <c r="D36" s="82">
        <v>45987</v>
      </c>
      <c r="E36" s="82" t="s">
        <v>162</v>
      </c>
      <c r="F36" s="84">
        <f t="shared" si="18"/>
        <v>0</v>
      </c>
      <c r="G36" s="289"/>
      <c r="H36" s="372"/>
      <c r="I36" s="215"/>
      <c r="J36" s="96" t="e">
        <f t="shared" si="37"/>
        <v>#DIV/0!</v>
      </c>
      <c r="K36" s="215"/>
      <c r="L36" s="96" t="e">
        <f t="shared" si="38"/>
        <v>#DIV/0!</v>
      </c>
      <c r="M36" s="101">
        <f t="shared" si="39"/>
        <v>0</v>
      </c>
      <c r="N36" s="96" t="e">
        <f t="shared" si="40"/>
        <v>#DIV/0!</v>
      </c>
      <c r="O36" s="215"/>
      <c r="P36" s="96" t="e">
        <f t="shared" si="41"/>
        <v>#DIV/0!</v>
      </c>
      <c r="Q36" s="215"/>
      <c r="R36" s="96">
        <f t="shared" si="42"/>
        <v>0</v>
      </c>
      <c r="S36" s="101">
        <f t="shared" si="43"/>
        <v>0</v>
      </c>
      <c r="T36" s="96" t="e">
        <f t="shared" si="44"/>
        <v>#DIV/0!</v>
      </c>
      <c r="U36" s="215"/>
      <c r="V36" s="96" t="e">
        <f t="shared" si="45"/>
        <v>#DIV/0!</v>
      </c>
      <c r="W36" s="215"/>
      <c r="X36" s="96" t="e">
        <f t="shared" si="46"/>
        <v>#DIV/0!</v>
      </c>
      <c r="Y36" s="215"/>
      <c r="Z36" s="96" t="e">
        <f t="shared" si="47"/>
        <v>#DIV/0!</v>
      </c>
      <c r="AA36" s="215"/>
      <c r="AB36" s="96">
        <f t="shared" si="48"/>
        <v>0</v>
      </c>
      <c r="AC36" s="101">
        <f t="shared" si="49"/>
        <v>0</v>
      </c>
      <c r="AD36" s="96" t="e">
        <f t="shared" si="50"/>
        <v>#DIV/0!</v>
      </c>
      <c r="AE36" s="215"/>
      <c r="AF36" s="96" t="e">
        <f t="shared" si="51"/>
        <v>#DIV/0!</v>
      </c>
      <c r="AG36" s="215"/>
      <c r="AH36" s="96" t="e">
        <f t="shared" si="52"/>
        <v>#DIV/0!</v>
      </c>
      <c r="AI36" s="215"/>
      <c r="AJ36" s="96" t="e">
        <f t="shared" si="53"/>
        <v>#DIV/0!</v>
      </c>
      <c r="AK36" s="215"/>
      <c r="AL36" s="96" t="e">
        <f t="shared" si="54"/>
        <v>#DIV/0!</v>
      </c>
    </row>
    <row r="37" spans="2:38" ht="12">
      <c r="B37" s="79"/>
      <c r="C37" s="75"/>
      <c r="D37" s="82">
        <v>45988</v>
      </c>
      <c r="E37" s="82" t="s">
        <v>163</v>
      </c>
      <c r="F37" s="84">
        <f t="shared" si="18"/>
        <v>0</v>
      </c>
      <c r="G37" s="289"/>
      <c r="H37" s="372"/>
      <c r="I37" s="215"/>
      <c r="J37" s="96" t="e">
        <f t="shared" si="37"/>
        <v>#DIV/0!</v>
      </c>
      <c r="K37" s="215"/>
      <c r="L37" s="96" t="e">
        <f t="shared" si="38"/>
        <v>#DIV/0!</v>
      </c>
      <c r="M37" s="101">
        <f t="shared" si="39"/>
        <v>0</v>
      </c>
      <c r="N37" s="96" t="e">
        <f t="shared" si="40"/>
        <v>#DIV/0!</v>
      </c>
      <c r="O37" s="215"/>
      <c r="P37" s="96" t="e">
        <f t="shared" si="41"/>
        <v>#DIV/0!</v>
      </c>
      <c r="Q37" s="215"/>
      <c r="R37" s="96">
        <f t="shared" si="42"/>
        <v>0</v>
      </c>
      <c r="S37" s="101">
        <f t="shared" si="43"/>
        <v>0</v>
      </c>
      <c r="T37" s="96" t="e">
        <f t="shared" si="44"/>
        <v>#DIV/0!</v>
      </c>
      <c r="U37" s="215"/>
      <c r="V37" s="96" t="e">
        <f t="shared" si="45"/>
        <v>#DIV/0!</v>
      </c>
      <c r="W37" s="215"/>
      <c r="X37" s="96" t="e">
        <f t="shared" si="46"/>
        <v>#DIV/0!</v>
      </c>
      <c r="Y37" s="215"/>
      <c r="Z37" s="96" t="e">
        <f t="shared" si="47"/>
        <v>#DIV/0!</v>
      </c>
      <c r="AA37" s="215"/>
      <c r="AB37" s="96">
        <f t="shared" si="48"/>
        <v>0</v>
      </c>
      <c r="AC37" s="101">
        <f t="shared" si="49"/>
        <v>0</v>
      </c>
      <c r="AD37" s="96" t="e">
        <f t="shared" si="50"/>
        <v>#DIV/0!</v>
      </c>
      <c r="AE37" s="215"/>
      <c r="AF37" s="96" t="e">
        <f t="shared" si="51"/>
        <v>#DIV/0!</v>
      </c>
      <c r="AG37" s="215"/>
      <c r="AH37" s="96" t="e">
        <f t="shared" si="52"/>
        <v>#DIV/0!</v>
      </c>
      <c r="AI37" s="215"/>
      <c r="AJ37" s="96" t="e">
        <f t="shared" si="53"/>
        <v>#DIV/0!</v>
      </c>
      <c r="AK37" s="215"/>
      <c r="AL37" s="96" t="e">
        <f t="shared" si="54"/>
        <v>#DIV/0!</v>
      </c>
    </row>
    <row r="38" spans="2:38" s="364" customFormat="1" ht="12">
      <c r="B38" s="363"/>
      <c r="D38" s="82">
        <v>45989</v>
      </c>
      <c r="E38" s="82" t="s">
        <v>164</v>
      </c>
      <c r="F38" s="365">
        <f t="shared" si="18"/>
        <v>0</v>
      </c>
      <c r="G38" s="366"/>
      <c r="H38" s="372"/>
      <c r="I38" s="367"/>
      <c r="J38" s="368" t="e">
        <f t="shared" si="37"/>
        <v>#DIV/0!</v>
      </c>
      <c r="K38" s="367"/>
      <c r="L38" s="368" t="e">
        <f t="shared" si="38"/>
        <v>#DIV/0!</v>
      </c>
      <c r="M38" s="369">
        <f t="shared" si="39"/>
        <v>0</v>
      </c>
      <c r="N38" s="368" t="e">
        <f t="shared" si="40"/>
        <v>#DIV/0!</v>
      </c>
      <c r="O38" s="367"/>
      <c r="P38" s="368" t="e">
        <f t="shared" si="41"/>
        <v>#DIV/0!</v>
      </c>
      <c r="Q38" s="367"/>
      <c r="R38" s="368">
        <f t="shared" si="42"/>
        <v>0</v>
      </c>
      <c r="S38" s="369">
        <f t="shared" si="43"/>
        <v>0</v>
      </c>
      <c r="T38" s="368" t="e">
        <f t="shared" si="44"/>
        <v>#DIV/0!</v>
      </c>
      <c r="U38" s="367"/>
      <c r="V38" s="368" t="e">
        <f t="shared" si="45"/>
        <v>#DIV/0!</v>
      </c>
      <c r="W38" s="367"/>
      <c r="X38" s="368" t="e">
        <f t="shared" si="46"/>
        <v>#DIV/0!</v>
      </c>
      <c r="Y38" s="367"/>
      <c r="Z38" s="368" t="e">
        <f t="shared" si="47"/>
        <v>#DIV/0!</v>
      </c>
      <c r="AA38" s="367"/>
      <c r="AB38" s="368">
        <f t="shared" si="48"/>
        <v>0</v>
      </c>
      <c r="AC38" s="369">
        <f t="shared" si="49"/>
        <v>0</v>
      </c>
      <c r="AD38" s="368" t="e">
        <f t="shared" si="50"/>
        <v>#DIV/0!</v>
      </c>
      <c r="AE38" s="367"/>
      <c r="AF38" s="368" t="e">
        <f t="shared" si="51"/>
        <v>#DIV/0!</v>
      </c>
      <c r="AG38" s="367"/>
      <c r="AH38" s="368" t="e">
        <f t="shared" si="52"/>
        <v>#DIV/0!</v>
      </c>
      <c r="AI38" s="367"/>
      <c r="AJ38" s="368" t="e">
        <f t="shared" si="53"/>
        <v>#DIV/0!</v>
      </c>
      <c r="AK38" s="367"/>
      <c r="AL38" s="368" t="e">
        <f t="shared" si="54"/>
        <v>#DIV/0!</v>
      </c>
    </row>
    <row r="39" spans="2:38" ht="12">
      <c r="B39" s="79"/>
      <c r="C39" s="75"/>
      <c r="D39" s="82">
        <v>45990</v>
      </c>
      <c r="E39" s="82" t="s">
        <v>165</v>
      </c>
      <c r="F39" s="84">
        <f t="shared" si="18"/>
        <v>0</v>
      </c>
      <c r="G39" s="289"/>
      <c r="H39" s="84"/>
      <c r="I39" s="215"/>
      <c r="J39" s="96" t="e">
        <f t="shared" si="37"/>
        <v>#DIV/0!</v>
      </c>
      <c r="K39" s="215"/>
      <c r="L39" s="96" t="e">
        <f t="shared" si="38"/>
        <v>#DIV/0!</v>
      </c>
      <c r="M39" s="101">
        <f t="shared" si="39"/>
        <v>0</v>
      </c>
      <c r="N39" s="96" t="e">
        <f t="shared" si="40"/>
        <v>#DIV/0!</v>
      </c>
      <c r="O39" s="215"/>
      <c r="P39" s="96" t="e">
        <f t="shared" si="41"/>
        <v>#DIV/0!</v>
      </c>
      <c r="Q39" s="215"/>
      <c r="R39" s="96">
        <f t="shared" si="42"/>
        <v>0</v>
      </c>
      <c r="S39" s="101">
        <f t="shared" si="43"/>
        <v>0</v>
      </c>
      <c r="T39" s="96" t="e">
        <f t="shared" si="44"/>
        <v>#DIV/0!</v>
      </c>
      <c r="U39" s="215"/>
      <c r="V39" s="96" t="e">
        <f t="shared" si="45"/>
        <v>#DIV/0!</v>
      </c>
      <c r="W39" s="215"/>
      <c r="X39" s="96" t="e">
        <f t="shared" si="46"/>
        <v>#DIV/0!</v>
      </c>
      <c r="Y39" s="215"/>
      <c r="Z39" s="96" t="e">
        <f t="shared" si="47"/>
        <v>#DIV/0!</v>
      </c>
      <c r="AA39" s="215"/>
      <c r="AB39" s="96">
        <f t="shared" si="48"/>
        <v>0</v>
      </c>
      <c r="AC39" s="101">
        <f t="shared" si="49"/>
        <v>0</v>
      </c>
      <c r="AD39" s="96" t="e">
        <f t="shared" si="50"/>
        <v>#DIV/0!</v>
      </c>
      <c r="AE39" s="215"/>
      <c r="AF39" s="96" t="e">
        <f t="shared" si="51"/>
        <v>#DIV/0!</v>
      </c>
      <c r="AG39" s="215"/>
      <c r="AH39" s="96" t="e">
        <f t="shared" si="52"/>
        <v>#DIV/0!</v>
      </c>
      <c r="AI39" s="215"/>
      <c r="AJ39" s="96" t="e">
        <f t="shared" si="53"/>
        <v>#DIV/0!</v>
      </c>
      <c r="AK39" s="215"/>
      <c r="AL39" s="96" t="e">
        <f t="shared" si="54"/>
        <v>#DIV/0!</v>
      </c>
    </row>
    <row r="40" spans="2:38" ht="12">
      <c r="B40" s="79"/>
      <c r="C40" s="75"/>
      <c r="D40" s="82">
        <v>45991</v>
      </c>
      <c r="E40" s="82" t="s">
        <v>166</v>
      </c>
      <c r="F40" s="84">
        <f t="shared" si="18"/>
        <v>0</v>
      </c>
      <c r="G40" s="289"/>
      <c r="H40" s="84"/>
      <c r="I40" s="215"/>
      <c r="J40" s="96" t="e">
        <f t="shared" si="37"/>
        <v>#DIV/0!</v>
      </c>
      <c r="K40" s="215"/>
      <c r="L40" s="96" t="e">
        <f t="shared" si="38"/>
        <v>#DIV/0!</v>
      </c>
      <c r="M40" s="101">
        <f t="shared" si="39"/>
        <v>0</v>
      </c>
      <c r="N40" s="96" t="e">
        <f t="shared" si="40"/>
        <v>#DIV/0!</v>
      </c>
      <c r="O40" s="215"/>
      <c r="P40" s="96" t="e">
        <f t="shared" si="41"/>
        <v>#DIV/0!</v>
      </c>
      <c r="Q40" s="215"/>
      <c r="R40" s="96">
        <f t="shared" si="42"/>
        <v>0</v>
      </c>
      <c r="S40" s="101">
        <f t="shared" si="43"/>
        <v>0</v>
      </c>
      <c r="T40" s="96" t="e">
        <f t="shared" si="44"/>
        <v>#DIV/0!</v>
      </c>
      <c r="U40" s="215"/>
      <c r="V40" s="96" t="e">
        <f t="shared" si="45"/>
        <v>#DIV/0!</v>
      </c>
      <c r="W40" s="215"/>
      <c r="X40" s="96" t="e">
        <f t="shared" si="46"/>
        <v>#DIV/0!</v>
      </c>
      <c r="Y40" s="215"/>
      <c r="Z40" s="96" t="e">
        <f t="shared" si="47"/>
        <v>#DIV/0!</v>
      </c>
      <c r="AA40" s="215"/>
      <c r="AB40" s="96">
        <f t="shared" si="48"/>
        <v>0</v>
      </c>
      <c r="AC40" s="101">
        <f t="shared" si="49"/>
        <v>0</v>
      </c>
      <c r="AD40" s="96" t="e">
        <f t="shared" si="50"/>
        <v>#DIV/0!</v>
      </c>
      <c r="AE40" s="215"/>
      <c r="AF40" s="96" t="e">
        <f t="shared" si="51"/>
        <v>#DIV/0!</v>
      </c>
      <c r="AG40" s="215"/>
      <c r="AH40" s="96" t="e">
        <f t="shared" si="52"/>
        <v>#DIV/0!</v>
      </c>
      <c r="AI40" s="215"/>
      <c r="AJ40" s="96" t="e">
        <f t="shared" si="53"/>
        <v>#DIV/0!</v>
      </c>
      <c r="AK40" s="215"/>
      <c r="AL40" s="96" t="e">
        <f t="shared" si="54"/>
        <v>#DIV/0!</v>
      </c>
    </row>
    <row r="41" spans="2:38" ht="12">
      <c r="B41" s="79"/>
      <c r="C41" s="75"/>
      <c r="D41" s="82">
        <v>45992</v>
      </c>
      <c r="E41" s="82" t="s">
        <v>167</v>
      </c>
      <c r="F41" s="84">
        <f t="shared" si="18"/>
        <v>0</v>
      </c>
      <c r="G41" s="289"/>
      <c r="H41" s="84"/>
      <c r="I41" s="215"/>
      <c r="J41" s="96" t="e">
        <f>I41/F41</f>
        <v>#DIV/0!</v>
      </c>
      <c r="K41" s="215"/>
      <c r="L41" s="96" t="e">
        <f>K41/F41</f>
        <v>#DIV/0!</v>
      </c>
      <c r="M41" s="101">
        <f>SUM(I41+K41)</f>
        <v>0</v>
      </c>
      <c r="N41" s="96" t="e">
        <f>M41/F41</f>
        <v>#DIV/0!</v>
      </c>
      <c r="O41" s="215"/>
      <c r="P41" s="96" t="e">
        <f>O41/F41</f>
        <v>#DIV/0!</v>
      </c>
      <c r="Q41" s="215"/>
      <c r="R41" s="96">
        <f>Q41/D41</f>
        <v>0</v>
      </c>
      <c r="S41" s="101">
        <f t="shared" si="43"/>
        <v>0</v>
      </c>
      <c r="T41" s="96" t="e">
        <f>S41/F41</f>
        <v>#DIV/0!</v>
      </c>
      <c r="U41" s="215"/>
      <c r="V41" s="96" t="e">
        <f>U41/F41</f>
        <v>#DIV/0!</v>
      </c>
      <c r="W41" s="215"/>
      <c r="X41" s="96" t="e">
        <f>W41/F41</f>
        <v>#DIV/0!</v>
      </c>
      <c r="Y41" s="215"/>
      <c r="Z41" s="96" t="e">
        <f>Y41/F41</f>
        <v>#DIV/0!</v>
      </c>
      <c r="AA41" s="215"/>
      <c r="AB41" s="96">
        <f>AA41/D41</f>
        <v>0</v>
      </c>
      <c r="AC41" s="101">
        <f>SUM(Y41+AA41)</f>
        <v>0</v>
      </c>
      <c r="AD41" s="96" t="e">
        <f>AC41/F41</f>
        <v>#DIV/0!</v>
      </c>
      <c r="AE41" s="215"/>
      <c r="AF41" s="96" t="e">
        <f>AE41/F41</f>
        <v>#DIV/0!</v>
      </c>
      <c r="AG41" s="215"/>
      <c r="AH41" s="96" t="e">
        <f>AG41/F41</f>
        <v>#DIV/0!</v>
      </c>
      <c r="AI41" s="215"/>
      <c r="AJ41" s="96" t="e">
        <f>AI41/F41</f>
        <v>#DIV/0!</v>
      </c>
      <c r="AK41" s="215"/>
      <c r="AL41" s="96" t="e">
        <f>AK41/F41</f>
        <v>#DIV/0!</v>
      </c>
    </row>
    <row r="42" spans="2:38" ht="12">
      <c r="B42" s="79"/>
      <c r="C42" s="75"/>
      <c r="D42" s="82"/>
      <c r="E42" s="82"/>
      <c r="F42" s="84"/>
      <c r="G42" s="289"/>
      <c r="H42" s="84"/>
      <c r="I42" s="215"/>
      <c r="J42" s="96"/>
      <c r="K42" s="215"/>
      <c r="L42" s="96"/>
      <c r="M42" s="101"/>
      <c r="N42" s="96"/>
      <c r="O42" s="215"/>
      <c r="P42" s="96"/>
      <c r="Q42" s="215"/>
      <c r="R42" s="96"/>
      <c r="S42" s="101"/>
      <c r="T42" s="96"/>
      <c r="U42" s="215"/>
      <c r="V42" s="96"/>
      <c r="W42" s="215"/>
      <c r="X42" s="96"/>
      <c r="Y42" s="215"/>
      <c r="Z42" s="96"/>
      <c r="AA42" s="215"/>
      <c r="AB42" s="96"/>
      <c r="AC42" s="101"/>
      <c r="AD42" s="96"/>
      <c r="AE42" s="215"/>
      <c r="AF42" s="96"/>
      <c r="AG42" s="215"/>
      <c r="AH42" s="96"/>
      <c r="AI42" s="215"/>
      <c r="AJ42" s="96"/>
      <c r="AK42" s="215"/>
      <c r="AL42" s="96"/>
    </row>
    <row r="43" spans="2:38" ht="12">
      <c r="B43" s="79"/>
      <c r="C43" s="75"/>
      <c r="D43" s="82"/>
      <c r="E43" s="82"/>
      <c r="F43" s="84">
        <f t="shared" si="18"/>
        <v>0</v>
      </c>
      <c r="G43" s="289"/>
      <c r="H43" s="84"/>
      <c r="I43" s="215"/>
      <c r="J43" s="96" t="e">
        <f>I43/F43</f>
        <v>#DIV/0!</v>
      </c>
      <c r="K43" s="215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5"/>
      <c r="P43" s="96" t="e">
        <f>O43/F43</f>
        <v>#DIV/0!</v>
      </c>
      <c r="Q43" s="215"/>
      <c r="R43" s="96" t="e">
        <f>Q43/D43</f>
        <v>#DIV/0!</v>
      </c>
      <c r="S43" s="101">
        <f t="shared" si="43"/>
        <v>0</v>
      </c>
      <c r="T43" s="96" t="e">
        <f>S43/F43</f>
        <v>#DIV/0!</v>
      </c>
      <c r="U43" s="215"/>
      <c r="V43" s="96" t="e">
        <f>U43/F43</f>
        <v>#DIV/0!</v>
      </c>
      <c r="W43" s="215"/>
      <c r="X43" s="96" t="e">
        <f>W43/F43</f>
        <v>#DIV/0!</v>
      </c>
      <c r="Y43" s="215"/>
      <c r="Z43" s="96" t="e">
        <f>Y43/F43</f>
        <v>#DIV/0!</v>
      </c>
      <c r="AA43" s="215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5"/>
      <c r="AF43" s="96" t="e">
        <f>AE43/F43</f>
        <v>#DIV/0!</v>
      </c>
      <c r="AG43" s="215"/>
      <c r="AH43" s="96" t="e">
        <f>AG43/F43</f>
        <v>#DIV/0!</v>
      </c>
      <c r="AI43" s="215"/>
      <c r="AJ43" s="96" t="e">
        <f>AI43/F43</f>
        <v>#DIV/0!</v>
      </c>
      <c r="AK43" s="215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18"/>
        <v>0</v>
      </c>
      <c r="G44" s="289"/>
      <c r="H44" s="84"/>
      <c r="I44" s="215"/>
      <c r="J44" s="96" t="e">
        <f>I44/F44</f>
        <v>#DIV/0!</v>
      </c>
      <c r="K44" s="215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5"/>
      <c r="P44" s="96" t="e">
        <f>O44/F44</f>
        <v>#DIV/0!</v>
      </c>
      <c r="Q44" s="215"/>
      <c r="R44" s="96" t="e">
        <f>Q44/D44</f>
        <v>#DIV/0!</v>
      </c>
      <c r="S44" s="101">
        <f t="shared" si="43"/>
        <v>0</v>
      </c>
      <c r="T44" s="96" t="e">
        <f>S44/F44</f>
        <v>#DIV/0!</v>
      </c>
      <c r="U44" s="215"/>
      <c r="V44" s="96" t="e">
        <f>U44/F44</f>
        <v>#DIV/0!</v>
      </c>
      <c r="W44" s="215"/>
      <c r="X44" s="96" t="e">
        <f>W44/F44</f>
        <v>#DIV/0!</v>
      </c>
      <c r="Y44" s="215"/>
      <c r="Z44" s="96" t="e">
        <f>Y44/F44</f>
        <v>#DIV/0!</v>
      </c>
      <c r="AA44" s="215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5"/>
      <c r="AF44" s="96" t="e">
        <f>AE44/F44</f>
        <v>#DIV/0!</v>
      </c>
      <c r="AG44" s="215"/>
      <c r="AH44" s="96" t="e">
        <f>AG44/F44</f>
        <v>#DIV/0!</v>
      </c>
      <c r="AI44" s="215"/>
      <c r="AJ44" s="96" t="e">
        <f>AI44/F44</f>
        <v>#DIV/0!</v>
      </c>
      <c r="AK44" s="215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18"/>
        <v>0</v>
      </c>
      <c r="G45" s="289"/>
      <c r="H45" s="84"/>
      <c r="I45" s="215"/>
      <c r="J45" s="96" t="e">
        <f>I45/F45</f>
        <v>#DIV/0!</v>
      </c>
      <c r="K45" s="215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5"/>
      <c r="P45" s="96" t="e">
        <f>O45/F45</f>
        <v>#DIV/0!</v>
      </c>
      <c r="Q45" s="215"/>
      <c r="R45" s="96" t="e">
        <f>Q45/D45</f>
        <v>#DIV/0!</v>
      </c>
      <c r="S45" s="101">
        <f t="shared" si="43"/>
        <v>0</v>
      </c>
      <c r="T45" s="96" t="e">
        <f>S45/F45</f>
        <v>#DIV/0!</v>
      </c>
      <c r="U45" s="215"/>
      <c r="V45" s="96" t="e">
        <f>U45/F45</f>
        <v>#DIV/0!</v>
      </c>
      <c r="W45" s="215"/>
      <c r="X45" s="96" t="e">
        <f>W45/F45</f>
        <v>#DIV/0!</v>
      </c>
      <c r="Y45" s="215"/>
      <c r="Z45" s="96" t="e">
        <f>Y45/F45</f>
        <v>#DIV/0!</v>
      </c>
      <c r="AA45" s="215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5"/>
      <c r="AF45" s="96" t="e">
        <f>AE45/F45</f>
        <v>#DIV/0!</v>
      </c>
      <c r="AG45" s="215"/>
      <c r="AH45" s="96" t="e">
        <f>AG45/F45</f>
        <v>#DIV/0!</v>
      </c>
      <c r="AI45" s="215"/>
      <c r="AJ45" s="96" t="e">
        <f>AI45/F45</f>
        <v>#DIV/0!</v>
      </c>
      <c r="AK45" s="215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4">
        <f>SUM(I7:I45)</f>
        <v>465484</v>
      </c>
      <c r="J46" s="263" t="e">
        <f>I46/$H$7</f>
        <v>#DIV/0!</v>
      </c>
      <c r="K46" s="264">
        <f>SUM(K7:K45)</f>
        <v>602451</v>
      </c>
      <c r="L46" s="263" t="e">
        <f>K46/$H$7</f>
        <v>#DIV/0!</v>
      </c>
      <c r="M46" s="264">
        <f>SUM(M7:M45)</f>
        <v>1067935</v>
      </c>
      <c r="N46" s="263" t="e">
        <f>M46/$H$7</f>
        <v>#DIV/0!</v>
      </c>
      <c r="O46" s="264">
        <f>SUM(O7:O45)</f>
        <v>137220</v>
      </c>
      <c r="P46" s="263" t="e">
        <f>O46/$H$7</f>
        <v>#DIV/0!</v>
      </c>
      <c r="Q46" s="264">
        <f>SUM(Q7:Q45)</f>
        <v>49223</v>
      </c>
      <c r="R46" s="263" t="e">
        <f>Q46/$H$7</f>
        <v>#DIV/0!</v>
      </c>
      <c r="S46" s="264">
        <f>SUM(S7:S45)</f>
        <v>186443</v>
      </c>
      <c r="T46" s="263" t="e">
        <f>S46/$H$7</f>
        <v>#DIV/0!</v>
      </c>
      <c r="U46" s="264">
        <f>SUM(U7:U45)</f>
        <v>241892</v>
      </c>
      <c r="V46" s="263" t="e">
        <f>U46/$H$7</f>
        <v>#DIV/0!</v>
      </c>
      <c r="W46" s="264">
        <f>SUM(W7:W45)</f>
        <v>76820</v>
      </c>
      <c r="X46" s="263" t="e">
        <f>W46/$H$7</f>
        <v>#DIV/0!</v>
      </c>
      <c r="Y46" s="264">
        <f>SUM(Y7:Y45)</f>
        <v>307049</v>
      </c>
      <c r="Z46" s="263" t="e">
        <f>Y46/$H$7</f>
        <v>#DIV/0!</v>
      </c>
      <c r="AA46" s="264">
        <f>SUM(AA7:AA45)</f>
        <v>323611</v>
      </c>
      <c r="AB46" s="263" t="e">
        <f>AA46/$H$7</f>
        <v>#DIV/0!</v>
      </c>
      <c r="AC46" s="264">
        <f>SUM(AC7:AC45)</f>
        <v>630660</v>
      </c>
      <c r="AD46" s="263" t="e">
        <f>AC46/$H$7</f>
        <v>#DIV/0!</v>
      </c>
      <c r="AE46" s="264">
        <f>SUM(AE7:AE45)</f>
        <v>271923</v>
      </c>
      <c r="AF46" s="263" t="e">
        <f>AE46/$H$7</f>
        <v>#DIV/0!</v>
      </c>
      <c r="AG46" s="264">
        <f>SUM(AG7:AG45)</f>
        <v>240808</v>
      </c>
      <c r="AH46" s="263" t="e">
        <f>AG46/$H$7</f>
        <v>#DIV/0!</v>
      </c>
      <c r="AI46" s="264">
        <f>SUM(AI7:AI45)</f>
        <v>165583</v>
      </c>
      <c r="AJ46" s="263" t="e">
        <f>AI46/$H$7</f>
        <v>#DIV/0!</v>
      </c>
      <c r="AK46" s="264">
        <f>SUM(AK7:AK45)</f>
        <v>283558</v>
      </c>
      <c r="AL46" s="263" t="e">
        <f>AK46/$H$7</f>
        <v>#DIV/0!</v>
      </c>
    </row>
    <row r="47" spans="2:38" ht="12">
      <c r="B47" s="79"/>
      <c r="C47" s="75"/>
      <c r="D47" s="78"/>
      <c r="F47" s="84"/>
      <c r="G47" s="84"/>
      <c r="H47" s="84"/>
      <c r="M47" s="265">
        <f>M46</f>
        <v>1067935</v>
      </c>
      <c r="S47" s="265">
        <f>S46</f>
        <v>186443</v>
      </c>
      <c r="U47" s="265">
        <f>U46</f>
        <v>241892</v>
      </c>
      <c r="W47" s="265">
        <f>W46</f>
        <v>76820</v>
      </c>
      <c r="Y47" s="265"/>
      <c r="AA47" s="265"/>
      <c r="AC47" s="265">
        <f>AC46</f>
        <v>630660</v>
      </c>
      <c r="AE47" s="265">
        <f>AE46</f>
        <v>271923</v>
      </c>
      <c r="AG47" s="265">
        <f>AG46</f>
        <v>240808</v>
      </c>
      <c r="AI47" s="265">
        <f>AI46</f>
        <v>165583</v>
      </c>
      <c r="AK47" s="265">
        <f>AK46</f>
        <v>283558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47"/>
  <sheetViews>
    <sheetView zoomScale="55" zoomScaleNormal="55" workbookViewId="0">
      <pane xSplit="15" topLeftCell="P1" activePane="topRight" state="frozen"/>
      <selection pane="topRight" activeCell="A24" sqref="A24:XFD24"/>
      <selection activeCell="BB45" sqref="BB45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200</v>
      </c>
      <c r="C1" s="200">
        <f>AVERAGE(L7,L42,L77,L112,L147,L182)</f>
        <v>756.04671136683851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85">
        <v>45958</v>
      </c>
      <c r="Q2" s="486"/>
      <c r="R2" s="486"/>
      <c r="S2" s="486"/>
      <c r="T2" s="487"/>
      <c r="U2" s="467">
        <f>P2+1</f>
        <v>45959</v>
      </c>
      <c r="V2" s="468"/>
      <c r="W2" s="468"/>
      <c r="X2" s="468"/>
      <c r="Y2" s="469"/>
      <c r="Z2" s="467">
        <f>U2+1</f>
        <v>45960</v>
      </c>
      <c r="AA2" s="468"/>
      <c r="AB2" s="468"/>
      <c r="AC2" s="468"/>
      <c r="AD2" s="469"/>
      <c r="AE2" s="467">
        <f>Z2+1</f>
        <v>45961</v>
      </c>
      <c r="AF2" s="468"/>
      <c r="AG2" s="468"/>
      <c r="AH2" s="468"/>
      <c r="AI2" s="469"/>
      <c r="AJ2" s="467">
        <f>AE2+1</f>
        <v>45962</v>
      </c>
      <c r="AK2" s="468"/>
      <c r="AL2" s="468"/>
      <c r="AM2" s="468"/>
      <c r="AN2" s="469"/>
      <c r="AO2" s="467">
        <f>AJ2+1</f>
        <v>45963</v>
      </c>
      <c r="AP2" s="468"/>
      <c r="AQ2" s="468"/>
      <c r="AR2" s="468"/>
      <c r="AS2" s="469"/>
      <c r="AT2" s="467">
        <f>AO2+1</f>
        <v>45964</v>
      </c>
      <c r="AU2" s="468"/>
      <c r="AV2" s="468"/>
      <c r="AW2" s="468"/>
      <c r="AX2" s="469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70" t="s">
        <v>203</v>
      </c>
      <c r="Q3" s="471"/>
      <c r="R3" s="471"/>
      <c r="S3" s="471"/>
      <c r="T3" s="471"/>
      <c r="U3" s="470" t="s">
        <v>204</v>
      </c>
      <c r="V3" s="471"/>
      <c r="W3" s="471"/>
      <c r="X3" s="471"/>
      <c r="Y3" s="471"/>
      <c r="Z3" s="470" t="s">
        <v>205</v>
      </c>
      <c r="AA3" s="471"/>
      <c r="AB3" s="471"/>
      <c r="AC3" s="471"/>
      <c r="AD3" s="471"/>
      <c r="AE3" s="470" t="s">
        <v>206</v>
      </c>
      <c r="AF3" s="471"/>
      <c r="AG3" s="471"/>
      <c r="AH3" s="471"/>
      <c r="AI3" s="471"/>
      <c r="AJ3" s="470" t="s">
        <v>207</v>
      </c>
      <c r="AK3" s="471"/>
      <c r="AL3" s="471"/>
      <c r="AM3" s="471"/>
      <c r="AN3" s="471"/>
      <c r="AO3" s="470" t="s">
        <v>157</v>
      </c>
      <c r="AP3" s="471"/>
      <c r="AQ3" s="471"/>
      <c r="AR3" s="471"/>
      <c r="AS3" s="471"/>
      <c r="AT3" s="470" t="s">
        <v>208</v>
      </c>
      <c r="AU3" s="471"/>
      <c r="AV3" s="471"/>
      <c r="AW3" s="471"/>
      <c r="AX3" s="471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71" t="s">
        <v>222</v>
      </c>
      <c r="C7" s="185">
        <v>1</v>
      </c>
      <c r="D7" s="185" t="s">
        <v>223</v>
      </c>
      <c r="E7" s="185">
        <v>4</v>
      </c>
      <c r="F7" s="185">
        <v>2200</v>
      </c>
      <c r="G7" s="185">
        <v>550</v>
      </c>
      <c r="H7" s="464">
        <f>AVERAGE(G7:G36)</f>
        <v>846.52777777777783</v>
      </c>
      <c r="I7" s="169">
        <f>AVERAGE(P7,U7,Z7,AE7,AJ7,AO7,AT7)</f>
        <v>4</v>
      </c>
      <c r="J7" s="169">
        <f>AVERAGE(Q7,V7,AA7,AF7,AK7,AP7,AU7)</f>
        <v>3187.3727538336711</v>
      </c>
      <c r="K7" s="183">
        <f>AVERAGE(R7,W7,AB7,AG7,AL7,AQ7,AV7)</f>
        <v>796.84318845841779</v>
      </c>
      <c r="L7" s="451">
        <f>IFERROR(AVERAGE(K7:K36),"-")</f>
        <v>763.95984082355528</v>
      </c>
      <c r="M7" s="169">
        <f>RANK(K7, $K$7:K$36)</f>
        <v>8</v>
      </c>
      <c r="N7" s="454"/>
      <c r="O7" s="454"/>
      <c r="P7" s="169">
        <v>4</v>
      </c>
      <c r="Q7" s="169">
        <v>3179.1044776119406</v>
      </c>
      <c r="R7" s="169">
        <v>794.77611940298516</v>
      </c>
      <c r="S7" s="185">
        <f t="shared" ref="S7:S36" si="0">RANK(R7, R$7:R$36)</f>
        <v>9</v>
      </c>
      <c r="T7" s="464">
        <f>AVERAGE(R7:R36)</f>
        <v>767.09069828474082</v>
      </c>
      <c r="U7" s="169">
        <v>4</v>
      </c>
      <c r="V7" s="169">
        <v>3191.8181818181815</v>
      </c>
      <c r="W7" s="169">
        <v>797.95454545454538</v>
      </c>
      <c r="X7" s="185">
        <f t="shared" ref="X7:X36" si="1">RANK(W7, W$7:W$36)</f>
        <v>10</v>
      </c>
      <c r="Y7" s="464">
        <f>AVERAGE(W7:W36)</f>
        <v>767.01950649348919</v>
      </c>
      <c r="Z7" s="169">
        <v>4</v>
      </c>
      <c r="AA7" s="169">
        <v>3307.2413793103451</v>
      </c>
      <c r="AB7" s="169">
        <v>826.81034482758628</v>
      </c>
      <c r="AC7" s="185">
        <f t="shared" ref="AC7:AC36" si="2">RANK(AB7, AB$7:AB$36)</f>
        <v>8</v>
      </c>
      <c r="AD7" s="464">
        <f>AVERAGE(AB7:AB36)</f>
        <v>765.1506819917621</v>
      </c>
      <c r="AE7" s="169">
        <v>4</v>
      </c>
      <c r="AF7" s="169">
        <v>3201.5999999999985</v>
      </c>
      <c r="AG7" s="169">
        <v>800.39999999999964</v>
      </c>
      <c r="AH7" s="185">
        <f t="shared" ref="AH7:AH36" si="3">RANK(AG7, AG$7:AG$36)</f>
        <v>10</v>
      </c>
      <c r="AI7" s="464">
        <f>AVERAGE(AG7:AG36)</f>
        <v>765.49794848224622</v>
      </c>
      <c r="AJ7" s="169">
        <v>4</v>
      </c>
      <c r="AK7" s="169">
        <v>3173.7499999999982</v>
      </c>
      <c r="AL7" s="169">
        <v>793.43749999999955</v>
      </c>
      <c r="AM7" s="185">
        <f t="shared" ref="AM7:AM36" si="4">RANK(AL7, AL$7:AL$36)</f>
        <v>9</v>
      </c>
      <c r="AN7" s="464">
        <f>AVERAGE(AL7:AL36)</f>
        <v>751.20267653207861</v>
      </c>
      <c r="AO7" s="169">
        <v>4</v>
      </c>
      <c r="AP7" s="169">
        <v>3166.6666666666661</v>
      </c>
      <c r="AQ7" s="169">
        <v>791.66666666666652</v>
      </c>
      <c r="AR7" s="185">
        <f t="shared" ref="AR7:AR36" si="5">RANK(AQ7, AQ$7:AQ$36)</f>
        <v>10</v>
      </c>
      <c r="AS7" s="464">
        <f>AVERAGE(AQ7:AQ36)</f>
        <v>770.81574200644013</v>
      </c>
      <c r="AT7" s="169">
        <v>4</v>
      </c>
      <c r="AU7" s="169">
        <v>3091.4285714285706</v>
      </c>
      <c r="AV7" s="169">
        <v>772.85714285714266</v>
      </c>
      <c r="AW7" s="185">
        <f t="shared" ref="AW7:AW36" si="6">RANK(AV7, AV$7:AV$36)</f>
        <v>11</v>
      </c>
      <c r="AX7" s="464">
        <f>AVERAGE(AV7:AV36)</f>
        <v>791.83185384295018</v>
      </c>
      <c r="AZ7" s="169" t="e">
        <f>RANK(AX7, $K$7:AX$36)</f>
        <v>#N/A</v>
      </c>
      <c r="BB7" s="185" t="e">
        <f t="shared" ref="BB7:BB36" si="7">RANK(BA7, BA$7:BA$36)</f>
        <v>#N/A</v>
      </c>
    </row>
    <row r="8" spans="1:54" ht="15" customHeight="1">
      <c r="A8" s="79"/>
      <c r="B8" s="471"/>
      <c r="C8" s="185">
        <v>2</v>
      </c>
      <c r="D8" s="185" t="s">
        <v>224</v>
      </c>
      <c r="E8" s="185">
        <v>3</v>
      </c>
      <c r="F8" s="185">
        <v>2700</v>
      </c>
      <c r="G8" s="185">
        <v>900</v>
      </c>
      <c r="H8" s="465"/>
      <c r="I8" s="169">
        <f t="shared" ref="I8:I30" si="8">AVERAGE(P8,U8,Z8,AE8,AJ8,AO8,AT8)</f>
        <v>3</v>
      </c>
      <c r="J8" s="169">
        <f t="shared" ref="J8:J30" si="9">AVERAGE(Q8,V8,AA8,AF8,AK8,AP8,AU8)</f>
        <v>2782.7083271419656</v>
      </c>
      <c r="K8" s="183">
        <f t="shared" ref="K8:K30" si="10">AVERAGE(R8,W8,AB8,AG8,AL8,AQ8,AV8)</f>
        <v>927.56944238065523</v>
      </c>
      <c r="L8" s="452"/>
      <c r="M8" s="169">
        <f>RANK(K8, $K$7:K$36)</f>
        <v>3</v>
      </c>
      <c r="N8" s="454"/>
      <c r="O8" s="454"/>
      <c r="P8" s="169">
        <v>3</v>
      </c>
      <c r="Q8" s="169">
        <v>2760.0000000000009</v>
      </c>
      <c r="R8" s="169">
        <v>920.00000000000034</v>
      </c>
      <c r="S8" s="185">
        <f t="shared" si="0"/>
        <v>6</v>
      </c>
      <c r="T8" s="465"/>
      <c r="U8" s="169">
        <v>3</v>
      </c>
      <c r="V8" s="169">
        <v>2775.0000000000009</v>
      </c>
      <c r="W8" s="169">
        <v>925.00000000000034</v>
      </c>
      <c r="X8" s="185">
        <f t="shared" si="1"/>
        <v>5</v>
      </c>
      <c r="Y8" s="465"/>
      <c r="Z8" s="169">
        <v>3</v>
      </c>
      <c r="AA8" s="169">
        <v>2920.909090909091</v>
      </c>
      <c r="AB8" s="169">
        <v>973.63636363636363</v>
      </c>
      <c r="AC8" s="185">
        <f t="shared" si="2"/>
        <v>2</v>
      </c>
      <c r="AD8" s="465"/>
      <c r="AE8" s="169">
        <v>3</v>
      </c>
      <c r="AF8" s="169">
        <v>2848.4210526315769</v>
      </c>
      <c r="AG8" s="169">
        <v>949.47368421052568</v>
      </c>
      <c r="AH8" s="185">
        <f t="shared" si="3"/>
        <v>3</v>
      </c>
      <c r="AI8" s="465"/>
      <c r="AJ8" s="169">
        <v>3</v>
      </c>
      <c r="AK8" s="169">
        <v>2734.7368421052611</v>
      </c>
      <c r="AL8" s="169">
        <v>911.57894736842036</v>
      </c>
      <c r="AM8" s="185">
        <f t="shared" si="4"/>
        <v>6</v>
      </c>
      <c r="AN8" s="465"/>
      <c r="AO8" s="169">
        <v>3</v>
      </c>
      <c r="AP8" s="169">
        <v>2742.5000000000009</v>
      </c>
      <c r="AQ8" s="169">
        <v>914.16666666666697</v>
      </c>
      <c r="AR8" s="185">
        <f t="shared" si="5"/>
        <v>6</v>
      </c>
      <c r="AS8" s="465"/>
      <c r="AT8" s="169">
        <v>3</v>
      </c>
      <c r="AU8" s="169">
        <v>2697.391304347826</v>
      </c>
      <c r="AV8" s="169">
        <v>899.13043478260863</v>
      </c>
      <c r="AW8" s="185">
        <f t="shared" si="6"/>
        <v>6</v>
      </c>
      <c r="AX8" s="465"/>
      <c r="AZ8" s="169" t="e">
        <f>RANK(AX8, $K$7:AX$36)</f>
        <v>#N/A</v>
      </c>
      <c r="BB8" s="185" t="e">
        <f t="shared" si="7"/>
        <v>#N/A</v>
      </c>
    </row>
    <row r="9" spans="1:54">
      <c r="A9" s="79"/>
      <c r="B9" s="471"/>
      <c r="C9" s="185">
        <v>3</v>
      </c>
      <c r="D9" s="185" t="s">
        <v>225</v>
      </c>
      <c r="E9" s="185">
        <v>4</v>
      </c>
      <c r="F9" s="185">
        <v>3600</v>
      </c>
      <c r="G9" s="185">
        <v>900</v>
      </c>
      <c r="H9" s="465"/>
      <c r="I9" s="169">
        <f t="shared" si="8"/>
        <v>4</v>
      </c>
      <c r="J9" s="169">
        <f t="shared" si="9"/>
        <v>3151.1326530612228</v>
      </c>
      <c r="K9" s="183">
        <f t="shared" si="10"/>
        <v>787.78316326530569</v>
      </c>
      <c r="L9" s="452"/>
      <c r="M9" s="169">
        <f>RANK(K9, $K$7:K$36)</f>
        <v>9</v>
      </c>
      <c r="N9" s="454"/>
      <c r="O9" s="454"/>
      <c r="P9" s="169">
        <v>4</v>
      </c>
      <c r="Q9" s="169">
        <v>3125.7142857142849</v>
      </c>
      <c r="R9" s="169">
        <v>781.42857142857122</v>
      </c>
      <c r="S9" s="185">
        <f t="shared" si="0"/>
        <v>12</v>
      </c>
      <c r="T9" s="465"/>
      <c r="U9" s="169">
        <v>4</v>
      </c>
      <c r="V9" s="169">
        <v>3065.7142857142849</v>
      </c>
      <c r="W9" s="169">
        <v>766.42857142857122</v>
      </c>
      <c r="X9" s="185">
        <f t="shared" si="1"/>
        <v>14</v>
      </c>
      <c r="Y9" s="465"/>
      <c r="Z9" s="169">
        <v>4</v>
      </c>
      <c r="AA9" s="169">
        <v>3086.9999999999991</v>
      </c>
      <c r="AB9" s="169">
        <v>771.74999999999977</v>
      </c>
      <c r="AC9" s="185">
        <f t="shared" si="2"/>
        <v>13</v>
      </c>
      <c r="AD9" s="465"/>
      <c r="AE9" s="169">
        <v>4</v>
      </c>
      <c r="AF9" s="169">
        <v>3411.9999999999941</v>
      </c>
      <c r="AG9" s="169">
        <v>852.99999999999852</v>
      </c>
      <c r="AH9" s="185">
        <f t="shared" si="3"/>
        <v>8</v>
      </c>
      <c r="AI9" s="465"/>
      <c r="AJ9" s="169">
        <v>4</v>
      </c>
      <c r="AK9" s="169">
        <v>3142.4999999999959</v>
      </c>
      <c r="AL9" s="169">
        <v>785.62499999999898</v>
      </c>
      <c r="AM9" s="185">
        <f t="shared" si="4"/>
        <v>10</v>
      </c>
      <c r="AN9" s="465"/>
      <c r="AO9" s="169">
        <v>4</v>
      </c>
      <c r="AP9" s="169">
        <v>3059.9999999999991</v>
      </c>
      <c r="AQ9" s="169">
        <v>764.99999999999977</v>
      </c>
      <c r="AR9" s="185">
        <f t="shared" si="5"/>
        <v>14</v>
      </c>
      <c r="AS9" s="465"/>
      <c r="AT9" s="169">
        <v>4</v>
      </c>
      <c r="AU9" s="169">
        <v>3164.9999999999986</v>
      </c>
      <c r="AV9" s="169">
        <v>791.24999999999966</v>
      </c>
      <c r="AW9" s="185">
        <f t="shared" si="6"/>
        <v>8</v>
      </c>
      <c r="AX9" s="465"/>
      <c r="AZ9" s="169" t="e">
        <f>RANK(AX9, $K$7:AX$36)</f>
        <v>#N/A</v>
      </c>
      <c r="BB9" s="185" t="e">
        <f t="shared" si="7"/>
        <v>#N/A</v>
      </c>
    </row>
    <row r="10" spans="1:54">
      <c r="A10" s="79"/>
      <c r="B10" s="471"/>
      <c r="C10" s="185">
        <v>4</v>
      </c>
      <c r="D10" s="185" t="s">
        <v>226</v>
      </c>
      <c r="E10" s="185">
        <v>3</v>
      </c>
      <c r="F10" s="185">
        <v>3600</v>
      </c>
      <c r="G10" s="185">
        <v>1200</v>
      </c>
      <c r="H10" s="465"/>
      <c r="I10" s="169">
        <f t="shared" si="8"/>
        <v>3</v>
      </c>
      <c r="J10" s="169">
        <f t="shared" si="9"/>
        <v>3111.9047619047597</v>
      </c>
      <c r="K10" s="183">
        <f t="shared" si="10"/>
        <v>1037.3015873015866</v>
      </c>
      <c r="L10" s="452"/>
      <c r="M10" s="169">
        <f>RANK(K10, $K$7:K$36)</f>
        <v>1</v>
      </c>
      <c r="N10" s="454"/>
      <c r="O10" s="454"/>
      <c r="P10" s="169">
        <v>3</v>
      </c>
      <c r="Q10" s="169">
        <v>3079.9999999999977</v>
      </c>
      <c r="R10" s="169">
        <v>1026.6666666666658</v>
      </c>
      <c r="S10" s="185">
        <f t="shared" si="0"/>
        <v>1</v>
      </c>
      <c r="T10" s="465"/>
      <c r="U10" s="169">
        <v>3</v>
      </c>
      <c r="V10" s="169">
        <v>2966.6666666666642</v>
      </c>
      <c r="W10" s="169">
        <v>988.88888888888812</v>
      </c>
      <c r="X10" s="185">
        <f t="shared" si="1"/>
        <v>1</v>
      </c>
      <c r="Y10" s="465"/>
      <c r="Z10" s="169">
        <v>3</v>
      </c>
      <c r="AA10" s="169">
        <v>3642.8571428571145</v>
      </c>
      <c r="AB10" s="169">
        <v>1214.2857142857049</v>
      </c>
      <c r="AC10" s="185">
        <f t="shared" si="2"/>
        <v>1</v>
      </c>
      <c r="AD10" s="465"/>
      <c r="AE10" s="169">
        <v>3</v>
      </c>
      <c r="AF10" s="169">
        <v>3370.0000000000118</v>
      </c>
      <c r="AG10" s="169">
        <v>1123.3333333333374</v>
      </c>
      <c r="AH10" s="185">
        <f t="shared" si="3"/>
        <v>1</v>
      </c>
      <c r="AI10" s="465"/>
      <c r="AJ10" s="169">
        <v>3</v>
      </c>
      <c r="AK10" s="169">
        <v>2777.1428571428669</v>
      </c>
      <c r="AL10" s="169">
        <v>925.71428571428896</v>
      </c>
      <c r="AM10" s="185">
        <f t="shared" si="4"/>
        <v>5</v>
      </c>
      <c r="AN10" s="465"/>
      <c r="AO10" s="169">
        <v>3</v>
      </c>
      <c r="AP10" s="169">
        <v>2953.3333333333312</v>
      </c>
      <c r="AQ10" s="169">
        <v>984.44444444444377</v>
      </c>
      <c r="AR10" s="185">
        <f t="shared" si="5"/>
        <v>2</v>
      </c>
      <c r="AS10" s="465"/>
      <c r="AT10" s="169">
        <v>3</v>
      </c>
      <c r="AU10" s="169">
        <v>2993.3333333333312</v>
      </c>
      <c r="AV10" s="169">
        <v>997.77777777777703</v>
      </c>
      <c r="AW10" s="185">
        <f t="shared" si="6"/>
        <v>1</v>
      </c>
      <c r="AX10" s="465"/>
      <c r="AZ10" s="169" t="e">
        <f>RANK(AX10, $K$7:AX$36)</f>
        <v>#N/A</v>
      </c>
      <c r="BB10" s="185" t="e">
        <f t="shared" si="7"/>
        <v>#N/A</v>
      </c>
    </row>
    <row r="11" spans="1:54">
      <c r="A11" s="79"/>
      <c r="B11" s="471"/>
      <c r="C11" s="185">
        <v>5</v>
      </c>
      <c r="D11" s="185" t="s">
        <v>227</v>
      </c>
      <c r="E11" s="185">
        <v>3</v>
      </c>
      <c r="F11" s="185">
        <v>3600</v>
      </c>
      <c r="G11" s="185">
        <v>1200</v>
      </c>
      <c r="H11" s="465"/>
      <c r="I11" s="169">
        <f t="shared" si="8"/>
        <v>4</v>
      </c>
      <c r="J11" s="169">
        <f t="shared" si="9"/>
        <v>3129.915091421185</v>
      </c>
      <c r="K11" s="183">
        <f t="shared" si="10"/>
        <v>782.47877285529626</v>
      </c>
      <c r="L11" s="452"/>
      <c r="M11" s="169">
        <f>RANK(K11, $K$7:K$36)</f>
        <v>10</v>
      </c>
      <c r="N11" s="454"/>
      <c r="O11" s="454"/>
      <c r="P11" s="169">
        <v>4</v>
      </c>
      <c r="Q11" s="169">
        <v>3113.142857142861</v>
      </c>
      <c r="R11" s="169">
        <v>778.28571428571524</v>
      </c>
      <c r="S11" s="185">
        <f t="shared" si="0"/>
        <v>13</v>
      </c>
      <c r="T11" s="465"/>
      <c r="U11" s="169">
        <v>4</v>
      </c>
      <c r="V11" s="169">
        <v>3075.4285714285752</v>
      </c>
      <c r="W11" s="169">
        <v>768.8571428571438</v>
      </c>
      <c r="X11" s="185">
        <f t="shared" si="1"/>
        <v>13</v>
      </c>
      <c r="Y11" s="465"/>
      <c r="Z11" s="169">
        <v>4</v>
      </c>
      <c r="AA11" s="169">
        <v>3174.3750000000036</v>
      </c>
      <c r="AB11" s="169">
        <v>793.59375000000091</v>
      </c>
      <c r="AC11" s="185">
        <f t="shared" si="2"/>
        <v>11</v>
      </c>
      <c r="AD11" s="465"/>
      <c r="AE11" s="169">
        <v>4</v>
      </c>
      <c r="AF11" s="169">
        <v>3186.9230769230685</v>
      </c>
      <c r="AG11" s="169">
        <v>796.73076923076712</v>
      </c>
      <c r="AH11" s="185">
        <f t="shared" si="3"/>
        <v>11</v>
      </c>
      <c r="AI11" s="465"/>
      <c r="AJ11" s="169">
        <v>4</v>
      </c>
      <c r="AK11" s="169">
        <v>3187.2000000000007</v>
      </c>
      <c r="AL11" s="169">
        <v>796.80000000000018</v>
      </c>
      <c r="AM11" s="185">
        <f t="shared" si="4"/>
        <v>8</v>
      </c>
      <c r="AN11" s="465"/>
      <c r="AO11" s="169">
        <v>4</v>
      </c>
      <c r="AP11" s="169">
        <v>3151.7647058823568</v>
      </c>
      <c r="AQ11" s="169">
        <v>787.9411764705892</v>
      </c>
      <c r="AR11" s="185">
        <f t="shared" si="5"/>
        <v>11</v>
      </c>
      <c r="AS11" s="465"/>
      <c r="AT11" s="169">
        <v>4</v>
      </c>
      <c r="AU11" s="169">
        <v>3020.5714285714257</v>
      </c>
      <c r="AV11" s="169">
        <v>755.14285714285643</v>
      </c>
      <c r="AW11" s="185">
        <f t="shared" si="6"/>
        <v>14</v>
      </c>
      <c r="AX11" s="465"/>
      <c r="AZ11" s="169" t="e">
        <f>RANK(AX11, $K$7:AX$36)</f>
        <v>#N/A</v>
      </c>
      <c r="BB11" s="185" t="e">
        <f t="shared" si="7"/>
        <v>#N/A</v>
      </c>
    </row>
    <row r="12" spans="1:54">
      <c r="A12" s="79"/>
      <c r="B12" s="471"/>
      <c r="C12" s="185">
        <v>6</v>
      </c>
      <c r="D12" s="185" t="s">
        <v>228</v>
      </c>
      <c r="E12" s="185">
        <v>4</v>
      </c>
      <c r="F12" s="185">
        <v>3600</v>
      </c>
      <c r="G12" s="185">
        <v>900</v>
      </c>
      <c r="H12" s="465"/>
      <c r="I12" s="169">
        <f t="shared" si="8"/>
        <v>4</v>
      </c>
      <c r="J12" s="169">
        <f t="shared" si="9"/>
        <v>3128.2500000000059</v>
      </c>
      <c r="K12" s="183">
        <f t="shared" si="10"/>
        <v>782.06250000000148</v>
      </c>
      <c r="L12" s="452"/>
      <c r="M12" s="169">
        <f>RANK(K12, $K$7:K$36)</f>
        <v>11</v>
      </c>
      <c r="N12" s="454"/>
      <c r="O12" s="454"/>
      <c r="P12" s="169">
        <v>4</v>
      </c>
      <c r="Q12" s="169">
        <v>3153.7500000000109</v>
      </c>
      <c r="R12" s="169">
        <v>788.43750000000273</v>
      </c>
      <c r="S12" s="185">
        <f t="shared" si="0"/>
        <v>10</v>
      </c>
      <c r="T12" s="465"/>
      <c r="U12" s="169">
        <v>4</v>
      </c>
      <c r="V12" s="169">
        <v>3165.0000000000109</v>
      </c>
      <c r="W12" s="169">
        <v>791.25000000000273</v>
      </c>
      <c r="X12" s="185">
        <f t="shared" si="1"/>
        <v>12</v>
      </c>
      <c r="Y12" s="465"/>
      <c r="Z12" s="169">
        <v>4</v>
      </c>
      <c r="AA12" s="169">
        <v>3223.9999999999941</v>
      </c>
      <c r="AB12" s="169">
        <v>805.99999999999852</v>
      </c>
      <c r="AC12" s="185">
        <f t="shared" si="2"/>
        <v>10</v>
      </c>
      <c r="AD12" s="465"/>
      <c r="AE12" s="169">
        <v>4</v>
      </c>
      <c r="AF12" s="169">
        <v>3144.99999999999</v>
      </c>
      <c r="AG12" s="169">
        <v>786.2499999999975</v>
      </c>
      <c r="AH12" s="185">
        <f t="shared" si="3"/>
        <v>12</v>
      </c>
      <c r="AI12" s="465"/>
      <c r="AJ12" s="169">
        <v>4</v>
      </c>
      <c r="AK12" s="169">
        <v>3060.0000000000109</v>
      </c>
      <c r="AL12" s="169">
        <v>765.00000000000273</v>
      </c>
      <c r="AM12" s="185">
        <f t="shared" si="4"/>
        <v>12</v>
      </c>
      <c r="AN12" s="465"/>
      <c r="AO12" s="169">
        <v>4</v>
      </c>
      <c r="AP12" s="169">
        <v>3063.7500000000109</v>
      </c>
      <c r="AQ12" s="169">
        <v>765.93750000000273</v>
      </c>
      <c r="AR12" s="185">
        <f t="shared" si="5"/>
        <v>13</v>
      </c>
      <c r="AS12" s="465"/>
      <c r="AT12" s="169">
        <v>4</v>
      </c>
      <c r="AU12" s="169">
        <v>3086.2500000000109</v>
      </c>
      <c r="AV12" s="169">
        <v>771.56250000000273</v>
      </c>
      <c r="AW12" s="185">
        <f t="shared" si="6"/>
        <v>12</v>
      </c>
      <c r="AX12" s="465"/>
      <c r="AZ12" s="169" t="e">
        <f>RANK(AX12, $K$7:AX$36)</f>
        <v>#N/A</v>
      </c>
      <c r="BB12" s="185" t="e">
        <f t="shared" si="7"/>
        <v>#N/A</v>
      </c>
    </row>
    <row r="13" spans="1:54">
      <c r="A13" s="79"/>
      <c r="B13" s="471"/>
      <c r="C13" s="185">
        <v>7</v>
      </c>
      <c r="D13" s="185" t="s">
        <v>229</v>
      </c>
      <c r="E13" s="185">
        <v>4</v>
      </c>
      <c r="F13" s="185">
        <v>3600</v>
      </c>
      <c r="G13" s="185">
        <v>900</v>
      </c>
      <c r="H13" s="465"/>
      <c r="I13" s="169">
        <f t="shared" si="8"/>
        <v>4</v>
      </c>
      <c r="J13" s="169">
        <f t="shared" si="9"/>
        <v>3115.345131603714</v>
      </c>
      <c r="K13" s="183">
        <f t="shared" si="10"/>
        <v>778.8362829009285</v>
      </c>
      <c r="L13" s="452"/>
      <c r="M13" s="169">
        <f>RANK(K13, $K$7:K$36)</f>
        <v>13</v>
      </c>
      <c r="N13" s="454"/>
      <c r="O13" s="454"/>
      <c r="P13" s="169">
        <v>4</v>
      </c>
      <c r="Q13" s="169">
        <v>3105.0000000000009</v>
      </c>
      <c r="R13" s="169">
        <v>776.25000000000023</v>
      </c>
      <c r="S13" s="185">
        <f t="shared" si="0"/>
        <v>15</v>
      </c>
      <c r="T13" s="465"/>
      <c r="U13" s="169">
        <v>4</v>
      </c>
      <c r="V13" s="169">
        <v>3198.260869565217</v>
      </c>
      <c r="W13" s="169">
        <v>799.56521739130426</v>
      </c>
      <c r="X13" s="185">
        <f t="shared" si="1"/>
        <v>9</v>
      </c>
      <c r="Y13" s="465"/>
      <c r="Z13" s="169">
        <v>4</v>
      </c>
      <c r="AA13" s="169">
        <v>3141.8181818181702</v>
      </c>
      <c r="AB13" s="169">
        <v>785.45454545454254</v>
      </c>
      <c r="AC13" s="185">
        <f t="shared" si="2"/>
        <v>12</v>
      </c>
      <c r="AD13" s="465"/>
      <c r="AE13" s="169">
        <v>4</v>
      </c>
      <c r="AF13" s="169">
        <v>3066.3157894736951</v>
      </c>
      <c r="AG13" s="169">
        <v>766.57894736842377</v>
      </c>
      <c r="AH13" s="185">
        <f t="shared" si="3"/>
        <v>14</v>
      </c>
      <c r="AI13" s="465"/>
      <c r="AJ13" s="169">
        <v>4</v>
      </c>
      <c r="AK13" s="169">
        <v>3073.3333333333444</v>
      </c>
      <c r="AL13" s="169">
        <v>768.3333333333361</v>
      </c>
      <c r="AM13" s="185">
        <f t="shared" si="4"/>
        <v>11</v>
      </c>
      <c r="AN13" s="465"/>
      <c r="AO13" s="169">
        <v>4</v>
      </c>
      <c r="AP13" s="169">
        <v>3140.8695652173915</v>
      </c>
      <c r="AQ13" s="169">
        <v>785.21739130434787</v>
      </c>
      <c r="AR13" s="185">
        <f t="shared" si="5"/>
        <v>12</v>
      </c>
      <c r="AS13" s="465"/>
      <c r="AT13" s="169">
        <v>4</v>
      </c>
      <c r="AU13" s="169">
        <v>3081.818181818182</v>
      </c>
      <c r="AV13" s="169">
        <v>770.4545454545455</v>
      </c>
      <c r="AW13" s="185">
        <f t="shared" si="6"/>
        <v>13</v>
      </c>
      <c r="AX13" s="465"/>
      <c r="AZ13" s="169" t="e">
        <f>RANK(AX13, $K$7:AX$36)</f>
        <v>#N/A</v>
      </c>
      <c r="BB13" s="185" t="e">
        <f t="shared" si="7"/>
        <v>#N/A</v>
      </c>
    </row>
    <row r="14" spans="1:54">
      <c r="A14" s="79"/>
      <c r="B14" s="471"/>
      <c r="C14" s="185">
        <v>8</v>
      </c>
      <c r="D14" s="185" t="s">
        <v>230</v>
      </c>
      <c r="E14" s="185">
        <v>4</v>
      </c>
      <c r="F14" s="185">
        <v>3600</v>
      </c>
      <c r="G14" s="185">
        <v>900</v>
      </c>
      <c r="H14" s="465"/>
      <c r="I14" s="169">
        <f t="shared" si="8"/>
        <v>4</v>
      </c>
      <c r="J14" s="169">
        <f t="shared" si="9"/>
        <v>3126.9713143998897</v>
      </c>
      <c r="K14" s="183">
        <f t="shared" si="10"/>
        <v>781.74282859997243</v>
      </c>
      <c r="L14" s="452"/>
      <c r="M14" s="169">
        <f>RANK(K14, $K$7:K$36)</f>
        <v>12</v>
      </c>
      <c r="N14" s="454"/>
      <c r="O14" s="454"/>
      <c r="P14" s="169">
        <v>4</v>
      </c>
      <c r="Q14" s="169">
        <v>3107.9999999999941</v>
      </c>
      <c r="R14" s="169">
        <v>776.99999999999852</v>
      </c>
      <c r="S14" s="185">
        <f t="shared" si="0"/>
        <v>14</v>
      </c>
      <c r="T14" s="465"/>
      <c r="U14" s="169">
        <v>4</v>
      </c>
      <c r="V14" s="169">
        <v>3035.9999999999945</v>
      </c>
      <c r="W14" s="169">
        <v>758.99999999999864</v>
      </c>
      <c r="X14" s="185">
        <f t="shared" si="1"/>
        <v>15</v>
      </c>
      <c r="Y14" s="465"/>
      <c r="Z14" s="169">
        <v>4</v>
      </c>
      <c r="AA14" s="169">
        <v>3460.0000000000123</v>
      </c>
      <c r="AB14" s="169">
        <v>865.00000000000307</v>
      </c>
      <c r="AC14" s="185">
        <f t="shared" si="2"/>
        <v>7</v>
      </c>
      <c r="AD14" s="465"/>
      <c r="AE14" s="169">
        <v>4</v>
      </c>
      <c r="AF14" s="169">
        <v>3130.9090909091019</v>
      </c>
      <c r="AG14" s="169">
        <v>782.72727272727548</v>
      </c>
      <c r="AH14" s="185">
        <f t="shared" si="3"/>
        <v>13</v>
      </c>
      <c r="AI14" s="465"/>
      <c r="AJ14" s="169">
        <v>4</v>
      </c>
      <c r="AK14" s="169">
        <v>3024.0000000000105</v>
      </c>
      <c r="AL14" s="169">
        <v>756.00000000000261</v>
      </c>
      <c r="AM14" s="185">
        <f t="shared" si="4"/>
        <v>13</v>
      </c>
      <c r="AN14" s="465"/>
      <c r="AO14" s="169">
        <v>4</v>
      </c>
      <c r="AP14" s="169">
        <v>2991.428571428582</v>
      </c>
      <c r="AQ14" s="169">
        <v>747.8571428571455</v>
      </c>
      <c r="AR14" s="185">
        <f t="shared" si="5"/>
        <v>15</v>
      </c>
      <c r="AS14" s="465"/>
      <c r="AT14" s="169">
        <v>4</v>
      </c>
      <c r="AU14" s="169">
        <v>3138.4615384615304</v>
      </c>
      <c r="AV14" s="169">
        <v>784.6153846153826</v>
      </c>
      <c r="AW14" s="185">
        <f t="shared" si="6"/>
        <v>10</v>
      </c>
      <c r="AX14" s="465"/>
      <c r="AZ14" s="169" t="e">
        <f>RANK(AX14, $K$7:AX$36)</f>
        <v>#N/A</v>
      </c>
      <c r="BB14" s="185" t="e">
        <f t="shared" si="7"/>
        <v>#N/A</v>
      </c>
    </row>
    <row r="15" spans="1:54">
      <c r="A15" s="79"/>
      <c r="B15" s="471"/>
      <c r="C15" s="185">
        <v>9</v>
      </c>
      <c r="D15" s="185" t="s">
        <v>231</v>
      </c>
      <c r="E15" s="185">
        <v>4</v>
      </c>
      <c r="F15" s="185">
        <v>3300</v>
      </c>
      <c r="G15" s="185">
        <v>825</v>
      </c>
      <c r="H15" s="465"/>
      <c r="I15" s="169">
        <f t="shared" si="8"/>
        <v>4</v>
      </c>
      <c r="J15" s="169">
        <f t="shared" si="9"/>
        <v>2696.2448979591854</v>
      </c>
      <c r="K15" s="183">
        <f t="shared" si="10"/>
        <v>674.06122448979636</v>
      </c>
      <c r="L15" s="452"/>
      <c r="M15" s="169">
        <f>RANK(K15, $K$7:K$36)</f>
        <v>22</v>
      </c>
      <c r="N15" s="454"/>
      <c r="O15" s="454"/>
      <c r="P15" s="169">
        <v>4</v>
      </c>
      <c r="Q15" s="169">
        <v>2696.0000000000023</v>
      </c>
      <c r="R15" s="169">
        <v>674.00000000000057</v>
      </c>
      <c r="S15" s="185">
        <f t="shared" si="0"/>
        <v>20</v>
      </c>
      <c r="T15" s="465"/>
      <c r="U15" s="169">
        <v>4</v>
      </c>
      <c r="V15" s="169">
        <v>2688.0000000000023</v>
      </c>
      <c r="W15" s="169">
        <v>672.00000000000057</v>
      </c>
      <c r="X15" s="185">
        <f t="shared" si="1"/>
        <v>22</v>
      </c>
      <c r="Y15" s="465"/>
      <c r="Z15" s="169">
        <v>4</v>
      </c>
      <c r="AA15" s="169">
        <v>2802.8571428571449</v>
      </c>
      <c r="AB15" s="169">
        <v>700.71428571428623</v>
      </c>
      <c r="AC15" s="185">
        <f t="shared" si="2"/>
        <v>16</v>
      </c>
      <c r="AD15" s="465"/>
      <c r="AE15" s="169">
        <v>4</v>
      </c>
      <c r="AF15" s="169">
        <v>2741.9999999999991</v>
      </c>
      <c r="AG15" s="169">
        <v>685.49999999999977</v>
      </c>
      <c r="AH15" s="185">
        <f t="shared" si="3"/>
        <v>20</v>
      </c>
      <c r="AI15" s="465"/>
      <c r="AJ15" s="169">
        <v>4</v>
      </c>
      <c r="AK15" s="169">
        <v>2531.9999999999991</v>
      </c>
      <c r="AL15" s="169">
        <v>632.99999999999977</v>
      </c>
      <c r="AM15" s="185">
        <f t="shared" si="4"/>
        <v>19</v>
      </c>
      <c r="AN15" s="465"/>
      <c r="AO15" s="169">
        <v>4</v>
      </c>
      <c r="AP15" s="169">
        <v>2734.2857142857165</v>
      </c>
      <c r="AQ15" s="169">
        <v>683.57142857142912</v>
      </c>
      <c r="AR15" s="185">
        <f t="shared" si="5"/>
        <v>21</v>
      </c>
      <c r="AS15" s="465"/>
      <c r="AT15" s="169">
        <v>4</v>
      </c>
      <c r="AU15" s="169">
        <v>2678.5714285714303</v>
      </c>
      <c r="AV15" s="169">
        <v>669.64285714285757</v>
      </c>
      <c r="AW15" s="185">
        <f t="shared" si="6"/>
        <v>21</v>
      </c>
      <c r="AX15" s="465"/>
      <c r="AZ15" s="169" t="e">
        <f>RANK(AX15, $K$7:AX$36)</f>
        <v>#N/A</v>
      </c>
      <c r="BB15" s="185" t="e">
        <f t="shared" si="7"/>
        <v>#N/A</v>
      </c>
    </row>
    <row r="16" spans="1:54">
      <c r="A16" s="79"/>
      <c r="B16" s="471"/>
      <c r="C16" s="185">
        <v>10</v>
      </c>
      <c r="D16" s="185" t="s">
        <v>232</v>
      </c>
      <c r="E16" s="185">
        <v>3</v>
      </c>
      <c r="F16" s="185">
        <v>3300</v>
      </c>
      <c r="G16" s="185">
        <v>1100</v>
      </c>
      <c r="H16" s="465"/>
      <c r="I16" s="169">
        <f t="shared" si="8"/>
        <v>3</v>
      </c>
      <c r="J16" s="169">
        <f t="shared" si="9"/>
        <v>2774.5592903828197</v>
      </c>
      <c r="K16" s="183">
        <f t="shared" si="10"/>
        <v>924.85309679427314</v>
      </c>
      <c r="L16" s="452"/>
      <c r="M16" s="169">
        <f>RANK(K16, $K$7:K$36)</f>
        <v>5</v>
      </c>
      <c r="N16" s="454"/>
      <c r="O16" s="454"/>
      <c r="P16" s="169">
        <v>3</v>
      </c>
      <c r="Q16" s="169">
        <v>2765.1428571428542</v>
      </c>
      <c r="R16" s="169">
        <v>921.71428571428476</v>
      </c>
      <c r="S16" s="185">
        <f t="shared" si="0"/>
        <v>5</v>
      </c>
      <c r="T16" s="465"/>
      <c r="U16" s="169">
        <v>3</v>
      </c>
      <c r="V16" s="169">
        <v>2789.1428571428542</v>
      </c>
      <c r="W16" s="169">
        <v>929.71428571428476</v>
      </c>
      <c r="X16" s="185">
        <f t="shared" si="1"/>
        <v>3</v>
      </c>
      <c r="Y16" s="465"/>
      <c r="Z16" s="169">
        <v>3</v>
      </c>
      <c r="AA16" s="169">
        <v>2721.1764705882388</v>
      </c>
      <c r="AB16" s="169">
        <v>907.05882352941296</v>
      </c>
      <c r="AC16" s="185">
        <f t="shared" si="2"/>
        <v>6</v>
      </c>
      <c r="AD16" s="465"/>
      <c r="AE16" s="169">
        <v>3</v>
      </c>
      <c r="AF16" s="169">
        <v>2805.0000000000023</v>
      </c>
      <c r="AG16" s="169">
        <v>935.0000000000008</v>
      </c>
      <c r="AH16" s="185">
        <f t="shared" si="3"/>
        <v>4</v>
      </c>
      <c r="AI16" s="465"/>
      <c r="AJ16" s="169">
        <v>3</v>
      </c>
      <c r="AK16" s="169">
        <v>2784.4444444444462</v>
      </c>
      <c r="AL16" s="169">
        <v>928.14814814814872</v>
      </c>
      <c r="AM16" s="185">
        <f t="shared" si="4"/>
        <v>4</v>
      </c>
      <c r="AN16" s="465"/>
      <c r="AO16" s="169">
        <v>3</v>
      </c>
      <c r="AP16" s="169">
        <v>2761.7142857142862</v>
      </c>
      <c r="AQ16" s="169">
        <v>920.57142857142878</v>
      </c>
      <c r="AR16" s="185">
        <f t="shared" si="5"/>
        <v>4</v>
      </c>
      <c r="AS16" s="465"/>
      <c r="AT16" s="169">
        <v>3</v>
      </c>
      <c r="AU16" s="169">
        <v>2795.2941176470554</v>
      </c>
      <c r="AV16" s="169">
        <v>931.76470588235179</v>
      </c>
      <c r="AW16" s="185">
        <f t="shared" si="6"/>
        <v>3</v>
      </c>
      <c r="AX16" s="465"/>
      <c r="AZ16" s="169" t="e">
        <f>RANK(AX16, $K$7:AX$36)</f>
        <v>#N/A</v>
      </c>
      <c r="BB16" s="185" t="e">
        <f t="shared" si="7"/>
        <v>#N/A</v>
      </c>
    </row>
    <row r="17" spans="2:54">
      <c r="B17" s="471"/>
      <c r="C17" s="185">
        <v>11</v>
      </c>
      <c r="D17" s="185" t="s">
        <v>233</v>
      </c>
      <c r="E17" s="185">
        <v>3</v>
      </c>
      <c r="F17" s="185">
        <v>3300</v>
      </c>
      <c r="G17" s="185">
        <v>1100</v>
      </c>
      <c r="H17" s="465"/>
      <c r="I17" s="169">
        <f t="shared" si="8"/>
        <v>3</v>
      </c>
      <c r="J17" s="169">
        <f t="shared" si="9"/>
        <v>2780.7838344076963</v>
      </c>
      <c r="K17" s="183">
        <f t="shared" si="10"/>
        <v>926.92794480256543</v>
      </c>
      <c r="L17" s="452"/>
      <c r="M17" s="169">
        <f>RANK(K17, $K$7:K$36)</f>
        <v>4</v>
      </c>
      <c r="N17" s="454"/>
      <c r="O17" s="454"/>
      <c r="P17" s="169">
        <v>3</v>
      </c>
      <c r="Q17" s="169">
        <v>2776.0975609756088</v>
      </c>
      <c r="R17" s="169">
        <v>925.36585365853625</v>
      </c>
      <c r="S17" s="185">
        <f t="shared" si="0"/>
        <v>4</v>
      </c>
      <c r="T17" s="465"/>
      <c r="U17" s="169">
        <v>3</v>
      </c>
      <c r="V17" s="169">
        <v>2762.8571428571418</v>
      </c>
      <c r="W17" s="169">
        <v>920.95238095238062</v>
      </c>
      <c r="X17" s="185">
        <f t="shared" si="1"/>
        <v>7</v>
      </c>
      <c r="Y17" s="465"/>
      <c r="Z17" s="169">
        <v>3</v>
      </c>
      <c r="AA17" s="169">
        <v>2775.3846153846198</v>
      </c>
      <c r="AB17" s="169">
        <v>925.12820512820656</v>
      </c>
      <c r="AC17" s="185">
        <f t="shared" si="2"/>
        <v>4</v>
      </c>
      <c r="AD17" s="465"/>
      <c r="AE17" s="169">
        <v>3</v>
      </c>
      <c r="AF17" s="169">
        <v>2872.2580645161279</v>
      </c>
      <c r="AG17" s="169">
        <v>957.4193548387093</v>
      </c>
      <c r="AH17" s="185">
        <f t="shared" si="3"/>
        <v>2</v>
      </c>
      <c r="AI17" s="465"/>
      <c r="AJ17" s="169">
        <v>3</v>
      </c>
      <c r="AK17" s="169">
        <v>2787.0967741935474</v>
      </c>
      <c r="AL17" s="169">
        <v>929.03225806451576</v>
      </c>
      <c r="AM17" s="185">
        <f t="shared" si="4"/>
        <v>3</v>
      </c>
      <c r="AN17" s="465"/>
      <c r="AO17" s="169">
        <v>3</v>
      </c>
      <c r="AP17" s="169">
        <v>2748.2926829268285</v>
      </c>
      <c r="AQ17" s="169">
        <v>916.09756097560955</v>
      </c>
      <c r="AR17" s="185">
        <f t="shared" si="5"/>
        <v>5</v>
      </c>
      <c r="AS17" s="465"/>
      <c r="AT17" s="169">
        <v>3</v>
      </c>
      <c r="AU17" s="169">
        <v>2743.4999999999991</v>
      </c>
      <c r="AV17" s="169">
        <v>914.49999999999966</v>
      </c>
      <c r="AW17" s="185">
        <f t="shared" si="6"/>
        <v>5</v>
      </c>
      <c r="AX17" s="465"/>
      <c r="AZ17" s="169" t="e">
        <f>RANK(AX17, $K$7:AX$36)</f>
        <v>#N/A</v>
      </c>
      <c r="BB17" s="185" t="e">
        <f t="shared" si="7"/>
        <v>#N/A</v>
      </c>
    </row>
    <row r="18" spans="2:54">
      <c r="B18" s="471"/>
      <c r="C18" s="185">
        <v>12</v>
      </c>
      <c r="D18" s="185" t="s">
        <v>234</v>
      </c>
      <c r="E18" s="185">
        <v>4</v>
      </c>
      <c r="F18" s="185">
        <v>2500</v>
      </c>
      <c r="G18" s="185">
        <v>625</v>
      </c>
      <c r="H18" s="465"/>
      <c r="I18" s="169">
        <f t="shared" si="8"/>
        <v>4</v>
      </c>
      <c r="J18" s="169">
        <f t="shared" si="9"/>
        <v>2762.8849721706861</v>
      </c>
      <c r="K18" s="183">
        <f t="shared" si="10"/>
        <v>690.72124304267152</v>
      </c>
      <c r="L18" s="452"/>
      <c r="M18" s="169">
        <f>RANK(K18, $K$7:K$36)</f>
        <v>20</v>
      </c>
      <c r="N18" s="454"/>
      <c r="O18" s="454"/>
      <c r="P18" s="169">
        <v>4</v>
      </c>
      <c r="Q18" s="169">
        <v>2680.909090909091</v>
      </c>
      <c r="R18" s="169">
        <v>670.22727272727275</v>
      </c>
      <c r="S18" s="185">
        <f t="shared" si="0"/>
        <v>21</v>
      </c>
      <c r="T18" s="465"/>
      <c r="U18" s="169">
        <v>4</v>
      </c>
      <c r="V18" s="169">
        <v>2780.000000000005</v>
      </c>
      <c r="W18" s="169">
        <v>695.00000000000125</v>
      </c>
      <c r="X18" s="185">
        <f t="shared" si="1"/>
        <v>20</v>
      </c>
      <c r="Y18" s="465"/>
      <c r="Z18" s="169">
        <v>4</v>
      </c>
      <c r="AA18" s="169">
        <v>2694.2857142857083</v>
      </c>
      <c r="AB18" s="169">
        <v>673.57142857142708</v>
      </c>
      <c r="AC18" s="185">
        <f t="shared" si="2"/>
        <v>20</v>
      </c>
      <c r="AD18" s="465"/>
      <c r="AE18" s="169">
        <v>4</v>
      </c>
      <c r="AF18" s="169">
        <v>2895.999999999995</v>
      </c>
      <c r="AG18" s="169">
        <v>723.99999999999875</v>
      </c>
      <c r="AH18" s="185">
        <f t="shared" si="3"/>
        <v>15</v>
      </c>
      <c r="AI18" s="465"/>
      <c r="AJ18" s="169">
        <v>4</v>
      </c>
      <c r="AK18" s="169">
        <v>2723.9999999999955</v>
      </c>
      <c r="AL18" s="169">
        <v>680.99999999999886</v>
      </c>
      <c r="AM18" s="185">
        <f t="shared" si="4"/>
        <v>18</v>
      </c>
      <c r="AN18" s="465"/>
      <c r="AO18" s="169">
        <v>4</v>
      </c>
      <c r="AP18" s="169">
        <v>2850.0000000000045</v>
      </c>
      <c r="AQ18" s="169">
        <v>712.50000000000114</v>
      </c>
      <c r="AR18" s="185">
        <f t="shared" si="5"/>
        <v>17</v>
      </c>
      <c r="AS18" s="465"/>
      <c r="AT18" s="169">
        <v>4</v>
      </c>
      <c r="AU18" s="169">
        <v>2715.0000000000041</v>
      </c>
      <c r="AV18" s="169">
        <v>678.75000000000102</v>
      </c>
      <c r="AW18" s="185">
        <f t="shared" si="6"/>
        <v>19</v>
      </c>
      <c r="AX18" s="465"/>
      <c r="AZ18" s="169" t="e">
        <f>RANK(AX18, $K$7:AX$36)</f>
        <v>#N/A</v>
      </c>
      <c r="BB18" s="185" t="e">
        <f t="shared" si="7"/>
        <v>#N/A</v>
      </c>
    </row>
    <row r="19" spans="2:54">
      <c r="B19" s="471"/>
      <c r="C19" s="185">
        <v>13</v>
      </c>
      <c r="D19" s="185" t="s">
        <v>235</v>
      </c>
      <c r="E19" s="185">
        <v>4</v>
      </c>
      <c r="F19" s="185">
        <v>3300</v>
      </c>
      <c r="G19" s="185">
        <v>825</v>
      </c>
      <c r="H19" s="465"/>
      <c r="I19" s="169">
        <f t="shared" si="8"/>
        <v>4</v>
      </c>
      <c r="J19" s="169">
        <f t="shared" si="9"/>
        <v>2783.2323369601613</v>
      </c>
      <c r="K19" s="183">
        <f t="shared" si="10"/>
        <v>695.80808424004033</v>
      </c>
      <c r="L19" s="452"/>
      <c r="M19" s="169">
        <f>RANK(K19, $K$7:K$36)</f>
        <v>18</v>
      </c>
      <c r="N19" s="454"/>
      <c r="O19" s="454"/>
      <c r="P19" s="169">
        <v>4</v>
      </c>
      <c r="Q19" s="169">
        <v>2773.333333333333</v>
      </c>
      <c r="R19" s="169">
        <v>693.33333333333326</v>
      </c>
      <c r="S19" s="185">
        <f t="shared" si="0"/>
        <v>18</v>
      </c>
      <c r="T19" s="465"/>
      <c r="U19" s="169">
        <v>4</v>
      </c>
      <c r="V19" s="169">
        <v>2790.9677419354848</v>
      </c>
      <c r="W19" s="169">
        <v>697.7419354838712</v>
      </c>
      <c r="X19" s="185">
        <f t="shared" si="1"/>
        <v>17</v>
      </c>
      <c r="Y19" s="465"/>
      <c r="Z19" s="169">
        <v>4</v>
      </c>
      <c r="AA19" s="169">
        <v>2713.0000000000005</v>
      </c>
      <c r="AB19" s="169">
        <v>678.25000000000011</v>
      </c>
      <c r="AC19" s="185">
        <f t="shared" si="2"/>
        <v>19</v>
      </c>
      <c r="AD19" s="465"/>
      <c r="AE19" s="169">
        <v>4</v>
      </c>
      <c r="AF19" s="169">
        <v>2846.808510638296</v>
      </c>
      <c r="AG19" s="169">
        <v>711.70212765957399</v>
      </c>
      <c r="AH19" s="185">
        <f t="shared" si="3"/>
        <v>17</v>
      </c>
      <c r="AI19" s="465"/>
      <c r="AJ19" s="169">
        <v>4</v>
      </c>
      <c r="AK19" s="169">
        <v>2773.0434782608677</v>
      </c>
      <c r="AL19" s="169">
        <v>693.26086956521692</v>
      </c>
      <c r="AM19" s="185">
        <f t="shared" si="4"/>
        <v>17</v>
      </c>
      <c r="AN19" s="465"/>
      <c r="AO19" s="169">
        <v>4</v>
      </c>
      <c r="AP19" s="169">
        <v>2786.1290322580653</v>
      </c>
      <c r="AQ19" s="169">
        <v>696.53225806451633</v>
      </c>
      <c r="AR19" s="185">
        <f t="shared" si="5"/>
        <v>18</v>
      </c>
      <c r="AS19" s="465"/>
      <c r="AT19" s="169">
        <v>4</v>
      </c>
      <c r="AU19" s="169">
        <v>2799.3442622950829</v>
      </c>
      <c r="AV19" s="169">
        <v>699.83606557377072</v>
      </c>
      <c r="AW19" s="185">
        <f t="shared" si="6"/>
        <v>17</v>
      </c>
      <c r="AX19" s="465"/>
      <c r="AZ19" s="169" t="e">
        <f>RANK(AX19, $K$7:AX$36)</f>
        <v>#N/A</v>
      </c>
      <c r="BB19" s="185" t="e">
        <f t="shared" si="7"/>
        <v>#N/A</v>
      </c>
    </row>
    <row r="20" spans="2:54">
      <c r="B20" s="471"/>
      <c r="C20" s="185">
        <v>14</v>
      </c>
      <c r="D20" s="185" t="s">
        <v>236</v>
      </c>
      <c r="E20" s="185">
        <v>4</v>
      </c>
      <c r="F20" s="185">
        <v>3300</v>
      </c>
      <c r="G20" s="185">
        <v>825</v>
      </c>
      <c r="H20" s="465"/>
      <c r="I20" s="169">
        <f t="shared" si="8"/>
        <v>4</v>
      </c>
      <c r="J20" s="169">
        <f t="shared" si="9"/>
        <v>2781.534978653543</v>
      </c>
      <c r="K20" s="183">
        <f t="shared" si="10"/>
        <v>695.38374466338576</v>
      </c>
      <c r="L20" s="452"/>
      <c r="M20" s="169">
        <f>RANK(K20, $K$7:K$36)</f>
        <v>19</v>
      </c>
      <c r="N20" s="454"/>
      <c r="O20" s="454"/>
      <c r="P20" s="169">
        <v>4</v>
      </c>
      <c r="Q20" s="169">
        <v>2796.1764705882388</v>
      </c>
      <c r="R20" s="169">
        <v>699.04411764705969</v>
      </c>
      <c r="S20" s="185">
        <f t="shared" si="0"/>
        <v>16</v>
      </c>
      <c r="T20" s="465"/>
      <c r="U20" s="169">
        <v>4</v>
      </c>
      <c r="V20" s="169">
        <v>2782.6086956521772</v>
      </c>
      <c r="W20" s="169">
        <v>695.65217391304429</v>
      </c>
      <c r="X20" s="185">
        <f t="shared" si="1"/>
        <v>19</v>
      </c>
      <c r="Y20" s="465"/>
      <c r="Z20" s="169">
        <v>4</v>
      </c>
      <c r="AA20" s="169">
        <v>2789.5384615384646</v>
      </c>
      <c r="AB20" s="169">
        <v>697.38461538461615</v>
      </c>
      <c r="AC20" s="185">
        <f t="shared" si="2"/>
        <v>17</v>
      </c>
      <c r="AD20" s="465"/>
      <c r="AE20" s="169">
        <v>4</v>
      </c>
      <c r="AF20" s="169">
        <v>2833.5849056603788</v>
      </c>
      <c r="AG20" s="169">
        <v>708.3962264150947</v>
      </c>
      <c r="AH20" s="185">
        <f t="shared" si="3"/>
        <v>18</v>
      </c>
      <c r="AI20" s="465"/>
      <c r="AJ20" s="169">
        <v>4</v>
      </c>
      <c r="AK20" s="169">
        <v>2799.9999999999968</v>
      </c>
      <c r="AL20" s="169">
        <v>699.9999999999992</v>
      </c>
      <c r="AM20" s="185">
        <f t="shared" si="4"/>
        <v>15</v>
      </c>
      <c r="AN20" s="465"/>
      <c r="AO20" s="169">
        <v>4</v>
      </c>
      <c r="AP20" s="169">
        <v>2769.7058823529414</v>
      </c>
      <c r="AQ20" s="169">
        <v>692.42647058823536</v>
      </c>
      <c r="AR20" s="185">
        <f t="shared" si="5"/>
        <v>20</v>
      </c>
      <c r="AS20" s="465"/>
      <c r="AT20" s="169">
        <v>4</v>
      </c>
      <c r="AU20" s="169">
        <v>2699.1304347826058</v>
      </c>
      <c r="AV20" s="169">
        <v>674.78260869565145</v>
      </c>
      <c r="AW20" s="185">
        <f t="shared" si="6"/>
        <v>20</v>
      </c>
      <c r="AX20" s="465"/>
      <c r="AZ20" s="169" t="e">
        <f>RANK(AX20, $K$7:AX$36)</f>
        <v>#N/A</v>
      </c>
      <c r="BB20" s="185" t="e">
        <f t="shared" si="7"/>
        <v>#N/A</v>
      </c>
    </row>
    <row r="21" spans="2:54">
      <c r="B21" s="471"/>
      <c r="C21" s="185">
        <v>15</v>
      </c>
      <c r="D21" s="185" t="s">
        <v>237</v>
      </c>
      <c r="E21" s="185">
        <v>3</v>
      </c>
      <c r="F21" s="185">
        <v>2800</v>
      </c>
      <c r="G21" s="185">
        <v>933.33333333333337</v>
      </c>
      <c r="H21" s="465"/>
      <c r="I21" s="169">
        <f t="shared" si="8"/>
        <v>3</v>
      </c>
      <c r="J21" s="169">
        <f t="shared" si="9"/>
        <v>2784.5272290978892</v>
      </c>
      <c r="K21" s="183">
        <f t="shared" si="10"/>
        <v>928.17574303262961</v>
      </c>
      <c r="L21" s="452"/>
      <c r="M21" s="169">
        <f>RANK(K21, $K$7:K$36)</f>
        <v>2</v>
      </c>
      <c r="N21" s="454"/>
      <c r="O21" s="454"/>
      <c r="P21" s="169">
        <v>3</v>
      </c>
      <c r="Q21" s="169">
        <v>2788.8000000000011</v>
      </c>
      <c r="R21" s="169">
        <v>929.60000000000036</v>
      </c>
      <c r="S21" s="185">
        <f t="shared" si="0"/>
        <v>3</v>
      </c>
      <c r="T21" s="465"/>
      <c r="U21" s="169">
        <v>3</v>
      </c>
      <c r="V21" s="169">
        <v>2768.8000000000011</v>
      </c>
      <c r="W21" s="169">
        <v>922.93333333333374</v>
      </c>
      <c r="X21" s="185">
        <f t="shared" si="1"/>
        <v>6</v>
      </c>
      <c r="Y21" s="465"/>
      <c r="Z21" s="169">
        <v>3</v>
      </c>
      <c r="AA21" s="169">
        <v>2778.5454545454477</v>
      </c>
      <c r="AB21" s="169">
        <v>926.18181818181586</v>
      </c>
      <c r="AC21" s="185">
        <f t="shared" si="2"/>
        <v>3</v>
      </c>
      <c r="AD21" s="465"/>
      <c r="AE21" s="169">
        <v>3</v>
      </c>
      <c r="AF21" s="169">
        <v>2800.8510638297876</v>
      </c>
      <c r="AG21" s="169">
        <v>933.61702127659589</v>
      </c>
      <c r="AH21" s="185">
        <f t="shared" si="3"/>
        <v>5</v>
      </c>
      <c r="AI21" s="465"/>
      <c r="AJ21" s="169">
        <v>3</v>
      </c>
      <c r="AK21" s="169">
        <v>2799.5744680851067</v>
      </c>
      <c r="AL21" s="169">
        <v>933.19148936170222</v>
      </c>
      <c r="AM21" s="185">
        <f t="shared" si="4"/>
        <v>2</v>
      </c>
      <c r="AN21" s="465"/>
      <c r="AO21" s="169">
        <v>3</v>
      </c>
      <c r="AP21" s="169">
        <v>2784.2105263157878</v>
      </c>
      <c r="AQ21" s="169">
        <v>928.07017543859592</v>
      </c>
      <c r="AR21" s="185">
        <f t="shared" si="5"/>
        <v>3</v>
      </c>
      <c r="AS21" s="465"/>
      <c r="AT21" s="169">
        <v>3</v>
      </c>
      <c r="AU21" s="169">
        <v>2770.9090909090924</v>
      </c>
      <c r="AV21" s="169">
        <v>923.63636363636408</v>
      </c>
      <c r="AW21" s="185">
        <f t="shared" si="6"/>
        <v>4</v>
      </c>
      <c r="AX21" s="465"/>
      <c r="AZ21" s="169" t="e">
        <f>RANK(AX21, $K$7:AX$36)</f>
        <v>#N/A</v>
      </c>
      <c r="BB21" s="185" t="e">
        <f t="shared" si="7"/>
        <v>#N/A</v>
      </c>
    </row>
    <row r="22" spans="2:54">
      <c r="B22" s="471"/>
      <c r="C22" s="185">
        <v>16</v>
      </c>
      <c r="D22" s="185" t="s">
        <v>238</v>
      </c>
      <c r="E22" s="185">
        <v>4</v>
      </c>
      <c r="F22" s="185">
        <v>2800</v>
      </c>
      <c r="G22" s="185">
        <v>700</v>
      </c>
      <c r="H22" s="465"/>
      <c r="I22" s="169">
        <f t="shared" si="8"/>
        <v>4</v>
      </c>
      <c r="J22" s="169">
        <f t="shared" si="9"/>
        <v>2850.3340607869882</v>
      </c>
      <c r="K22" s="183">
        <f t="shared" si="10"/>
        <v>712.58351519674704</v>
      </c>
      <c r="L22" s="452"/>
      <c r="M22" s="169">
        <f>RANK(K22, $K$7:K$36)</f>
        <v>17</v>
      </c>
      <c r="N22" s="454"/>
      <c r="O22" s="454"/>
      <c r="P22" s="169">
        <v>4</v>
      </c>
      <c r="Q22" s="169">
        <v>2724.2857142857192</v>
      </c>
      <c r="R22" s="169">
        <v>681.07142857142981</v>
      </c>
      <c r="S22" s="185">
        <f t="shared" si="0"/>
        <v>19</v>
      </c>
      <c r="T22" s="465"/>
      <c r="U22" s="169">
        <v>4</v>
      </c>
      <c r="V22" s="169">
        <v>2783.9999999999991</v>
      </c>
      <c r="W22" s="169">
        <v>695.99999999999977</v>
      </c>
      <c r="X22" s="185">
        <f t="shared" si="1"/>
        <v>18</v>
      </c>
      <c r="Y22" s="465"/>
      <c r="Z22" s="169">
        <v>4</v>
      </c>
      <c r="AA22" s="169">
        <v>2759.0163934426255</v>
      </c>
      <c r="AB22" s="169">
        <v>689.75409836065637</v>
      </c>
      <c r="AC22" s="185">
        <f t="shared" si="2"/>
        <v>18</v>
      </c>
      <c r="AD22" s="465"/>
      <c r="AE22" s="169">
        <v>4</v>
      </c>
      <c r="AF22" s="169">
        <v>3236.5384615384583</v>
      </c>
      <c r="AG22" s="169">
        <v>809.13461538461456</v>
      </c>
      <c r="AH22" s="185">
        <f t="shared" si="3"/>
        <v>9</v>
      </c>
      <c r="AI22" s="465"/>
      <c r="AJ22" s="169">
        <v>4</v>
      </c>
      <c r="AK22" s="169">
        <v>2883.6000000000008</v>
      </c>
      <c r="AL22" s="169">
        <v>720.9000000000002</v>
      </c>
      <c r="AM22" s="185">
        <f t="shared" si="4"/>
        <v>14</v>
      </c>
      <c r="AN22" s="465"/>
      <c r="AO22" s="169">
        <v>4</v>
      </c>
      <c r="AP22" s="169">
        <v>2780.3076923076951</v>
      </c>
      <c r="AQ22" s="169">
        <v>695.07692307692378</v>
      </c>
      <c r="AR22" s="185">
        <f t="shared" si="5"/>
        <v>19</v>
      </c>
      <c r="AS22" s="465"/>
      <c r="AT22" s="169">
        <v>4</v>
      </c>
      <c r="AU22" s="169">
        <v>2784.5901639344215</v>
      </c>
      <c r="AV22" s="169">
        <v>696.14754098360538</v>
      </c>
      <c r="AW22" s="185">
        <f t="shared" si="6"/>
        <v>18</v>
      </c>
      <c r="AX22" s="465"/>
      <c r="AZ22" s="169" t="e">
        <f>RANK(AX22, $K$7:AX$36)</f>
        <v>#N/A</v>
      </c>
      <c r="BB22" s="185" t="e">
        <f t="shared" si="7"/>
        <v>#N/A</v>
      </c>
    </row>
    <row r="23" spans="2:54">
      <c r="B23" s="471"/>
      <c r="C23" s="185">
        <v>17</v>
      </c>
      <c r="D23" s="185" t="s">
        <v>239</v>
      </c>
      <c r="E23" s="185">
        <v>4</v>
      </c>
      <c r="F23" s="185">
        <v>3600</v>
      </c>
      <c r="G23" s="185">
        <v>900</v>
      </c>
      <c r="H23" s="465"/>
      <c r="I23" s="169">
        <f t="shared" si="8"/>
        <v>4</v>
      </c>
      <c r="J23" s="169">
        <f t="shared" si="9"/>
        <v>2874.9648624667193</v>
      </c>
      <c r="K23" s="183">
        <f t="shared" si="10"/>
        <v>718.74121561667982</v>
      </c>
      <c r="L23" s="452"/>
      <c r="M23" s="169">
        <f>RANK(K23, $K$7:K$36)</f>
        <v>16</v>
      </c>
      <c r="N23" s="454"/>
      <c r="O23" s="454"/>
      <c r="P23" s="169">
        <v>4</v>
      </c>
      <c r="Q23" s="169">
        <v>2774.3999999999919</v>
      </c>
      <c r="R23" s="169">
        <v>693.59999999999798</v>
      </c>
      <c r="S23" s="185">
        <f t="shared" si="0"/>
        <v>17</v>
      </c>
      <c r="T23" s="465"/>
      <c r="U23" s="169">
        <v>4</v>
      </c>
      <c r="V23" s="169">
        <v>2994.7826086956629</v>
      </c>
      <c r="W23" s="169">
        <v>748.69565217391573</v>
      </c>
      <c r="X23" s="185">
        <f t="shared" si="1"/>
        <v>16</v>
      </c>
      <c r="Y23" s="465"/>
      <c r="Z23" s="169">
        <v>4</v>
      </c>
      <c r="AA23" s="169">
        <v>2671.1999999999925</v>
      </c>
      <c r="AB23" s="169">
        <v>667.79999999999814</v>
      </c>
      <c r="AC23" s="185">
        <f t="shared" si="2"/>
        <v>21</v>
      </c>
      <c r="AD23" s="465"/>
      <c r="AE23" s="169">
        <v>4</v>
      </c>
      <c r="AF23" s="169">
        <v>2855.9999999999918</v>
      </c>
      <c r="AG23" s="169">
        <v>713.99999999999795</v>
      </c>
      <c r="AH23" s="185">
        <f t="shared" si="3"/>
        <v>16</v>
      </c>
      <c r="AI23" s="465"/>
      <c r="AJ23" s="169">
        <v>4</v>
      </c>
      <c r="AK23" s="169">
        <v>2512.7999999999929</v>
      </c>
      <c r="AL23" s="169">
        <v>628.19999999999823</v>
      </c>
      <c r="AM23" s="185">
        <f t="shared" si="4"/>
        <v>20</v>
      </c>
      <c r="AN23" s="465"/>
      <c r="AO23" s="169">
        <v>4</v>
      </c>
      <c r="AP23" s="169">
        <v>3168.5714285714157</v>
      </c>
      <c r="AQ23" s="169">
        <v>792.14285714285393</v>
      </c>
      <c r="AR23" s="185">
        <f t="shared" si="5"/>
        <v>9</v>
      </c>
      <c r="AS23" s="465"/>
      <c r="AT23" s="169">
        <v>4</v>
      </c>
      <c r="AU23" s="169">
        <v>3146.9999999999859</v>
      </c>
      <c r="AV23" s="169">
        <v>786.74999999999648</v>
      </c>
      <c r="AW23" s="185">
        <f t="shared" si="6"/>
        <v>9</v>
      </c>
      <c r="AX23" s="465"/>
      <c r="AZ23" s="169" t="e">
        <f>RANK(AX23, $K$7:AX$36)</f>
        <v>#N/A</v>
      </c>
      <c r="BB23" s="185" t="e">
        <f t="shared" si="7"/>
        <v>#N/A</v>
      </c>
    </row>
    <row r="24" spans="2:54">
      <c r="B24" s="471"/>
      <c r="C24" s="185">
        <v>18</v>
      </c>
      <c r="D24" s="185" t="s">
        <v>240</v>
      </c>
      <c r="E24" s="185">
        <v>4</v>
      </c>
      <c r="F24" s="185">
        <v>3000</v>
      </c>
      <c r="G24" s="185">
        <v>750</v>
      </c>
      <c r="H24" s="465"/>
      <c r="I24" s="169">
        <f t="shared" si="8"/>
        <v>3</v>
      </c>
      <c r="J24" s="169">
        <f t="shared" si="9"/>
        <v>2240.2499999999941</v>
      </c>
      <c r="K24" s="183">
        <f t="shared" si="10"/>
        <v>746.74999999999807</v>
      </c>
      <c r="L24" s="452"/>
      <c r="M24" s="169">
        <f>RANK(K24, $K$7:K$36)</f>
        <v>14</v>
      </c>
      <c r="N24" s="454"/>
      <c r="O24" s="454"/>
      <c r="P24" s="169">
        <v>3</v>
      </c>
      <c r="Q24" s="169">
        <v>2360.9999999999895</v>
      </c>
      <c r="R24" s="169">
        <v>786.99999999999648</v>
      </c>
      <c r="S24" s="185">
        <f t="shared" si="0"/>
        <v>11</v>
      </c>
      <c r="T24" s="465"/>
      <c r="U24" s="169">
        <v>3</v>
      </c>
      <c r="V24" s="169">
        <v>2384.9999999999895</v>
      </c>
      <c r="W24" s="169">
        <v>794.99999999999648</v>
      </c>
      <c r="X24" s="185">
        <f t="shared" si="1"/>
        <v>11</v>
      </c>
      <c r="Y24" s="465"/>
      <c r="Z24" s="169">
        <v>3</v>
      </c>
      <c r="AA24" s="169">
        <v>2156.9999999999905</v>
      </c>
      <c r="AB24" s="169">
        <v>718.99999999999682</v>
      </c>
      <c r="AC24" s="185">
        <f t="shared" si="2"/>
        <v>15</v>
      </c>
      <c r="AD24" s="465"/>
      <c r="AE24" s="169">
        <v>3</v>
      </c>
      <c r="AF24" s="169">
        <v>2058.0000000000073</v>
      </c>
      <c r="AG24" s="169">
        <v>686.00000000000239</v>
      </c>
      <c r="AH24" s="185">
        <f t="shared" si="3"/>
        <v>19</v>
      </c>
      <c r="AI24" s="465"/>
      <c r="AJ24" s="169"/>
      <c r="AK24" s="169"/>
      <c r="AL24" s="169"/>
      <c r="AM24" s="185" t="e">
        <f t="shared" si="4"/>
        <v>#N/A</v>
      </c>
      <c r="AN24" s="465"/>
      <c r="AO24" s="169"/>
      <c r="AP24" s="169"/>
      <c r="AQ24" s="169"/>
      <c r="AR24" s="185" t="e">
        <f t="shared" si="5"/>
        <v>#N/A</v>
      </c>
      <c r="AS24" s="465"/>
      <c r="AT24" s="169"/>
      <c r="AU24" s="169"/>
      <c r="AV24" s="169"/>
      <c r="AW24" s="185" t="e">
        <f t="shared" si="6"/>
        <v>#N/A</v>
      </c>
      <c r="AX24" s="465"/>
      <c r="AZ24" s="169" t="e">
        <f>RANK(AX24, $K$7:AX$36)</f>
        <v>#N/A</v>
      </c>
      <c r="BB24" s="185" t="e">
        <f t="shared" si="7"/>
        <v>#N/A</v>
      </c>
    </row>
    <row r="25" spans="2:54">
      <c r="B25" s="471"/>
      <c r="C25" s="185">
        <v>19</v>
      </c>
      <c r="D25" s="185" t="s">
        <v>241</v>
      </c>
      <c r="E25" s="185">
        <v>4</v>
      </c>
      <c r="F25" s="185">
        <v>3600</v>
      </c>
      <c r="G25" s="185">
        <v>900</v>
      </c>
      <c r="H25" s="465"/>
      <c r="I25" s="169">
        <f t="shared" si="8"/>
        <v>4</v>
      </c>
      <c r="J25" s="169">
        <f t="shared" si="9"/>
        <v>2714.7142857142912</v>
      </c>
      <c r="K25" s="183">
        <f t="shared" si="10"/>
        <v>678.67857142857281</v>
      </c>
      <c r="L25" s="452"/>
      <c r="M25" s="169">
        <f>RANK(K25, $K$7:K$36)</f>
        <v>21</v>
      </c>
      <c r="N25" s="454"/>
      <c r="O25" s="454"/>
      <c r="P25" s="169">
        <v>4</v>
      </c>
      <c r="Q25" s="169">
        <v>2421.0000000000086</v>
      </c>
      <c r="R25" s="169">
        <v>605.25000000000216</v>
      </c>
      <c r="S25" s="185">
        <f t="shared" si="0"/>
        <v>23</v>
      </c>
      <c r="T25" s="465"/>
      <c r="U25" s="169">
        <v>4</v>
      </c>
      <c r="V25" s="169">
        <v>3200.0000000000114</v>
      </c>
      <c r="W25" s="169">
        <v>800.00000000000284</v>
      </c>
      <c r="X25" s="185">
        <f t="shared" si="1"/>
        <v>8</v>
      </c>
      <c r="Y25" s="465"/>
      <c r="Z25" s="169">
        <v>4</v>
      </c>
      <c r="AA25" s="169">
        <v>2262.0000000000077</v>
      </c>
      <c r="AB25" s="169">
        <v>565.50000000000193</v>
      </c>
      <c r="AC25" s="185">
        <f t="shared" si="2"/>
        <v>22</v>
      </c>
      <c r="AD25" s="465"/>
      <c r="AE25" s="169">
        <v>4</v>
      </c>
      <c r="AF25" s="169">
        <v>2563.9999999999818</v>
      </c>
      <c r="AG25" s="169">
        <v>640.99999999999545</v>
      </c>
      <c r="AH25" s="185">
        <f t="shared" si="3"/>
        <v>21</v>
      </c>
      <c r="AI25" s="465"/>
      <c r="AJ25" s="169">
        <v>4</v>
      </c>
      <c r="AK25" s="169">
        <v>2788.00000000001</v>
      </c>
      <c r="AL25" s="169">
        <v>697.0000000000025</v>
      </c>
      <c r="AM25" s="185">
        <f t="shared" si="4"/>
        <v>16</v>
      </c>
      <c r="AN25" s="465"/>
      <c r="AO25" s="169">
        <v>4</v>
      </c>
      <c r="AP25" s="169">
        <v>2920.0000000000105</v>
      </c>
      <c r="AQ25" s="169">
        <v>730.00000000000261</v>
      </c>
      <c r="AR25" s="185">
        <f t="shared" si="5"/>
        <v>16</v>
      </c>
      <c r="AS25" s="465"/>
      <c r="AT25" s="169">
        <v>4</v>
      </c>
      <c r="AU25" s="169">
        <v>2848.00000000001</v>
      </c>
      <c r="AV25" s="169">
        <v>712.0000000000025</v>
      </c>
      <c r="AW25" s="185">
        <f t="shared" si="6"/>
        <v>15</v>
      </c>
      <c r="AX25" s="465"/>
      <c r="AZ25" s="169" t="e">
        <f>RANK(AX25, $K$7:AX$36)</f>
        <v>#N/A</v>
      </c>
      <c r="BB25" s="185" t="e">
        <f t="shared" si="7"/>
        <v>#N/A</v>
      </c>
    </row>
    <row r="26" spans="2:54">
      <c r="B26" s="471"/>
      <c r="C26" s="185">
        <v>20</v>
      </c>
      <c r="D26" s="185" t="s">
        <v>242</v>
      </c>
      <c r="E26" s="185">
        <v>4</v>
      </c>
      <c r="F26" s="185">
        <v>3000</v>
      </c>
      <c r="G26" s="185">
        <v>750</v>
      </c>
      <c r="H26" s="465"/>
      <c r="I26" s="169">
        <f t="shared" si="8"/>
        <v>4</v>
      </c>
      <c r="J26" s="169">
        <f t="shared" si="9"/>
        <v>2915.0000000000182</v>
      </c>
      <c r="K26" s="183">
        <f t="shared" si="10"/>
        <v>728.75000000000455</v>
      </c>
      <c r="L26" s="452"/>
      <c r="M26" s="169">
        <f>RANK(K26, $K$7:K$36)</f>
        <v>15</v>
      </c>
      <c r="N26" s="454"/>
      <c r="O26" s="454"/>
      <c r="P26" s="169">
        <v>4</v>
      </c>
      <c r="Q26" s="169">
        <v>3840.000000000116</v>
      </c>
      <c r="R26" s="169">
        <v>960.00000000002899</v>
      </c>
      <c r="S26" s="185">
        <f t="shared" si="0"/>
        <v>2</v>
      </c>
      <c r="T26" s="465"/>
      <c r="U26" s="169">
        <v>4</v>
      </c>
      <c r="V26" s="169">
        <v>2775.00000000001</v>
      </c>
      <c r="W26" s="169">
        <v>693.7500000000025</v>
      </c>
      <c r="X26" s="185">
        <f t="shared" si="1"/>
        <v>21</v>
      </c>
      <c r="Y26" s="465"/>
      <c r="Z26" s="169">
        <v>4</v>
      </c>
      <c r="AA26" s="169">
        <v>3080.0000000000109</v>
      </c>
      <c r="AB26" s="169">
        <v>770.00000000000273</v>
      </c>
      <c r="AC26" s="185">
        <f t="shared" si="2"/>
        <v>14</v>
      </c>
      <c r="AD26" s="465"/>
      <c r="AE26" s="169">
        <v>4</v>
      </c>
      <c r="AF26" s="169">
        <v>2179.99999999995</v>
      </c>
      <c r="AG26" s="169">
        <v>544.99999999998749</v>
      </c>
      <c r="AH26" s="185">
        <f t="shared" si="3"/>
        <v>22</v>
      </c>
      <c r="AI26" s="465"/>
      <c r="AJ26" s="169">
        <v>4</v>
      </c>
      <c r="AK26" s="169">
        <v>2490.0000000000091</v>
      </c>
      <c r="AL26" s="169">
        <v>622.50000000000227</v>
      </c>
      <c r="AM26" s="185">
        <f t="shared" si="4"/>
        <v>21</v>
      </c>
      <c r="AN26" s="465"/>
      <c r="AO26" s="169">
        <v>4</v>
      </c>
      <c r="AP26" s="169">
        <v>3200.0000000000964</v>
      </c>
      <c r="AQ26" s="169">
        <v>800.0000000000241</v>
      </c>
      <c r="AR26" s="185">
        <f t="shared" si="5"/>
        <v>8</v>
      </c>
      <c r="AS26" s="465"/>
      <c r="AT26" s="169">
        <v>4</v>
      </c>
      <c r="AU26" s="169">
        <v>2839.9999999999345</v>
      </c>
      <c r="AV26" s="169">
        <v>709.99999999998363</v>
      </c>
      <c r="AW26" s="185">
        <f t="shared" si="6"/>
        <v>16</v>
      </c>
      <c r="AX26" s="465"/>
      <c r="AZ26" s="169" t="e">
        <f>RANK(AX26, $K$7:AX$36)</f>
        <v>#N/A</v>
      </c>
      <c r="BB26" s="185" t="e">
        <f t="shared" si="7"/>
        <v>#N/A</v>
      </c>
    </row>
    <row r="27" spans="2:54">
      <c r="B27" s="471"/>
      <c r="C27" s="185">
        <v>21</v>
      </c>
      <c r="D27" s="185" t="s">
        <v>243</v>
      </c>
      <c r="E27" s="185">
        <v>4</v>
      </c>
      <c r="F27" s="185">
        <v>3300</v>
      </c>
      <c r="G27" s="185">
        <v>825</v>
      </c>
      <c r="H27" s="465"/>
      <c r="I27" s="169">
        <f t="shared" si="8"/>
        <v>3</v>
      </c>
      <c r="J27" s="169">
        <f t="shared" si="9"/>
        <v>2741.7628306079305</v>
      </c>
      <c r="K27" s="183">
        <f t="shared" si="10"/>
        <v>913.9209435359769</v>
      </c>
      <c r="L27" s="452"/>
      <c r="M27" s="169">
        <f>RANK(K27, $K$7:K$36)</f>
        <v>7</v>
      </c>
      <c r="N27" s="454"/>
      <c r="O27" s="454"/>
      <c r="P27" s="169">
        <v>3</v>
      </c>
      <c r="Q27" s="169">
        <v>2753.0232558139528</v>
      </c>
      <c r="R27" s="169">
        <v>917.6744186046509</v>
      </c>
      <c r="S27" s="185">
        <f t="shared" si="0"/>
        <v>7</v>
      </c>
      <c r="T27" s="465"/>
      <c r="U27" s="169">
        <v>3</v>
      </c>
      <c r="V27" s="169">
        <v>2775.7142857142903</v>
      </c>
      <c r="W27" s="169">
        <v>925.23809523809678</v>
      </c>
      <c r="X27" s="185">
        <f t="shared" si="1"/>
        <v>4</v>
      </c>
      <c r="Y27" s="465"/>
      <c r="Z27" s="169">
        <v>3</v>
      </c>
      <c r="AA27" s="169">
        <v>2750.9999999999991</v>
      </c>
      <c r="AB27" s="169">
        <v>916.99999999999966</v>
      </c>
      <c r="AC27" s="185">
        <f t="shared" si="2"/>
        <v>5</v>
      </c>
      <c r="AD27" s="465"/>
      <c r="AE27" s="169">
        <v>3</v>
      </c>
      <c r="AF27" s="169">
        <v>2792.7272727272689</v>
      </c>
      <c r="AG27" s="169">
        <v>930.90909090908963</v>
      </c>
      <c r="AH27" s="185">
        <f t="shared" si="3"/>
        <v>6</v>
      </c>
      <c r="AI27" s="465"/>
      <c r="AJ27" s="169">
        <v>3</v>
      </c>
      <c r="AK27" s="169">
        <v>2731.8750000000032</v>
      </c>
      <c r="AL27" s="169">
        <v>910.62500000000102</v>
      </c>
      <c r="AM27" s="185">
        <f t="shared" si="4"/>
        <v>7</v>
      </c>
      <c r="AN27" s="465"/>
      <c r="AO27" s="169">
        <v>3</v>
      </c>
      <c r="AP27" s="169">
        <v>2723.9999999999932</v>
      </c>
      <c r="AQ27" s="169">
        <v>907.99999999999773</v>
      </c>
      <c r="AR27" s="185">
        <f t="shared" si="5"/>
        <v>7</v>
      </c>
      <c r="AS27" s="465"/>
      <c r="AT27" s="169">
        <v>3</v>
      </c>
      <c r="AU27" s="169">
        <v>2664.0000000000041</v>
      </c>
      <c r="AV27" s="169">
        <v>888.00000000000136</v>
      </c>
      <c r="AW27" s="185">
        <f t="shared" si="6"/>
        <v>7</v>
      </c>
      <c r="AX27" s="465"/>
      <c r="AZ27" s="169" t="e">
        <f>RANK(AX27, $K$7:AX$36)</f>
        <v>#N/A</v>
      </c>
      <c r="BB27" s="185" t="e">
        <f t="shared" si="7"/>
        <v>#N/A</v>
      </c>
    </row>
    <row r="28" spans="2:54">
      <c r="B28" s="471"/>
      <c r="C28" s="185">
        <v>22</v>
      </c>
      <c r="D28" s="185" t="s">
        <v>244</v>
      </c>
      <c r="E28" s="185">
        <v>3</v>
      </c>
      <c r="F28" s="185">
        <v>2800</v>
      </c>
      <c r="G28" s="185">
        <v>933.33333333333337</v>
      </c>
      <c r="H28" s="465"/>
      <c r="I28" s="169">
        <f t="shared" si="8"/>
        <v>3</v>
      </c>
      <c r="J28" s="169">
        <f t="shared" si="9"/>
        <v>2751.6415584415622</v>
      </c>
      <c r="K28" s="183">
        <f t="shared" si="10"/>
        <v>917.21385281385403</v>
      </c>
      <c r="L28" s="452"/>
      <c r="M28" s="169">
        <f>RANK(K28, $K$7:K$36)</f>
        <v>6</v>
      </c>
      <c r="N28" s="454"/>
      <c r="O28" s="454"/>
      <c r="P28" s="169">
        <v>3</v>
      </c>
      <c r="Q28" s="169">
        <v>2601.9999999999955</v>
      </c>
      <c r="R28" s="169">
        <v>867.33333333333178</v>
      </c>
      <c r="S28" s="185">
        <f t="shared" si="0"/>
        <v>8</v>
      </c>
      <c r="T28" s="465"/>
      <c r="U28" s="169">
        <v>3</v>
      </c>
      <c r="V28" s="169">
        <v>2816.7272727272743</v>
      </c>
      <c r="W28" s="169">
        <v>938.90909090909145</v>
      </c>
      <c r="X28" s="185">
        <f t="shared" si="1"/>
        <v>2</v>
      </c>
      <c r="Y28" s="465"/>
      <c r="Z28" s="169">
        <v>3</v>
      </c>
      <c r="AA28" s="169">
        <v>2447.9999999999955</v>
      </c>
      <c r="AB28" s="169">
        <v>815.99999999999852</v>
      </c>
      <c r="AC28" s="185">
        <f t="shared" si="2"/>
        <v>9</v>
      </c>
      <c r="AD28" s="465"/>
      <c r="AE28" s="169">
        <v>3</v>
      </c>
      <c r="AF28" s="169">
        <v>2644.3636363636379</v>
      </c>
      <c r="AG28" s="169">
        <v>881.45454545454595</v>
      </c>
      <c r="AH28" s="185">
        <f t="shared" si="3"/>
        <v>7</v>
      </c>
      <c r="AI28" s="465"/>
      <c r="AJ28" s="169">
        <v>3</v>
      </c>
      <c r="AK28" s="169">
        <v>2869.2000000000103</v>
      </c>
      <c r="AL28" s="169">
        <v>956.40000000000339</v>
      </c>
      <c r="AM28" s="185">
        <f t="shared" si="4"/>
        <v>1</v>
      </c>
      <c r="AN28" s="465"/>
      <c r="AO28" s="169">
        <v>3</v>
      </c>
      <c r="AP28" s="169">
        <v>2966.4000000000106</v>
      </c>
      <c r="AQ28" s="169">
        <v>988.80000000000348</v>
      </c>
      <c r="AR28" s="185">
        <f t="shared" si="5"/>
        <v>1</v>
      </c>
      <c r="AS28" s="465"/>
      <c r="AT28" s="169">
        <v>3</v>
      </c>
      <c r="AU28" s="169">
        <v>2914.8000000000106</v>
      </c>
      <c r="AV28" s="169">
        <v>971.60000000000355</v>
      </c>
      <c r="AW28" s="185">
        <f t="shared" si="6"/>
        <v>2</v>
      </c>
      <c r="AX28" s="465"/>
      <c r="AZ28" s="169" t="e">
        <f>RANK(AX28, $K$7:AX$36)</f>
        <v>#N/A</v>
      </c>
      <c r="BB28" s="185" t="e">
        <f t="shared" si="7"/>
        <v>#N/A</v>
      </c>
    </row>
    <row r="29" spans="2:54">
      <c r="B29" s="471"/>
      <c r="C29" s="185">
        <v>23</v>
      </c>
      <c r="D29" s="185" t="s">
        <v>245</v>
      </c>
      <c r="E29" s="185">
        <v>4</v>
      </c>
      <c r="F29" s="185">
        <v>3000</v>
      </c>
      <c r="G29" s="185">
        <v>750</v>
      </c>
      <c r="H29" s="465"/>
      <c r="I29" s="169">
        <f t="shared" si="8"/>
        <v>4</v>
      </c>
      <c r="J29" s="169">
        <f t="shared" si="9"/>
        <v>2335.1297318927545</v>
      </c>
      <c r="K29" s="183">
        <f t="shared" si="10"/>
        <v>583.78243297318863</v>
      </c>
      <c r="L29" s="452"/>
      <c r="M29" s="169">
        <f>RANK(K29, $K$7:K$36)</f>
        <v>23</v>
      </c>
      <c r="N29" s="454"/>
      <c r="O29" s="454"/>
      <c r="P29" s="169">
        <v>4</v>
      </c>
      <c r="Q29" s="169">
        <v>2467.333333333333</v>
      </c>
      <c r="R29" s="169">
        <v>616.83333333333326</v>
      </c>
      <c r="S29" s="185">
        <f t="shared" si="0"/>
        <v>22</v>
      </c>
      <c r="T29" s="465"/>
      <c r="U29" s="169">
        <v>4</v>
      </c>
      <c r="V29" s="169">
        <v>2230.799999999997</v>
      </c>
      <c r="W29" s="169">
        <v>557.69999999999925</v>
      </c>
      <c r="X29" s="185">
        <f t="shared" si="1"/>
        <v>23</v>
      </c>
      <c r="Y29" s="465"/>
      <c r="Z29" s="169">
        <v>4</v>
      </c>
      <c r="AA29" s="169">
        <v>2198.117647058823</v>
      </c>
      <c r="AB29" s="169">
        <v>549.52941176470574</v>
      </c>
      <c r="AC29" s="185">
        <f t="shared" si="2"/>
        <v>23</v>
      </c>
      <c r="AD29" s="465"/>
      <c r="AE29" s="169">
        <v>4</v>
      </c>
      <c r="AF29" s="169">
        <v>2100.8571428571404</v>
      </c>
      <c r="AG29" s="169">
        <v>525.2142857142851</v>
      </c>
      <c r="AH29" s="185">
        <f t="shared" si="3"/>
        <v>23</v>
      </c>
      <c r="AI29" s="465"/>
      <c r="AJ29" s="169">
        <v>4</v>
      </c>
      <c r="AK29" s="169">
        <v>2472</v>
      </c>
      <c r="AL29" s="169">
        <v>618</v>
      </c>
      <c r="AM29" s="185">
        <f t="shared" si="4"/>
        <v>22</v>
      </c>
      <c r="AN29" s="465"/>
      <c r="AO29" s="169">
        <v>4</v>
      </c>
      <c r="AP29" s="169">
        <v>2396.3999999999933</v>
      </c>
      <c r="AQ29" s="169">
        <v>599.09999999999832</v>
      </c>
      <c r="AR29" s="185">
        <f t="shared" si="5"/>
        <v>22</v>
      </c>
      <c r="AS29" s="465"/>
      <c r="AT29" s="169">
        <v>4</v>
      </c>
      <c r="AU29" s="169">
        <v>2480.3999999999928</v>
      </c>
      <c r="AV29" s="169">
        <v>620.0999999999982</v>
      </c>
      <c r="AW29" s="185">
        <f t="shared" si="6"/>
        <v>22</v>
      </c>
      <c r="AX29" s="465"/>
      <c r="AZ29" s="169" t="e">
        <f>RANK(AX29, $K$7:AX$36)</f>
        <v>#N/A</v>
      </c>
      <c r="BB29" s="185" t="e">
        <f t="shared" si="7"/>
        <v>#N/A</v>
      </c>
    </row>
    <row r="30" spans="2:54">
      <c r="B30" s="471"/>
      <c r="C30" s="185">
        <v>24</v>
      </c>
      <c r="D30" s="185" t="s">
        <v>246</v>
      </c>
      <c r="E30" s="185">
        <v>12</v>
      </c>
      <c r="F30" s="185">
        <v>1500</v>
      </c>
      <c r="G30" s="185">
        <v>125</v>
      </c>
      <c r="H30" s="465"/>
      <c r="I30" s="169">
        <f t="shared" si="8"/>
        <v>12</v>
      </c>
      <c r="J30" s="169">
        <f t="shared" si="9"/>
        <v>1488.8016164734315</v>
      </c>
      <c r="K30" s="183">
        <f t="shared" si="10"/>
        <v>124.06680137278596</v>
      </c>
      <c r="L30" s="452"/>
      <c r="M30" s="169">
        <f>RANK(K30, $K$7:K$36)</f>
        <v>24</v>
      </c>
      <c r="N30" s="454"/>
      <c r="O30" s="454"/>
      <c r="P30" s="169">
        <v>12</v>
      </c>
      <c r="Q30" s="169">
        <v>1503.4177215189882</v>
      </c>
      <c r="R30" s="169">
        <v>125.28481012658234</v>
      </c>
      <c r="S30" s="185">
        <f t="shared" si="0"/>
        <v>24</v>
      </c>
      <c r="T30" s="465"/>
      <c r="U30" s="169">
        <v>12</v>
      </c>
      <c r="V30" s="169">
        <v>1466.8421052631579</v>
      </c>
      <c r="W30" s="169">
        <v>122.23684210526316</v>
      </c>
      <c r="X30" s="185">
        <f t="shared" si="1"/>
        <v>24</v>
      </c>
      <c r="Y30" s="465"/>
      <c r="Z30" s="169">
        <v>12</v>
      </c>
      <c r="AA30" s="169">
        <v>1490.5555555555552</v>
      </c>
      <c r="AB30" s="169">
        <v>124.21296296296293</v>
      </c>
      <c r="AC30" s="185">
        <f t="shared" si="2"/>
        <v>24</v>
      </c>
      <c r="AD30" s="465"/>
      <c r="AE30" s="169">
        <v>12</v>
      </c>
      <c r="AF30" s="169">
        <v>1501.3138686131385</v>
      </c>
      <c r="AG30" s="169">
        <v>125.10948905109488</v>
      </c>
      <c r="AH30" s="185">
        <f t="shared" si="3"/>
        <v>24</v>
      </c>
      <c r="AI30" s="465"/>
      <c r="AJ30" s="169">
        <v>12</v>
      </c>
      <c r="AK30" s="169">
        <v>1486.9767441860463</v>
      </c>
      <c r="AL30" s="169">
        <v>123.91472868217052</v>
      </c>
      <c r="AM30" s="185">
        <f t="shared" si="4"/>
        <v>23</v>
      </c>
      <c r="AN30" s="465"/>
      <c r="AO30" s="169">
        <v>12</v>
      </c>
      <c r="AP30" s="169">
        <v>1483.703703703703</v>
      </c>
      <c r="AQ30" s="169">
        <v>123.64197530864192</v>
      </c>
      <c r="AR30" s="185">
        <f t="shared" si="5"/>
        <v>23</v>
      </c>
      <c r="AS30" s="465"/>
      <c r="AT30" s="169"/>
      <c r="AU30" s="169"/>
      <c r="AV30" s="169"/>
      <c r="AW30" s="185" t="e">
        <f t="shared" si="6"/>
        <v>#N/A</v>
      </c>
      <c r="AX30" s="465"/>
      <c r="AZ30" s="169" t="e">
        <f>RANK(AX30, $K$7:AX$36)</f>
        <v>#N/A</v>
      </c>
      <c r="BB30" s="185" t="e">
        <f t="shared" si="7"/>
        <v>#N/A</v>
      </c>
    </row>
    <row r="31" spans="2:54">
      <c r="B31" s="471"/>
      <c r="C31" s="185">
        <v>25</v>
      </c>
      <c r="D31" s="185"/>
      <c r="E31" s="185"/>
      <c r="F31" s="185"/>
      <c r="G31" s="185"/>
      <c r="H31" s="465"/>
      <c r="I31" s="185"/>
      <c r="J31" s="185"/>
      <c r="K31" s="185"/>
      <c r="L31" s="452"/>
      <c r="M31" s="169" t="e">
        <f>RANK(K31, $K$7:K$36)</f>
        <v>#N/A</v>
      </c>
      <c r="N31" s="454"/>
      <c r="O31" s="454"/>
      <c r="P31" s="185"/>
      <c r="Q31" s="185"/>
      <c r="R31" s="185"/>
      <c r="S31" s="185" t="e">
        <f t="shared" si="0"/>
        <v>#N/A</v>
      </c>
      <c r="T31" s="465"/>
      <c r="U31" s="185"/>
      <c r="V31" s="185"/>
      <c r="W31" s="185"/>
      <c r="X31" s="185" t="e">
        <f t="shared" si="1"/>
        <v>#N/A</v>
      </c>
      <c r="Y31" s="465"/>
      <c r="Z31" s="185"/>
      <c r="AA31" s="185"/>
      <c r="AB31" s="185"/>
      <c r="AC31" s="185" t="e">
        <f t="shared" si="2"/>
        <v>#N/A</v>
      </c>
      <c r="AD31" s="465"/>
      <c r="AE31" s="185"/>
      <c r="AF31" s="185"/>
      <c r="AG31" s="185"/>
      <c r="AH31" s="185" t="e">
        <f t="shared" si="3"/>
        <v>#N/A</v>
      </c>
      <c r="AI31" s="465"/>
      <c r="AJ31" s="185"/>
      <c r="AK31" s="185"/>
      <c r="AL31" s="185"/>
      <c r="AM31" s="185" t="e">
        <f t="shared" si="4"/>
        <v>#N/A</v>
      </c>
      <c r="AN31" s="465"/>
      <c r="AO31" s="185"/>
      <c r="AP31" s="185"/>
      <c r="AQ31" s="185"/>
      <c r="AR31" s="185" t="e">
        <f t="shared" si="5"/>
        <v>#N/A</v>
      </c>
      <c r="AS31" s="465"/>
      <c r="AT31" s="185"/>
      <c r="AU31" s="185"/>
      <c r="AV31" s="185"/>
      <c r="AW31" s="185" t="e">
        <f t="shared" si="6"/>
        <v>#N/A</v>
      </c>
      <c r="AX31" s="465"/>
      <c r="AZ31" s="169" t="e">
        <f>RANK(AX31, $K$7:AX$36)</f>
        <v>#N/A</v>
      </c>
      <c r="BB31" s="185" t="e">
        <f t="shared" si="7"/>
        <v>#N/A</v>
      </c>
    </row>
    <row r="32" spans="2:54">
      <c r="B32" s="471"/>
      <c r="C32" s="185">
        <v>26</v>
      </c>
      <c r="D32" s="185"/>
      <c r="E32" s="185"/>
      <c r="F32" s="185"/>
      <c r="G32" s="185"/>
      <c r="H32" s="465"/>
      <c r="I32" s="185"/>
      <c r="J32" s="185"/>
      <c r="K32" s="185"/>
      <c r="L32" s="452"/>
      <c r="M32" s="169" t="e">
        <f>RANK(K32, $K$7:K$36)</f>
        <v>#N/A</v>
      </c>
      <c r="N32" s="454"/>
      <c r="O32" s="454"/>
      <c r="P32" s="185"/>
      <c r="Q32" s="185"/>
      <c r="R32" s="185"/>
      <c r="S32" s="185" t="e">
        <f t="shared" si="0"/>
        <v>#N/A</v>
      </c>
      <c r="T32" s="465"/>
      <c r="U32" s="185"/>
      <c r="V32" s="185"/>
      <c r="W32" s="185"/>
      <c r="X32" s="185" t="e">
        <f t="shared" si="1"/>
        <v>#N/A</v>
      </c>
      <c r="Y32" s="465"/>
      <c r="Z32" s="185"/>
      <c r="AA32" s="185"/>
      <c r="AB32" s="185"/>
      <c r="AC32" s="185" t="e">
        <f t="shared" si="2"/>
        <v>#N/A</v>
      </c>
      <c r="AD32" s="465"/>
      <c r="AE32" s="185"/>
      <c r="AF32" s="185"/>
      <c r="AG32" s="185"/>
      <c r="AH32" s="185" t="e">
        <f t="shared" si="3"/>
        <v>#N/A</v>
      </c>
      <c r="AI32" s="465"/>
      <c r="AJ32" s="185"/>
      <c r="AK32" s="185"/>
      <c r="AL32" s="185"/>
      <c r="AM32" s="185" t="e">
        <f t="shared" si="4"/>
        <v>#N/A</v>
      </c>
      <c r="AN32" s="465"/>
      <c r="AO32" s="185"/>
      <c r="AP32" s="185"/>
      <c r="AQ32" s="185"/>
      <c r="AR32" s="185" t="e">
        <f t="shared" si="5"/>
        <v>#N/A</v>
      </c>
      <c r="AS32" s="465"/>
      <c r="AT32" s="185"/>
      <c r="AU32" s="185"/>
      <c r="AV32" s="185"/>
      <c r="AW32" s="185" t="e">
        <f t="shared" si="6"/>
        <v>#N/A</v>
      </c>
      <c r="AX32" s="465"/>
      <c r="AZ32" s="169" t="e">
        <f>RANK(AX32, $K$7:AX$36)</f>
        <v>#N/A</v>
      </c>
      <c r="BB32" s="185" t="e">
        <f t="shared" si="7"/>
        <v>#N/A</v>
      </c>
    </row>
    <row r="33" spans="2:54">
      <c r="B33" s="471"/>
      <c r="C33" s="185">
        <v>27</v>
      </c>
      <c r="D33" s="185"/>
      <c r="E33" s="185"/>
      <c r="F33" s="185"/>
      <c r="G33" s="185"/>
      <c r="H33" s="465"/>
      <c r="I33" s="185"/>
      <c r="J33" s="185"/>
      <c r="K33" s="185"/>
      <c r="L33" s="452"/>
      <c r="M33" s="169" t="e">
        <f>RANK(K33, $K$7:K$36)</f>
        <v>#N/A</v>
      </c>
      <c r="N33" s="454"/>
      <c r="O33" s="454"/>
      <c r="P33" s="185"/>
      <c r="Q33" s="185"/>
      <c r="R33" s="185"/>
      <c r="S33" s="185" t="e">
        <f t="shared" si="0"/>
        <v>#N/A</v>
      </c>
      <c r="T33" s="465"/>
      <c r="U33" s="185"/>
      <c r="V33" s="185"/>
      <c r="W33" s="185"/>
      <c r="X33" s="185" t="e">
        <f t="shared" si="1"/>
        <v>#N/A</v>
      </c>
      <c r="Y33" s="465"/>
      <c r="Z33" s="185"/>
      <c r="AA33" s="185"/>
      <c r="AB33" s="185"/>
      <c r="AC33" s="185" t="e">
        <f t="shared" si="2"/>
        <v>#N/A</v>
      </c>
      <c r="AD33" s="465"/>
      <c r="AE33" s="185"/>
      <c r="AF33" s="185"/>
      <c r="AG33" s="185"/>
      <c r="AH33" s="185" t="e">
        <f t="shared" si="3"/>
        <v>#N/A</v>
      </c>
      <c r="AI33" s="465"/>
      <c r="AJ33" s="185"/>
      <c r="AK33" s="185"/>
      <c r="AL33" s="185"/>
      <c r="AM33" s="185" t="e">
        <f t="shared" si="4"/>
        <v>#N/A</v>
      </c>
      <c r="AN33" s="465"/>
      <c r="AO33" s="185"/>
      <c r="AP33" s="185"/>
      <c r="AQ33" s="185"/>
      <c r="AR33" s="185" t="e">
        <f t="shared" si="5"/>
        <v>#N/A</v>
      </c>
      <c r="AS33" s="465"/>
      <c r="AT33" s="185"/>
      <c r="AU33" s="185"/>
      <c r="AV33" s="185"/>
      <c r="AW33" s="185" t="e">
        <f t="shared" si="6"/>
        <v>#N/A</v>
      </c>
      <c r="AX33" s="465"/>
      <c r="AZ33" s="169" t="e">
        <f>RANK(AX33, $K$7:AX$36)</f>
        <v>#N/A</v>
      </c>
      <c r="BB33" s="185" t="e">
        <f t="shared" si="7"/>
        <v>#N/A</v>
      </c>
    </row>
    <row r="34" spans="2:54">
      <c r="B34" s="471"/>
      <c r="C34" s="185">
        <v>28</v>
      </c>
      <c r="D34" s="185"/>
      <c r="E34" s="185"/>
      <c r="F34" s="185"/>
      <c r="G34" s="185"/>
      <c r="H34" s="465"/>
      <c r="I34" s="185"/>
      <c r="J34" s="185"/>
      <c r="K34" s="185"/>
      <c r="L34" s="452"/>
      <c r="M34" s="169" t="e">
        <f>RANK(K34, $K$7:K$36)</f>
        <v>#N/A</v>
      </c>
      <c r="N34" s="454"/>
      <c r="O34" s="454"/>
      <c r="P34" s="185"/>
      <c r="Q34" s="185"/>
      <c r="R34" s="185"/>
      <c r="S34" s="185" t="e">
        <f t="shared" si="0"/>
        <v>#N/A</v>
      </c>
      <c r="T34" s="465"/>
      <c r="U34" s="185"/>
      <c r="V34" s="185"/>
      <c r="W34" s="185"/>
      <c r="X34" s="185" t="e">
        <f t="shared" si="1"/>
        <v>#N/A</v>
      </c>
      <c r="Y34" s="465"/>
      <c r="Z34" s="185"/>
      <c r="AA34" s="185"/>
      <c r="AB34" s="185"/>
      <c r="AC34" s="185" t="e">
        <f t="shared" si="2"/>
        <v>#N/A</v>
      </c>
      <c r="AD34" s="465"/>
      <c r="AE34" s="185"/>
      <c r="AF34" s="185"/>
      <c r="AG34" s="185"/>
      <c r="AH34" s="185" t="e">
        <f t="shared" si="3"/>
        <v>#N/A</v>
      </c>
      <c r="AI34" s="465"/>
      <c r="AJ34" s="185"/>
      <c r="AK34" s="185"/>
      <c r="AL34" s="185"/>
      <c r="AM34" s="185" t="e">
        <f t="shared" si="4"/>
        <v>#N/A</v>
      </c>
      <c r="AN34" s="465"/>
      <c r="AO34" s="185"/>
      <c r="AP34" s="185"/>
      <c r="AQ34" s="185"/>
      <c r="AR34" s="185" t="e">
        <f t="shared" si="5"/>
        <v>#N/A</v>
      </c>
      <c r="AS34" s="465"/>
      <c r="AT34" s="185"/>
      <c r="AU34" s="185"/>
      <c r="AV34" s="185"/>
      <c r="AW34" s="185" t="e">
        <f t="shared" si="6"/>
        <v>#N/A</v>
      </c>
      <c r="AX34" s="465"/>
      <c r="AZ34" s="169" t="e">
        <f>RANK(AX34, $K$7:AX$36)</f>
        <v>#N/A</v>
      </c>
      <c r="BB34" s="185" t="e">
        <f t="shared" si="7"/>
        <v>#N/A</v>
      </c>
    </row>
    <row r="35" spans="2:54">
      <c r="B35" s="471"/>
      <c r="C35" s="185">
        <v>29</v>
      </c>
      <c r="D35" s="185"/>
      <c r="E35" s="185"/>
      <c r="F35" s="185"/>
      <c r="G35" s="185"/>
      <c r="H35" s="465"/>
      <c r="I35" s="185"/>
      <c r="J35" s="185"/>
      <c r="K35" s="185"/>
      <c r="L35" s="452"/>
      <c r="M35" s="169" t="e">
        <f>RANK(K35, $K$7:K$36)</f>
        <v>#N/A</v>
      </c>
      <c r="N35" s="454"/>
      <c r="O35" s="454"/>
      <c r="P35" s="185"/>
      <c r="Q35" s="185"/>
      <c r="R35" s="185"/>
      <c r="S35" s="185" t="e">
        <f t="shared" si="0"/>
        <v>#N/A</v>
      </c>
      <c r="T35" s="465"/>
      <c r="U35" s="185"/>
      <c r="V35" s="185"/>
      <c r="W35" s="185"/>
      <c r="X35" s="185" t="e">
        <f t="shared" si="1"/>
        <v>#N/A</v>
      </c>
      <c r="Y35" s="465"/>
      <c r="Z35" s="185"/>
      <c r="AA35" s="185"/>
      <c r="AB35" s="185"/>
      <c r="AC35" s="185" t="e">
        <f t="shared" si="2"/>
        <v>#N/A</v>
      </c>
      <c r="AD35" s="465"/>
      <c r="AE35" s="185"/>
      <c r="AF35" s="185"/>
      <c r="AG35" s="185"/>
      <c r="AH35" s="185" t="e">
        <f t="shared" si="3"/>
        <v>#N/A</v>
      </c>
      <c r="AI35" s="465"/>
      <c r="AJ35" s="185"/>
      <c r="AK35" s="185"/>
      <c r="AL35" s="185"/>
      <c r="AM35" s="185" t="e">
        <f t="shared" si="4"/>
        <v>#N/A</v>
      </c>
      <c r="AN35" s="465"/>
      <c r="AO35" s="185"/>
      <c r="AP35" s="185"/>
      <c r="AQ35" s="185"/>
      <c r="AR35" s="185" t="e">
        <f t="shared" si="5"/>
        <v>#N/A</v>
      </c>
      <c r="AS35" s="465"/>
      <c r="AT35" s="185"/>
      <c r="AU35" s="185"/>
      <c r="AV35" s="185"/>
      <c r="AW35" s="185" t="e">
        <f t="shared" si="6"/>
        <v>#N/A</v>
      </c>
      <c r="AX35" s="465"/>
      <c r="AZ35" s="169" t="e">
        <f>RANK(AX35, $K$7:AX$36)</f>
        <v>#N/A</v>
      </c>
      <c r="BB35" s="185" t="e">
        <f t="shared" si="7"/>
        <v>#N/A</v>
      </c>
    </row>
    <row r="36" spans="2:54">
      <c r="B36" s="471"/>
      <c r="C36" s="185">
        <v>30</v>
      </c>
      <c r="D36" s="185"/>
      <c r="E36" s="185"/>
      <c r="F36" s="185"/>
      <c r="G36" s="185"/>
      <c r="H36" s="466"/>
      <c r="I36" s="185"/>
      <c r="J36" s="185"/>
      <c r="K36" s="185"/>
      <c r="L36" s="453"/>
      <c r="M36" s="169" t="e">
        <f>RANK(K36, $K$7:K$36)</f>
        <v>#N/A</v>
      </c>
      <c r="N36" s="454"/>
      <c r="O36" s="454"/>
      <c r="P36" s="185"/>
      <c r="Q36" s="185"/>
      <c r="R36" s="185"/>
      <c r="S36" s="185" t="e">
        <f t="shared" si="0"/>
        <v>#N/A</v>
      </c>
      <c r="T36" s="466"/>
      <c r="U36" s="185"/>
      <c r="V36" s="185"/>
      <c r="W36" s="185"/>
      <c r="X36" s="185" t="e">
        <f t="shared" si="1"/>
        <v>#N/A</v>
      </c>
      <c r="Y36" s="466"/>
      <c r="Z36" s="185"/>
      <c r="AA36" s="185"/>
      <c r="AB36" s="185"/>
      <c r="AC36" s="185" t="e">
        <f t="shared" si="2"/>
        <v>#N/A</v>
      </c>
      <c r="AD36" s="466"/>
      <c r="AE36" s="185"/>
      <c r="AF36" s="185"/>
      <c r="AG36" s="185"/>
      <c r="AH36" s="185" t="e">
        <f t="shared" si="3"/>
        <v>#N/A</v>
      </c>
      <c r="AI36" s="466"/>
      <c r="AJ36" s="185"/>
      <c r="AK36" s="185"/>
      <c r="AL36" s="185"/>
      <c r="AM36" s="185" t="e">
        <f t="shared" si="4"/>
        <v>#N/A</v>
      </c>
      <c r="AN36" s="466"/>
      <c r="AO36" s="185"/>
      <c r="AP36" s="185"/>
      <c r="AQ36" s="185"/>
      <c r="AR36" s="185" t="e">
        <f t="shared" si="5"/>
        <v>#N/A</v>
      </c>
      <c r="AS36" s="466"/>
      <c r="AT36" s="185"/>
      <c r="AU36" s="185"/>
      <c r="AV36" s="185"/>
      <c r="AW36" s="185" t="e">
        <f t="shared" si="6"/>
        <v>#N/A</v>
      </c>
      <c r="AX36" s="466"/>
      <c r="AZ36" s="169" t="e">
        <f>RANK(AX36, $K$7:AX$36)</f>
        <v>#N/A</v>
      </c>
      <c r="BB36" s="185" t="e">
        <f t="shared" si="7"/>
        <v>#N/A</v>
      </c>
    </row>
    <row r="37" spans="2:54" ht="15.75">
      <c r="B37" s="481" t="s">
        <v>201</v>
      </c>
      <c r="C37" s="482"/>
      <c r="D37" s="482"/>
      <c r="E37" s="482"/>
      <c r="F37" s="482"/>
      <c r="G37" s="482"/>
      <c r="H37" s="482"/>
      <c r="I37" s="186"/>
      <c r="J37" s="186"/>
      <c r="K37" s="186"/>
      <c r="L37" s="186"/>
      <c r="M37" s="181"/>
      <c r="N37" s="461" t="s">
        <v>202</v>
      </c>
      <c r="O37" s="461" t="s">
        <v>150</v>
      </c>
      <c r="P37" s="483">
        <f>AT2+1</f>
        <v>45965</v>
      </c>
      <c r="Q37" s="484"/>
      <c r="R37" s="484"/>
      <c r="S37" s="484"/>
      <c r="T37" s="484"/>
      <c r="U37" s="470">
        <f>P37+1</f>
        <v>45966</v>
      </c>
      <c r="V37" s="471"/>
      <c r="W37" s="471"/>
      <c r="X37" s="471"/>
      <c r="Y37" s="471"/>
      <c r="Z37" s="470">
        <f>U37+1</f>
        <v>45967</v>
      </c>
      <c r="AA37" s="471"/>
      <c r="AB37" s="471"/>
      <c r="AC37" s="471"/>
      <c r="AD37" s="471"/>
      <c r="AE37" s="470">
        <f>Z37+1</f>
        <v>45968</v>
      </c>
      <c r="AF37" s="471"/>
      <c r="AG37" s="471"/>
      <c r="AH37" s="471"/>
      <c r="AI37" s="471"/>
      <c r="AJ37" s="470">
        <f>AE37+1</f>
        <v>45969</v>
      </c>
      <c r="AK37" s="471"/>
      <c r="AL37" s="471"/>
      <c r="AM37" s="471"/>
      <c r="AN37" s="471"/>
      <c r="AO37" s="470">
        <f>AJ37+1</f>
        <v>45970</v>
      </c>
      <c r="AP37" s="471"/>
      <c r="AQ37" s="471"/>
      <c r="AR37" s="471"/>
      <c r="AS37" s="471"/>
      <c r="AT37" s="470">
        <f>AO37+1</f>
        <v>45971</v>
      </c>
      <c r="AU37" s="471"/>
      <c r="AV37" s="471"/>
      <c r="AW37" s="471"/>
      <c r="AX37" s="471"/>
    </row>
    <row r="38" spans="2:54" ht="15.75">
      <c r="B38" s="474"/>
      <c r="C38" s="474"/>
      <c r="D38" s="474"/>
      <c r="E38" s="474"/>
      <c r="F38" s="474"/>
      <c r="G38" s="474"/>
      <c r="H38" s="474"/>
      <c r="I38" s="187"/>
      <c r="J38" s="187"/>
      <c r="K38" s="187"/>
      <c r="L38" s="187"/>
      <c r="M38" s="182"/>
      <c r="N38" s="463"/>
      <c r="O38" s="463"/>
      <c r="P38" s="470" t="s">
        <v>203</v>
      </c>
      <c r="Q38" s="471"/>
      <c r="R38" s="471"/>
      <c r="S38" s="471"/>
      <c r="T38" s="471"/>
      <c r="U38" s="470" t="s">
        <v>204</v>
      </c>
      <c r="V38" s="471"/>
      <c r="W38" s="471"/>
      <c r="X38" s="471"/>
      <c r="Y38" s="471"/>
      <c r="Z38" s="470" t="s">
        <v>205</v>
      </c>
      <c r="AA38" s="471"/>
      <c r="AB38" s="471"/>
      <c r="AC38" s="471"/>
      <c r="AD38" s="471"/>
      <c r="AE38" s="470" t="s">
        <v>206</v>
      </c>
      <c r="AF38" s="471"/>
      <c r="AG38" s="471"/>
      <c r="AH38" s="471"/>
      <c r="AI38" s="471"/>
      <c r="AJ38" s="470" t="s">
        <v>207</v>
      </c>
      <c r="AK38" s="471"/>
      <c r="AL38" s="471"/>
      <c r="AM38" s="471"/>
      <c r="AN38" s="471"/>
      <c r="AO38" s="470" t="s">
        <v>157</v>
      </c>
      <c r="AP38" s="471"/>
      <c r="AQ38" s="471"/>
      <c r="AR38" s="471"/>
      <c r="AS38" s="471"/>
      <c r="AT38" s="470" t="s">
        <v>208</v>
      </c>
      <c r="AU38" s="471"/>
      <c r="AV38" s="471"/>
      <c r="AW38" s="471"/>
      <c r="AX38" s="471"/>
    </row>
    <row r="39" spans="2:54">
      <c r="B39" s="461" t="s">
        <v>209</v>
      </c>
      <c r="C39" s="455" t="s">
        <v>210</v>
      </c>
      <c r="D39" s="475"/>
      <c r="E39" s="458" t="s">
        <v>211</v>
      </c>
      <c r="F39" s="459"/>
      <c r="G39" s="460"/>
      <c r="H39" s="461" t="s">
        <v>212</v>
      </c>
      <c r="I39" s="458" t="s">
        <v>213</v>
      </c>
      <c r="J39" s="459"/>
      <c r="K39" s="460"/>
      <c r="L39" s="461" t="s">
        <v>212</v>
      </c>
      <c r="M39" s="461" t="s">
        <v>214</v>
      </c>
      <c r="N39" s="461"/>
      <c r="O39" s="461" t="s">
        <v>215</v>
      </c>
      <c r="P39" s="458" t="s">
        <v>216</v>
      </c>
      <c r="Q39" s="459"/>
      <c r="R39" s="459"/>
      <c r="S39" s="460"/>
      <c r="T39" s="461" t="s">
        <v>212</v>
      </c>
      <c r="U39" s="458" t="s">
        <v>216</v>
      </c>
      <c r="V39" s="459"/>
      <c r="W39" s="459"/>
      <c r="X39" s="460"/>
      <c r="Y39" s="461" t="s">
        <v>212</v>
      </c>
      <c r="Z39" s="458" t="s">
        <v>216</v>
      </c>
      <c r="AA39" s="459"/>
      <c r="AB39" s="459"/>
      <c r="AC39" s="460"/>
      <c r="AD39" s="461" t="s">
        <v>212</v>
      </c>
      <c r="AE39" s="458" t="s">
        <v>216</v>
      </c>
      <c r="AF39" s="459"/>
      <c r="AG39" s="459"/>
      <c r="AH39" s="460"/>
      <c r="AI39" s="461" t="s">
        <v>212</v>
      </c>
      <c r="AJ39" s="458" t="s">
        <v>216</v>
      </c>
      <c r="AK39" s="459"/>
      <c r="AL39" s="459"/>
      <c r="AM39" s="460"/>
      <c r="AN39" s="461" t="s">
        <v>212</v>
      </c>
      <c r="AO39" s="458" t="s">
        <v>216</v>
      </c>
      <c r="AP39" s="459"/>
      <c r="AQ39" s="459"/>
      <c r="AR39" s="460"/>
      <c r="AS39" s="461" t="s">
        <v>212</v>
      </c>
      <c r="AT39" s="458" t="s">
        <v>216</v>
      </c>
      <c r="AU39" s="459"/>
      <c r="AV39" s="459"/>
      <c r="AW39" s="460"/>
      <c r="AX39" s="461" t="s">
        <v>212</v>
      </c>
    </row>
    <row r="40" spans="2:54">
      <c r="B40" s="462"/>
      <c r="C40" s="456"/>
      <c r="D40" s="476"/>
      <c r="E40" s="458" t="s">
        <v>217</v>
      </c>
      <c r="F40" s="459"/>
      <c r="G40" s="460"/>
      <c r="H40" s="462"/>
      <c r="I40" s="458" t="s">
        <v>217</v>
      </c>
      <c r="J40" s="459"/>
      <c r="K40" s="460"/>
      <c r="L40" s="462"/>
      <c r="M40" s="462"/>
      <c r="N40" s="462"/>
      <c r="O40" s="462"/>
      <c r="P40" s="458" t="s">
        <v>218</v>
      </c>
      <c r="Q40" s="459"/>
      <c r="R40" s="459"/>
      <c r="S40" s="460"/>
      <c r="T40" s="462"/>
      <c r="U40" s="458" t="s">
        <v>218</v>
      </c>
      <c r="V40" s="459"/>
      <c r="W40" s="459"/>
      <c r="X40" s="460"/>
      <c r="Y40" s="462"/>
      <c r="Z40" s="458" t="s">
        <v>218</v>
      </c>
      <c r="AA40" s="459"/>
      <c r="AB40" s="459"/>
      <c r="AC40" s="460"/>
      <c r="AD40" s="462"/>
      <c r="AE40" s="458" t="s">
        <v>218</v>
      </c>
      <c r="AF40" s="459"/>
      <c r="AG40" s="459"/>
      <c r="AH40" s="460"/>
      <c r="AI40" s="462"/>
      <c r="AJ40" s="458" t="s">
        <v>218</v>
      </c>
      <c r="AK40" s="459"/>
      <c r="AL40" s="459"/>
      <c r="AM40" s="460"/>
      <c r="AN40" s="462"/>
      <c r="AO40" s="458" t="s">
        <v>218</v>
      </c>
      <c r="AP40" s="459"/>
      <c r="AQ40" s="459"/>
      <c r="AR40" s="460"/>
      <c r="AS40" s="462"/>
      <c r="AT40" s="458" t="s">
        <v>218</v>
      </c>
      <c r="AU40" s="459"/>
      <c r="AV40" s="459"/>
      <c r="AW40" s="460"/>
      <c r="AX40" s="462"/>
    </row>
    <row r="41" spans="2:54">
      <c r="B41" s="463"/>
      <c r="C41" s="457"/>
      <c r="D41" s="477"/>
      <c r="E41" s="275" t="s">
        <v>219</v>
      </c>
      <c r="F41" s="275" t="s">
        <v>220</v>
      </c>
      <c r="G41" s="275" t="s">
        <v>221</v>
      </c>
      <c r="H41" s="463"/>
      <c r="I41" s="275" t="s">
        <v>219</v>
      </c>
      <c r="J41" s="275" t="s">
        <v>220</v>
      </c>
      <c r="K41" s="275" t="s">
        <v>221</v>
      </c>
      <c r="L41" s="463"/>
      <c r="M41" s="463"/>
      <c r="N41" s="462"/>
      <c r="O41" s="462"/>
      <c r="P41" s="275" t="s">
        <v>219</v>
      </c>
      <c r="Q41" s="275" t="s">
        <v>220</v>
      </c>
      <c r="R41" s="275" t="s">
        <v>221</v>
      </c>
      <c r="S41" s="275" t="s">
        <v>214</v>
      </c>
      <c r="T41" s="463"/>
      <c r="U41" s="275" t="s">
        <v>219</v>
      </c>
      <c r="V41" s="275" t="s">
        <v>220</v>
      </c>
      <c r="W41" s="275" t="s">
        <v>221</v>
      </c>
      <c r="X41" s="275" t="s">
        <v>214</v>
      </c>
      <c r="Y41" s="463"/>
      <c r="Z41" s="275" t="s">
        <v>219</v>
      </c>
      <c r="AA41" s="275" t="s">
        <v>220</v>
      </c>
      <c r="AB41" s="275" t="s">
        <v>221</v>
      </c>
      <c r="AC41" s="275" t="s">
        <v>214</v>
      </c>
      <c r="AD41" s="463"/>
      <c r="AE41" s="275" t="s">
        <v>219</v>
      </c>
      <c r="AF41" s="275" t="s">
        <v>220</v>
      </c>
      <c r="AG41" s="275" t="s">
        <v>221</v>
      </c>
      <c r="AH41" s="275" t="s">
        <v>214</v>
      </c>
      <c r="AI41" s="463"/>
      <c r="AJ41" s="275" t="s">
        <v>219</v>
      </c>
      <c r="AK41" s="275" t="s">
        <v>220</v>
      </c>
      <c r="AL41" s="275" t="s">
        <v>221</v>
      </c>
      <c r="AM41" s="275" t="s">
        <v>214</v>
      </c>
      <c r="AN41" s="463"/>
      <c r="AO41" s="275" t="s">
        <v>219</v>
      </c>
      <c r="AP41" s="275" t="s">
        <v>220</v>
      </c>
      <c r="AQ41" s="275" t="s">
        <v>221</v>
      </c>
      <c r="AR41" s="275" t="s">
        <v>214</v>
      </c>
      <c r="AS41" s="463"/>
      <c r="AT41" s="275" t="s">
        <v>219</v>
      </c>
      <c r="AU41" s="275" t="s">
        <v>220</v>
      </c>
      <c r="AV41" s="275" t="s">
        <v>221</v>
      </c>
      <c r="AW41" s="275" t="s">
        <v>214</v>
      </c>
      <c r="AX41" s="463"/>
    </row>
    <row r="42" spans="2:54">
      <c r="B42" s="478" t="s">
        <v>222</v>
      </c>
      <c r="C42" s="185">
        <v>1</v>
      </c>
      <c r="D42" s="185" t="s">
        <v>223</v>
      </c>
      <c r="E42" s="185">
        <v>4</v>
      </c>
      <c r="F42" s="169">
        <v>2200</v>
      </c>
      <c r="G42" s="169">
        <v>550</v>
      </c>
      <c r="H42" s="464">
        <f>AVERAGE(G42:G71)</f>
        <v>846.96969696969688</v>
      </c>
      <c r="I42" s="169">
        <f>AVERAGE(P42,U42,Z42,AE42,AJ42,AO42,AT42)</f>
        <v>4</v>
      </c>
      <c r="J42" s="169">
        <f>AVERAGE(Q42,V42,AA42,AF42,AK42,AP42,AU42)</f>
        <v>3238.1318628266622</v>
      </c>
      <c r="K42" s="183">
        <f>AVERAGE(R42,W42,AB42,AG42,AL42,AQ42,AV42)</f>
        <v>809.53296570666555</v>
      </c>
      <c r="L42" s="464">
        <f>IFERROR(AVERAGE(K42:K71),"-")</f>
        <v>748.13358191012185</v>
      </c>
      <c r="M42" s="169">
        <f>RANK(K42, K$42:$K$71)</f>
        <v>7</v>
      </c>
      <c r="N42" s="462"/>
      <c r="O42" s="462"/>
      <c r="P42" s="356">
        <v>4</v>
      </c>
      <c r="Q42" s="169">
        <v>3175.3846153846171</v>
      </c>
      <c r="R42" s="169">
        <v>793.84615384615427</v>
      </c>
      <c r="S42" s="185">
        <f t="shared" ref="S42:S71" si="11">RANK(R42, R$42:R$71)</f>
        <v>8</v>
      </c>
      <c r="T42" s="464">
        <f>AVERAGE(R42:R71)</f>
        <v>752.82350893629484</v>
      </c>
      <c r="U42" s="169">
        <v>4</v>
      </c>
      <c r="V42" s="169">
        <v>3305.8064516129043</v>
      </c>
      <c r="W42" s="169">
        <v>826.45161290322608</v>
      </c>
      <c r="X42" s="185">
        <f t="shared" ref="X42:X71" si="12">RANK(W42, W$42:W$71)</f>
        <v>9</v>
      </c>
      <c r="Y42" s="464">
        <f>AVERAGE(W42:W71)</f>
        <v>769.57326558256432</v>
      </c>
      <c r="Z42" s="169">
        <v>4</v>
      </c>
      <c r="AA42" s="169">
        <v>3189.0000000000009</v>
      </c>
      <c r="AB42" s="169">
        <v>797.25000000000023</v>
      </c>
      <c r="AC42" s="185">
        <f t="shared" ref="AC42:AC71" si="13">RANK(AB42, AB$42:AB$71)</f>
        <v>6</v>
      </c>
      <c r="AD42" s="464">
        <f>AVERAGE(AB42:AB71)</f>
        <v>688.28394824398288</v>
      </c>
      <c r="AE42" s="169">
        <v>4</v>
      </c>
      <c r="AF42" s="169">
        <v>3220.7999999999988</v>
      </c>
      <c r="AG42" s="169">
        <v>805.1999999999997</v>
      </c>
      <c r="AH42" s="185">
        <f t="shared" ref="AH42:AH71" si="14">RANK(AG42, AG$42:AG$71)</f>
        <v>8</v>
      </c>
      <c r="AI42" s="464">
        <f>AVERAGE(AG42:AG71)</f>
        <v>758.3735921012144</v>
      </c>
      <c r="AJ42" s="169">
        <v>4</v>
      </c>
      <c r="AK42" s="169">
        <v>3194.6938775510184</v>
      </c>
      <c r="AL42" s="169">
        <v>798.67346938775461</v>
      </c>
      <c r="AM42" s="185">
        <f t="shared" ref="AM42:AM71" si="15">RANK(AL42, AL$42:AL$71)</f>
        <v>8</v>
      </c>
      <c r="AN42" s="464">
        <f>AVERAGE(AL42:AL71)</f>
        <v>743.37712640021448</v>
      </c>
      <c r="AO42" s="169">
        <v>4</v>
      </c>
      <c r="AP42" s="169">
        <v>3275.2380952380945</v>
      </c>
      <c r="AQ42" s="169">
        <v>818.80952380952363</v>
      </c>
      <c r="AR42" s="185">
        <f t="shared" ref="AR42:AR71" si="16">RANK(AQ42, AQ$42:AQ$71)</f>
        <v>8</v>
      </c>
      <c r="AS42" s="464">
        <f>AVERAGE(AQ42:AQ71)</f>
        <v>770.76415366083813</v>
      </c>
      <c r="AT42" s="169">
        <v>4</v>
      </c>
      <c r="AU42" s="169">
        <v>3306.0000000000009</v>
      </c>
      <c r="AV42" s="169">
        <v>826.50000000000023</v>
      </c>
      <c r="AW42" s="185">
        <f t="shared" ref="AW42:AW71" si="17">RANK(AV42, AV$42:AV$71)</f>
        <v>7</v>
      </c>
      <c r="AX42" s="464">
        <f>AVERAGE(AV42:AV71)</f>
        <v>753.73947844574286</v>
      </c>
    </row>
    <row r="43" spans="2:54">
      <c r="B43" s="479"/>
      <c r="C43" s="185">
        <v>2</v>
      </c>
      <c r="D43" s="185" t="s">
        <v>224</v>
      </c>
      <c r="E43" s="185">
        <v>3</v>
      </c>
      <c r="F43" s="169">
        <v>2700</v>
      </c>
      <c r="G43" s="169">
        <v>900</v>
      </c>
      <c r="H43" s="465"/>
      <c r="I43" s="169">
        <f t="shared" ref="I43:I60" si="18">AVERAGE(P43,U43,Z43,AE43,AJ43,AO43,AT43)</f>
        <v>3</v>
      </c>
      <c r="J43" s="169">
        <f t="shared" ref="J43:J60" si="19">AVERAGE(Q43,V43,AA43,AF43,AK43,AP43,AU43)</f>
        <v>2831.2473306360193</v>
      </c>
      <c r="K43" s="183">
        <f t="shared" ref="K43:K60" si="20">AVERAGE(R43,W43,AB43,AG43,AL43,AQ43,AV43)</f>
        <v>943.74911021200626</v>
      </c>
      <c r="L43" s="465"/>
      <c r="M43" s="169">
        <f>RANK(K43, K$42:$K$71)</f>
        <v>2</v>
      </c>
      <c r="N43" s="462"/>
      <c r="O43" s="462"/>
      <c r="P43" s="169">
        <v>3</v>
      </c>
      <c r="Q43" s="169">
        <v>2749.5652173913045</v>
      </c>
      <c r="R43" s="169">
        <v>916.52173913043487</v>
      </c>
      <c r="S43" s="185">
        <f t="shared" si="11"/>
        <v>4</v>
      </c>
      <c r="T43" s="465"/>
      <c r="U43" s="169">
        <v>3</v>
      </c>
      <c r="V43" s="169">
        <v>2874.5454545454545</v>
      </c>
      <c r="W43" s="169">
        <v>958.18181818181813</v>
      </c>
      <c r="X43" s="185">
        <f t="shared" si="12"/>
        <v>2</v>
      </c>
      <c r="Y43" s="465"/>
      <c r="Z43" s="169">
        <v>3</v>
      </c>
      <c r="AA43" s="169">
        <v>2700</v>
      </c>
      <c r="AB43" s="169">
        <v>900</v>
      </c>
      <c r="AC43" s="185">
        <f t="shared" si="13"/>
        <v>5</v>
      </c>
      <c r="AD43" s="465"/>
      <c r="AE43" s="169">
        <v>3</v>
      </c>
      <c r="AF43" s="169">
        <v>2870.5263157894715</v>
      </c>
      <c r="AG43" s="169">
        <v>956.84210526315712</v>
      </c>
      <c r="AH43" s="185">
        <f t="shared" si="14"/>
        <v>3</v>
      </c>
      <c r="AI43" s="465"/>
      <c r="AJ43" s="169">
        <v>3</v>
      </c>
      <c r="AK43" s="169">
        <v>2785.2631578947344</v>
      </c>
      <c r="AL43" s="169">
        <v>928.42105263157816</v>
      </c>
      <c r="AM43" s="185">
        <f t="shared" si="15"/>
        <v>3</v>
      </c>
      <c r="AN43" s="465"/>
      <c r="AO43" s="169">
        <v>3</v>
      </c>
      <c r="AP43" s="169">
        <v>2904.5454545454545</v>
      </c>
      <c r="AQ43" s="169">
        <v>968.18181818181813</v>
      </c>
      <c r="AR43" s="185">
        <f t="shared" si="16"/>
        <v>3</v>
      </c>
      <c r="AS43" s="465"/>
      <c r="AT43" s="169">
        <v>3</v>
      </c>
      <c r="AU43" s="169">
        <v>2934.2857142857133</v>
      </c>
      <c r="AV43" s="169">
        <v>978.09523809523773</v>
      </c>
      <c r="AW43" s="185">
        <f t="shared" si="17"/>
        <v>2</v>
      </c>
      <c r="AX43" s="465"/>
    </row>
    <row r="44" spans="2:54">
      <c r="B44" s="479"/>
      <c r="C44" s="185">
        <v>3</v>
      </c>
      <c r="D44" s="185" t="s">
        <v>225</v>
      </c>
      <c r="E44" s="185">
        <v>4</v>
      </c>
      <c r="F44" s="169">
        <v>3600</v>
      </c>
      <c r="G44" s="169">
        <v>900</v>
      </c>
      <c r="H44" s="465"/>
      <c r="I44" s="169">
        <f t="shared" si="18"/>
        <v>4</v>
      </c>
      <c r="J44" s="169">
        <f t="shared" si="19"/>
        <v>3154.915966386553</v>
      </c>
      <c r="K44" s="183">
        <f t="shared" si="20"/>
        <v>788.72899159663825</v>
      </c>
      <c r="L44" s="465"/>
      <c r="M44" s="169">
        <f>RANK(K44, K$42:$K$71)</f>
        <v>10</v>
      </c>
      <c r="N44" s="462"/>
      <c r="O44" s="462"/>
      <c r="P44" s="169">
        <v>4</v>
      </c>
      <c r="Q44" s="169">
        <v>3152.9999999999991</v>
      </c>
      <c r="R44" s="169">
        <v>788.24999999999977</v>
      </c>
      <c r="S44" s="185">
        <f t="shared" si="11"/>
        <v>9</v>
      </c>
      <c r="T44" s="465"/>
      <c r="U44" s="169">
        <v>4</v>
      </c>
      <c r="V44" s="169">
        <v>3194.9999999999986</v>
      </c>
      <c r="W44" s="169">
        <v>798.74999999999966</v>
      </c>
      <c r="X44" s="185">
        <f t="shared" si="12"/>
        <v>10</v>
      </c>
      <c r="Y44" s="465"/>
      <c r="Z44" s="169">
        <v>4</v>
      </c>
      <c r="AA44" s="169">
        <v>3098.9999999999991</v>
      </c>
      <c r="AB44" s="169">
        <v>774.74999999999977</v>
      </c>
      <c r="AC44" s="185">
        <f t="shared" si="13"/>
        <v>9</v>
      </c>
      <c r="AD44" s="465"/>
      <c r="AE44" s="169">
        <v>4</v>
      </c>
      <c r="AF44" s="169">
        <v>3314.9999999999959</v>
      </c>
      <c r="AG44" s="169">
        <v>828.74999999999898</v>
      </c>
      <c r="AH44" s="185">
        <f t="shared" si="14"/>
        <v>7</v>
      </c>
      <c r="AI44" s="465"/>
      <c r="AJ44" s="169">
        <v>4</v>
      </c>
      <c r="AK44" s="169">
        <v>3049.4117647058783</v>
      </c>
      <c r="AL44" s="169">
        <v>762.35294117646959</v>
      </c>
      <c r="AM44" s="185">
        <f t="shared" si="15"/>
        <v>11</v>
      </c>
      <c r="AN44" s="465"/>
      <c r="AO44" s="169">
        <v>4</v>
      </c>
      <c r="AP44" s="169">
        <v>3197.9999999999991</v>
      </c>
      <c r="AQ44" s="169">
        <v>799.49999999999977</v>
      </c>
      <c r="AR44" s="185">
        <f t="shared" si="16"/>
        <v>10</v>
      </c>
      <c r="AS44" s="465"/>
      <c r="AT44" s="169">
        <v>4</v>
      </c>
      <c r="AU44" s="169">
        <v>3074.9999999999986</v>
      </c>
      <c r="AV44" s="169">
        <v>768.74999999999966</v>
      </c>
      <c r="AW44" s="185">
        <f t="shared" si="17"/>
        <v>12</v>
      </c>
      <c r="AX44" s="465"/>
    </row>
    <row r="45" spans="2:54">
      <c r="B45" s="479"/>
      <c r="C45" s="185">
        <v>4</v>
      </c>
      <c r="D45" s="185" t="s">
        <v>226</v>
      </c>
      <c r="E45" s="185">
        <v>3</v>
      </c>
      <c r="F45" s="169">
        <v>3600</v>
      </c>
      <c r="G45" s="169">
        <v>1200</v>
      </c>
      <c r="H45" s="465"/>
      <c r="I45" s="169">
        <f t="shared" si="18"/>
        <v>3</v>
      </c>
      <c r="J45" s="169">
        <f t="shared" si="19"/>
        <v>2875.9903961584664</v>
      </c>
      <c r="K45" s="183">
        <f t="shared" si="20"/>
        <v>958.66346538615551</v>
      </c>
      <c r="L45" s="465"/>
      <c r="M45" s="169">
        <f>RANK(K45, K$42:$K$71)</f>
        <v>1</v>
      </c>
      <c r="N45" s="462"/>
      <c r="O45" s="462"/>
      <c r="P45" s="169">
        <v>3</v>
      </c>
      <c r="Q45" s="169">
        <v>3419.9999999999955</v>
      </c>
      <c r="R45" s="169">
        <v>1139.9999999999984</v>
      </c>
      <c r="S45" s="185">
        <f t="shared" si="11"/>
        <v>1</v>
      </c>
      <c r="T45" s="465"/>
      <c r="U45" s="169">
        <v>3</v>
      </c>
      <c r="V45" s="169">
        <v>3405.0000000000118</v>
      </c>
      <c r="W45" s="169">
        <v>1135.0000000000039</v>
      </c>
      <c r="X45" s="185">
        <f t="shared" si="12"/>
        <v>1</v>
      </c>
      <c r="Y45" s="465"/>
      <c r="Z45" s="169">
        <v>3</v>
      </c>
      <c r="AA45" s="169">
        <v>377.64705882352968</v>
      </c>
      <c r="AB45" s="169">
        <v>125.88235294117656</v>
      </c>
      <c r="AC45" s="185">
        <f t="shared" si="13"/>
        <v>21</v>
      </c>
      <c r="AD45" s="465"/>
      <c r="AE45" s="169">
        <v>3</v>
      </c>
      <c r="AF45" s="169">
        <v>2914.2857142856915</v>
      </c>
      <c r="AG45" s="169">
        <v>971.42857142856383</v>
      </c>
      <c r="AH45" s="185">
        <f t="shared" si="14"/>
        <v>1</v>
      </c>
      <c r="AI45" s="465"/>
      <c r="AJ45" s="169">
        <v>3</v>
      </c>
      <c r="AK45" s="169">
        <v>3280.0000000000118</v>
      </c>
      <c r="AL45" s="169">
        <v>1093.3333333333374</v>
      </c>
      <c r="AM45" s="185">
        <f t="shared" si="15"/>
        <v>1</v>
      </c>
      <c r="AN45" s="465"/>
      <c r="AO45" s="169">
        <v>3</v>
      </c>
      <c r="AP45" s="169">
        <v>3435.0000000000123</v>
      </c>
      <c r="AQ45" s="169">
        <v>1145.0000000000041</v>
      </c>
      <c r="AR45" s="185">
        <f t="shared" si="16"/>
        <v>1</v>
      </c>
      <c r="AS45" s="465"/>
      <c r="AT45" s="169">
        <v>3</v>
      </c>
      <c r="AU45" s="169">
        <v>3300.0000000000118</v>
      </c>
      <c r="AV45" s="169">
        <v>1100.0000000000039</v>
      </c>
      <c r="AW45" s="185">
        <f t="shared" si="17"/>
        <v>1</v>
      </c>
      <c r="AX45" s="465"/>
    </row>
    <row r="46" spans="2:54">
      <c r="B46" s="479"/>
      <c r="C46" s="185">
        <v>5</v>
      </c>
      <c r="D46" s="185" t="s">
        <v>227</v>
      </c>
      <c r="E46" s="185">
        <v>3</v>
      </c>
      <c r="F46" s="169">
        <v>3600</v>
      </c>
      <c r="G46" s="169">
        <v>1200</v>
      </c>
      <c r="H46" s="465"/>
      <c r="I46" s="169">
        <f t="shared" si="18"/>
        <v>4</v>
      </c>
      <c r="J46" s="169">
        <f t="shared" si="19"/>
        <v>3031.2960820691883</v>
      </c>
      <c r="K46" s="183">
        <f t="shared" si="20"/>
        <v>757.82402051729707</v>
      </c>
      <c r="L46" s="465"/>
      <c r="M46" s="169">
        <f>RANK(K46, K$42:$K$71)</f>
        <v>12</v>
      </c>
      <c r="N46" s="462"/>
      <c r="O46" s="462"/>
      <c r="P46" s="169">
        <v>4</v>
      </c>
      <c r="Q46" s="169">
        <v>3094.285714285711</v>
      </c>
      <c r="R46" s="169">
        <v>773.57142857142776</v>
      </c>
      <c r="S46" s="185">
        <f t="shared" si="11"/>
        <v>10</v>
      </c>
      <c r="T46" s="465"/>
      <c r="U46" s="169">
        <v>4</v>
      </c>
      <c r="V46" s="169">
        <v>3113.1428571428542</v>
      </c>
      <c r="W46" s="169">
        <v>778.28571428571354</v>
      </c>
      <c r="X46" s="185">
        <f t="shared" si="12"/>
        <v>12</v>
      </c>
      <c r="Y46" s="465"/>
      <c r="Z46" s="169">
        <v>4</v>
      </c>
      <c r="AA46" s="169">
        <v>3021.1764705882315</v>
      </c>
      <c r="AB46" s="169">
        <v>755.29411764705787</v>
      </c>
      <c r="AC46" s="185">
        <f t="shared" si="13"/>
        <v>11</v>
      </c>
      <c r="AD46" s="465"/>
      <c r="AE46" s="169">
        <v>4</v>
      </c>
      <c r="AF46" s="169">
        <v>3160.0000000000014</v>
      </c>
      <c r="AG46" s="169">
        <v>790.00000000000034</v>
      </c>
      <c r="AH46" s="185">
        <f t="shared" si="14"/>
        <v>11</v>
      </c>
      <c r="AI46" s="465"/>
      <c r="AJ46" s="169">
        <v>4</v>
      </c>
      <c r="AK46" s="169">
        <v>2944.2857142857079</v>
      </c>
      <c r="AL46" s="169">
        <v>736.07142857142696</v>
      </c>
      <c r="AM46" s="185">
        <f t="shared" si="15"/>
        <v>13</v>
      </c>
      <c r="AN46" s="465"/>
      <c r="AO46" s="169">
        <v>4</v>
      </c>
      <c r="AP46" s="169">
        <v>2747.9999999999991</v>
      </c>
      <c r="AQ46" s="169">
        <v>686.99999999999977</v>
      </c>
      <c r="AR46" s="185">
        <f t="shared" si="16"/>
        <v>18</v>
      </c>
      <c r="AS46" s="465"/>
      <c r="AT46" s="169">
        <v>4</v>
      </c>
      <c r="AU46" s="169">
        <v>3138.1818181818139</v>
      </c>
      <c r="AV46" s="169">
        <v>784.54545454545348</v>
      </c>
      <c r="AW46" s="185">
        <f t="shared" si="17"/>
        <v>10</v>
      </c>
      <c r="AX46" s="465"/>
    </row>
    <row r="47" spans="2:54">
      <c r="B47" s="479"/>
      <c r="C47" s="185">
        <v>6</v>
      </c>
      <c r="D47" s="185" t="s">
        <v>228</v>
      </c>
      <c r="E47" s="185">
        <v>4</v>
      </c>
      <c r="F47" s="169">
        <v>3600</v>
      </c>
      <c r="G47" s="169">
        <v>900</v>
      </c>
      <c r="H47" s="465"/>
      <c r="I47" s="169">
        <f t="shared" si="18"/>
        <v>4</v>
      </c>
      <c r="J47" s="169">
        <f t="shared" si="19"/>
        <v>3165.6071428571508</v>
      </c>
      <c r="K47" s="183">
        <f t="shared" si="20"/>
        <v>791.40178571428771</v>
      </c>
      <c r="L47" s="465"/>
      <c r="M47" s="169">
        <f>RANK(K47, K$42:$K$71)</f>
        <v>8</v>
      </c>
      <c r="N47" s="462"/>
      <c r="O47" s="462"/>
      <c r="P47" s="169">
        <v>4</v>
      </c>
      <c r="Q47" s="169">
        <v>3056.2500000000105</v>
      </c>
      <c r="R47" s="169">
        <v>764.06250000000261</v>
      </c>
      <c r="S47" s="185">
        <f t="shared" si="11"/>
        <v>12</v>
      </c>
      <c r="T47" s="465"/>
      <c r="U47" s="169">
        <v>4</v>
      </c>
      <c r="V47" s="169">
        <v>3324.0000000000118</v>
      </c>
      <c r="W47" s="169">
        <v>831.00000000000296</v>
      </c>
      <c r="X47" s="185">
        <f t="shared" si="12"/>
        <v>8</v>
      </c>
      <c r="Y47" s="465"/>
      <c r="Z47" s="169">
        <v>4</v>
      </c>
      <c r="AA47" s="169">
        <v>3076.0000000000109</v>
      </c>
      <c r="AB47" s="169">
        <v>769.00000000000273</v>
      </c>
      <c r="AC47" s="185">
        <f t="shared" si="13"/>
        <v>10</v>
      </c>
      <c r="AD47" s="465"/>
      <c r="AE47" s="169">
        <v>4</v>
      </c>
      <c r="AF47" s="169">
        <v>3164.99999999999</v>
      </c>
      <c r="AG47" s="169">
        <v>791.2499999999975</v>
      </c>
      <c r="AH47" s="185">
        <f t="shared" si="14"/>
        <v>10</v>
      </c>
      <c r="AI47" s="465"/>
      <c r="AJ47" s="169">
        <v>4</v>
      </c>
      <c r="AK47" s="169">
        <v>3090.0000000000109</v>
      </c>
      <c r="AL47" s="169">
        <v>772.50000000000273</v>
      </c>
      <c r="AM47" s="185">
        <f t="shared" si="15"/>
        <v>10</v>
      </c>
      <c r="AN47" s="465"/>
      <c r="AO47" s="169">
        <v>4</v>
      </c>
      <c r="AP47" s="169">
        <v>3272.0000000000118</v>
      </c>
      <c r="AQ47" s="169">
        <v>818.00000000000296</v>
      </c>
      <c r="AR47" s="185">
        <f t="shared" si="16"/>
        <v>9</v>
      </c>
      <c r="AS47" s="465"/>
      <c r="AT47" s="169">
        <v>4</v>
      </c>
      <c r="AU47" s="169">
        <v>3176.0000000000114</v>
      </c>
      <c r="AV47" s="169">
        <v>794.00000000000284</v>
      </c>
      <c r="AW47" s="185">
        <f t="shared" si="17"/>
        <v>9</v>
      </c>
      <c r="AX47" s="465"/>
    </row>
    <row r="48" spans="2:54">
      <c r="B48" s="479"/>
      <c r="C48" s="185">
        <v>7</v>
      </c>
      <c r="D48" s="185" t="s">
        <v>229</v>
      </c>
      <c r="E48" s="185">
        <v>4</v>
      </c>
      <c r="F48" s="169">
        <v>3600</v>
      </c>
      <c r="G48" s="169">
        <v>900</v>
      </c>
      <c r="H48" s="465"/>
      <c r="I48" s="169">
        <f t="shared" si="18"/>
        <v>4</v>
      </c>
      <c r="J48" s="169">
        <f t="shared" si="19"/>
        <v>3070.0556586270864</v>
      </c>
      <c r="K48" s="183">
        <f t="shared" si="20"/>
        <v>767.51391465677159</v>
      </c>
      <c r="L48" s="465"/>
      <c r="M48" s="169">
        <f>RANK(K48, K$42:$K$71)</f>
        <v>11</v>
      </c>
      <c r="N48" s="462"/>
      <c r="O48" s="462"/>
      <c r="P48" s="169">
        <v>4</v>
      </c>
      <c r="Q48" s="169">
        <v>3202.8571428571418</v>
      </c>
      <c r="R48" s="169">
        <v>800.71428571428544</v>
      </c>
      <c r="S48" s="185">
        <f t="shared" si="11"/>
        <v>7</v>
      </c>
      <c r="T48" s="465"/>
      <c r="U48" s="169">
        <v>4</v>
      </c>
      <c r="V48" s="169">
        <v>3152.727272727273</v>
      </c>
      <c r="W48" s="169">
        <v>788.18181818181824</v>
      </c>
      <c r="X48" s="185">
        <f t="shared" si="12"/>
        <v>11</v>
      </c>
      <c r="Y48" s="465"/>
      <c r="Z48" s="169">
        <v>4</v>
      </c>
      <c r="AA48" s="169">
        <v>3165.7142857142849</v>
      </c>
      <c r="AB48" s="169">
        <v>791.42857142857122</v>
      </c>
      <c r="AC48" s="185">
        <f t="shared" si="13"/>
        <v>8</v>
      </c>
      <c r="AD48" s="465"/>
      <c r="AE48" s="169">
        <v>4</v>
      </c>
      <c r="AF48" s="169">
        <v>3179.9999999999973</v>
      </c>
      <c r="AG48" s="169">
        <v>794.99999999999932</v>
      </c>
      <c r="AH48" s="185">
        <f t="shared" si="14"/>
        <v>9</v>
      </c>
      <c r="AI48" s="465"/>
      <c r="AJ48" s="169">
        <v>4</v>
      </c>
      <c r="AK48" s="169">
        <v>2585.7142857142849</v>
      </c>
      <c r="AL48" s="169">
        <v>646.42857142857122</v>
      </c>
      <c r="AM48" s="185">
        <f t="shared" si="15"/>
        <v>18</v>
      </c>
      <c r="AN48" s="465"/>
      <c r="AO48" s="169">
        <v>4</v>
      </c>
      <c r="AP48" s="169">
        <v>3109.090909090909</v>
      </c>
      <c r="AQ48" s="169">
        <v>777.27272727272725</v>
      </c>
      <c r="AR48" s="185">
        <f t="shared" si="16"/>
        <v>11</v>
      </c>
      <c r="AS48" s="465"/>
      <c r="AT48" s="169">
        <v>4</v>
      </c>
      <c r="AU48" s="169">
        <v>3094.2857142857133</v>
      </c>
      <c r="AV48" s="169">
        <v>773.57142857142833</v>
      </c>
      <c r="AW48" s="185">
        <f t="shared" si="17"/>
        <v>11</v>
      </c>
      <c r="AX48" s="465"/>
    </row>
    <row r="49" spans="2:50">
      <c r="B49" s="479"/>
      <c r="C49" s="185">
        <v>8</v>
      </c>
      <c r="D49" s="185" t="s">
        <v>230</v>
      </c>
      <c r="E49" s="185">
        <v>4</v>
      </c>
      <c r="F49" s="169">
        <v>3600</v>
      </c>
      <c r="G49" s="169">
        <v>900</v>
      </c>
      <c r="H49" s="465"/>
      <c r="I49" s="169">
        <f t="shared" si="18"/>
        <v>4</v>
      </c>
      <c r="J49" s="169">
        <f t="shared" si="19"/>
        <v>3161.2244897959108</v>
      </c>
      <c r="K49" s="183">
        <f t="shared" si="20"/>
        <v>790.3061224489777</v>
      </c>
      <c r="L49" s="465"/>
      <c r="M49" s="169">
        <f>RANK(K49, K$42:$K$71)</f>
        <v>9</v>
      </c>
      <c r="N49" s="462"/>
      <c r="O49" s="462"/>
      <c r="P49" s="169">
        <v>4</v>
      </c>
      <c r="Q49" s="169">
        <v>2918.5714285714389</v>
      </c>
      <c r="R49" s="169">
        <v>729.64285714285973</v>
      </c>
      <c r="S49" s="185">
        <f t="shared" si="11"/>
        <v>13</v>
      </c>
      <c r="T49" s="465"/>
      <c r="U49" s="169">
        <v>4</v>
      </c>
      <c r="V49" s="169">
        <v>3330.0000000000118</v>
      </c>
      <c r="W49" s="169">
        <v>832.50000000000296</v>
      </c>
      <c r="X49" s="185">
        <f t="shared" si="12"/>
        <v>7</v>
      </c>
      <c r="Y49" s="465"/>
      <c r="Z49" s="169">
        <v>4</v>
      </c>
      <c r="AA49" s="169">
        <v>3184.9999999999691</v>
      </c>
      <c r="AB49" s="169">
        <v>796.24999999999227</v>
      </c>
      <c r="AC49" s="185">
        <f t="shared" si="13"/>
        <v>7</v>
      </c>
      <c r="AD49" s="465"/>
      <c r="AE49" s="169">
        <v>4</v>
      </c>
      <c r="AF49" s="169">
        <v>3156.0000000000114</v>
      </c>
      <c r="AG49" s="169">
        <v>789.00000000000284</v>
      </c>
      <c r="AH49" s="185">
        <f t="shared" si="14"/>
        <v>12</v>
      </c>
      <c r="AI49" s="465"/>
      <c r="AJ49" s="169">
        <v>4</v>
      </c>
      <c r="AK49" s="169">
        <v>2994.0000000000105</v>
      </c>
      <c r="AL49" s="169">
        <v>748.50000000000261</v>
      </c>
      <c r="AM49" s="185">
        <f t="shared" si="15"/>
        <v>12</v>
      </c>
      <c r="AN49" s="465"/>
      <c r="AO49" s="169">
        <v>4</v>
      </c>
      <c r="AP49" s="169">
        <v>3334.9999999999673</v>
      </c>
      <c r="AQ49" s="169">
        <v>833.74999999999181</v>
      </c>
      <c r="AR49" s="185">
        <f t="shared" si="16"/>
        <v>7</v>
      </c>
      <c r="AS49" s="465"/>
      <c r="AT49" s="169">
        <v>4</v>
      </c>
      <c r="AU49" s="169">
        <v>3209.9999999999686</v>
      </c>
      <c r="AV49" s="169">
        <v>802.49999999999216</v>
      </c>
      <c r="AW49" s="185">
        <f t="shared" si="17"/>
        <v>8</v>
      </c>
      <c r="AX49" s="465"/>
    </row>
    <row r="50" spans="2:50">
      <c r="B50" s="479"/>
      <c r="C50" s="185">
        <v>9</v>
      </c>
      <c r="D50" s="185" t="s">
        <v>231</v>
      </c>
      <c r="E50" s="185">
        <v>4</v>
      </c>
      <c r="F50" s="169">
        <v>3300</v>
      </c>
      <c r="G50" s="169">
        <v>825</v>
      </c>
      <c r="H50" s="465"/>
      <c r="I50" s="169">
        <f t="shared" si="18"/>
        <v>4</v>
      </c>
      <c r="J50" s="169">
        <f t="shared" si="19"/>
        <v>2784.9539032396183</v>
      </c>
      <c r="K50" s="183">
        <f t="shared" si="20"/>
        <v>696.23847580990457</v>
      </c>
      <c r="L50" s="465"/>
      <c r="M50" s="169">
        <f>RANK(K50, K$42:$K$71)</f>
        <v>14</v>
      </c>
      <c r="N50" s="462"/>
      <c r="O50" s="462"/>
      <c r="P50" s="169">
        <v>4</v>
      </c>
      <c r="Q50" s="169">
        <v>2644.2857142857165</v>
      </c>
      <c r="R50" s="169">
        <v>661.07142857142912</v>
      </c>
      <c r="S50" s="185">
        <f t="shared" si="11"/>
        <v>19</v>
      </c>
      <c r="T50" s="465"/>
      <c r="U50" s="169">
        <v>4</v>
      </c>
      <c r="V50" s="169">
        <v>2884.6153846153861</v>
      </c>
      <c r="W50" s="169">
        <v>721.15384615384653</v>
      </c>
      <c r="X50" s="185">
        <f t="shared" si="12"/>
        <v>13</v>
      </c>
      <c r="Y50" s="465"/>
      <c r="Z50" s="169">
        <v>4</v>
      </c>
      <c r="AA50" s="169">
        <v>2778.4615384615399</v>
      </c>
      <c r="AB50" s="169">
        <v>694.61538461538498</v>
      </c>
      <c r="AC50" s="185">
        <f t="shared" si="13"/>
        <v>13</v>
      </c>
      <c r="AD50" s="465"/>
      <c r="AE50" s="169">
        <v>4</v>
      </c>
      <c r="AF50" s="169">
        <v>2861.9999999999991</v>
      </c>
      <c r="AG50" s="169">
        <v>715.49999999999977</v>
      </c>
      <c r="AH50" s="185">
        <f t="shared" si="14"/>
        <v>14</v>
      </c>
      <c r="AI50" s="465"/>
      <c r="AJ50" s="169">
        <v>4</v>
      </c>
      <c r="AK50" s="169">
        <v>2574.5454545454545</v>
      </c>
      <c r="AL50" s="169">
        <v>643.63636363636363</v>
      </c>
      <c r="AM50" s="185">
        <f t="shared" si="15"/>
        <v>19</v>
      </c>
      <c r="AN50" s="465"/>
      <c r="AO50" s="169">
        <v>4</v>
      </c>
      <c r="AP50" s="169">
        <v>2944.6153846153861</v>
      </c>
      <c r="AQ50" s="169">
        <v>736.15384615384653</v>
      </c>
      <c r="AR50" s="185">
        <f t="shared" si="16"/>
        <v>12</v>
      </c>
      <c r="AS50" s="465"/>
      <c r="AT50" s="169">
        <v>4</v>
      </c>
      <c r="AU50" s="169">
        <v>2806.1538461538476</v>
      </c>
      <c r="AV50" s="169">
        <v>701.53846153846189</v>
      </c>
      <c r="AW50" s="185">
        <f t="shared" si="17"/>
        <v>14</v>
      </c>
      <c r="AX50" s="465"/>
    </row>
    <row r="51" spans="2:50">
      <c r="B51" s="479"/>
      <c r="C51" s="185">
        <v>10</v>
      </c>
      <c r="D51" s="185" t="s">
        <v>232</v>
      </c>
      <c r="E51" s="185">
        <v>3</v>
      </c>
      <c r="F51" s="169">
        <v>3300</v>
      </c>
      <c r="G51" s="169">
        <v>1100</v>
      </c>
      <c r="H51" s="465"/>
      <c r="I51" s="169">
        <f t="shared" si="18"/>
        <v>3</v>
      </c>
      <c r="J51" s="169">
        <f t="shared" si="19"/>
        <v>2755.3265845523165</v>
      </c>
      <c r="K51" s="183">
        <f t="shared" si="20"/>
        <v>918.44219485077224</v>
      </c>
      <c r="L51" s="465"/>
      <c r="M51" s="169">
        <f>RANK(K51, K$42:$K$71)</f>
        <v>6</v>
      </c>
      <c r="N51" s="462"/>
      <c r="O51" s="462"/>
      <c r="P51" s="169">
        <v>3</v>
      </c>
      <c r="Q51" s="169">
        <v>2710.2857142857115</v>
      </c>
      <c r="R51" s="169">
        <v>903.42857142857054</v>
      </c>
      <c r="S51" s="185">
        <f t="shared" si="11"/>
        <v>5</v>
      </c>
      <c r="T51" s="465"/>
      <c r="U51" s="169">
        <v>3</v>
      </c>
      <c r="V51" s="169">
        <v>2748.0000000000009</v>
      </c>
      <c r="W51" s="169">
        <v>916.00000000000034</v>
      </c>
      <c r="X51" s="185">
        <f t="shared" si="12"/>
        <v>5</v>
      </c>
      <c r="Y51" s="465"/>
      <c r="Z51" s="169">
        <v>3</v>
      </c>
      <c r="AA51" s="169">
        <v>2745.4545454545487</v>
      </c>
      <c r="AB51" s="169">
        <v>915.15151515151626</v>
      </c>
      <c r="AC51" s="185">
        <f t="shared" si="13"/>
        <v>2</v>
      </c>
      <c r="AD51" s="465"/>
      <c r="AE51" s="169">
        <v>3</v>
      </c>
      <c r="AF51" s="169">
        <v>2826.2068965517224</v>
      </c>
      <c r="AG51" s="169">
        <v>942.06896551724083</v>
      </c>
      <c r="AH51" s="185">
        <f t="shared" si="14"/>
        <v>4</v>
      </c>
      <c r="AI51" s="465"/>
      <c r="AJ51" s="169">
        <v>3</v>
      </c>
      <c r="AK51" s="169">
        <v>2792.1428571428592</v>
      </c>
      <c r="AL51" s="169">
        <v>930.71428571428635</v>
      </c>
      <c r="AM51" s="185">
        <f t="shared" si="15"/>
        <v>2</v>
      </c>
      <c r="AN51" s="465"/>
      <c r="AO51" s="169">
        <v>3</v>
      </c>
      <c r="AP51" s="169">
        <v>2731.666666666667</v>
      </c>
      <c r="AQ51" s="169">
        <v>910.55555555555566</v>
      </c>
      <c r="AR51" s="185">
        <f t="shared" si="16"/>
        <v>6</v>
      </c>
      <c r="AS51" s="465"/>
      <c r="AT51" s="169">
        <v>3</v>
      </c>
      <c r="AU51" s="169">
        <v>2733.5294117647063</v>
      </c>
      <c r="AV51" s="169">
        <v>911.17647058823547</v>
      </c>
      <c r="AW51" s="185">
        <f t="shared" si="17"/>
        <v>6</v>
      </c>
      <c r="AX51" s="465"/>
    </row>
    <row r="52" spans="2:50">
      <c r="B52" s="479"/>
      <c r="C52" s="185">
        <v>11</v>
      </c>
      <c r="D52" s="185" t="s">
        <v>233</v>
      </c>
      <c r="E52" s="185">
        <v>3</v>
      </c>
      <c r="F52" s="169">
        <v>3300</v>
      </c>
      <c r="G52" s="169">
        <v>1100</v>
      </c>
      <c r="H52" s="465"/>
      <c r="I52" s="169">
        <f t="shared" si="18"/>
        <v>3</v>
      </c>
      <c r="J52" s="169">
        <f t="shared" si="19"/>
        <v>2792.4430240811807</v>
      </c>
      <c r="K52" s="183">
        <f t="shared" si="20"/>
        <v>930.81434136039331</v>
      </c>
      <c r="L52" s="465"/>
      <c r="M52" s="169">
        <f>RANK(K52, K$42:$K$71)</f>
        <v>4</v>
      </c>
      <c r="N52" s="462"/>
      <c r="O52" s="462"/>
      <c r="P52" s="169">
        <v>3</v>
      </c>
      <c r="Q52" s="169">
        <v>2767.4999999999991</v>
      </c>
      <c r="R52" s="169">
        <v>922.49999999999966</v>
      </c>
      <c r="S52" s="185">
        <f t="shared" si="11"/>
        <v>3</v>
      </c>
      <c r="T52" s="465"/>
      <c r="U52" s="169">
        <v>3</v>
      </c>
      <c r="V52" s="169">
        <v>2745.0000000000014</v>
      </c>
      <c r="W52" s="169">
        <v>915.00000000000045</v>
      </c>
      <c r="X52" s="185">
        <f t="shared" si="12"/>
        <v>6</v>
      </c>
      <c r="Y52" s="465"/>
      <c r="Z52" s="169">
        <v>3</v>
      </c>
      <c r="AA52" s="169">
        <v>2730.769230769235</v>
      </c>
      <c r="AB52" s="169">
        <v>910.25641025641164</v>
      </c>
      <c r="AC52" s="185">
        <f t="shared" si="13"/>
        <v>3</v>
      </c>
      <c r="AD52" s="465"/>
      <c r="AE52" s="169">
        <v>3</v>
      </c>
      <c r="AF52" s="169">
        <v>2889.3749999999991</v>
      </c>
      <c r="AG52" s="169">
        <v>963.12499999999966</v>
      </c>
      <c r="AH52" s="185">
        <f t="shared" si="14"/>
        <v>2</v>
      </c>
      <c r="AI52" s="465"/>
      <c r="AJ52" s="169">
        <v>3</v>
      </c>
      <c r="AK52" s="169">
        <v>2707.2727272727238</v>
      </c>
      <c r="AL52" s="169">
        <v>902.42424242424124</v>
      </c>
      <c r="AM52" s="185">
        <f t="shared" si="15"/>
        <v>6</v>
      </c>
      <c r="AN52" s="465"/>
      <c r="AO52" s="169">
        <v>3</v>
      </c>
      <c r="AP52" s="169">
        <v>2833.4999999999959</v>
      </c>
      <c r="AQ52" s="169">
        <v>944.49999999999864</v>
      </c>
      <c r="AR52" s="185">
        <f t="shared" si="16"/>
        <v>5</v>
      </c>
      <c r="AS52" s="465"/>
      <c r="AT52" s="169">
        <v>3</v>
      </c>
      <c r="AU52" s="169">
        <v>2873.6842105263108</v>
      </c>
      <c r="AV52" s="169">
        <v>957.89473684210361</v>
      </c>
      <c r="AW52" s="185">
        <f t="shared" si="17"/>
        <v>3</v>
      </c>
      <c r="AX52" s="465"/>
    </row>
    <row r="53" spans="2:50">
      <c r="B53" s="479"/>
      <c r="C53" s="185">
        <v>12</v>
      </c>
      <c r="D53" s="185" t="s">
        <v>234</v>
      </c>
      <c r="E53" s="185">
        <v>4</v>
      </c>
      <c r="F53" s="169">
        <v>2500</v>
      </c>
      <c r="G53" s="169">
        <v>625</v>
      </c>
      <c r="H53" s="465"/>
      <c r="I53" s="169">
        <f t="shared" si="18"/>
        <v>4</v>
      </c>
      <c r="J53" s="169">
        <f t="shared" si="19"/>
        <v>2628.2787881032591</v>
      </c>
      <c r="K53" s="183">
        <f t="shared" si="20"/>
        <v>657.06969702581478</v>
      </c>
      <c r="L53" s="465"/>
      <c r="M53" s="169">
        <f>RANK(K53, K$42:$K$71)</f>
        <v>19</v>
      </c>
      <c r="N53" s="462"/>
      <c r="O53" s="462"/>
      <c r="P53" s="169">
        <v>4</v>
      </c>
      <c r="Q53" s="169">
        <v>2697.1428571428614</v>
      </c>
      <c r="R53" s="169">
        <v>674.28571428571536</v>
      </c>
      <c r="S53" s="185">
        <f t="shared" si="11"/>
        <v>16</v>
      </c>
      <c r="T53" s="465"/>
      <c r="U53" s="169">
        <v>4</v>
      </c>
      <c r="V53" s="169">
        <v>2685.7142857142799</v>
      </c>
      <c r="W53" s="169">
        <v>671.42857142856997</v>
      </c>
      <c r="X53" s="185">
        <f t="shared" si="12"/>
        <v>19</v>
      </c>
      <c r="Y53" s="465"/>
      <c r="Z53" s="169">
        <v>4</v>
      </c>
      <c r="AA53" s="169">
        <v>1818.6206896551714</v>
      </c>
      <c r="AB53" s="169">
        <v>454.65517241379285</v>
      </c>
      <c r="AC53" s="185">
        <f t="shared" si="13"/>
        <v>20</v>
      </c>
      <c r="AD53" s="465"/>
      <c r="AE53" s="169">
        <v>4</v>
      </c>
      <c r="AF53" s="169">
        <v>2747.999999999995</v>
      </c>
      <c r="AG53" s="169">
        <v>686.99999999999875</v>
      </c>
      <c r="AH53" s="185">
        <f t="shared" si="14"/>
        <v>18</v>
      </c>
      <c r="AI53" s="465"/>
      <c r="AJ53" s="169">
        <v>4</v>
      </c>
      <c r="AK53" s="169">
        <v>2735.999999999995</v>
      </c>
      <c r="AL53" s="169">
        <v>683.99999999999875</v>
      </c>
      <c r="AM53" s="185">
        <f t="shared" si="15"/>
        <v>16</v>
      </c>
      <c r="AN53" s="465"/>
      <c r="AO53" s="169">
        <v>4</v>
      </c>
      <c r="AP53" s="169">
        <v>2882.9999999999932</v>
      </c>
      <c r="AQ53" s="169">
        <v>720.74999999999829</v>
      </c>
      <c r="AR53" s="185">
        <f t="shared" si="16"/>
        <v>14</v>
      </c>
      <c r="AS53" s="465"/>
      <c r="AT53" s="169">
        <v>4</v>
      </c>
      <c r="AU53" s="169">
        <v>2829.4736842105185</v>
      </c>
      <c r="AV53" s="169">
        <v>707.36842105262963</v>
      </c>
      <c r="AW53" s="185">
        <f t="shared" si="17"/>
        <v>13</v>
      </c>
      <c r="AX53" s="465"/>
    </row>
    <row r="54" spans="2:50">
      <c r="B54" s="479"/>
      <c r="C54" s="185">
        <v>13</v>
      </c>
      <c r="D54" s="185" t="s">
        <v>235</v>
      </c>
      <c r="E54" s="185">
        <v>4</v>
      </c>
      <c r="F54" s="169">
        <v>3300</v>
      </c>
      <c r="G54" s="169">
        <v>825</v>
      </c>
      <c r="H54" s="465"/>
      <c r="I54" s="169">
        <f t="shared" si="18"/>
        <v>4</v>
      </c>
      <c r="J54" s="169">
        <f t="shared" si="19"/>
        <v>2801.0148960165775</v>
      </c>
      <c r="K54" s="183">
        <f t="shared" si="20"/>
        <v>700.25372400414437</v>
      </c>
      <c r="L54" s="465"/>
      <c r="M54" s="169">
        <f>RANK(K54, K$42:$K$71)</f>
        <v>13</v>
      </c>
      <c r="N54" s="462"/>
      <c r="O54" s="462"/>
      <c r="P54" s="169">
        <v>4</v>
      </c>
      <c r="Q54" s="169">
        <v>2751.4285714285725</v>
      </c>
      <c r="R54" s="169">
        <v>687.85714285714312</v>
      </c>
      <c r="S54" s="185">
        <f t="shared" si="11"/>
        <v>14</v>
      </c>
      <c r="T54" s="465"/>
      <c r="U54" s="169">
        <v>4</v>
      </c>
      <c r="V54" s="169">
        <v>2804.516129032259</v>
      </c>
      <c r="W54" s="169">
        <v>701.12903225806474</v>
      </c>
      <c r="X54" s="185">
        <f t="shared" si="12"/>
        <v>15</v>
      </c>
      <c r="Y54" s="465"/>
      <c r="Z54" s="169">
        <v>4</v>
      </c>
      <c r="AA54" s="169">
        <v>2764.0000000000005</v>
      </c>
      <c r="AB54" s="169">
        <v>691.00000000000011</v>
      </c>
      <c r="AC54" s="185">
        <f t="shared" si="13"/>
        <v>14</v>
      </c>
      <c r="AD54" s="465"/>
      <c r="AE54" s="169">
        <v>4</v>
      </c>
      <c r="AF54" s="169">
        <v>2842.4999999999982</v>
      </c>
      <c r="AG54" s="169">
        <v>710.62499999999955</v>
      </c>
      <c r="AH54" s="185">
        <f t="shared" si="14"/>
        <v>16</v>
      </c>
      <c r="AI54" s="465"/>
      <c r="AJ54" s="169">
        <v>4</v>
      </c>
      <c r="AK54" s="169">
        <v>2783.7499999999986</v>
      </c>
      <c r="AL54" s="169">
        <v>695.93749999999966</v>
      </c>
      <c r="AM54" s="185">
        <f t="shared" si="15"/>
        <v>14</v>
      </c>
      <c r="AN54" s="465"/>
      <c r="AO54" s="169">
        <v>4</v>
      </c>
      <c r="AP54" s="169">
        <v>2864.516129032259</v>
      </c>
      <c r="AQ54" s="169">
        <v>716.12903225806474</v>
      </c>
      <c r="AR54" s="185">
        <f t="shared" si="16"/>
        <v>15</v>
      </c>
      <c r="AS54" s="465"/>
      <c r="AT54" s="169">
        <v>4</v>
      </c>
      <c r="AU54" s="169">
        <v>2796.3934426229516</v>
      </c>
      <c r="AV54" s="169">
        <v>699.09836065573791</v>
      </c>
      <c r="AW54" s="185">
        <f t="shared" si="17"/>
        <v>15</v>
      </c>
      <c r="AX54" s="465"/>
    </row>
    <row r="55" spans="2:50">
      <c r="B55" s="479"/>
      <c r="C55" s="185">
        <v>14</v>
      </c>
      <c r="D55" s="185" t="s">
        <v>236</v>
      </c>
      <c r="E55" s="185">
        <v>4</v>
      </c>
      <c r="F55" s="169">
        <v>3300</v>
      </c>
      <c r="G55" s="169">
        <v>825</v>
      </c>
      <c r="H55" s="465"/>
      <c r="I55" s="169">
        <f t="shared" si="18"/>
        <v>4</v>
      </c>
      <c r="J55" s="169">
        <f t="shared" si="19"/>
        <v>2770.8813550014011</v>
      </c>
      <c r="K55" s="183">
        <f t="shared" si="20"/>
        <v>692.72033875035027</v>
      </c>
      <c r="L55" s="465"/>
      <c r="M55" s="169">
        <f>RANK(K55, K$42:$K$71)</f>
        <v>15</v>
      </c>
      <c r="N55" s="462"/>
      <c r="O55" s="462"/>
      <c r="P55" s="169">
        <v>4</v>
      </c>
      <c r="Q55" s="169">
        <v>2707.7142857142831</v>
      </c>
      <c r="R55" s="169">
        <v>676.92857142857076</v>
      </c>
      <c r="S55" s="185">
        <f t="shared" si="11"/>
        <v>15</v>
      </c>
      <c r="T55" s="465"/>
      <c r="U55" s="169">
        <v>4</v>
      </c>
      <c r="V55" s="169">
        <v>2807.4626865671607</v>
      </c>
      <c r="W55" s="169">
        <v>701.86567164179019</v>
      </c>
      <c r="X55" s="185">
        <f t="shared" si="12"/>
        <v>14</v>
      </c>
      <c r="Y55" s="465"/>
      <c r="Z55" s="169">
        <v>4</v>
      </c>
      <c r="AA55" s="169">
        <v>2784.0000000000027</v>
      </c>
      <c r="AB55" s="169">
        <v>696.00000000000068</v>
      </c>
      <c r="AC55" s="185">
        <f t="shared" si="13"/>
        <v>12</v>
      </c>
      <c r="AD55" s="465"/>
      <c r="AE55" s="169">
        <v>4</v>
      </c>
      <c r="AF55" s="169">
        <v>2832.4528301886767</v>
      </c>
      <c r="AG55" s="169">
        <v>708.11320754716917</v>
      </c>
      <c r="AH55" s="185">
        <f t="shared" si="14"/>
        <v>17</v>
      </c>
      <c r="AI55" s="465"/>
      <c r="AJ55" s="169">
        <v>4</v>
      </c>
      <c r="AK55" s="169">
        <v>2771.1111111111127</v>
      </c>
      <c r="AL55" s="169">
        <v>692.77777777777817</v>
      </c>
      <c r="AM55" s="185">
        <f t="shared" si="15"/>
        <v>15</v>
      </c>
      <c r="AN55" s="465"/>
      <c r="AO55" s="169">
        <v>4</v>
      </c>
      <c r="AP55" s="169">
        <v>2814.8571428571399</v>
      </c>
      <c r="AQ55" s="169">
        <v>703.71428571428498</v>
      </c>
      <c r="AR55" s="185">
        <f t="shared" si="16"/>
        <v>17</v>
      </c>
      <c r="AS55" s="465"/>
      <c r="AT55" s="169">
        <v>4</v>
      </c>
      <c r="AU55" s="169">
        <v>2678.5714285714294</v>
      </c>
      <c r="AV55" s="169">
        <v>669.64285714285734</v>
      </c>
      <c r="AW55" s="185">
        <f t="shared" si="17"/>
        <v>17</v>
      </c>
      <c r="AX55" s="465"/>
    </row>
    <row r="56" spans="2:50">
      <c r="B56" s="479"/>
      <c r="C56" s="185">
        <v>15</v>
      </c>
      <c r="D56" s="185" t="s">
        <v>238</v>
      </c>
      <c r="E56" s="185">
        <v>4</v>
      </c>
      <c r="F56" s="169">
        <v>2800</v>
      </c>
      <c r="G56" s="169">
        <v>700</v>
      </c>
      <c r="H56" s="465"/>
      <c r="I56" s="169">
        <f t="shared" si="18"/>
        <v>4</v>
      </c>
      <c r="J56" s="169">
        <f t="shared" si="19"/>
        <v>2730.52197802198</v>
      </c>
      <c r="K56" s="183">
        <f t="shared" si="20"/>
        <v>682.63049450549499</v>
      </c>
      <c r="L56" s="465"/>
      <c r="M56" s="169">
        <f>RANK(K56, K$42:$K$71)</f>
        <v>17</v>
      </c>
      <c r="N56" s="462"/>
      <c r="O56" s="462"/>
      <c r="P56" s="169">
        <v>4</v>
      </c>
      <c r="Q56" s="169">
        <v>2686.1538461538426</v>
      </c>
      <c r="R56" s="169">
        <v>671.53846153846064</v>
      </c>
      <c r="S56" s="185">
        <f t="shared" si="11"/>
        <v>18</v>
      </c>
      <c r="T56" s="465"/>
      <c r="U56" s="169">
        <v>4</v>
      </c>
      <c r="V56" s="169">
        <v>2760.0000000000027</v>
      </c>
      <c r="W56" s="169">
        <v>690.00000000000068</v>
      </c>
      <c r="X56" s="185">
        <f t="shared" si="12"/>
        <v>17</v>
      </c>
      <c r="Y56" s="465"/>
      <c r="Z56" s="169">
        <v>4</v>
      </c>
      <c r="AA56" s="169">
        <v>2621.0000000000023</v>
      </c>
      <c r="AB56" s="169">
        <v>655.25000000000057</v>
      </c>
      <c r="AC56" s="185">
        <f t="shared" si="13"/>
        <v>15</v>
      </c>
      <c r="AD56" s="465"/>
      <c r="AE56" s="169">
        <v>4</v>
      </c>
      <c r="AF56" s="169">
        <v>2852.5000000000055</v>
      </c>
      <c r="AG56" s="169">
        <v>713.12500000000136</v>
      </c>
      <c r="AH56" s="185">
        <f t="shared" si="14"/>
        <v>15</v>
      </c>
      <c r="AI56" s="465"/>
      <c r="AJ56" s="169">
        <v>4</v>
      </c>
      <c r="AK56" s="169">
        <v>2700.0000000000014</v>
      </c>
      <c r="AL56" s="169">
        <v>675.00000000000034</v>
      </c>
      <c r="AM56" s="185">
        <f t="shared" si="15"/>
        <v>17</v>
      </c>
      <c r="AN56" s="465"/>
      <c r="AO56" s="169">
        <v>4</v>
      </c>
      <c r="AP56" s="169">
        <v>2832.0000000000027</v>
      </c>
      <c r="AQ56" s="169">
        <v>708.00000000000068</v>
      </c>
      <c r="AR56" s="185">
        <f t="shared" si="16"/>
        <v>16</v>
      </c>
      <c r="AS56" s="465"/>
      <c r="AT56" s="169">
        <v>4</v>
      </c>
      <c r="AU56" s="169">
        <v>2661.9999999999986</v>
      </c>
      <c r="AV56" s="169">
        <v>665.49999999999966</v>
      </c>
      <c r="AW56" s="185">
        <f t="shared" si="17"/>
        <v>18</v>
      </c>
      <c r="AX56" s="465"/>
    </row>
    <row r="57" spans="2:50">
      <c r="B57" s="479"/>
      <c r="C57" s="185">
        <v>16</v>
      </c>
      <c r="D57" s="185" t="s">
        <v>239</v>
      </c>
      <c r="E57" s="185">
        <v>4</v>
      </c>
      <c r="F57" s="169">
        <v>3600</v>
      </c>
      <c r="G57" s="169">
        <v>900</v>
      </c>
      <c r="H57" s="465"/>
      <c r="I57" s="169">
        <f t="shared" si="18"/>
        <v>4</v>
      </c>
      <c r="J57" s="169">
        <f t="shared" si="19"/>
        <v>2670.3428571428485</v>
      </c>
      <c r="K57" s="183">
        <f t="shared" si="20"/>
        <v>667.58571428571213</v>
      </c>
      <c r="L57" s="465"/>
      <c r="M57" s="169">
        <f>RANK(K57, K$42:$K$71)</f>
        <v>18</v>
      </c>
      <c r="N57" s="462"/>
      <c r="O57" s="462"/>
      <c r="P57" s="169">
        <v>4</v>
      </c>
      <c r="Q57" s="169">
        <v>2529.5999999999931</v>
      </c>
      <c r="R57" s="169">
        <v>632.39999999999827</v>
      </c>
      <c r="S57" s="185">
        <f t="shared" si="11"/>
        <v>20</v>
      </c>
      <c r="T57" s="465"/>
      <c r="U57" s="169">
        <v>4</v>
      </c>
      <c r="V57" s="169">
        <v>2546.3999999999928</v>
      </c>
      <c r="W57" s="169">
        <v>636.5999999999982</v>
      </c>
      <c r="X57" s="185">
        <f t="shared" si="12"/>
        <v>20</v>
      </c>
      <c r="Y57" s="465"/>
      <c r="Z57" s="169">
        <v>4</v>
      </c>
      <c r="AA57" s="169">
        <v>2431.199999999993</v>
      </c>
      <c r="AB57" s="169">
        <v>607.79999999999825</v>
      </c>
      <c r="AC57" s="185">
        <f t="shared" si="13"/>
        <v>18</v>
      </c>
      <c r="AD57" s="465"/>
      <c r="AE57" s="169">
        <v>4</v>
      </c>
      <c r="AF57" s="169">
        <v>2984.9999999999868</v>
      </c>
      <c r="AG57" s="169">
        <v>746.2499999999967</v>
      </c>
      <c r="AH57" s="185">
        <f t="shared" si="14"/>
        <v>13</v>
      </c>
      <c r="AI57" s="465"/>
      <c r="AJ57" s="169">
        <v>4</v>
      </c>
      <c r="AK57" s="169">
        <v>3200.9999999999854</v>
      </c>
      <c r="AL57" s="169">
        <v>800.24999999999636</v>
      </c>
      <c r="AM57" s="185">
        <f t="shared" si="15"/>
        <v>7</v>
      </c>
      <c r="AN57" s="465"/>
      <c r="AO57" s="169">
        <v>4</v>
      </c>
      <c r="AP57" s="169">
        <v>2560.7999999999929</v>
      </c>
      <c r="AQ57" s="169">
        <v>640.19999999999823</v>
      </c>
      <c r="AR57" s="185">
        <f t="shared" si="16"/>
        <v>19</v>
      </c>
      <c r="AS57" s="465"/>
      <c r="AT57" s="169">
        <v>4</v>
      </c>
      <c r="AU57" s="169">
        <v>2438.3999999999933</v>
      </c>
      <c r="AV57" s="169">
        <v>609.59999999999832</v>
      </c>
      <c r="AW57" s="185">
        <f t="shared" si="17"/>
        <v>20</v>
      </c>
      <c r="AX57" s="465"/>
    </row>
    <row r="58" spans="2:50">
      <c r="B58" s="479"/>
      <c r="C58" s="185">
        <v>17</v>
      </c>
      <c r="D58" s="185" t="s">
        <v>241</v>
      </c>
      <c r="E58" s="185">
        <v>4</v>
      </c>
      <c r="F58" s="169">
        <v>3600</v>
      </c>
      <c r="G58" s="169">
        <v>900</v>
      </c>
      <c r="H58" s="465"/>
      <c r="I58" s="169">
        <f t="shared" si="18"/>
        <v>4</v>
      </c>
      <c r="J58" s="169">
        <f t="shared" si="19"/>
        <v>2756.3516483516582</v>
      </c>
      <c r="K58" s="183">
        <f t="shared" si="20"/>
        <v>689.08791208791456</v>
      </c>
      <c r="L58" s="465"/>
      <c r="M58" s="169">
        <f>RANK(K58, K$42:$K$71)</f>
        <v>16</v>
      </c>
      <c r="N58" s="462"/>
      <c r="O58" s="462"/>
      <c r="P58" s="169">
        <v>4</v>
      </c>
      <c r="Q58" s="169">
        <v>2696.0000000000095</v>
      </c>
      <c r="R58" s="169">
        <v>674.00000000000239</v>
      </c>
      <c r="S58" s="185">
        <f t="shared" si="11"/>
        <v>17</v>
      </c>
      <c r="T58" s="465"/>
      <c r="U58" s="169">
        <v>4</v>
      </c>
      <c r="V58" s="169">
        <v>2724.0000000000095</v>
      </c>
      <c r="W58" s="169">
        <v>681.00000000000239</v>
      </c>
      <c r="X58" s="185">
        <f t="shared" si="12"/>
        <v>18</v>
      </c>
      <c r="Y58" s="465"/>
      <c r="Z58" s="169">
        <v>4</v>
      </c>
      <c r="AA58" s="169">
        <v>2568.0000000000091</v>
      </c>
      <c r="AB58" s="169">
        <v>642.00000000000227</v>
      </c>
      <c r="AC58" s="185">
        <f t="shared" si="13"/>
        <v>16</v>
      </c>
      <c r="AD58" s="465"/>
      <c r="AE58" s="169">
        <v>4</v>
      </c>
      <c r="AF58" s="169">
        <v>2536.0000000000091</v>
      </c>
      <c r="AG58" s="169">
        <v>634.00000000000227</v>
      </c>
      <c r="AH58" s="185">
        <f t="shared" si="14"/>
        <v>19</v>
      </c>
      <c r="AI58" s="465"/>
      <c r="AJ58" s="169">
        <v>4</v>
      </c>
      <c r="AK58" s="169">
        <v>3138.4615384615495</v>
      </c>
      <c r="AL58" s="169">
        <v>784.61538461538737</v>
      </c>
      <c r="AM58" s="185">
        <f t="shared" si="15"/>
        <v>9</v>
      </c>
      <c r="AN58" s="465"/>
      <c r="AO58" s="169">
        <v>4</v>
      </c>
      <c r="AP58" s="169">
        <v>2932.0000000000105</v>
      </c>
      <c r="AQ58" s="169">
        <v>733.00000000000261</v>
      </c>
      <c r="AR58" s="185">
        <f t="shared" si="16"/>
        <v>13</v>
      </c>
      <c r="AS58" s="465"/>
      <c r="AT58" s="169">
        <v>4</v>
      </c>
      <c r="AU58" s="169">
        <v>2700.0000000000095</v>
      </c>
      <c r="AV58" s="169">
        <v>675.00000000000239</v>
      </c>
      <c r="AW58" s="185">
        <f t="shared" si="17"/>
        <v>16</v>
      </c>
      <c r="AX58" s="465"/>
    </row>
    <row r="59" spans="2:50">
      <c r="B59" s="479"/>
      <c r="C59" s="185">
        <v>18</v>
      </c>
      <c r="D59" s="185" t="s">
        <v>242</v>
      </c>
      <c r="E59" s="185">
        <v>4</v>
      </c>
      <c r="F59" s="169">
        <v>3000</v>
      </c>
      <c r="G59" s="169">
        <v>750</v>
      </c>
      <c r="H59" s="465"/>
      <c r="I59" s="169">
        <f t="shared" si="18"/>
        <v>4</v>
      </c>
      <c r="J59" s="169">
        <f t="shared" si="19"/>
        <v>2477.1428571428546</v>
      </c>
      <c r="K59" s="183">
        <f t="shared" si="20"/>
        <v>619.28571428571365</v>
      </c>
      <c r="L59" s="465"/>
      <c r="M59" s="169">
        <f>RANK(K59, K$42:$K$71)</f>
        <v>20</v>
      </c>
      <c r="N59" s="462"/>
      <c r="O59" s="462"/>
      <c r="P59" s="169">
        <v>4</v>
      </c>
      <c r="Q59" s="169">
        <v>3059.9999999999291</v>
      </c>
      <c r="R59" s="169">
        <v>764.99999999998226</v>
      </c>
      <c r="S59" s="185">
        <f t="shared" si="11"/>
        <v>11</v>
      </c>
      <c r="T59" s="465"/>
      <c r="U59" s="169">
        <v>4</v>
      </c>
      <c r="V59" s="169">
        <v>2800.00000000001</v>
      </c>
      <c r="W59" s="169">
        <v>700.0000000000025</v>
      </c>
      <c r="X59" s="185">
        <f t="shared" si="12"/>
        <v>16</v>
      </c>
      <c r="Y59" s="465"/>
      <c r="Z59" s="169">
        <v>4</v>
      </c>
      <c r="AA59" s="169">
        <v>2400.0000000000086</v>
      </c>
      <c r="AB59" s="169">
        <v>600.00000000000216</v>
      </c>
      <c r="AC59" s="185">
        <f t="shared" si="13"/>
        <v>19</v>
      </c>
      <c r="AD59" s="465"/>
      <c r="AE59" s="169">
        <v>4</v>
      </c>
      <c r="AF59" s="169">
        <v>2310.0000000000082</v>
      </c>
      <c r="AG59" s="169">
        <v>577.50000000000205</v>
      </c>
      <c r="AH59" s="185">
        <f t="shared" si="14"/>
        <v>21</v>
      </c>
      <c r="AI59" s="465"/>
      <c r="AJ59" s="169">
        <v>4</v>
      </c>
      <c r="AK59" s="169">
        <v>2010.0000000000073</v>
      </c>
      <c r="AL59" s="169">
        <v>502.50000000000182</v>
      </c>
      <c r="AM59" s="185">
        <f t="shared" si="15"/>
        <v>21</v>
      </c>
      <c r="AN59" s="465"/>
      <c r="AO59" s="169">
        <v>4</v>
      </c>
      <c r="AP59" s="169">
        <v>2540.0000000000091</v>
      </c>
      <c r="AQ59" s="169">
        <v>635.00000000000227</v>
      </c>
      <c r="AR59" s="185">
        <f t="shared" si="16"/>
        <v>20</v>
      </c>
      <c r="AS59" s="465"/>
      <c r="AT59" s="169">
        <v>4</v>
      </c>
      <c r="AU59" s="169">
        <v>2220.0000000000077</v>
      </c>
      <c r="AV59" s="169">
        <v>555.00000000000193</v>
      </c>
      <c r="AW59" s="185">
        <f t="shared" si="17"/>
        <v>21</v>
      </c>
      <c r="AX59" s="465"/>
    </row>
    <row r="60" spans="2:50">
      <c r="B60" s="479"/>
      <c r="C60" s="185">
        <v>19</v>
      </c>
      <c r="D60" s="185" t="s">
        <v>243</v>
      </c>
      <c r="E60" s="185">
        <v>4</v>
      </c>
      <c r="F60" s="169">
        <v>3300</v>
      </c>
      <c r="G60" s="169">
        <v>825</v>
      </c>
      <c r="H60" s="465"/>
      <c r="I60" s="169">
        <f t="shared" si="18"/>
        <v>3</v>
      </c>
      <c r="J60" s="169">
        <f t="shared" si="19"/>
        <v>2801.1734174145031</v>
      </c>
      <c r="K60" s="183">
        <f t="shared" si="20"/>
        <v>933.72447247150103</v>
      </c>
      <c r="L60" s="465"/>
      <c r="M60" s="169">
        <f>RANK(K60, K$42:$K$71)</f>
        <v>3</v>
      </c>
      <c r="N60" s="462"/>
      <c r="O60" s="462"/>
      <c r="P60" s="169">
        <v>3</v>
      </c>
      <c r="Q60" s="169">
        <v>2697.0000000000045</v>
      </c>
      <c r="R60" s="169">
        <v>899.00000000000148</v>
      </c>
      <c r="S60" s="185">
        <f t="shared" si="11"/>
        <v>6</v>
      </c>
      <c r="T60" s="465"/>
      <c r="U60" s="169">
        <v>3</v>
      </c>
      <c r="V60" s="169">
        <v>2856.3157894736887</v>
      </c>
      <c r="W60" s="169">
        <v>952.10526315789627</v>
      </c>
      <c r="X60" s="185">
        <f t="shared" si="12"/>
        <v>3</v>
      </c>
      <c r="Y60" s="465"/>
      <c r="Z60" s="169">
        <v>3</v>
      </c>
      <c r="AA60" s="169">
        <v>2769.4736842105244</v>
      </c>
      <c r="AB60" s="169">
        <v>923.15789473684151</v>
      </c>
      <c r="AC60" s="185">
        <f t="shared" si="13"/>
        <v>1</v>
      </c>
      <c r="AD60" s="465"/>
      <c r="AE60" s="169">
        <v>3</v>
      </c>
      <c r="AF60" s="169">
        <v>2804.9999999999964</v>
      </c>
      <c r="AG60" s="169">
        <v>934.99999999999875</v>
      </c>
      <c r="AH60" s="185">
        <f t="shared" si="14"/>
        <v>5</v>
      </c>
      <c r="AI60" s="465"/>
      <c r="AJ60" s="169">
        <v>3</v>
      </c>
      <c r="AK60" s="169">
        <v>2785.161290322576</v>
      </c>
      <c r="AL60" s="169">
        <v>928.38709677419195</v>
      </c>
      <c r="AM60" s="185">
        <f t="shared" si="15"/>
        <v>4</v>
      </c>
      <c r="AN60" s="465"/>
      <c r="AO60" s="169">
        <v>3</v>
      </c>
      <c r="AP60" s="169">
        <v>2875.2631578947285</v>
      </c>
      <c r="AQ60" s="169">
        <v>958.42105263157612</v>
      </c>
      <c r="AR60" s="185">
        <f t="shared" si="16"/>
        <v>4</v>
      </c>
      <c r="AS60" s="465"/>
      <c r="AT60" s="169">
        <v>3</v>
      </c>
      <c r="AU60" s="169">
        <v>2820.0000000000036</v>
      </c>
      <c r="AV60" s="169">
        <v>940.00000000000125</v>
      </c>
      <c r="AW60" s="185">
        <f t="shared" si="17"/>
        <v>4</v>
      </c>
      <c r="AX60" s="465"/>
    </row>
    <row r="61" spans="2:50">
      <c r="B61" s="479"/>
      <c r="C61" s="185">
        <v>20</v>
      </c>
      <c r="D61" s="185" t="s">
        <v>244</v>
      </c>
      <c r="E61" s="185">
        <v>3</v>
      </c>
      <c r="F61" s="169">
        <v>2800</v>
      </c>
      <c r="G61" s="169">
        <v>933.33333333333337</v>
      </c>
      <c r="H61" s="465"/>
      <c r="I61" s="169">
        <f t="shared" ref="I61:I63" si="21">AVERAGE(P61,U61,Z61,AE61,AJ61,AO61,AT61)</f>
        <v>3</v>
      </c>
      <c r="J61" s="169">
        <f t="shared" ref="J61:J63" si="22">AVERAGE(Q61,V61,AA61,AF61,AK61,AP61,AU61)</f>
        <v>2778.5142857142928</v>
      </c>
      <c r="K61" s="183">
        <f t="shared" ref="K61:K63" si="23">AVERAGE(R61,W61,AB61,AG61,AL61,AQ61,AV61)</f>
        <v>926.17142857143097</v>
      </c>
      <c r="L61" s="465"/>
      <c r="M61" s="169">
        <f>RANK(K61, K$42:$K$71)</f>
        <v>5</v>
      </c>
      <c r="N61" s="462"/>
      <c r="O61" s="462"/>
      <c r="P61" s="169">
        <v>3</v>
      </c>
      <c r="Q61" s="169">
        <v>2838.00000000001</v>
      </c>
      <c r="R61" s="169">
        <v>946.0000000000033</v>
      </c>
      <c r="S61" s="185">
        <f t="shared" si="11"/>
        <v>2</v>
      </c>
      <c r="T61" s="465"/>
      <c r="U61" s="169">
        <v>3</v>
      </c>
      <c r="V61" s="169">
        <v>2838.00000000001</v>
      </c>
      <c r="W61" s="169">
        <v>946.0000000000033</v>
      </c>
      <c r="X61" s="185">
        <f t="shared" si="12"/>
        <v>4</v>
      </c>
      <c r="Y61" s="465"/>
      <c r="Z61" s="169">
        <v>3</v>
      </c>
      <c r="AA61" s="169">
        <v>2719.2000000000098</v>
      </c>
      <c r="AB61" s="169">
        <v>906.40000000000327</v>
      </c>
      <c r="AC61" s="185">
        <f t="shared" si="13"/>
        <v>4</v>
      </c>
      <c r="AD61" s="465"/>
      <c r="AE61" s="169">
        <v>3</v>
      </c>
      <c r="AF61" s="169">
        <v>2628.0000000000091</v>
      </c>
      <c r="AG61" s="169">
        <v>876.00000000000307</v>
      </c>
      <c r="AH61" s="185">
        <f t="shared" si="14"/>
        <v>6</v>
      </c>
      <c r="AI61" s="465"/>
      <c r="AJ61" s="169">
        <v>3</v>
      </c>
      <c r="AK61" s="169">
        <v>2725.1999999999925</v>
      </c>
      <c r="AL61" s="169">
        <v>908.39999999999748</v>
      </c>
      <c r="AM61" s="185">
        <f t="shared" si="15"/>
        <v>5</v>
      </c>
      <c r="AN61" s="465"/>
      <c r="AO61" s="169">
        <v>3</v>
      </c>
      <c r="AP61" s="169">
        <v>2920.8000000000102</v>
      </c>
      <c r="AQ61" s="169">
        <v>973.60000000000343</v>
      </c>
      <c r="AR61" s="185">
        <f t="shared" si="16"/>
        <v>2</v>
      </c>
      <c r="AS61" s="465"/>
      <c r="AT61" s="169">
        <v>3</v>
      </c>
      <c r="AU61" s="169">
        <v>2780.4000000000101</v>
      </c>
      <c r="AV61" s="169">
        <v>926.80000000000337</v>
      </c>
      <c r="AW61" s="185">
        <f t="shared" si="17"/>
        <v>5</v>
      </c>
      <c r="AX61" s="465"/>
    </row>
    <row r="62" spans="2:50">
      <c r="B62" s="479"/>
      <c r="C62" s="185">
        <v>21</v>
      </c>
      <c r="D62" s="185" t="s">
        <v>245</v>
      </c>
      <c r="E62" s="185">
        <v>4</v>
      </c>
      <c r="F62" s="169">
        <v>3000</v>
      </c>
      <c r="G62" s="169">
        <v>750</v>
      </c>
      <c r="H62" s="465"/>
      <c r="I62" s="169">
        <f t="shared" si="21"/>
        <v>4</v>
      </c>
      <c r="J62" s="169">
        <f t="shared" si="22"/>
        <v>2457.071377912865</v>
      </c>
      <c r="K62" s="183">
        <f t="shared" si="23"/>
        <v>614.26784447821626</v>
      </c>
      <c r="L62" s="465"/>
      <c r="M62" s="169">
        <f>RANK(K62, K$42:$K$71)</f>
        <v>21</v>
      </c>
      <c r="N62" s="462"/>
      <c r="O62" s="462"/>
      <c r="P62" s="185">
        <v>4</v>
      </c>
      <c r="Q62" s="169">
        <v>2466.3829787234044</v>
      </c>
      <c r="R62" s="183">
        <v>616.59574468085111</v>
      </c>
      <c r="S62" s="185">
        <f t="shared" si="11"/>
        <v>21</v>
      </c>
      <c r="T62" s="465"/>
      <c r="U62" s="185">
        <v>4</v>
      </c>
      <c r="V62" s="169">
        <v>2509.3333333333335</v>
      </c>
      <c r="W62" s="183">
        <v>627.33333333333337</v>
      </c>
      <c r="X62" s="185">
        <f t="shared" si="12"/>
        <v>21</v>
      </c>
      <c r="Y62" s="465"/>
      <c r="Z62" s="185">
        <v>4</v>
      </c>
      <c r="AA62" s="169">
        <v>2449.99999999999</v>
      </c>
      <c r="AB62" s="183">
        <v>612.4999999999975</v>
      </c>
      <c r="AC62" s="185">
        <f t="shared" si="13"/>
        <v>17</v>
      </c>
      <c r="AD62" s="465"/>
      <c r="AE62" s="185">
        <v>4</v>
      </c>
      <c r="AF62" s="169">
        <v>2501.9999999999991</v>
      </c>
      <c r="AG62" s="183">
        <v>625.49999999999977</v>
      </c>
      <c r="AH62" s="185">
        <f t="shared" si="14"/>
        <v>20</v>
      </c>
      <c r="AI62" s="465"/>
      <c r="AJ62" s="185">
        <v>4</v>
      </c>
      <c r="AK62" s="169">
        <v>2381.3333333333335</v>
      </c>
      <c r="AL62" s="183">
        <v>595.33333333333337</v>
      </c>
      <c r="AM62" s="185">
        <f t="shared" si="15"/>
        <v>20</v>
      </c>
      <c r="AN62" s="465"/>
      <c r="AO62" s="185">
        <v>4</v>
      </c>
      <c r="AP62" s="169">
        <v>2441.2500000000009</v>
      </c>
      <c r="AQ62" s="183">
        <v>610.31250000000023</v>
      </c>
      <c r="AR62" s="185">
        <f t="shared" si="16"/>
        <v>21</v>
      </c>
      <c r="AS62" s="465"/>
      <c r="AT62" s="185">
        <v>4</v>
      </c>
      <c r="AU62" s="169">
        <v>2449.199999999993</v>
      </c>
      <c r="AV62" s="183">
        <v>612.29999999999825</v>
      </c>
      <c r="AW62" s="185">
        <f t="shared" si="17"/>
        <v>19</v>
      </c>
      <c r="AX62" s="465"/>
    </row>
    <row r="63" spans="2:50">
      <c r="B63" s="479"/>
      <c r="C63" s="185">
        <v>22</v>
      </c>
      <c r="D63" s="185" t="s">
        <v>246</v>
      </c>
      <c r="E63" s="185">
        <v>12</v>
      </c>
      <c r="F63" s="169">
        <v>1500</v>
      </c>
      <c r="G63" s="169">
        <v>125</v>
      </c>
      <c r="H63" s="465"/>
      <c r="I63" s="169">
        <f t="shared" si="21"/>
        <v>12</v>
      </c>
      <c r="J63" s="169">
        <f t="shared" si="22"/>
        <v>1475.1128795581903</v>
      </c>
      <c r="K63" s="183">
        <f t="shared" si="23"/>
        <v>122.92607329651587</v>
      </c>
      <c r="L63" s="465"/>
      <c r="M63" s="169">
        <f>RANK(K63, K$42:$K$71)</f>
        <v>22</v>
      </c>
      <c r="N63" s="462"/>
      <c r="O63" s="462"/>
      <c r="P63" s="185">
        <v>12</v>
      </c>
      <c r="Q63" s="169">
        <v>1498.8311688311687</v>
      </c>
      <c r="R63" s="183">
        <v>124.90259740259739</v>
      </c>
      <c r="S63" s="185">
        <f t="shared" si="11"/>
        <v>22</v>
      </c>
      <c r="T63" s="465"/>
      <c r="U63" s="185">
        <v>12</v>
      </c>
      <c r="V63" s="169">
        <v>1471.7419354838703</v>
      </c>
      <c r="W63" s="183">
        <v>122.64516129032252</v>
      </c>
      <c r="X63" s="185">
        <f t="shared" si="12"/>
        <v>22</v>
      </c>
      <c r="Y63" s="465"/>
      <c r="Z63" s="185">
        <v>12</v>
      </c>
      <c r="AA63" s="169">
        <v>1483.2653061224496</v>
      </c>
      <c r="AB63" s="183">
        <v>123.6054421768708</v>
      </c>
      <c r="AC63" s="185">
        <f t="shared" si="13"/>
        <v>22</v>
      </c>
      <c r="AD63" s="465"/>
      <c r="AE63" s="185">
        <v>12</v>
      </c>
      <c r="AF63" s="169">
        <v>1475.2941176470579</v>
      </c>
      <c r="AG63" s="183">
        <v>122.94117647058816</v>
      </c>
      <c r="AH63" s="185">
        <f t="shared" si="14"/>
        <v>22</v>
      </c>
      <c r="AI63" s="465"/>
      <c r="AJ63" s="185">
        <v>12</v>
      </c>
      <c r="AK63" s="169">
        <v>1488.4799999999996</v>
      </c>
      <c r="AL63" s="183">
        <v>124.03999999999996</v>
      </c>
      <c r="AM63" s="185">
        <f t="shared" si="15"/>
        <v>22</v>
      </c>
      <c r="AN63" s="465"/>
      <c r="AO63" s="185">
        <v>12</v>
      </c>
      <c r="AP63" s="169">
        <v>1427.532467532465</v>
      </c>
      <c r="AQ63" s="183">
        <v>118.96103896103875</v>
      </c>
      <c r="AR63" s="185">
        <f t="shared" si="16"/>
        <v>22</v>
      </c>
      <c r="AS63" s="465"/>
      <c r="AT63" s="185">
        <v>12</v>
      </c>
      <c r="AU63" s="169">
        <v>1480.6451612903224</v>
      </c>
      <c r="AV63" s="183">
        <v>123.38709677419354</v>
      </c>
      <c r="AW63" s="185">
        <f t="shared" si="17"/>
        <v>22</v>
      </c>
      <c r="AX63" s="465"/>
    </row>
    <row r="64" spans="2:50">
      <c r="B64" s="479"/>
      <c r="C64" s="185">
        <v>23</v>
      </c>
      <c r="D64" s="185"/>
      <c r="E64" s="185"/>
      <c r="F64" s="169"/>
      <c r="G64" s="169"/>
      <c r="H64" s="465"/>
      <c r="I64" s="169"/>
      <c r="J64" s="169"/>
      <c r="K64" s="183"/>
      <c r="L64" s="465"/>
      <c r="M64" s="169" t="e">
        <f>RANK(K64, K$42:$K$71)</f>
        <v>#N/A</v>
      </c>
      <c r="N64" s="462"/>
      <c r="O64" s="462"/>
      <c r="P64" s="185"/>
      <c r="Q64" s="169"/>
      <c r="R64" s="183"/>
      <c r="S64" s="185" t="e">
        <f t="shared" si="11"/>
        <v>#N/A</v>
      </c>
      <c r="T64" s="465"/>
      <c r="U64" s="185"/>
      <c r="V64" s="169"/>
      <c r="W64" s="183"/>
      <c r="X64" s="185" t="e">
        <f t="shared" si="12"/>
        <v>#N/A</v>
      </c>
      <c r="Y64" s="465"/>
      <c r="Z64" s="185"/>
      <c r="AA64" s="169"/>
      <c r="AB64" s="183"/>
      <c r="AC64" s="185" t="e">
        <f t="shared" si="13"/>
        <v>#N/A</v>
      </c>
      <c r="AD64" s="465"/>
      <c r="AE64" s="185"/>
      <c r="AF64" s="169"/>
      <c r="AG64" s="183"/>
      <c r="AH64" s="185" t="e">
        <f t="shared" si="14"/>
        <v>#N/A</v>
      </c>
      <c r="AI64" s="465"/>
      <c r="AJ64" s="185"/>
      <c r="AK64" s="169"/>
      <c r="AL64" s="183"/>
      <c r="AM64" s="185" t="e">
        <f t="shared" si="15"/>
        <v>#N/A</v>
      </c>
      <c r="AN64" s="465"/>
      <c r="AO64" s="185"/>
      <c r="AP64" s="169"/>
      <c r="AQ64" s="183"/>
      <c r="AR64" s="185" t="e">
        <f t="shared" si="16"/>
        <v>#N/A</v>
      </c>
      <c r="AS64" s="465"/>
      <c r="AT64" s="185"/>
      <c r="AU64" s="169"/>
      <c r="AV64" s="183"/>
      <c r="AW64" s="185" t="e">
        <f t="shared" si="17"/>
        <v>#N/A</v>
      </c>
      <c r="AX64" s="465"/>
    </row>
    <row r="65" spans="2:50">
      <c r="B65" s="479"/>
      <c r="C65" s="185">
        <v>24</v>
      </c>
      <c r="D65" s="185"/>
      <c r="E65" s="185"/>
      <c r="F65" s="169"/>
      <c r="G65" s="169"/>
      <c r="H65" s="465"/>
      <c r="I65" s="169"/>
      <c r="J65" s="169"/>
      <c r="K65" s="183"/>
      <c r="L65" s="465"/>
      <c r="M65" s="169" t="e">
        <f>RANK(K65, K$42:$K$71)</f>
        <v>#N/A</v>
      </c>
      <c r="N65" s="462"/>
      <c r="O65" s="462"/>
      <c r="P65" s="185"/>
      <c r="Q65" s="169"/>
      <c r="R65" s="183"/>
      <c r="S65" s="185" t="e">
        <f t="shared" si="11"/>
        <v>#N/A</v>
      </c>
      <c r="T65" s="465"/>
      <c r="U65" s="185"/>
      <c r="V65" s="169"/>
      <c r="W65" s="183"/>
      <c r="X65" s="185" t="e">
        <f t="shared" si="12"/>
        <v>#N/A</v>
      </c>
      <c r="Y65" s="465"/>
      <c r="Z65" s="185"/>
      <c r="AA65" s="169"/>
      <c r="AB65" s="183"/>
      <c r="AC65" s="185" t="e">
        <f t="shared" si="13"/>
        <v>#N/A</v>
      </c>
      <c r="AD65" s="465"/>
      <c r="AE65" s="185"/>
      <c r="AF65" s="169"/>
      <c r="AG65" s="183"/>
      <c r="AH65" s="185" t="e">
        <f t="shared" si="14"/>
        <v>#N/A</v>
      </c>
      <c r="AI65" s="465"/>
      <c r="AJ65" s="185"/>
      <c r="AK65" s="169"/>
      <c r="AL65" s="183"/>
      <c r="AM65" s="185" t="e">
        <f t="shared" si="15"/>
        <v>#N/A</v>
      </c>
      <c r="AN65" s="465"/>
      <c r="AO65" s="185"/>
      <c r="AP65" s="169"/>
      <c r="AQ65" s="183"/>
      <c r="AR65" s="185" t="e">
        <f t="shared" si="16"/>
        <v>#N/A</v>
      </c>
      <c r="AS65" s="465"/>
      <c r="AT65" s="185"/>
      <c r="AU65" s="169"/>
      <c r="AV65" s="183"/>
      <c r="AW65" s="185" t="e">
        <f t="shared" si="17"/>
        <v>#N/A</v>
      </c>
      <c r="AX65" s="465"/>
    </row>
    <row r="66" spans="2:50">
      <c r="B66" s="479"/>
      <c r="C66" s="185">
        <v>25</v>
      </c>
      <c r="D66" s="185"/>
      <c r="E66" s="185"/>
      <c r="F66" s="169"/>
      <c r="G66" s="169"/>
      <c r="H66" s="465"/>
      <c r="I66" s="185"/>
      <c r="J66" s="185"/>
      <c r="K66" s="185"/>
      <c r="L66" s="465"/>
      <c r="M66" s="169" t="e">
        <f>RANK(K66, K$42:$K$71)</f>
        <v>#N/A</v>
      </c>
      <c r="N66" s="462"/>
      <c r="O66" s="462"/>
      <c r="P66" s="185"/>
      <c r="Q66" s="169"/>
      <c r="R66" s="183"/>
      <c r="S66" s="185" t="e">
        <f t="shared" si="11"/>
        <v>#N/A</v>
      </c>
      <c r="T66" s="465"/>
      <c r="U66" s="185"/>
      <c r="V66" s="169"/>
      <c r="W66" s="183"/>
      <c r="X66" s="185" t="e">
        <f t="shared" si="12"/>
        <v>#N/A</v>
      </c>
      <c r="Y66" s="465"/>
      <c r="Z66" s="185"/>
      <c r="AA66" s="169"/>
      <c r="AB66" s="183"/>
      <c r="AC66" s="185" t="e">
        <f t="shared" si="13"/>
        <v>#N/A</v>
      </c>
      <c r="AD66" s="465"/>
      <c r="AE66" s="185"/>
      <c r="AF66" s="169"/>
      <c r="AG66" s="183"/>
      <c r="AH66" s="185" t="e">
        <f t="shared" si="14"/>
        <v>#N/A</v>
      </c>
      <c r="AI66" s="465"/>
      <c r="AJ66" s="185"/>
      <c r="AK66" s="169"/>
      <c r="AL66" s="183"/>
      <c r="AM66" s="185" t="e">
        <f t="shared" si="15"/>
        <v>#N/A</v>
      </c>
      <c r="AN66" s="465"/>
      <c r="AO66" s="185"/>
      <c r="AP66" s="169"/>
      <c r="AQ66" s="183"/>
      <c r="AR66" s="185" t="e">
        <f t="shared" si="16"/>
        <v>#N/A</v>
      </c>
      <c r="AS66" s="465"/>
      <c r="AT66" s="185"/>
      <c r="AU66" s="169"/>
      <c r="AV66" s="183"/>
      <c r="AW66" s="185" t="e">
        <f t="shared" si="17"/>
        <v>#N/A</v>
      </c>
      <c r="AX66" s="465"/>
    </row>
    <row r="67" spans="2:50">
      <c r="B67" s="479"/>
      <c r="C67" s="185">
        <v>26</v>
      </c>
      <c r="D67" s="185"/>
      <c r="E67" s="185"/>
      <c r="F67" s="169"/>
      <c r="G67" s="169"/>
      <c r="H67" s="465"/>
      <c r="I67" s="185"/>
      <c r="J67" s="185"/>
      <c r="K67" s="185"/>
      <c r="L67" s="465"/>
      <c r="M67" s="169" t="e">
        <f>RANK(K67, K$42:$K$71)</f>
        <v>#N/A</v>
      </c>
      <c r="N67" s="462"/>
      <c r="O67" s="462"/>
      <c r="P67" s="185"/>
      <c r="Q67" s="169"/>
      <c r="R67" s="183"/>
      <c r="S67" s="185" t="e">
        <f t="shared" si="11"/>
        <v>#N/A</v>
      </c>
      <c r="T67" s="465"/>
      <c r="U67" s="185"/>
      <c r="V67" s="169"/>
      <c r="W67" s="183"/>
      <c r="X67" s="185" t="e">
        <f t="shared" si="12"/>
        <v>#N/A</v>
      </c>
      <c r="Y67" s="465"/>
      <c r="Z67" s="185"/>
      <c r="AA67" s="169"/>
      <c r="AB67" s="183"/>
      <c r="AC67" s="185" t="e">
        <f t="shared" si="13"/>
        <v>#N/A</v>
      </c>
      <c r="AD67" s="465"/>
      <c r="AE67" s="185"/>
      <c r="AF67" s="169"/>
      <c r="AG67" s="183"/>
      <c r="AH67" s="185" t="e">
        <f t="shared" si="14"/>
        <v>#N/A</v>
      </c>
      <c r="AI67" s="465"/>
      <c r="AJ67" s="185"/>
      <c r="AK67" s="169"/>
      <c r="AL67" s="183"/>
      <c r="AM67" s="185" t="e">
        <f t="shared" si="15"/>
        <v>#N/A</v>
      </c>
      <c r="AN67" s="465"/>
      <c r="AO67" s="185"/>
      <c r="AP67" s="169"/>
      <c r="AQ67" s="183"/>
      <c r="AR67" s="185" t="e">
        <f t="shared" si="16"/>
        <v>#N/A</v>
      </c>
      <c r="AS67" s="465"/>
      <c r="AT67" s="185"/>
      <c r="AU67" s="169"/>
      <c r="AV67" s="183"/>
      <c r="AW67" s="185" t="e">
        <f t="shared" si="17"/>
        <v>#N/A</v>
      </c>
      <c r="AX67" s="465"/>
    </row>
    <row r="68" spans="2:50">
      <c r="B68" s="479"/>
      <c r="C68" s="185">
        <v>27</v>
      </c>
      <c r="D68" s="185"/>
      <c r="E68" s="185"/>
      <c r="F68" s="169"/>
      <c r="G68" s="169"/>
      <c r="H68" s="465"/>
      <c r="I68" s="185"/>
      <c r="J68" s="185"/>
      <c r="K68" s="185"/>
      <c r="L68" s="465"/>
      <c r="M68" s="169" t="e">
        <f>RANK(K68, K$42:$K$71)</f>
        <v>#N/A</v>
      </c>
      <c r="N68" s="462"/>
      <c r="O68" s="462"/>
      <c r="P68" s="185"/>
      <c r="Q68" s="169"/>
      <c r="R68" s="183"/>
      <c r="S68" s="185" t="e">
        <f t="shared" si="11"/>
        <v>#N/A</v>
      </c>
      <c r="T68" s="465"/>
      <c r="U68" s="185"/>
      <c r="V68" s="169"/>
      <c r="W68" s="183"/>
      <c r="X68" s="185" t="e">
        <f t="shared" si="12"/>
        <v>#N/A</v>
      </c>
      <c r="Y68" s="465"/>
      <c r="Z68" s="185"/>
      <c r="AA68" s="169"/>
      <c r="AB68" s="183"/>
      <c r="AC68" s="185" t="e">
        <f t="shared" si="13"/>
        <v>#N/A</v>
      </c>
      <c r="AD68" s="465"/>
      <c r="AE68" s="185"/>
      <c r="AF68" s="169"/>
      <c r="AG68" s="183"/>
      <c r="AH68" s="185" t="e">
        <f t="shared" si="14"/>
        <v>#N/A</v>
      </c>
      <c r="AI68" s="465"/>
      <c r="AJ68" s="185"/>
      <c r="AK68" s="169"/>
      <c r="AL68" s="183"/>
      <c r="AM68" s="185" t="e">
        <f t="shared" si="15"/>
        <v>#N/A</v>
      </c>
      <c r="AN68" s="465"/>
      <c r="AO68" s="185"/>
      <c r="AP68" s="169"/>
      <c r="AQ68" s="183"/>
      <c r="AR68" s="185" t="e">
        <f t="shared" si="16"/>
        <v>#N/A</v>
      </c>
      <c r="AS68" s="465"/>
      <c r="AT68" s="185"/>
      <c r="AU68" s="169"/>
      <c r="AV68" s="183"/>
      <c r="AW68" s="185" t="e">
        <f t="shared" si="17"/>
        <v>#N/A</v>
      </c>
      <c r="AX68" s="465"/>
    </row>
    <row r="69" spans="2:50">
      <c r="B69" s="479"/>
      <c r="C69" s="185">
        <v>28</v>
      </c>
      <c r="D69" s="185"/>
      <c r="E69" s="185"/>
      <c r="F69" s="169"/>
      <c r="G69" s="169"/>
      <c r="H69" s="465"/>
      <c r="I69" s="185"/>
      <c r="J69" s="185"/>
      <c r="K69" s="185"/>
      <c r="L69" s="465"/>
      <c r="M69" s="169" t="e">
        <f>RANK(K69, K$42:$K$71)</f>
        <v>#N/A</v>
      </c>
      <c r="N69" s="462"/>
      <c r="O69" s="462"/>
      <c r="P69" s="185"/>
      <c r="Q69" s="169"/>
      <c r="R69" s="183"/>
      <c r="S69" s="185" t="e">
        <f t="shared" si="11"/>
        <v>#N/A</v>
      </c>
      <c r="T69" s="465"/>
      <c r="U69" s="185"/>
      <c r="V69" s="169"/>
      <c r="W69" s="183"/>
      <c r="X69" s="185" t="e">
        <f t="shared" si="12"/>
        <v>#N/A</v>
      </c>
      <c r="Y69" s="465"/>
      <c r="Z69" s="185"/>
      <c r="AA69" s="169"/>
      <c r="AB69" s="183"/>
      <c r="AC69" s="185" t="e">
        <f t="shared" si="13"/>
        <v>#N/A</v>
      </c>
      <c r="AD69" s="465"/>
      <c r="AE69" s="185"/>
      <c r="AF69" s="169"/>
      <c r="AG69" s="183"/>
      <c r="AH69" s="185" t="e">
        <f t="shared" si="14"/>
        <v>#N/A</v>
      </c>
      <c r="AI69" s="465"/>
      <c r="AJ69" s="185"/>
      <c r="AK69" s="169"/>
      <c r="AL69" s="183"/>
      <c r="AM69" s="185" t="e">
        <f t="shared" si="15"/>
        <v>#N/A</v>
      </c>
      <c r="AN69" s="465"/>
      <c r="AO69" s="185"/>
      <c r="AP69" s="169"/>
      <c r="AQ69" s="183"/>
      <c r="AR69" s="185" t="e">
        <f t="shared" si="16"/>
        <v>#N/A</v>
      </c>
      <c r="AS69" s="465"/>
      <c r="AT69" s="185"/>
      <c r="AU69" s="169"/>
      <c r="AV69" s="183"/>
      <c r="AW69" s="185" t="e">
        <f t="shared" si="17"/>
        <v>#N/A</v>
      </c>
      <c r="AX69" s="465"/>
    </row>
    <row r="70" spans="2:50">
      <c r="B70" s="479"/>
      <c r="C70" s="185">
        <v>29</v>
      </c>
      <c r="D70" s="185"/>
      <c r="E70" s="185"/>
      <c r="F70" s="169"/>
      <c r="G70" s="169"/>
      <c r="H70" s="465"/>
      <c r="I70" s="185"/>
      <c r="J70" s="185"/>
      <c r="K70" s="185"/>
      <c r="L70" s="465"/>
      <c r="M70" s="169" t="e">
        <f>RANK(K70, K$42:$K$71)</f>
        <v>#N/A</v>
      </c>
      <c r="N70" s="462"/>
      <c r="O70" s="462"/>
      <c r="P70" s="185"/>
      <c r="Q70" s="169"/>
      <c r="R70" s="183"/>
      <c r="S70" s="185" t="e">
        <f t="shared" si="11"/>
        <v>#N/A</v>
      </c>
      <c r="T70" s="465"/>
      <c r="U70" s="185"/>
      <c r="V70" s="169"/>
      <c r="W70" s="183"/>
      <c r="X70" s="185" t="e">
        <f t="shared" si="12"/>
        <v>#N/A</v>
      </c>
      <c r="Y70" s="465"/>
      <c r="Z70" s="185"/>
      <c r="AA70" s="169"/>
      <c r="AB70" s="183"/>
      <c r="AC70" s="185" t="e">
        <f t="shared" si="13"/>
        <v>#N/A</v>
      </c>
      <c r="AD70" s="465"/>
      <c r="AE70" s="185"/>
      <c r="AF70" s="169"/>
      <c r="AG70" s="183"/>
      <c r="AH70" s="185" t="e">
        <f t="shared" si="14"/>
        <v>#N/A</v>
      </c>
      <c r="AI70" s="465"/>
      <c r="AJ70" s="185"/>
      <c r="AK70" s="169"/>
      <c r="AL70" s="183"/>
      <c r="AM70" s="185" t="e">
        <f t="shared" si="15"/>
        <v>#N/A</v>
      </c>
      <c r="AN70" s="465"/>
      <c r="AO70" s="185"/>
      <c r="AP70" s="169"/>
      <c r="AQ70" s="183"/>
      <c r="AR70" s="185" t="e">
        <f t="shared" si="16"/>
        <v>#N/A</v>
      </c>
      <c r="AS70" s="465"/>
      <c r="AT70" s="185"/>
      <c r="AU70" s="169"/>
      <c r="AV70" s="183"/>
      <c r="AW70" s="185" t="e">
        <f t="shared" si="17"/>
        <v>#N/A</v>
      </c>
      <c r="AX70" s="465"/>
    </row>
    <row r="71" spans="2:50">
      <c r="B71" s="480"/>
      <c r="C71" s="185">
        <v>30</v>
      </c>
      <c r="D71" s="185"/>
      <c r="E71" s="185"/>
      <c r="F71" s="169"/>
      <c r="G71" s="169"/>
      <c r="H71" s="466"/>
      <c r="I71" s="185"/>
      <c r="J71" s="185"/>
      <c r="K71" s="185"/>
      <c r="L71" s="466"/>
      <c r="M71" s="169" t="e">
        <f>RANK(K71, K$42:$K$71)</f>
        <v>#N/A</v>
      </c>
      <c r="N71" s="463"/>
      <c r="O71" s="463"/>
      <c r="P71" s="185"/>
      <c r="Q71" s="169"/>
      <c r="R71" s="183"/>
      <c r="S71" s="185" t="e">
        <f t="shared" si="11"/>
        <v>#N/A</v>
      </c>
      <c r="T71" s="466"/>
      <c r="U71" s="185"/>
      <c r="V71" s="169"/>
      <c r="W71" s="183"/>
      <c r="X71" s="185" t="e">
        <f t="shared" si="12"/>
        <v>#N/A</v>
      </c>
      <c r="Y71" s="466"/>
      <c r="Z71" s="185"/>
      <c r="AA71" s="169"/>
      <c r="AB71" s="183"/>
      <c r="AC71" s="185" t="e">
        <f t="shared" si="13"/>
        <v>#N/A</v>
      </c>
      <c r="AD71" s="466"/>
      <c r="AE71" s="185"/>
      <c r="AF71" s="169"/>
      <c r="AG71" s="183"/>
      <c r="AH71" s="185" t="e">
        <f t="shared" si="14"/>
        <v>#N/A</v>
      </c>
      <c r="AI71" s="466"/>
      <c r="AJ71" s="185"/>
      <c r="AK71" s="169"/>
      <c r="AL71" s="183"/>
      <c r="AM71" s="185" t="e">
        <f t="shared" si="15"/>
        <v>#N/A</v>
      </c>
      <c r="AN71" s="466"/>
      <c r="AO71" s="185"/>
      <c r="AP71" s="169"/>
      <c r="AQ71" s="183"/>
      <c r="AR71" s="185" t="e">
        <f t="shared" si="16"/>
        <v>#N/A</v>
      </c>
      <c r="AS71" s="466"/>
      <c r="AT71" s="185"/>
      <c r="AU71" s="169"/>
      <c r="AV71" s="183"/>
      <c r="AW71" s="185" t="e">
        <f t="shared" si="17"/>
        <v>#N/A</v>
      </c>
      <c r="AX71" s="466"/>
    </row>
    <row r="72" spans="2:50" ht="15.75">
      <c r="B72" s="481" t="s">
        <v>201</v>
      </c>
      <c r="C72" s="482"/>
      <c r="D72" s="482"/>
      <c r="E72" s="482"/>
      <c r="F72" s="482"/>
      <c r="G72" s="482"/>
      <c r="H72" s="482"/>
      <c r="I72" s="189"/>
      <c r="J72" s="186"/>
      <c r="K72" s="189"/>
      <c r="L72" s="189"/>
      <c r="M72" s="181"/>
      <c r="N72" s="461" t="s">
        <v>202</v>
      </c>
      <c r="O72" s="461" t="s">
        <v>150</v>
      </c>
      <c r="P72" s="470">
        <f>P37+7</f>
        <v>45972</v>
      </c>
      <c r="Q72" s="471"/>
      <c r="R72" s="471"/>
      <c r="S72" s="471"/>
      <c r="T72" s="471"/>
      <c r="U72" s="467">
        <f>P72+1</f>
        <v>45973</v>
      </c>
      <c r="V72" s="468"/>
      <c r="W72" s="468"/>
      <c r="X72" s="468"/>
      <c r="Y72" s="469"/>
      <c r="Z72" s="467">
        <f>U72+1</f>
        <v>45974</v>
      </c>
      <c r="AA72" s="468"/>
      <c r="AB72" s="468"/>
      <c r="AC72" s="468"/>
      <c r="AD72" s="469"/>
      <c r="AE72" s="467">
        <f>Z72+1</f>
        <v>45975</v>
      </c>
      <c r="AF72" s="468"/>
      <c r="AG72" s="468"/>
      <c r="AH72" s="468"/>
      <c r="AI72" s="469"/>
      <c r="AJ72" s="467">
        <f>AE72+1</f>
        <v>45976</v>
      </c>
      <c r="AK72" s="468"/>
      <c r="AL72" s="468"/>
      <c r="AM72" s="468"/>
      <c r="AN72" s="469"/>
      <c r="AO72" s="467">
        <f>AJ72+1</f>
        <v>45977</v>
      </c>
      <c r="AP72" s="468"/>
      <c r="AQ72" s="468"/>
      <c r="AR72" s="468"/>
      <c r="AS72" s="469"/>
      <c r="AT72" s="467">
        <f>AO72+1</f>
        <v>45978</v>
      </c>
      <c r="AU72" s="468"/>
      <c r="AV72" s="468"/>
      <c r="AW72" s="468"/>
      <c r="AX72" s="469"/>
    </row>
    <row r="73" spans="2:50" ht="15.75">
      <c r="B73" s="474"/>
      <c r="C73" s="474"/>
      <c r="D73" s="474"/>
      <c r="E73" s="474"/>
      <c r="F73" s="474"/>
      <c r="G73" s="474"/>
      <c r="H73" s="474"/>
      <c r="I73" s="187"/>
      <c r="J73" s="187"/>
      <c r="K73" s="187"/>
      <c r="L73" s="187"/>
      <c r="M73" s="182"/>
      <c r="N73" s="463"/>
      <c r="O73" s="463"/>
      <c r="P73" s="470" t="s">
        <v>203</v>
      </c>
      <c r="Q73" s="471"/>
      <c r="R73" s="471"/>
      <c r="S73" s="471"/>
      <c r="T73" s="471"/>
      <c r="U73" s="470" t="s">
        <v>204</v>
      </c>
      <c r="V73" s="471"/>
      <c r="W73" s="471"/>
      <c r="X73" s="471"/>
      <c r="Y73" s="471"/>
      <c r="Z73" s="470" t="s">
        <v>205</v>
      </c>
      <c r="AA73" s="471"/>
      <c r="AB73" s="471"/>
      <c r="AC73" s="471"/>
      <c r="AD73" s="471"/>
      <c r="AE73" s="470" t="s">
        <v>206</v>
      </c>
      <c r="AF73" s="471"/>
      <c r="AG73" s="471"/>
      <c r="AH73" s="471"/>
      <c r="AI73" s="471"/>
      <c r="AJ73" s="470" t="s">
        <v>207</v>
      </c>
      <c r="AK73" s="471"/>
      <c r="AL73" s="471"/>
      <c r="AM73" s="471"/>
      <c r="AN73" s="471"/>
      <c r="AO73" s="470" t="s">
        <v>157</v>
      </c>
      <c r="AP73" s="471"/>
      <c r="AQ73" s="471"/>
      <c r="AR73" s="471"/>
      <c r="AS73" s="471"/>
      <c r="AT73" s="470" t="s">
        <v>208</v>
      </c>
      <c r="AU73" s="471"/>
      <c r="AV73" s="471"/>
      <c r="AW73" s="471"/>
      <c r="AX73" s="471"/>
    </row>
    <row r="74" spans="2:50">
      <c r="B74" s="461" t="s">
        <v>209</v>
      </c>
      <c r="C74" s="455" t="s">
        <v>210</v>
      </c>
      <c r="D74" s="475"/>
      <c r="E74" s="458" t="s">
        <v>211</v>
      </c>
      <c r="F74" s="459"/>
      <c r="G74" s="460"/>
      <c r="H74" s="461" t="s">
        <v>212</v>
      </c>
      <c r="I74" s="458" t="s">
        <v>213</v>
      </c>
      <c r="J74" s="459"/>
      <c r="K74" s="460"/>
      <c r="L74" s="461" t="s">
        <v>212</v>
      </c>
      <c r="M74" s="461" t="s">
        <v>214</v>
      </c>
      <c r="N74" s="461"/>
      <c r="O74" s="461" t="s">
        <v>215</v>
      </c>
      <c r="P74" s="458" t="s">
        <v>216</v>
      </c>
      <c r="Q74" s="459"/>
      <c r="R74" s="459"/>
      <c r="S74" s="460"/>
      <c r="T74" s="461" t="s">
        <v>212</v>
      </c>
      <c r="U74" s="458" t="s">
        <v>216</v>
      </c>
      <c r="V74" s="459"/>
      <c r="W74" s="459"/>
      <c r="X74" s="460"/>
      <c r="Y74" s="461" t="s">
        <v>212</v>
      </c>
      <c r="Z74" s="458" t="s">
        <v>216</v>
      </c>
      <c r="AA74" s="459"/>
      <c r="AB74" s="459"/>
      <c r="AC74" s="460"/>
      <c r="AD74" s="461" t="s">
        <v>212</v>
      </c>
      <c r="AE74" s="458" t="s">
        <v>216</v>
      </c>
      <c r="AF74" s="459"/>
      <c r="AG74" s="459"/>
      <c r="AH74" s="460"/>
      <c r="AI74" s="461" t="s">
        <v>212</v>
      </c>
      <c r="AJ74" s="458" t="s">
        <v>216</v>
      </c>
      <c r="AK74" s="459"/>
      <c r="AL74" s="459"/>
      <c r="AM74" s="460"/>
      <c r="AN74" s="461" t="s">
        <v>212</v>
      </c>
      <c r="AO74" s="458" t="s">
        <v>216</v>
      </c>
      <c r="AP74" s="459"/>
      <c r="AQ74" s="459"/>
      <c r="AR74" s="460"/>
      <c r="AS74" s="461" t="s">
        <v>212</v>
      </c>
      <c r="AT74" s="458" t="s">
        <v>216</v>
      </c>
      <c r="AU74" s="459"/>
      <c r="AV74" s="459"/>
      <c r="AW74" s="460"/>
      <c r="AX74" s="461" t="s">
        <v>212</v>
      </c>
    </row>
    <row r="75" spans="2:50">
      <c r="B75" s="462"/>
      <c r="C75" s="456"/>
      <c r="D75" s="476"/>
      <c r="E75" s="458" t="s">
        <v>217</v>
      </c>
      <c r="F75" s="459"/>
      <c r="G75" s="460"/>
      <c r="H75" s="462"/>
      <c r="I75" s="458" t="s">
        <v>217</v>
      </c>
      <c r="J75" s="459"/>
      <c r="K75" s="460"/>
      <c r="L75" s="462"/>
      <c r="M75" s="462"/>
      <c r="N75" s="462"/>
      <c r="O75" s="462"/>
      <c r="P75" s="458" t="s">
        <v>218</v>
      </c>
      <c r="Q75" s="459"/>
      <c r="R75" s="459"/>
      <c r="S75" s="460"/>
      <c r="T75" s="462"/>
      <c r="U75" s="458" t="s">
        <v>218</v>
      </c>
      <c r="V75" s="459"/>
      <c r="W75" s="459"/>
      <c r="X75" s="460"/>
      <c r="Y75" s="462"/>
      <c r="Z75" s="458" t="s">
        <v>218</v>
      </c>
      <c r="AA75" s="459"/>
      <c r="AB75" s="459"/>
      <c r="AC75" s="460"/>
      <c r="AD75" s="462"/>
      <c r="AE75" s="458" t="s">
        <v>218</v>
      </c>
      <c r="AF75" s="459"/>
      <c r="AG75" s="459"/>
      <c r="AH75" s="460"/>
      <c r="AI75" s="462"/>
      <c r="AJ75" s="458" t="s">
        <v>218</v>
      </c>
      <c r="AK75" s="459"/>
      <c r="AL75" s="459"/>
      <c r="AM75" s="460"/>
      <c r="AN75" s="462"/>
      <c r="AO75" s="458" t="s">
        <v>218</v>
      </c>
      <c r="AP75" s="459"/>
      <c r="AQ75" s="459"/>
      <c r="AR75" s="460"/>
      <c r="AS75" s="462"/>
      <c r="AT75" s="458" t="s">
        <v>218</v>
      </c>
      <c r="AU75" s="459"/>
      <c r="AV75" s="459"/>
      <c r="AW75" s="460"/>
      <c r="AX75" s="462"/>
    </row>
    <row r="76" spans="2:50">
      <c r="B76" s="463"/>
      <c r="C76" s="457"/>
      <c r="D76" s="477"/>
      <c r="E76" s="275" t="s">
        <v>219</v>
      </c>
      <c r="F76" s="275" t="s">
        <v>220</v>
      </c>
      <c r="G76" s="275" t="s">
        <v>221</v>
      </c>
      <c r="H76" s="463"/>
      <c r="I76" s="275" t="s">
        <v>219</v>
      </c>
      <c r="J76" s="275" t="s">
        <v>220</v>
      </c>
      <c r="K76" s="275" t="s">
        <v>221</v>
      </c>
      <c r="L76" s="463"/>
      <c r="M76" s="463"/>
      <c r="N76" s="462"/>
      <c r="O76" s="462"/>
      <c r="P76" s="275" t="s">
        <v>219</v>
      </c>
      <c r="Q76" s="275" t="s">
        <v>220</v>
      </c>
      <c r="R76" s="275" t="s">
        <v>221</v>
      </c>
      <c r="S76" s="275" t="s">
        <v>214</v>
      </c>
      <c r="T76" s="463"/>
      <c r="U76" s="275" t="s">
        <v>219</v>
      </c>
      <c r="V76" s="275" t="s">
        <v>220</v>
      </c>
      <c r="W76" s="275" t="s">
        <v>221</v>
      </c>
      <c r="X76" s="275" t="s">
        <v>214</v>
      </c>
      <c r="Y76" s="463"/>
      <c r="Z76" s="275" t="s">
        <v>219</v>
      </c>
      <c r="AA76" s="275" t="s">
        <v>220</v>
      </c>
      <c r="AB76" s="275" t="s">
        <v>221</v>
      </c>
      <c r="AC76" s="275" t="s">
        <v>214</v>
      </c>
      <c r="AD76" s="463"/>
      <c r="AE76" s="275" t="s">
        <v>219</v>
      </c>
      <c r="AF76" s="275" t="s">
        <v>220</v>
      </c>
      <c r="AG76" s="275" t="s">
        <v>221</v>
      </c>
      <c r="AH76" s="275" t="s">
        <v>214</v>
      </c>
      <c r="AI76" s="463"/>
      <c r="AJ76" s="275" t="s">
        <v>219</v>
      </c>
      <c r="AK76" s="275" t="s">
        <v>220</v>
      </c>
      <c r="AL76" s="275" t="s">
        <v>221</v>
      </c>
      <c r="AM76" s="275" t="s">
        <v>214</v>
      </c>
      <c r="AN76" s="463"/>
      <c r="AO76" s="275" t="s">
        <v>219</v>
      </c>
      <c r="AP76" s="275" t="s">
        <v>220</v>
      </c>
      <c r="AQ76" s="275" t="s">
        <v>221</v>
      </c>
      <c r="AR76" s="275" t="s">
        <v>214</v>
      </c>
      <c r="AS76" s="463"/>
      <c r="AT76" s="275" t="s">
        <v>219</v>
      </c>
      <c r="AU76" s="275" t="s">
        <v>220</v>
      </c>
      <c r="AV76" s="275" t="s">
        <v>221</v>
      </c>
      <c r="AW76" s="275" t="s">
        <v>214</v>
      </c>
      <c r="AX76" s="463"/>
    </row>
    <row r="77" spans="2:50">
      <c r="B77" s="478" t="s">
        <v>222</v>
      </c>
      <c r="C77" s="185">
        <v>1</v>
      </c>
      <c r="D77" s="185"/>
      <c r="E77" s="185"/>
      <c r="F77" s="185"/>
      <c r="G77" s="185"/>
      <c r="H77" s="464" t="e">
        <f>AVERAGE(G77:G106)</f>
        <v>#DIV/0!</v>
      </c>
      <c r="I77" s="169" t="e">
        <f>AVERAGE(P77,U77,Z77,AE77,AJ77,AO77,AT77)</f>
        <v>#DIV/0!</v>
      </c>
      <c r="J77" s="169" t="e">
        <f>AVERAGE(Q77,V77,AA77,AF77,AK77,AP77,AU77)</f>
        <v>#DIV/0!</v>
      </c>
      <c r="K77" s="183" t="e">
        <f>AVERAGE(R77,W77,AB77,AG77,AL77,AQ77,AV77)</f>
        <v>#DIV/0!</v>
      </c>
      <c r="L77" s="464" t="str">
        <f>IFERROR(AVERAGE(K77:K106),"-")</f>
        <v>-</v>
      </c>
      <c r="M77" s="169" t="e">
        <f>RANK(K77, K$77:$K$106)</f>
        <v>#DIV/0!</v>
      </c>
      <c r="N77" s="462"/>
      <c r="O77" s="462"/>
      <c r="P77" s="169"/>
      <c r="Q77" s="169"/>
      <c r="R77" s="169"/>
      <c r="S77" s="185" t="e">
        <f>RANK(R77, R$77:R$106)</f>
        <v>#N/A</v>
      </c>
      <c r="T77" s="464" t="e">
        <f>AVERAGE(R77:R106)</f>
        <v>#DIV/0!</v>
      </c>
      <c r="U77" s="169"/>
      <c r="V77" s="169"/>
      <c r="W77" s="169"/>
      <c r="X77" s="185" t="e">
        <f>RANK(W77, W$77:W$106)</f>
        <v>#N/A</v>
      </c>
      <c r="Y77" s="464" t="e">
        <f>AVERAGE(W77:W106)</f>
        <v>#DIV/0!</v>
      </c>
      <c r="Z77" s="169"/>
      <c r="AA77" s="169"/>
      <c r="AB77" s="169"/>
      <c r="AC77" s="185" t="e">
        <f>RANK(AB77, AB$77:AB$106)</f>
        <v>#N/A</v>
      </c>
      <c r="AD77" s="464" t="e">
        <f>AVERAGE(AB77:AB106)</f>
        <v>#DIV/0!</v>
      </c>
      <c r="AE77" s="169"/>
      <c r="AF77" s="169"/>
      <c r="AG77" s="169"/>
      <c r="AH77" s="185" t="e">
        <f>RANK(AG77, AG$77:AG$106)</f>
        <v>#N/A</v>
      </c>
      <c r="AI77" s="464" t="e">
        <f>AVERAGE(AG77:AG106)</f>
        <v>#DIV/0!</v>
      </c>
      <c r="AJ77" s="169"/>
      <c r="AK77" s="169"/>
      <c r="AL77" s="169"/>
      <c r="AM77" s="185" t="e">
        <f>RANK(AL77, AL$77:AL$106)</f>
        <v>#N/A</v>
      </c>
      <c r="AN77" s="464" t="e">
        <f>AVERAGE(AL77:AL106)</f>
        <v>#DIV/0!</v>
      </c>
      <c r="AO77" s="169"/>
      <c r="AP77" s="169"/>
      <c r="AQ77" s="169"/>
      <c r="AR77" s="185" t="e">
        <f>RANK(AQ77, AQ$77:AQ$106)</f>
        <v>#N/A</v>
      </c>
      <c r="AS77" s="464" t="e">
        <f>AVERAGE(AQ77:AQ106)</f>
        <v>#DIV/0!</v>
      </c>
      <c r="AT77" s="169"/>
      <c r="AU77" s="169"/>
      <c r="AV77" s="169"/>
      <c r="AW77" s="185" t="e">
        <f>RANK(AV77, AV$77:AV$106)</f>
        <v>#N/A</v>
      </c>
      <c r="AX77" s="464" t="e">
        <f>AVERAGE(AV77:AV106)</f>
        <v>#DIV/0!</v>
      </c>
    </row>
    <row r="78" spans="2:50">
      <c r="B78" s="479"/>
      <c r="C78" s="185">
        <v>2</v>
      </c>
      <c r="D78" s="185"/>
      <c r="E78" s="185"/>
      <c r="F78" s="185"/>
      <c r="G78" s="185"/>
      <c r="H78" s="465"/>
      <c r="I78" s="169" t="e">
        <f t="shared" ref="I78:I95" si="24">AVERAGE(P78,U78,Z78,AE78,AJ78,AO78,AT78)</f>
        <v>#DIV/0!</v>
      </c>
      <c r="J78" s="169" t="e">
        <f t="shared" ref="J78:J95" si="25">AVERAGE(Q78,V78,AA78,AF78,AK78,AP78,AU78)</f>
        <v>#DIV/0!</v>
      </c>
      <c r="K78" s="183" t="e">
        <f t="shared" ref="K78:K95" si="26">AVERAGE(R78,W78,AB78,AG78,AL78,AQ78,AV78)</f>
        <v>#DIV/0!</v>
      </c>
      <c r="L78" s="465"/>
      <c r="M78" s="169" t="e">
        <f>RANK(K78, K$77:$K$106)</f>
        <v>#DIV/0!</v>
      </c>
      <c r="N78" s="462"/>
      <c r="O78" s="462"/>
      <c r="P78" s="169"/>
      <c r="Q78" s="169"/>
      <c r="R78" s="169"/>
      <c r="S78" s="185" t="e">
        <f t="shared" ref="S78:S106" si="27">RANK(R78, R$77:R$106)</f>
        <v>#N/A</v>
      </c>
      <c r="T78" s="465"/>
      <c r="U78" s="169"/>
      <c r="V78" s="169"/>
      <c r="W78" s="169"/>
      <c r="X78" s="185" t="e">
        <f t="shared" ref="X78:X106" si="28">RANK(W78, W$77:W$106)</f>
        <v>#N/A</v>
      </c>
      <c r="Y78" s="465"/>
      <c r="Z78" s="169"/>
      <c r="AA78" s="169"/>
      <c r="AB78" s="169"/>
      <c r="AC78" s="185" t="e">
        <f t="shared" ref="AC78:AC106" si="29">RANK(AB78, AB$77:AB$106)</f>
        <v>#N/A</v>
      </c>
      <c r="AD78" s="465"/>
      <c r="AE78" s="169"/>
      <c r="AF78" s="169"/>
      <c r="AG78" s="169"/>
      <c r="AH78" s="185" t="e">
        <f t="shared" ref="AH78:AH106" si="30">RANK(AG78, AG$77:AG$106)</f>
        <v>#N/A</v>
      </c>
      <c r="AI78" s="465"/>
      <c r="AJ78" s="169"/>
      <c r="AK78" s="169"/>
      <c r="AL78" s="169"/>
      <c r="AM78" s="185" t="e">
        <f t="shared" ref="AM78:AM106" si="31">RANK(AL78, AL$77:AL$106)</f>
        <v>#N/A</v>
      </c>
      <c r="AN78" s="465"/>
      <c r="AO78" s="169"/>
      <c r="AP78" s="169"/>
      <c r="AQ78" s="169"/>
      <c r="AR78" s="185" t="e">
        <f t="shared" ref="AR78:AR106" si="32">RANK(AQ78, AQ$77:AQ$106)</f>
        <v>#N/A</v>
      </c>
      <c r="AS78" s="465"/>
      <c r="AT78" s="169"/>
      <c r="AU78" s="169"/>
      <c r="AV78" s="169"/>
      <c r="AW78" s="185" t="e">
        <f t="shared" ref="AW78:AW106" si="33">RANK(AV78, AV$77:AV$106)</f>
        <v>#N/A</v>
      </c>
      <c r="AX78" s="465"/>
    </row>
    <row r="79" spans="2:50">
      <c r="B79" s="479"/>
      <c r="C79" s="185">
        <v>3</v>
      </c>
      <c r="D79" s="185"/>
      <c r="E79" s="185"/>
      <c r="F79" s="185"/>
      <c r="G79" s="185"/>
      <c r="H79" s="465"/>
      <c r="I79" s="169" t="e">
        <f t="shared" si="24"/>
        <v>#DIV/0!</v>
      </c>
      <c r="J79" s="169" t="e">
        <f t="shared" si="25"/>
        <v>#DIV/0!</v>
      </c>
      <c r="K79" s="183" t="e">
        <f t="shared" si="26"/>
        <v>#DIV/0!</v>
      </c>
      <c r="L79" s="465"/>
      <c r="M79" s="169" t="e">
        <f>RANK(K79, K$77:$K$106)</f>
        <v>#DIV/0!</v>
      </c>
      <c r="N79" s="462"/>
      <c r="O79" s="462"/>
      <c r="P79" s="169"/>
      <c r="Q79" s="169"/>
      <c r="R79" s="169"/>
      <c r="S79" s="185" t="e">
        <f t="shared" si="27"/>
        <v>#N/A</v>
      </c>
      <c r="T79" s="465"/>
      <c r="U79" s="169"/>
      <c r="V79" s="169"/>
      <c r="W79" s="169"/>
      <c r="X79" s="185" t="e">
        <f t="shared" si="28"/>
        <v>#N/A</v>
      </c>
      <c r="Y79" s="465"/>
      <c r="Z79" s="169"/>
      <c r="AA79" s="169"/>
      <c r="AB79" s="169"/>
      <c r="AC79" s="185" t="e">
        <f t="shared" si="29"/>
        <v>#N/A</v>
      </c>
      <c r="AD79" s="465"/>
      <c r="AE79" s="169"/>
      <c r="AF79" s="169"/>
      <c r="AG79" s="169"/>
      <c r="AH79" s="185" t="e">
        <f t="shared" si="30"/>
        <v>#N/A</v>
      </c>
      <c r="AI79" s="465"/>
      <c r="AJ79" s="169"/>
      <c r="AK79" s="169"/>
      <c r="AL79" s="169"/>
      <c r="AM79" s="185" t="e">
        <f t="shared" si="31"/>
        <v>#N/A</v>
      </c>
      <c r="AN79" s="465"/>
      <c r="AO79" s="169"/>
      <c r="AP79" s="169"/>
      <c r="AQ79" s="169"/>
      <c r="AR79" s="185" t="e">
        <f t="shared" si="32"/>
        <v>#N/A</v>
      </c>
      <c r="AS79" s="465"/>
      <c r="AT79" s="169"/>
      <c r="AU79" s="169"/>
      <c r="AV79" s="169"/>
      <c r="AW79" s="185" t="e">
        <f t="shared" si="33"/>
        <v>#N/A</v>
      </c>
      <c r="AX79" s="465"/>
    </row>
    <row r="80" spans="2:50">
      <c r="B80" s="479"/>
      <c r="C80" s="185">
        <v>4</v>
      </c>
      <c r="D80" s="185"/>
      <c r="E80" s="185"/>
      <c r="F80" s="185"/>
      <c r="G80" s="185"/>
      <c r="H80" s="465"/>
      <c r="I80" s="169" t="e">
        <f t="shared" si="24"/>
        <v>#DIV/0!</v>
      </c>
      <c r="J80" s="169" t="e">
        <f t="shared" si="25"/>
        <v>#DIV/0!</v>
      </c>
      <c r="K80" s="183" t="e">
        <f t="shared" si="26"/>
        <v>#DIV/0!</v>
      </c>
      <c r="L80" s="465"/>
      <c r="M80" s="169" t="e">
        <f>RANK(K80, K$77:$K$106)</f>
        <v>#DIV/0!</v>
      </c>
      <c r="N80" s="462"/>
      <c r="O80" s="462"/>
      <c r="P80" s="169"/>
      <c r="Q80" s="169"/>
      <c r="R80" s="169"/>
      <c r="S80" s="185" t="e">
        <f t="shared" si="27"/>
        <v>#N/A</v>
      </c>
      <c r="T80" s="465"/>
      <c r="U80" s="169"/>
      <c r="V80" s="169"/>
      <c r="W80" s="169"/>
      <c r="X80" s="185" t="e">
        <f t="shared" si="28"/>
        <v>#N/A</v>
      </c>
      <c r="Y80" s="465"/>
      <c r="Z80" s="169"/>
      <c r="AA80" s="169"/>
      <c r="AB80" s="169"/>
      <c r="AC80" s="185" t="e">
        <f t="shared" si="29"/>
        <v>#N/A</v>
      </c>
      <c r="AD80" s="465"/>
      <c r="AE80" s="169"/>
      <c r="AF80" s="169"/>
      <c r="AG80" s="169"/>
      <c r="AH80" s="185" t="e">
        <f t="shared" si="30"/>
        <v>#N/A</v>
      </c>
      <c r="AI80" s="465"/>
      <c r="AJ80" s="169"/>
      <c r="AK80" s="169"/>
      <c r="AL80" s="169"/>
      <c r="AM80" s="185" t="e">
        <f t="shared" si="31"/>
        <v>#N/A</v>
      </c>
      <c r="AN80" s="465"/>
      <c r="AO80" s="169"/>
      <c r="AP80" s="169"/>
      <c r="AQ80" s="169"/>
      <c r="AR80" s="185" t="e">
        <f t="shared" si="32"/>
        <v>#N/A</v>
      </c>
      <c r="AS80" s="465"/>
      <c r="AT80" s="169"/>
      <c r="AU80" s="169"/>
      <c r="AV80" s="169"/>
      <c r="AW80" s="185" t="e">
        <f t="shared" si="33"/>
        <v>#N/A</v>
      </c>
      <c r="AX80" s="465"/>
    </row>
    <row r="81" spans="2:50">
      <c r="B81" s="479"/>
      <c r="C81" s="185">
        <v>5</v>
      </c>
      <c r="D81" s="185"/>
      <c r="E81" s="185"/>
      <c r="F81" s="185"/>
      <c r="G81" s="185"/>
      <c r="H81" s="465"/>
      <c r="I81" s="169" t="e">
        <f t="shared" si="24"/>
        <v>#DIV/0!</v>
      </c>
      <c r="J81" s="169" t="e">
        <f t="shared" si="25"/>
        <v>#DIV/0!</v>
      </c>
      <c r="K81" s="183" t="e">
        <f t="shared" si="26"/>
        <v>#DIV/0!</v>
      </c>
      <c r="L81" s="465"/>
      <c r="M81" s="169" t="e">
        <f>RANK(K81, K$77:$K$106)</f>
        <v>#DIV/0!</v>
      </c>
      <c r="N81" s="462"/>
      <c r="O81" s="462"/>
      <c r="P81" s="169"/>
      <c r="Q81" s="169"/>
      <c r="R81" s="169"/>
      <c r="S81" s="185" t="e">
        <f t="shared" si="27"/>
        <v>#N/A</v>
      </c>
      <c r="T81" s="465"/>
      <c r="U81" s="169"/>
      <c r="V81" s="169"/>
      <c r="W81" s="169"/>
      <c r="X81" s="185" t="e">
        <f t="shared" si="28"/>
        <v>#N/A</v>
      </c>
      <c r="Y81" s="465"/>
      <c r="Z81" s="169"/>
      <c r="AA81" s="169"/>
      <c r="AB81" s="169"/>
      <c r="AC81" s="185" t="e">
        <f t="shared" si="29"/>
        <v>#N/A</v>
      </c>
      <c r="AD81" s="465"/>
      <c r="AE81" s="169"/>
      <c r="AF81" s="169"/>
      <c r="AG81" s="169"/>
      <c r="AH81" s="185" t="e">
        <f t="shared" si="30"/>
        <v>#N/A</v>
      </c>
      <c r="AI81" s="465"/>
      <c r="AJ81" s="169"/>
      <c r="AK81" s="169"/>
      <c r="AL81" s="169"/>
      <c r="AM81" s="185" t="e">
        <f t="shared" si="31"/>
        <v>#N/A</v>
      </c>
      <c r="AN81" s="465"/>
      <c r="AO81" s="169"/>
      <c r="AP81" s="169"/>
      <c r="AQ81" s="169"/>
      <c r="AR81" s="185" t="e">
        <f t="shared" si="32"/>
        <v>#N/A</v>
      </c>
      <c r="AS81" s="465"/>
      <c r="AT81" s="169"/>
      <c r="AU81" s="169"/>
      <c r="AV81" s="169"/>
      <c r="AW81" s="185" t="e">
        <f t="shared" si="33"/>
        <v>#N/A</v>
      </c>
      <c r="AX81" s="465"/>
    </row>
    <row r="82" spans="2:50">
      <c r="B82" s="479"/>
      <c r="C82" s="185">
        <v>6</v>
      </c>
      <c r="D82" s="185"/>
      <c r="E82" s="185"/>
      <c r="F82" s="185"/>
      <c r="G82" s="185"/>
      <c r="H82" s="465"/>
      <c r="I82" s="169" t="e">
        <f t="shared" si="24"/>
        <v>#DIV/0!</v>
      </c>
      <c r="J82" s="169" t="e">
        <f t="shared" si="25"/>
        <v>#DIV/0!</v>
      </c>
      <c r="K82" s="183" t="e">
        <f t="shared" si="26"/>
        <v>#DIV/0!</v>
      </c>
      <c r="L82" s="465"/>
      <c r="M82" s="169" t="e">
        <f>RANK(K82, K$77:$K$106)</f>
        <v>#DIV/0!</v>
      </c>
      <c r="N82" s="462"/>
      <c r="O82" s="462"/>
      <c r="P82" s="169"/>
      <c r="Q82" s="169"/>
      <c r="R82" s="169"/>
      <c r="S82" s="185" t="e">
        <f t="shared" si="27"/>
        <v>#N/A</v>
      </c>
      <c r="T82" s="465"/>
      <c r="U82" s="169"/>
      <c r="V82" s="169"/>
      <c r="W82" s="169"/>
      <c r="X82" s="185" t="e">
        <f t="shared" si="28"/>
        <v>#N/A</v>
      </c>
      <c r="Y82" s="465"/>
      <c r="Z82" s="169"/>
      <c r="AA82" s="169"/>
      <c r="AB82" s="169"/>
      <c r="AC82" s="185" t="e">
        <f t="shared" si="29"/>
        <v>#N/A</v>
      </c>
      <c r="AD82" s="465"/>
      <c r="AE82" s="169"/>
      <c r="AF82" s="169"/>
      <c r="AG82" s="169"/>
      <c r="AH82" s="185" t="e">
        <f t="shared" si="30"/>
        <v>#N/A</v>
      </c>
      <c r="AI82" s="465"/>
      <c r="AJ82" s="169"/>
      <c r="AK82" s="169"/>
      <c r="AL82" s="169"/>
      <c r="AM82" s="185" t="e">
        <f t="shared" si="31"/>
        <v>#N/A</v>
      </c>
      <c r="AN82" s="465"/>
      <c r="AO82" s="169"/>
      <c r="AP82" s="169"/>
      <c r="AQ82" s="169"/>
      <c r="AR82" s="185" t="e">
        <f t="shared" si="32"/>
        <v>#N/A</v>
      </c>
      <c r="AS82" s="465"/>
      <c r="AT82" s="169"/>
      <c r="AU82" s="169"/>
      <c r="AV82" s="169"/>
      <c r="AW82" s="185" t="e">
        <f t="shared" si="33"/>
        <v>#N/A</v>
      </c>
      <c r="AX82" s="465"/>
    </row>
    <row r="83" spans="2:50">
      <c r="B83" s="479"/>
      <c r="C83" s="185">
        <v>7</v>
      </c>
      <c r="D83" s="185"/>
      <c r="E83" s="185"/>
      <c r="F83" s="185"/>
      <c r="G83" s="185"/>
      <c r="H83" s="465"/>
      <c r="I83" s="169" t="e">
        <f t="shared" si="24"/>
        <v>#DIV/0!</v>
      </c>
      <c r="J83" s="169" t="e">
        <f t="shared" si="25"/>
        <v>#DIV/0!</v>
      </c>
      <c r="K83" s="183" t="e">
        <f t="shared" si="26"/>
        <v>#DIV/0!</v>
      </c>
      <c r="L83" s="465"/>
      <c r="M83" s="169" t="e">
        <f>RANK(K83, K$77:$K$106)</f>
        <v>#DIV/0!</v>
      </c>
      <c r="N83" s="462"/>
      <c r="O83" s="462"/>
      <c r="P83" s="169"/>
      <c r="Q83" s="169"/>
      <c r="R83" s="169"/>
      <c r="S83" s="185" t="e">
        <f t="shared" si="27"/>
        <v>#N/A</v>
      </c>
      <c r="T83" s="465"/>
      <c r="U83" s="169"/>
      <c r="V83" s="169"/>
      <c r="W83" s="169"/>
      <c r="X83" s="185" t="e">
        <f t="shared" si="28"/>
        <v>#N/A</v>
      </c>
      <c r="Y83" s="465"/>
      <c r="Z83" s="169"/>
      <c r="AA83" s="169"/>
      <c r="AB83" s="169"/>
      <c r="AC83" s="185" t="e">
        <f t="shared" si="29"/>
        <v>#N/A</v>
      </c>
      <c r="AD83" s="465"/>
      <c r="AE83" s="169"/>
      <c r="AF83" s="169"/>
      <c r="AG83" s="169"/>
      <c r="AH83" s="185" t="e">
        <f t="shared" si="30"/>
        <v>#N/A</v>
      </c>
      <c r="AI83" s="465"/>
      <c r="AJ83" s="169"/>
      <c r="AK83" s="169"/>
      <c r="AL83" s="169"/>
      <c r="AM83" s="185" t="e">
        <f t="shared" si="31"/>
        <v>#N/A</v>
      </c>
      <c r="AN83" s="465"/>
      <c r="AO83" s="169"/>
      <c r="AP83" s="169"/>
      <c r="AQ83" s="169"/>
      <c r="AR83" s="185" t="e">
        <f t="shared" si="32"/>
        <v>#N/A</v>
      </c>
      <c r="AS83" s="465"/>
      <c r="AT83" s="169"/>
      <c r="AU83" s="169"/>
      <c r="AV83" s="169"/>
      <c r="AW83" s="185" t="e">
        <f t="shared" si="33"/>
        <v>#N/A</v>
      </c>
      <c r="AX83" s="465"/>
    </row>
    <row r="84" spans="2:50">
      <c r="B84" s="479"/>
      <c r="C84" s="185">
        <v>8</v>
      </c>
      <c r="D84" s="185"/>
      <c r="E84" s="185"/>
      <c r="F84" s="185"/>
      <c r="G84" s="185"/>
      <c r="H84" s="465"/>
      <c r="I84" s="169" t="e">
        <f t="shared" si="24"/>
        <v>#DIV/0!</v>
      </c>
      <c r="J84" s="169" t="e">
        <f t="shared" si="25"/>
        <v>#DIV/0!</v>
      </c>
      <c r="K84" s="183" t="e">
        <f t="shared" si="26"/>
        <v>#DIV/0!</v>
      </c>
      <c r="L84" s="465"/>
      <c r="M84" s="169" t="e">
        <f>RANK(K84, K$77:$K$106)</f>
        <v>#DIV/0!</v>
      </c>
      <c r="N84" s="462"/>
      <c r="O84" s="462"/>
      <c r="P84" s="169"/>
      <c r="Q84" s="169"/>
      <c r="R84" s="169"/>
      <c r="S84" s="185" t="e">
        <f t="shared" si="27"/>
        <v>#N/A</v>
      </c>
      <c r="T84" s="465"/>
      <c r="U84" s="169"/>
      <c r="V84" s="169"/>
      <c r="W84" s="169"/>
      <c r="X84" s="185" t="e">
        <f t="shared" si="28"/>
        <v>#N/A</v>
      </c>
      <c r="Y84" s="465"/>
      <c r="Z84" s="169"/>
      <c r="AA84" s="169"/>
      <c r="AB84" s="169"/>
      <c r="AC84" s="185" t="e">
        <f t="shared" si="29"/>
        <v>#N/A</v>
      </c>
      <c r="AD84" s="465"/>
      <c r="AE84" s="169"/>
      <c r="AF84" s="169"/>
      <c r="AG84" s="169"/>
      <c r="AH84" s="185" t="e">
        <f t="shared" si="30"/>
        <v>#N/A</v>
      </c>
      <c r="AI84" s="465"/>
      <c r="AJ84" s="169"/>
      <c r="AK84" s="169"/>
      <c r="AL84" s="169"/>
      <c r="AM84" s="185" t="e">
        <f t="shared" si="31"/>
        <v>#N/A</v>
      </c>
      <c r="AN84" s="465"/>
      <c r="AO84" s="169"/>
      <c r="AP84" s="169"/>
      <c r="AQ84" s="169"/>
      <c r="AR84" s="185" t="e">
        <f t="shared" si="32"/>
        <v>#N/A</v>
      </c>
      <c r="AS84" s="465"/>
      <c r="AT84" s="169"/>
      <c r="AU84" s="169"/>
      <c r="AV84" s="169"/>
      <c r="AW84" s="185" t="e">
        <f t="shared" si="33"/>
        <v>#N/A</v>
      </c>
      <c r="AX84" s="465"/>
    </row>
    <row r="85" spans="2:50">
      <c r="B85" s="479"/>
      <c r="C85" s="185">
        <v>9</v>
      </c>
      <c r="D85" s="185"/>
      <c r="E85" s="185"/>
      <c r="F85" s="185"/>
      <c r="G85" s="185"/>
      <c r="H85" s="465"/>
      <c r="I85" s="169" t="e">
        <f t="shared" si="24"/>
        <v>#DIV/0!</v>
      </c>
      <c r="J85" s="169" t="e">
        <f t="shared" si="25"/>
        <v>#DIV/0!</v>
      </c>
      <c r="K85" s="183" t="e">
        <f t="shared" si="26"/>
        <v>#DIV/0!</v>
      </c>
      <c r="L85" s="465"/>
      <c r="M85" s="169" t="e">
        <f>RANK(K85, K$77:$K$106)</f>
        <v>#DIV/0!</v>
      </c>
      <c r="N85" s="462"/>
      <c r="O85" s="462"/>
      <c r="P85" s="169"/>
      <c r="Q85" s="169"/>
      <c r="R85" s="169"/>
      <c r="S85" s="185" t="e">
        <f t="shared" si="27"/>
        <v>#N/A</v>
      </c>
      <c r="T85" s="465"/>
      <c r="U85" s="169"/>
      <c r="V85" s="169"/>
      <c r="W85" s="169"/>
      <c r="X85" s="185" t="e">
        <f t="shared" si="28"/>
        <v>#N/A</v>
      </c>
      <c r="Y85" s="465"/>
      <c r="Z85" s="169"/>
      <c r="AA85" s="169"/>
      <c r="AB85" s="169"/>
      <c r="AC85" s="185" t="e">
        <f t="shared" si="29"/>
        <v>#N/A</v>
      </c>
      <c r="AD85" s="465"/>
      <c r="AE85" s="169"/>
      <c r="AF85" s="169"/>
      <c r="AG85" s="169"/>
      <c r="AH85" s="185" t="e">
        <f t="shared" si="30"/>
        <v>#N/A</v>
      </c>
      <c r="AI85" s="465"/>
      <c r="AJ85" s="169"/>
      <c r="AK85" s="169"/>
      <c r="AL85" s="169"/>
      <c r="AM85" s="185" t="e">
        <f t="shared" si="31"/>
        <v>#N/A</v>
      </c>
      <c r="AN85" s="465"/>
      <c r="AO85" s="169"/>
      <c r="AP85" s="169"/>
      <c r="AQ85" s="169"/>
      <c r="AR85" s="185" t="e">
        <f t="shared" si="32"/>
        <v>#N/A</v>
      </c>
      <c r="AS85" s="465"/>
      <c r="AT85" s="169"/>
      <c r="AU85" s="169"/>
      <c r="AV85" s="169"/>
      <c r="AW85" s="185" t="e">
        <f t="shared" si="33"/>
        <v>#N/A</v>
      </c>
      <c r="AX85" s="465"/>
    </row>
    <row r="86" spans="2:50">
      <c r="B86" s="479"/>
      <c r="C86" s="185">
        <v>10</v>
      </c>
      <c r="D86" s="185"/>
      <c r="E86" s="185"/>
      <c r="F86" s="185"/>
      <c r="G86" s="185"/>
      <c r="H86" s="465"/>
      <c r="I86" s="169" t="e">
        <f t="shared" si="24"/>
        <v>#DIV/0!</v>
      </c>
      <c r="J86" s="169" t="e">
        <f t="shared" si="25"/>
        <v>#DIV/0!</v>
      </c>
      <c r="K86" s="183" t="e">
        <f t="shared" si="26"/>
        <v>#DIV/0!</v>
      </c>
      <c r="L86" s="465"/>
      <c r="M86" s="169" t="e">
        <f>RANK(K86, K$77:$K$106)</f>
        <v>#DIV/0!</v>
      </c>
      <c r="N86" s="462"/>
      <c r="O86" s="462"/>
      <c r="P86" s="169"/>
      <c r="Q86" s="169"/>
      <c r="R86" s="169"/>
      <c r="S86" s="185" t="e">
        <f t="shared" si="27"/>
        <v>#N/A</v>
      </c>
      <c r="T86" s="465"/>
      <c r="U86" s="169"/>
      <c r="V86" s="169"/>
      <c r="W86" s="169"/>
      <c r="X86" s="185" t="e">
        <f t="shared" si="28"/>
        <v>#N/A</v>
      </c>
      <c r="Y86" s="465"/>
      <c r="Z86" s="169"/>
      <c r="AA86" s="169"/>
      <c r="AB86" s="169"/>
      <c r="AC86" s="185" t="e">
        <f t="shared" si="29"/>
        <v>#N/A</v>
      </c>
      <c r="AD86" s="465"/>
      <c r="AE86" s="169"/>
      <c r="AF86" s="169"/>
      <c r="AG86" s="169"/>
      <c r="AH86" s="185" t="e">
        <f t="shared" si="30"/>
        <v>#N/A</v>
      </c>
      <c r="AI86" s="465"/>
      <c r="AJ86" s="169"/>
      <c r="AK86" s="169"/>
      <c r="AL86" s="169"/>
      <c r="AM86" s="185" t="e">
        <f t="shared" si="31"/>
        <v>#N/A</v>
      </c>
      <c r="AN86" s="465"/>
      <c r="AO86" s="169"/>
      <c r="AP86" s="169"/>
      <c r="AQ86" s="169"/>
      <c r="AR86" s="185" t="e">
        <f t="shared" si="32"/>
        <v>#N/A</v>
      </c>
      <c r="AS86" s="465"/>
      <c r="AT86" s="169"/>
      <c r="AU86" s="169"/>
      <c r="AV86" s="169"/>
      <c r="AW86" s="185" t="e">
        <f t="shared" si="33"/>
        <v>#N/A</v>
      </c>
      <c r="AX86" s="465"/>
    </row>
    <row r="87" spans="2:50">
      <c r="B87" s="479"/>
      <c r="C87" s="185">
        <v>11</v>
      </c>
      <c r="D87" s="185"/>
      <c r="E87" s="185"/>
      <c r="F87" s="185"/>
      <c r="G87" s="185"/>
      <c r="H87" s="465"/>
      <c r="I87" s="169" t="e">
        <f t="shared" si="24"/>
        <v>#DIV/0!</v>
      </c>
      <c r="J87" s="169" t="e">
        <f t="shared" si="25"/>
        <v>#DIV/0!</v>
      </c>
      <c r="K87" s="183" t="e">
        <f t="shared" si="26"/>
        <v>#DIV/0!</v>
      </c>
      <c r="L87" s="465"/>
      <c r="M87" s="169" t="e">
        <f>RANK(K87, K$77:$K$106)</f>
        <v>#DIV/0!</v>
      </c>
      <c r="N87" s="462"/>
      <c r="O87" s="462"/>
      <c r="P87" s="169"/>
      <c r="Q87" s="169"/>
      <c r="R87" s="169"/>
      <c r="S87" s="185" t="e">
        <f t="shared" si="27"/>
        <v>#N/A</v>
      </c>
      <c r="T87" s="465"/>
      <c r="U87" s="169"/>
      <c r="V87" s="169"/>
      <c r="W87" s="169"/>
      <c r="X87" s="185" t="e">
        <f t="shared" si="28"/>
        <v>#N/A</v>
      </c>
      <c r="Y87" s="465"/>
      <c r="Z87" s="169"/>
      <c r="AA87" s="169"/>
      <c r="AB87" s="169"/>
      <c r="AC87" s="185" t="e">
        <f t="shared" si="29"/>
        <v>#N/A</v>
      </c>
      <c r="AD87" s="465"/>
      <c r="AE87" s="169"/>
      <c r="AF87" s="169"/>
      <c r="AG87" s="169"/>
      <c r="AH87" s="185" t="e">
        <f t="shared" si="30"/>
        <v>#N/A</v>
      </c>
      <c r="AI87" s="465"/>
      <c r="AJ87" s="169"/>
      <c r="AK87" s="169"/>
      <c r="AL87" s="169"/>
      <c r="AM87" s="185" t="e">
        <f t="shared" si="31"/>
        <v>#N/A</v>
      </c>
      <c r="AN87" s="465"/>
      <c r="AO87" s="169"/>
      <c r="AP87" s="169"/>
      <c r="AQ87" s="169"/>
      <c r="AR87" s="185" t="e">
        <f t="shared" si="32"/>
        <v>#N/A</v>
      </c>
      <c r="AS87" s="465"/>
      <c r="AT87" s="169"/>
      <c r="AU87" s="169"/>
      <c r="AV87" s="169"/>
      <c r="AW87" s="185" t="e">
        <f t="shared" si="33"/>
        <v>#N/A</v>
      </c>
      <c r="AX87" s="465"/>
    </row>
    <row r="88" spans="2:50">
      <c r="B88" s="479"/>
      <c r="C88" s="185">
        <v>12</v>
      </c>
      <c r="D88" s="185"/>
      <c r="E88" s="185"/>
      <c r="F88" s="185"/>
      <c r="G88" s="185"/>
      <c r="H88" s="465"/>
      <c r="I88" s="169" t="e">
        <f t="shared" si="24"/>
        <v>#DIV/0!</v>
      </c>
      <c r="J88" s="169" t="e">
        <f t="shared" si="25"/>
        <v>#DIV/0!</v>
      </c>
      <c r="K88" s="183" t="e">
        <f t="shared" si="26"/>
        <v>#DIV/0!</v>
      </c>
      <c r="L88" s="465"/>
      <c r="M88" s="169" t="e">
        <f>RANK(K88, K$77:$K$106)</f>
        <v>#DIV/0!</v>
      </c>
      <c r="N88" s="462"/>
      <c r="O88" s="462"/>
      <c r="P88" s="169"/>
      <c r="Q88" s="169"/>
      <c r="R88" s="169"/>
      <c r="S88" s="185" t="e">
        <f t="shared" si="27"/>
        <v>#N/A</v>
      </c>
      <c r="T88" s="465"/>
      <c r="U88" s="169"/>
      <c r="V88" s="169"/>
      <c r="W88" s="169"/>
      <c r="X88" s="185" t="e">
        <f t="shared" si="28"/>
        <v>#N/A</v>
      </c>
      <c r="Y88" s="465"/>
      <c r="Z88" s="169"/>
      <c r="AA88" s="169"/>
      <c r="AB88" s="169"/>
      <c r="AC88" s="185" t="e">
        <f t="shared" si="29"/>
        <v>#N/A</v>
      </c>
      <c r="AD88" s="465"/>
      <c r="AE88" s="169"/>
      <c r="AF88" s="169"/>
      <c r="AG88" s="169"/>
      <c r="AH88" s="185" t="e">
        <f t="shared" si="30"/>
        <v>#N/A</v>
      </c>
      <c r="AI88" s="465"/>
      <c r="AJ88" s="169"/>
      <c r="AK88" s="169"/>
      <c r="AL88" s="169"/>
      <c r="AM88" s="185" t="e">
        <f t="shared" si="31"/>
        <v>#N/A</v>
      </c>
      <c r="AN88" s="465"/>
      <c r="AO88" s="169"/>
      <c r="AP88" s="169"/>
      <c r="AQ88" s="169"/>
      <c r="AR88" s="185" t="e">
        <f t="shared" si="32"/>
        <v>#N/A</v>
      </c>
      <c r="AS88" s="465"/>
      <c r="AT88" s="169"/>
      <c r="AU88" s="169"/>
      <c r="AV88" s="169"/>
      <c r="AW88" s="185" t="e">
        <f t="shared" si="33"/>
        <v>#N/A</v>
      </c>
      <c r="AX88" s="465"/>
    </row>
    <row r="89" spans="2:50">
      <c r="B89" s="479"/>
      <c r="C89" s="185">
        <v>13</v>
      </c>
      <c r="D89" s="185"/>
      <c r="E89" s="185"/>
      <c r="F89" s="185"/>
      <c r="G89" s="185"/>
      <c r="H89" s="465"/>
      <c r="I89" s="169" t="e">
        <f t="shared" si="24"/>
        <v>#DIV/0!</v>
      </c>
      <c r="J89" s="169" t="e">
        <f t="shared" si="25"/>
        <v>#DIV/0!</v>
      </c>
      <c r="K89" s="183" t="e">
        <f t="shared" si="26"/>
        <v>#DIV/0!</v>
      </c>
      <c r="L89" s="465"/>
      <c r="M89" s="169" t="e">
        <f>RANK(K89, K$77:$K$106)</f>
        <v>#DIV/0!</v>
      </c>
      <c r="N89" s="462"/>
      <c r="O89" s="462"/>
      <c r="P89" s="169"/>
      <c r="Q89" s="169"/>
      <c r="R89" s="169"/>
      <c r="S89" s="185" t="e">
        <f t="shared" si="27"/>
        <v>#N/A</v>
      </c>
      <c r="T89" s="465"/>
      <c r="U89" s="169"/>
      <c r="V89" s="169"/>
      <c r="W89" s="169"/>
      <c r="X89" s="185" t="e">
        <f t="shared" si="28"/>
        <v>#N/A</v>
      </c>
      <c r="Y89" s="465"/>
      <c r="Z89" s="169"/>
      <c r="AA89" s="169"/>
      <c r="AB89" s="169"/>
      <c r="AC89" s="185" t="e">
        <f t="shared" si="29"/>
        <v>#N/A</v>
      </c>
      <c r="AD89" s="465"/>
      <c r="AE89" s="169"/>
      <c r="AF89" s="169"/>
      <c r="AG89" s="169"/>
      <c r="AH89" s="185" t="e">
        <f t="shared" si="30"/>
        <v>#N/A</v>
      </c>
      <c r="AI89" s="465"/>
      <c r="AJ89" s="169"/>
      <c r="AK89" s="169"/>
      <c r="AL89" s="169"/>
      <c r="AM89" s="185" t="e">
        <f t="shared" si="31"/>
        <v>#N/A</v>
      </c>
      <c r="AN89" s="465"/>
      <c r="AO89" s="169"/>
      <c r="AP89" s="169"/>
      <c r="AQ89" s="169"/>
      <c r="AR89" s="185" t="e">
        <f t="shared" si="32"/>
        <v>#N/A</v>
      </c>
      <c r="AS89" s="465"/>
      <c r="AT89" s="169"/>
      <c r="AU89" s="169"/>
      <c r="AV89" s="169"/>
      <c r="AW89" s="185" t="e">
        <f t="shared" si="33"/>
        <v>#N/A</v>
      </c>
      <c r="AX89" s="465"/>
    </row>
    <row r="90" spans="2:50">
      <c r="B90" s="479"/>
      <c r="C90" s="185">
        <v>14</v>
      </c>
      <c r="D90" s="185"/>
      <c r="E90" s="185"/>
      <c r="F90" s="185"/>
      <c r="G90" s="185"/>
      <c r="H90" s="465"/>
      <c r="I90" s="169" t="e">
        <f t="shared" si="24"/>
        <v>#DIV/0!</v>
      </c>
      <c r="J90" s="169" t="e">
        <f t="shared" si="25"/>
        <v>#DIV/0!</v>
      </c>
      <c r="K90" s="183" t="e">
        <f t="shared" si="26"/>
        <v>#DIV/0!</v>
      </c>
      <c r="L90" s="465"/>
      <c r="M90" s="169" t="e">
        <f>RANK(K90, K$77:$K$106)</f>
        <v>#DIV/0!</v>
      </c>
      <c r="N90" s="462"/>
      <c r="O90" s="462"/>
      <c r="P90" s="169"/>
      <c r="Q90" s="169"/>
      <c r="R90" s="169"/>
      <c r="S90" s="185" t="e">
        <f t="shared" si="27"/>
        <v>#N/A</v>
      </c>
      <c r="T90" s="465"/>
      <c r="U90" s="169"/>
      <c r="V90" s="169"/>
      <c r="W90" s="169"/>
      <c r="X90" s="185" t="e">
        <f t="shared" si="28"/>
        <v>#N/A</v>
      </c>
      <c r="Y90" s="465"/>
      <c r="Z90" s="169"/>
      <c r="AA90" s="169"/>
      <c r="AB90" s="169"/>
      <c r="AC90" s="185" t="e">
        <f t="shared" si="29"/>
        <v>#N/A</v>
      </c>
      <c r="AD90" s="465"/>
      <c r="AE90" s="169"/>
      <c r="AF90" s="169"/>
      <c r="AG90" s="169"/>
      <c r="AH90" s="185" t="e">
        <f t="shared" si="30"/>
        <v>#N/A</v>
      </c>
      <c r="AI90" s="465"/>
      <c r="AJ90" s="169"/>
      <c r="AK90" s="169"/>
      <c r="AL90" s="169"/>
      <c r="AM90" s="185" t="e">
        <f t="shared" si="31"/>
        <v>#N/A</v>
      </c>
      <c r="AN90" s="465"/>
      <c r="AO90" s="169"/>
      <c r="AP90" s="169"/>
      <c r="AQ90" s="169"/>
      <c r="AR90" s="185" t="e">
        <f t="shared" si="32"/>
        <v>#N/A</v>
      </c>
      <c r="AS90" s="465"/>
      <c r="AT90" s="169"/>
      <c r="AU90" s="169"/>
      <c r="AV90" s="169"/>
      <c r="AW90" s="185" t="e">
        <f t="shared" si="33"/>
        <v>#N/A</v>
      </c>
      <c r="AX90" s="465"/>
    </row>
    <row r="91" spans="2:50">
      <c r="B91" s="479"/>
      <c r="C91" s="185">
        <v>15</v>
      </c>
      <c r="D91" s="185"/>
      <c r="E91" s="185"/>
      <c r="F91" s="185"/>
      <c r="G91" s="185"/>
      <c r="H91" s="465"/>
      <c r="I91" s="169" t="e">
        <f t="shared" si="24"/>
        <v>#DIV/0!</v>
      </c>
      <c r="J91" s="169" t="e">
        <f t="shared" si="25"/>
        <v>#DIV/0!</v>
      </c>
      <c r="K91" s="183" t="e">
        <f t="shared" si="26"/>
        <v>#DIV/0!</v>
      </c>
      <c r="L91" s="465"/>
      <c r="M91" s="169" t="e">
        <f>RANK(K91, K$77:$K$106)</f>
        <v>#DIV/0!</v>
      </c>
      <c r="N91" s="462"/>
      <c r="O91" s="462"/>
      <c r="P91" s="169"/>
      <c r="Q91" s="169"/>
      <c r="R91" s="169"/>
      <c r="S91" s="185" t="e">
        <f t="shared" si="27"/>
        <v>#N/A</v>
      </c>
      <c r="T91" s="465"/>
      <c r="U91" s="169"/>
      <c r="V91" s="169"/>
      <c r="W91" s="169"/>
      <c r="X91" s="185" t="e">
        <f t="shared" si="28"/>
        <v>#N/A</v>
      </c>
      <c r="Y91" s="465"/>
      <c r="Z91" s="169"/>
      <c r="AA91" s="169"/>
      <c r="AB91" s="169"/>
      <c r="AC91" s="185" t="e">
        <f t="shared" si="29"/>
        <v>#N/A</v>
      </c>
      <c r="AD91" s="465"/>
      <c r="AE91" s="169"/>
      <c r="AF91" s="169"/>
      <c r="AG91" s="169"/>
      <c r="AH91" s="185" t="e">
        <f t="shared" si="30"/>
        <v>#N/A</v>
      </c>
      <c r="AI91" s="465"/>
      <c r="AJ91" s="169"/>
      <c r="AK91" s="169"/>
      <c r="AL91" s="169"/>
      <c r="AM91" s="185" t="e">
        <f t="shared" si="31"/>
        <v>#N/A</v>
      </c>
      <c r="AN91" s="465"/>
      <c r="AO91" s="169"/>
      <c r="AP91" s="169"/>
      <c r="AQ91" s="169"/>
      <c r="AR91" s="185" t="e">
        <f t="shared" si="32"/>
        <v>#N/A</v>
      </c>
      <c r="AS91" s="465"/>
      <c r="AT91" s="169"/>
      <c r="AU91" s="169"/>
      <c r="AV91" s="169"/>
      <c r="AW91" s="185" t="e">
        <f t="shared" si="33"/>
        <v>#N/A</v>
      </c>
      <c r="AX91" s="465"/>
    </row>
    <row r="92" spans="2:50">
      <c r="B92" s="479"/>
      <c r="C92" s="185">
        <v>16</v>
      </c>
      <c r="D92" s="185"/>
      <c r="E92" s="185"/>
      <c r="F92" s="185"/>
      <c r="G92" s="185"/>
      <c r="H92" s="465"/>
      <c r="I92" s="169" t="e">
        <f t="shared" si="24"/>
        <v>#DIV/0!</v>
      </c>
      <c r="J92" s="169" t="e">
        <f t="shared" si="25"/>
        <v>#DIV/0!</v>
      </c>
      <c r="K92" s="183" t="e">
        <f t="shared" si="26"/>
        <v>#DIV/0!</v>
      </c>
      <c r="L92" s="465"/>
      <c r="M92" s="169" t="e">
        <f>RANK(K92, K$77:$K$106)</f>
        <v>#DIV/0!</v>
      </c>
      <c r="N92" s="462"/>
      <c r="O92" s="462"/>
      <c r="P92" s="169"/>
      <c r="Q92" s="169"/>
      <c r="R92" s="169"/>
      <c r="S92" s="185" t="e">
        <f t="shared" si="27"/>
        <v>#N/A</v>
      </c>
      <c r="T92" s="465"/>
      <c r="U92" s="169"/>
      <c r="V92" s="169"/>
      <c r="W92" s="169"/>
      <c r="X92" s="185" t="e">
        <f t="shared" si="28"/>
        <v>#N/A</v>
      </c>
      <c r="Y92" s="465"/>
      <c r="Z92" s="169"/>
      <c r="AA92" s="169"/>
      <c r="AB92" s="169"/>
      <c r="AC92" s="185" t="e">
        <f t="shared" si="29"/>
        <v>#N/A</v>
      </c>
      <c r="AD92" s="465"/>
      <c r="AE92" s="169"/>
      <c r="AF92" s="169"/>
      <c r="AG92" s="169"/>
      <c r="AH92" s="185" t="e">
        <f t="shared" si="30"/>
        <v>#N/A</v>
      </c>
      <c r="AI92" s="465"/>
      <c r="AJ92" s="169"/>
      <c r="AK92" s="169"/>
      <c r="AL92" s="169"/>
      <c r="AM92" s="185" t="e">
        <f t="shared" si="31"/>
        <v>#N/A</v>
      </c>
      <c r="AN92" s="465"/>
      <c r="AO92" s="169"/>
      <c r="AP92" s="169"/>
      <c r="AQ92" s="169"/>
      <c r="AR92" s="185" t="e">
        <f t="shared" si="32"/>
        <v>#N/A</v>
      </c>
      <c r="AS92" s="465"/>
      <c r="AT92" s="169"/>
      <c r="AU92" s="169"/>
      <c r="AV92" s="169"/>
      <c r="AW92" s="185" t="e">
        <f t="shared" si="33"/>
        <v>#N/A</v>
      </c>
      <c r="AX92" s="465"/>
    </row>
    <row r="93" spans="2:50">
      <c r="B93" s="479"/>
      <c r="C93" s="185">
        <v>17</v>
      </c>
      <c r="D93" s="185"/>
      <c r="E93" s="185"/>
      <c r="F93" s="185"/>
      <c r="G93" s="185"/>
      <c r="H93" s="465"/>
      <c r="I93" s="169" t="e">
        <f t="shared" si="24"/>
        <v>#DIV/0!</v>
      </c>
      <c r="J93" s="169" t="e">
        <f t="shared" si="25"/>
        <v>#DIV/0!</v>
      </c>
      <c r="K93" s="183" t="e">
        <f t="shared" si="26"/>
        <v>#DIV/0!</v>
      </c>
      <c r="L93" s="465"/>
      <c r="M93" s="169" t="e">
        <f>RANK(K93, K$77:$K$106)</f>
        <v>#DIV/0!</v>
      </c>
      <c r="N93" s="462"/>
      <c r="O93" s="462"/>
      <c r="P93" s="169"/>
      <c r="Q93" s="169"/>
      <c r="R93" s="169"/>
      <c r="S93" s="185" t="e">
        <f t="shared" si="27"/>
        <v>#N/A</v>
      </c>
      <c r="T93" s="465"/>
      <c r="U93" s="169"/>
      <c r="V93" s="169"/>
      <c r="W93" s="169"/>
      <c r="X93" s="185" t="e">
        <f t="shared" si="28"/>
        <v>#N/A</v>
      </c>
      <c r="Y93" s="465"/>
      <c r="Z93" s="169"/>
      <c r="AA93" s="169"/>
      <c r="AB93" s="169"/>
      <c r="AC93" s="185" t="e">
        <f t="shared" si="29"/>
        <v>#N/A</v>
      </c>
      <c r="AD93" s="465"/>
      <c r="AE93" s="169"/>
      <c r="AF93" s="169"/>
      <c r="AG93" s="169"/>
      <c r="AH93" s="185" t="e">
        <f t="shared" si="30"/>
        <v>#N/A</v>
      </c>
      <c r="AI93" s="465"/>
      <c r="AJ93" s="169"/>
      <c r="AK93" s="169"/>
      <c r="AL93" s="169"/>
      <c r="AM93" s="185" t="e">
        <f t="shared" si="31"/>
        <v>#N/A</v>
      </c>
      <c r="AN93" s="465"/>
      <c r="AO93" s="169"/>
      <c r="AP93" s="169"/>
      <c r="AQ93" s="169"/>
      <c r="AR93" s="185" t="e">
        <f t="shared" si="32"/>
        <v>#N/A</v>
      </c>
      <c r="AS93" s="465"/>
      <c r="AT93" s="169"/>
      <c r="AU93" s="169"/>
      <c r="AV93" s="169"/>
      <c r="AW93" s="185" t="e">
        <f t="shared" si="33"/>
        <v>#N/A</v>
      </c>
      <c r="AX93" s="465"/>
    </row>
    <row r="94" spans="2:50">
      <c r="B94" s="479"/>
      <c r="C94" s="185">
        <v>18</v>
      </c>
      <c r="D94" s="185"/>
      <c r="E94" s="185"/>
      <c r="F94" s="185"/>
      <c r="G94" s="185"/>
      <c r="H94" s="465"/>
      <c r="I94" s="169" t="e">
        <f t="shared" si="24"/>
        <v>#DIV/0!</v>
      </c>
      <c r="J94" s="169" t="e">
        <f t="shared" si="25"/>
        <v>#DIV/0!</v>
      </c>
      <c r="K94" s="183" t="e">
        <f t="shared" si="26"/>
        <v>#DIV/0!</v>
      </c>
      <c r="L94" s="465"/>
      <c r="M94" s="169" t="e">
        <f>RANK(K94, K$77:$K$106)</f>
        <v>#DIV/0!</v>
      </c>
      <c r="N94" s="462"/>
      <c r="O94" s="462"/>
      <c r="P94" s="169"/>
      <c r="Q94" s="169"/>
      <c r="R94" s="169"/>
      <c r="S94" s="185" t="e">
        <f t="shared" si="27"/>
        <v>#N/A</v>
      </c>
      <c r="T94" s="465"/>
      <c r="U94" s="169"/>
      <c r="V94" s="169"/>
      <c r="W94" s="169"/>
      <c r="X94" s="185" t="e">
        <f t="shared" si="28"/>
        <v>#N/A</v>
      </c>
      <c r="Y94" s="465"/>
      <c r="Z94" s="169"/>
      <c r="AA94" s="169"/>
      <c r="AB94" s="169"/>
      <c r="AC94" s="185" t="e">
        <f t="shared" si="29"/>
        <v>#N/A</v>
      </c>
      <c r="AD94" s="465"/>
      <c r="AE94" s="169"/>
      <c r="AF94" s="169"/>
      <c r="AG94" s="169"/>
      <c r="AH94" s="185" t="e">
        <f t="shared" si="30"/>
        <v>#N/A</v>
      </c>
      <c r="AI94" s="465"/>
      <c r="AJ94" s="169"/>
      <c r="AK94" s="169"/>
      <c r="AL94" s="169"/>
      <c r="AM94" s="185" t="e">
        <f t="shared" si="31"/>
        <v>#N/A</v>
      </c>
      <c r="AN94" s="465"/>
      <c r="AO94" s="169"/>
      <c r="AP94" s="169"/>
      <c r="AQ94" s="169"/>
      <c r="AR94" s="185" t="e">
        <f t="shared" si="32"/>
        <v>#N/A</v>
      </c>
      <c r="AS94" s="465"/>
      <c r="AT94" s="169"/>
      <c r="AU94" s="169"/>
      <c r="AV94" s="169"/>
      <c r="AW94" s="185" t="e">
        <f t="shared" si="33"/>
        <v>#N/A</v>
      </c>
      <c r="AX94" s="465"/>
    </row>
    <row r="95" spans="2:50">
      <c r="B95" s="479"/>
      <c r="C95" s="185">
        <v>19</v>
      </c>
      <c r="D95" s="185"/>
      <c r="E95" s="185"/>
      <c r="F95" s="185"/>
      <c r="G95" s="185"/>
      <c r="H95" s="465"/>
      <c r="I95" s="169" t="e">
        <f t="shared" si="24"/>
        <v>#DIV/0!</v>
      </c>
      <c r="J95" s="169" t="e">
        <f t="shared" si="25"/>
        <v>#DIV/0!</v>
      </c>
      <c r="K95" s="183" t="e">
        <f t="shared" si="26"/>
        <v>#DIV/0!</v>
      </c>
      <c r="L95" s="465"/>
      <c r="M95" s="169" t="e">
        <f>RANK(K95, K$77:$K$106)</f>
        <v>#DIV/0!</v>
      </c>
      <c r="N95" s="462"/>
      <c r="O95" s="462"/>
      <c r="P95" s="169"/>
      <c r="Q95" s="169"/>
      <c r="R95" s="169"/>
      <c r="S95" s="185" t="e">
        <f t="shared" si="27"/>
        <v>#N/A</v>
      </c>
      <c r="T95" s="465"/>
      <c r="U95" s="169"/>
      <c r="V95" s="169"/>
      <c r="W95" s="169"/>
      <c r="X95" s="185" t="e">
        <f t="shared" si="28"/>
        <v>#N/A</v>
      </c>
      <c r="Y95" s="465"/>
      <c r="Z95" s="169"/>
      <c r="AA95" s="169"/>
      <c r="AB95" s="169"/>
      <c r="AC95" s="185" t="e">
        <f t="shared" si="29"/>
        <v>#N/A</v>
      </c>
      <c r="AD95" s="465"/>
      <c r="AE95" s="169"/>
      <c r="AF95" s="169"/>
      <c r="AG95" s="169"/>
      <c r="AH95" s="185" t="e">
        <f t="shared" si="30"/>
        <v>#N/A</v>
      </c>
      <c r="AI95" s="465"/>
      <c r="AJ95" s="169"/>
      <c r="AK95" s="169"/>
      <c r="AL95" s="169"/>
      <c r="AM95" s="185" t="e">
        <f t="shared" si="31"/>
        <v>#N/A</v>
      </c>
      <c r="AN95" s="465"/>
      <c r="AO95" s="169"/>
      <c r="AP95" s="169"/>
      <c r="AQ95" s="169"/>
      <c r="AR95" s="185" t="e">
        <f t="shared" si="32"/>
        <v>#N/A</v>
      </c>
      <c r="AS95" s="465"/>
      <c r="AT95" s="169"/>
      <c r="AU95" s="169"/>
      <c r="AV95" s="169"/>
      <c r="AW95" s="185" t="e">
        <f t="shared" si="33"/>
        <v>#N/A</v>
      </c>
      <c r="AX95" s="465"/>
    </row>
    <row r="96" spans="2:50">
      <c r="B96" s="479"/>
      <c r="C96" s="185">
        <v>20</v>
      </c>
      <c r="D96" s="185"/>
      <c r="E96" s="185"/>
      <c r="F96" s="185"/>
      <c r="G96" s="185"/>
      <c r="H96" s="465"/>
      <c r="I96" s="169" t="e">
        <f t="shared" ref="I96:K98" si="34">AVERAGE(P96,U96,Z96,AE96,AJ96,AO96,AT96)</f>
        <v>#DIV/0!</v>
      </c>
      <c r="J96" s="169" t="e">
        <f t="shared" si="34"/>
        <v>#DIV/0!</v>
      </c>
      <c r="K96" s="183" t="e">
        <f t="shared" si="34"/>
        <v>#DIV/0!</v>
      </c>
      <c r="L96" s="465"/>
      <c r="M96" s="169" t="e">
        <f>RANK(K96, K$77:$K$106)</f>
        <v>#DIV/0!</v>
      </c>
      <c r="N96" s="462"/>
      <c r="O96" s="462"/>
      <c r="P96" s="169"/>
      <c r="Q96" s="169"/>
      <c r="R96" s="169"/>
      <c r="S96" s="185" t="e">
        <f t="shared" si="27"/>
        <v>#N/A</v>
      </c>
      <c r="T96" s="465"/>
      <c r="U96" s="169"/>
      <c r="V96" s="169"/>
      <c r="W96" s="169"/>
      <c r="X96" s="185" t="e">
        <f t="shared" si="28"/>
        <v>#N/A</v>
      </c>
      <c r="Y96" s="465"/>
      <c r="Z96" s="169"/>
      <c r="AA96" s="169"/>
      <c r="AB96" s="169"/>
      <c r="AC96" s="185" t="e">
        <f t="shared" si="29"/>
        <v>#N/A</v>
      </c>
      <c r="AD96" s="465"/>
      <c r="AE96" s="169"/>
      <c r="AF96" s="169"/>
      <c r="AG96" s="169"/>
      <c r="AH96" s="185" t="e">
        <f t="shared" si="30"/>
        <v>#N/A</v>
      </c>
      <c r="AI96" s="465"/>
      <c r="AJ96" s="169"/>
      <c r="AK96" s="169"/>
      <c r="AL96" s="169"/>
      <c r="AM96" s="185" t="e">
        <f t="shared" si="31"/>
        <v>#N/A</v>
      </c>
      <c r="AN96" s="465"/>
      <c r="AO96" s="169"/>
      <c r="AP96" s="169"/>
      <c r="AQ96" s="169"/>
      <c r="AR96" s="185" t="e">
        <f t="shared" si="32"/>
        <v>#N/A</v>
      </c>
      <c r="AS96" s="465"/>
      <c r="AT96" s="169"/>
      <c r="AU96" s="169"/>
      <c r="AV96" s="169"/>
      <c r="AW96" s="185" t="e">
        <f t="shared" si="33"/>
        <v>#N/A</v>
      </c>
      <c r="AX96" s="465"/>
    </row>
    <row r="97" spans="2:50">
      <c r="B97" s="479"/>
      <c r="C97" s="185">
        <v>21</v>
      </c>
      <c r="D97" s="185"/>
      <c r="E97" s="185"/>
      <c r="F97" s="185"/>
      <c r="G97" s="185"/>
      <c r="H97" s="465"/>
      <c r="I97" s="169" t="e">
        <f t="shared" si="34"/>
        <v>#DIV/0!</v>
      </c>
      <c r="J97" s="169" t="e">
        <f t="shared" si="34"/>
        <v>#DIV/0!</v>
      </c>
      <c r="K97" s="183" t="e">
        <f t="shared" si="34"/>
        <v>#DIV/0!</v>
      </c>
      <c r="L97" s="465"/>
      <c r="M97" s="169" t="e">
        <f>RANK(K97, K$77:$K$106)</f>
        <v>#DIV/0!</v>
      </c>
      <c r="N97" s="462"/>
      <c r="O97" s="462"/>
      <c r="P97" s="185"/>
      <c r="Q97" s="169"/>
      <c r="R97" s="183"/>
      <c r="S97" s="185" t="e">
        <f t="shared" si="27"/>
        <v>#N/A</v>
      </c>
      <c r="T97" s="465"/>
      <c r="U97" s="185"/>
      <c r="V97" s="169"/>
      <c r="W97" s="183"/>
      <c r="X97" s="185" t="e">
        <f t="shared" si="28"/>
        <v>#N/A</v>
      </c>
      <c r="Y97" s="465"/>
      <c r="Z97" s="185"/>
      <c r="AA97" s="169"/>
      <c r="AB97" s="183"/>
      <c r="AC97" s="185" t="e">
        <f t="shared" si="29"/>
        <v>#N/A</v>
      </c>
      <c r="AD97" s="465"/>
      <c r="AE97" s="185"/>
      <c r="AF97" s="169"/>
      <c r="AG97" s="183"/>
      <c r="AH97" s="185" t="e">
        <f t="shared" si="30"/>
        <v>#N/A</v>
      </c>
      <c r="AI97" s="465"/>
      <c r="AJ97" s="185"/>
      <c r="AK97" s="169"/>
      <c r="AL97" s="183"/>
      <c r="AM97" s="185" t="e">
        <f t="shared" si="31"/>
        <v>#N/A</v>
      </c>
      <c r="AN97" s="465"/>
      <c r="AO97" s="185"/>
      <c r="AP97" s="169"/>
      <c r="AQ97" s="183"/>
      <c r="AR97" s="185" t="e">
        <f t="shared" si="32"/>
        <v>#N/A</v>
      </c>
      <c r="AS97" s="465"/>
      <c r="AT97" s="185"/>
      <c r="AU97" s="169"/>
      <c r="AV97" s="183"/>
      <c r="AW97" s="185" t="e">
        <f t="shared" si="33"/>
        <v>#N/A</v>
      </c>
      <c r="AX97" s="465"/>
    </row>
    <row r="98" spans="2:50">
      <c r="B98" s="479"/>
      <c r="C98" s="185">
        <v>22</v>
      </c>
      <c r="D98" s="185"/>
      <c r="E98" s="185"/>
      <c r="F98" s="185"/>
      <c r="G98" s="185"/>
      <c r="H98" s="465"/>
      <c r="I98" s="169" t="e">
        <f t="shared" si="34"/>
        <v>#DIV/0!</v>
      </c>
      <c r="J98" s="169" t="e">
        <f t="shared" si="34"/>
        <v>#DIV/0!</v>
      </c>
      <c r="K98" s="183" t="e">
        <f t="shared" si="34"/>
        <v>#DIV/0!</v>
      </c>
      <c r="L98" s="465"/>
      <c r="M98" s="169" t="e">
        <f>RANK(K98, K$77:$K$106)</f>
        <v>#DIV/0!</v>
      </c>
      <c r="N98" s="462"/>
      <c r="O98" s="462"/>
      <c r="P98" s="185"/>
      <c r="Q98" s="169"/>
      <c r="R98" s="183"/>
      <c r="S98" s="185" t="e">
        <f t="shared" si="27"/>
        <v>#N/A</v>
      </c>
      <c r="T98" s="465"/>
      <c r="U98" s="185"/>
      <c r="V98" s="169"/>
      <c r="W98" s="183"/>
      <c r="X98" s="185" t="e">
        <f t="shared" si="28"/>
        <v>#N/A</v>
      </c>
      <c r="Y98" s="465"/>
      <c r="Z98" s="185"/>
      <c r="AA98" s="169"/>
      <c r="AB98" s="183"/>
      <c r="AC98" s="185" t="e">
        <f t="shared" si="29"/>
        <v>#N/A</v>
      </c>
      <c r="AD98" s="465"/>
      <c r="AE98" s="185"/>
      <c r="AF98" s="169"/>
      <c r="AG98" s="183"/>
      <c r="AH98" s="185" t="e">
        <f t="shared" si="30"/>
        <v>#N/A</v>
      </c>
      <c r="AI98" s="465"/>
      <c r="AJ98" s="185"/>
      <c r="AK98" s="169"/>
      <c r="AL98" s="183"/>
      <c r="AM98" s="185" t="e">
        <f t="shared" si="31"/>
        <v>#N/A</v>
      </c>
      <c r="AN98" s="465"/>
      <c r="AO98" s="185"/>
      <c r="AP98" s="169"/>
      <c r="AQ98" s="183"/>
      <c r="AR98" s="185" t="e">
        <f t="shared" si="32"/>
        <v>#N/A</v>
      </c>
      <c r="AS98" s="465"/>
      <c r="AT98" s="185"/>
      <c r="AU98" s="169"/>
      <c r="AV98" s="183"/>
      <c r="AW98" s="185" t="e">
        <f t="shared" si="33"/>
        <v>#N/A</v>
      </c>
      <c r="AX98" s="465"/>
    </row>
    <row r="99" spans="2:50">
      <c r="B99" s="479"/>
      <c r="C99" s="185">
        <v>23</v>
      </c>
      <c r="D99" s="185"/>
      <c r="E99" s="185"/>
      <c r="F99" s="185"/>
      <c r="G99" s="185"/>
      <c r="H99" s="465"/>
      <c r="I99" s="169" t="e">
        <f t="shared" ref="I99:I100" si="35">AVERAGE(P99,U99,Z99,AE99,AJ99,AO99,AT99)</f>
        <v>#DIV/0!</v>
      </c>
      <c r="J99" s="169" t="e">
        <f t="shared" ref="J99:J100" si="36">AVERAGE(Q99,V99,AA99,AF99,AK99,AP99,AU99)</f>
        <v>#DIV/0!</v>
      </c>
      <c r="K99" s="183" t="e">
        <f t="shared" ref="K99:K100" si="37">AVERAGE(R99,W99,AB99,AG99,AL99,AQ99,AV99)</f>
        <v>#DIV/0!</v>
      </c>
      <c r="L99" s="465"/>
      <c r="M99" s="169" t="e">
        <f>RANK(K99, K$77:$K$106)</f>
        <v>#DIV/0!</v>
      </c>
      <c r="N99" s="462"/>
      <c r="O99" s="462"/>
      <c r="P99" s="185"/>
      <c r="Q99" s="185"/>
      <c r="R99" s="183"/>
      <c r="S99" s="185" t="e">
        <f t="shared" si="27"/>
        <v>#N/A</v>
      </c>
      <c r="T99" s="465"/>
      <c r="U99" s="185"/>
      <c r="V99" s="169"/>
      <c r="W99" s="183"/>
      <c r="X99" s="185" t="e">
        <f t="shared" si="28"/>
        <v>#N/A</v>
      </c>
      <c r="Y99" s="465"/>
      <c r="Z99" s="185"/>
      <c r="AA99" s="169"/>
      <c r="AB99" s="183"/>
      <c r="AC99" s="185" t="e">
        <f t="shared" si="29"/>
        <v>#N/A</v>
      </c>
      <c r="AD99" s="465"/>
      <c r="AE99" s="185"/>
      <c r="AF99" s="169"/>
      <c r="AG99" s="183"/>
      <c r="AH99" s="185" t="e">
        <f t="shared" si="30"/>
        <v>#N/A</v>
      </c>
      <c r="AI99" s="465"/>
      <c r="AJ99" s="185"/>
      <c r="AK99" s="169"/>
      <c r="AL99" s="183"/>
      <c r="AM99" s="185" t="e">
        <f t="shared" si="31"/>
        <v>#N/A</v>
      </c>
      <c r="AN99" s="465"/>
      <c r="AO99" s="185"/>
      <c r="AP99" s="169"/>
      <c r="AQ99" s="183"/>
      <c r="AR99" s="185" t="e">
        <f t="shared" si="32"/>
        <v>#N/A</v>
      </c>
      <c r="AS99" s="465"/>
      <c r="AT99" s="185"/>
      <c r="AU99" s="185"/>
      <c r="AV99" s="183"/>
      <c r="AW99" s="185" t="e">
        <f t="shared" si="33"/>
        <v>#N/A</v>
      </c>
      <c r="AX99" s="465"/>
    </row>
    <row r="100" spans="2:50">
      <c r="B100" s="479"/>
      <c r="C100" s="185">
        <v>24</v>
      </c>
      <c r="D100" s="185"/>
      <c r="E100" s="185"/>
      <c r="F100" s="185"/>
      <c r="G100" s="185"/>
      <c r="H100" s="465"/>
      <c r="I100" s="169" t="e">
        <f t="shared" si="35"/>
        <v>#DIV/0!</v>
      </c>
      <c r="J100" s="169" t="e">
        <f t="shared" si="36"/>
        <v>#DIV/0!</v>
      </c>
      <c r="K100" s="183" t="e">
        <f t="shared" si="37"/>
        <v>#DIV/0!</v>
      </c>
      <c r="L100" s="465"/>
      <c r="M100" s="169" t="e">
        <f>RANK(K100, K$77:$K$106)</f>
        <v>#DIV/0!</v>
      </c>
      <c r="N100" s="462"/>
      <c r="O100" s="462"/>
      <c r="P100" s="185"/>
      <c r="Q100" s="185"/>
      <c r="R100" s="185"/>
      <c r="S100" s="185" t="e">
        <f t="shared" si="27"/>
        <v>#N/A</v>
      </c>
      <c r="T100" s="465"/>
      <c r="U100" s="185"/>
      <c r="V100" s="169"/>
      <c r="W100" s="183"/>
      <c r="X100" s="185" t="e">
        <f t="shared" si="28"/>
        <v>#N/A</v>
      </c>
      <c r="Y100" s="465"/>
      <c r="Z100" s="185"/>
      <c r="AA100" s="169"/>
      <c r="AB100" s="183"/>
      <c r="AC100" s="185" t="e">
        <f t="shared" si="29"/>
        <v>#N/A</v>
      </c>
      <c r="AD100" s="465"/>
      <c r="AE100" s="185"/>
      <c r="AF100" s="169"/>
      <c r="AG100" s="183"/>
      <c r="AH100" s="185" t="e">
        <f t="shared" si="30"/>
        <v>#N/A</v>
      </c>
      <c r="AI100" s="465"/>
      <c r="AJ100" s="185"/>
      <c r="AK100" s="169"/>
      <c r="AL100" s="183"/>
      <c r="AM100" s="185" t="e">
        <f t="shared" si="31"/>
        <v>#N/A</v>
      </c>
      <c r="AN100" s="465"/>
      <c r="AO100" s="185"/>
      <c r="AP100" s="169"/>
      <c r="AQ100" s="183"/>
      <c r="AR100" s="185" t="e">
        <f t="shared" si="32"/>
        <v>#N/A</v>
      </c>
      <c r="AS100" s="465"/>
      <c r="AT100" s="185"/>
      <c r="AU100" s="185"/>
      <c r="AV100" s="185"/>
      <c r="AW100" s="185" t="e">
        <f t="shared" si="33"/>
        <v>#N/A</v>
      </c>
      <c r="AX100" s="465"/>
    </row>
    <row r="101" spans="2:50">
      <c r="B101" s="479"/>
      <c r="C101" s="185">
        <v>25</v>
      </c>
      <c r="D101" s="185"/>
      <c r="E101" s="185"/>
      <c r="F101" s="185"/>
      <c r="G101" s="185"/>
      <c r="H101" s="465"/>
      <c r="I101" s="185"/>
      <c r="J101" s="185"/>
      <c r="K101" s="185"/>
      <c r="L101" s="465"/>
      <c r="M101" s="169" t="e">
        <f>RANK(K101, K$77:$K$106)</f>
        <v>#DIV/0!</v>
      </c>
      <c r="N101" s="462"/>
      <c r="O101" s="462"/>
      <c r="P101" s="185"/>
      <c r="Q101" s="185"/>
      <c r="R101" s="185"/>
      <c r="S101" s="185" t="e">
        <f t="shared" si="27"/>
        <v>#N/A</v>
      </c>
      <c r="T101" s="465"/>
      <c r="U101" s="185"/>
      <c r="V101" s="185"/>
      <c r="W101" s="185"/>
      <c r="X101" s="185" t="e">
        <f t="shared" si="28"/>
        <v>#N/A</v>
      </c>
      <c r="Y101" s="465"/>
      <c r="Z101" s="185"/>
      <c r="AA101" s="185"/>
      <c r="AB101" s="185"/>
      <c r="AC101" s="185" t="e">
        <f t="shared" si="29"/>
        <v>#N/A</v>
      </c>
      <c r="AD101" s="465"/>
      <c r="AE101" s="185"/>
      <c r="AF101" s="185"/>
      <c r="AG101" s="185"/>
      <c r="AH101" s="185" t="e">
        <f t="shared" si="30"/>
        <v>#N/A</v>
      </c>
      <c r="AI101" s="465"/>
      <c r="AJ101" s="185"/>
      <c r="AK101" s="185"/>
      <c r="AL101" s="185"/>
      <c r="AM101" s="185" t="e">
        <f t="shared" si="31"/>
        <v>#N/A</v>
      </c>
      <c r="AN101" s="465"/>
      <c r="AO101" s="185"/>
      <c r="AP101" s="185"/>
      <c r="AQ101" s="185"/>
      <c r="AR101" s="185" t="e">
        <f t="shared" si="32"/>
        <v>#N/A</v>
      </c>
      <c r="AS101" s="465"/>
      <c r="AT101" s="185"/>
      <c r="AU101" s="185"/>
      <c r="AV101" s="185"/>
      <c r="AW101" s="185" t="e">
        <f t="shared" si="33"/>
        <v>#N/A</v>
      </c>
      <c r="AX101" s="465"/>
    </row>
    <row r="102" spans="2:50">
      <c r="B102" s="479"/>
      <c r="C102" s="185">
        <v>26</v>
      </c>
      <c r="D102" s="185"/>
      <c r="E102" s="185"/>
      <c r="F102" s="185"/>
      <c r="G102" s="185"/>
      <c r="H102" s="465"/>
      <c r="I102" s="185"/>
      <c r="J102" s="185"/>
      <c r="K102" s="185"/>
      <c r="L102" s="465"/>
      <c r="M102" s="169" t="e">
        <f>RANK(K102, K$77:$K$106)</f>
        <v>#DIV/0!</v>
      </c>
      <c r="N102" s="462"/>
      <c r="O102" s="462"/>
      <c r="P102" s="185"/>
      <c r="Q102" s="185"/>
      <c r="R102" s="185"/>
      <c r="S102" s="185" t="e">
        <f t="shared" si="27"/>
        <v>#N/A</v>
      </c>
      <c r="T102" s="465"/>
      <c r="U102" s="185"/>
      <c r="V102" s="185"/>
      <c r="W102" s="185"/>
      <c r="X102" s="185" t="e">
        <f t="shared" si="28"/>
        <v>#N/A</v>
      </c>
      <c r="Y102" s="465"/>
      <c r="Z102" s="185"/>
      <c r="AA102" s="185"/>
      <c r="AB102" s="185"/>
      <c r="AC102" s="185" t="e">
        <f t="shared" si="29"/>
        <v>#N/A</v>
      </c>
      <c r="AD102" s="465"/>
      <c r="AE102" s="185"/>
      <c r="AF102" s="185"/>
      <c r="AG102" s="185"/>
      <c r="AH102" s="185" t="e">
        <f t="shared" si="30"/>
        <v>#N/A</v>
      </c>
      <c r="AI102" s="465"/>
      <c r="AJ102" s="185"/>
      <c r="AK102" s="185"/>
      <c r="AL102" s="185"/>
      <c r="AM102" s="185" t="e">
        <f t="shared" si="31"/>
        <v>#N/A</v>
      </c>
      <c r="AN102" s="465"/>
      <c r="AO102" s="185"/>
      <c r="AP102" s="185"/>
      <c r="AQ102" s="185"/>
      <c r="AR102" s="185" t="e">
        <f t="shared" si="32"/>
        <v>#N/A</v>
      </c>
      <c r="AS102" s="465"/>
      <c r="AT102" s="185"/>
      <c r="AU102" s="185"/>
      <c r="AV102" s="185"/>
      <c r="AW102" s="185" t="e">
        <f t="shared" si="33"/>
        <v>#N/A</v>
      </c>
      <c r="AX102" s="465"/>
    </row>
    <row r="103" spans="2:50">
      <c r="B103" s="479"/>
      <c r="C103" s="185">
        <v>27</v>
      </c>
      <c r="D103" s="185"/>
      <c r="E103" s="185"/>
      <c r="F103" s="185"/>
      <c r="G103" s="185"/>
      <c r="H103" s="465"/>
      <c r="I103" s="185"/>
      <c r="J103" s="185"/>
      <c r="K103" s="185"/>
      <c r="L103" s="465"/>
      <c r="M103" s="169" t="e">
        <f>RANK(K103, K$77:$K$106)</f>
        <v>#DIV/0!</v>
      </c>
      <c r="N103" s="462"/>
      <c r="O103" s="462"/>
      <c r="P103" s="185"/>
      <c r="Q103" s="185"/>
      <c r="R103" s="185"/>
      <c r="S103" s="185" t="e">
        <f t="shared" si="27"/>
        <v>#N/A</v>
      </c>
      <c r="T103" s="465"/>
      <c r="U103" s="185"/>
      <c r="V103" s="185"/>
      <c r="W103" s="185"/>
      <c r="X103" s="185" t="e">
        <f t="shared" si="28"/>
        <v>#N/A</v>
      </c>
      <c r="Y103" s="465"/>
      <c r="Z103" s="185"/>
      <c r="AA103" s="185"/>
      <c r="AB103" s="185"/>
      <c r="AC103" s="185" t="e">
        <f t="shared" si="29"/>
        <v>#N/A</v>
      </c>
      <c r="AD103" s="465"/>
      <c r="AE103" s="185"/>
      <c r="AF103" s="185"/>
      <c r="AG103" s="185"/>
      <c r="AH103" s="185" t="e">
        <f t="shared" si="30"/>
        <v>#N/A</v>
      </c>
      <c r="AI103" s="465"/>
      <c r="AJ103" s="185"/>
      <c r="AK103" s="185"/>
      <c r="AL103" s="185"/>
      <c r="AM103" s="185" t="e">
        <f t="shared" si="31"/>
        <v>#N/A</v>
      </c>
      <c r="AN103" s="465"/>
      <c r="AO103" s="185"/>
      <c r="AP103" s="185"/>
      <c r="AQ103" s="185"/>
      <c r="AR103" s="185" t="e">
        <f t="shared" si="32"/>
        <v>#N/A</v>
      </c>
      <c r="AS103" s="465"/>
      <c r="AT103" s="185"/>
      <c r="AU103" s="185"/>
      <c r="AV103" s="185"/>
      <c r="AW103" s="185" t="e">
        <f t="shared" si="33"/>
        <v>#N/A</v>
      </c>
      <c r="AX103" s="465"/>
    </row>
    <row r="104" spans="2:50">
      <c r="B104" s="479"/>
      <c r="C104" s="185">
        <v>28</v>
      </c>
      <c r="D104" s="185"/>
      <c r="E104" s="185"/>
      <c r="F104" s="185"/>
      <c r="G104" s="185"/>
      <c r="H104" s="465"/>
      <c r="I104" s="185"/>
      <c r="J104" s="185"/>
      <c r="K104" s="185"/>
      <c r="L104" s="465"/>
      <c r="M104" s="169" t="e">
        <f>RANK(K104, K$77:$K$106)</f>
        <v>#DIV/0!</v>
      </c>
      <c r="N104" s="462"/>
      <c r="O104" s="462"/>
      <c r="P104" s="185"/>
      <c r="Q104" s="185"/>
      <c r="R104" s="185"/>
      <c r="S104" s="185" t="e">
        <f t="shared" si="27"/>
        <v>#N/A</v>
      </c>
      <c r="T104" s="465"/>
      <c r="U104" s="185"/>
      <c r="V104" s="185"/>
      <c r="W104" s="185"/>
      <c r="X104" s="185" t="e">
        <f t="shared" si="28"/>
        <v>#N/A</v>
      </c>
      <c r="Y104" s="465"/>
      <c r="Z104" s="185"/>
      <c r="AA104" s="185"/>
      <c r="AB104" s="185"/>
      <c r="AC104" s="185" t="e">
        <f t="shared" si="29"/>
        <v>#N/A</v>
      </c>
      <c r="AD104" s="465"/>
      <c r="AE104" s="185"/>
      <c r="AF104" s="185"/>
      <c r="AG104" s="185"/>
      <c r="AH104" s="185" t="e">
        <f t="shared" si="30"/>
        <v>#N/A</v>
      </c>
      <c r="AI104" s="465"/>
      <c r="AJ104" s="185"/>
      <c r="AK104" s="185"/>
      <c r="AL104" s="185"/>
      <c r="AM104" s="185" t="e">
        <f t="shared" si="31"/>
        <v>#N/A</v>
      </c>
      <c r="AN104" s="465"/>
      <c r="AO104" s="185"/>
      <c r="AP104" s="185"/>
      <c r="AQ104" s="185"/>
      <c r="AR104" s="185" t="e">
        <f t="shared" si="32"/>
        <v>#N/A</v>
      </c>
      <c r="AS104" s="465"/>
      <c r="AT104" s="185"/>
      <c r="AU104" s="185"/>
      <c r="AV104" s="185"/>
      <c r="AW104" s="185" t="e">
        <f t="shared" si="33"/>
        <v>#N/A</v>
      </c>
      <c r="AX104" s="465"/>
    </row>
    <row r="105" spans="2:50">
      <c r="B105" s="479"/>
      <c r="C105" s="185">
        <v>29</v>
      </c>
      <c r="D105" s="185"/>
      <c r="E105" s="185"/>
      <c r="F105" s="185"/>
      <c r="G105" s="185"/>
      <c r="H105" s="465"/>
      <c r="I105" s="185"/>
      <c r="J105" s="185"/>
      <c r="K105" s="185"/>
      <c r="L105" s="465"/>
      <c r="M105" s="169" t="e">
        <f>RANK(K105, K$77:$K$106)</f>
        <v>#DIV/0!</v>
      </c>
      <c r="N105" s="462"/>
      <c r="O105" s="462"/>
      <c r="P105" s="185"/>
      <c r="Q105" s="185"/>
      <c r="R105" s="185"/>
      <c r="S105" s="185" t="e">
        <f t="shared" si="27"/>
        <v>#N/A</v>
      </c>
      <c r="T105" s="465"/>
      <c r="U105" s="185"/>
      <c r="V105" s="185"/>
      <c r="W105" s="185"/>
      <c r="X105" s="185" t="e">
        <f t="shared" si="28"/>
        <v>#N/A</v>
      </c>
      <c r="Y105" s="465"/>
      <c r="Z105" s="185"/>
      <c r="AA105" s="185"/>
      <c r="AB105" s="185"/>
      <c r="AC105" s="185" t="e">
        <f t="shared" si="29"/>
        <v>#N/A</v>
      </c>
      <c r="AD105" s="465"/>
      <c r="AE105" s="185"/>
      <c r="AF105" s="185"/>
      <c r="AG105" s="185"/>
      <c r="AH105" s="185" t="e">
        <f t="shared" si="30"/>
        <v>#N/A</v>
      </c>
      <c r="AI105" s="465"/>
      <c r="AJ105" s="185"/>
      <c r="AK105" s="185"/>
      <c r="AL105" s="185"/>
      <c r="AM105" s="185" t="e">
        <f t="shared" si="31"/>
        <v>#N/A</v>
      </c>
      <c r="AN105" s="465"/>
      <c r="AO105" s="185"/>
      <c r="AP105" s="185"/>
      <c r="AQ105" s="185"/>
      <c r="AR105" s="185" t="e">
        <f t="shared" si="32"/>
        <v>#N/A</v>
      </c>
      <c r="AS105" s="465"/>
      <c r="AT105" s="185"/>
      <c r="AU105" s="185"/>
      <c r="AV105" s="185"/>
      <c r="AW105" s="185" t="e">
        <f t="shared" si="33"/>
        <v>#N/A</v>
      </c>
      <c r="AX105" s="465"/>
    </row>
    <row r="106" spans="2:50">
      <c r="B106" s="480"/>
      <c r="C106" s="185">
        <v>30</v>
      </c>
      <c r="D106" s="185"/>
      <c r="E106" s="185"/>
      <c r="F106" s="185"/>
      <c r="G106" s="185"/>
      <c r="H106" s="466"/>
      <c r="I106" s="185"/>
      <c r="J106" s="185"/>
      <c r="K106" s="185"/>
      <c r="L106" s="466"/>
      <c r="M106" s="169" t="e">
        <f>RANK(K106, K$77:$K$106)</f>
        <v>#DIV/0!</v>
      </c>
      <c r="N106" s="463"/>
      <c r="O106" s="463"/>
      <c r="P106" s="185"/>
      <c r="Q106" s="185"/>
      <c r="R106" s="185"/>
      <c r="S106" s="185" t="e">
        <f t="shared" si="27"/>
        <v>#N/A</v>
      </c>
      <c r="T106" s="466"/>
      <c r="U106" s="185"/>
      <c r="V106" s="185"/>
      <c r="W106" s="185"/>
      <c r="X106" s="185" t="e">
        <f t="shared" si="28"/>
        <v>#N/A</v>
      </c>
      <c r="Y106" s="466"/>
      <c r="Z106" s="185"/>
      <c r="AA106" s="185"/>
      <c r="AB106" s="185"/>
      <c r="AC106" s="185" t="e">
        <f t="shared" si="29"/>
        <v>#N/A</v>
      </c>
      <c r="AD106" s="466"/>
      <c r="AE106" s="185"/>
      <c r="AF106" s="185"/>
      <c r="AG106" s="185"/>
      <c r="AH106" s="185" t="e">
        <f t="shared" si="30"/>
        <v>#N/A</v>
      </c>
      <c r="AI106" s="466"/>
      <c r="AJ106" s="185"/>
      <c r="AK106" s="185"/>
      <c r="AL106" s="185"/>
      <c r="AM106" s="185" t="e">
        <f t="shared" si="31"/>
        <v>#N/A</v>
      </c>
      <c r="AN106" s="466"/>
      <c r="AO106" s="185"/>
      <c r="AP106" s="185"/>
      <c r="AQ106" s="185"/>
      <c r="AR106" s="185" t="e">
        <f t="shared" si="32"/>
        <v>#N/A</v>
      </c>
      <c r="AS106" s="466"/>
      <c r="AT106" s="185"/>
      <c r="AU106" s="185"/>
      <c r="AV106" s="185"/>
      <c r="AW106" s="185" t="e">
        <f t="shared" si="33"/>
        <v>#N/A</v>
      </c>
      <c r="AX106" s="466"/>
    </row>
    <row r="107" spans="2:50" ht="15.75">
      <c r="B107" s="472" t="s">
        <v>201</v>
      </c>
      <c r="C107" s="473"/>
      <c r="D107" s="473"/>
      <c r="E107" s="473"/>
      <c r="F107" s="473"/>
      <c r="G107" s="473"/>
      <c r="H107" s="473"/>
      <c r="I107" s="189"/>
      <c r="J107" s="189"/>
      <c r="K107" s="189"/>
      <c r="L107" s="189"/>
      <c r="M107" s="188"/>
      <c r="N107" s="461" t="s">
        <v>202</v>
      </c>
      <c r="O107" s="461" t="s">
        <v>150</v>
      </c>
      <c r="P107" s="470">
        <f>P72+7</f>
        <v>45979</v>
      </c>
      <c r="Q107" s="471"/>
      <c r="R107" s="471"/>
      <c r="S107" s="471"/>
      <c r="T107" s="471"/>
      <c r="U107" s="467">
        <f>P107+1</f>
        <v>45980</v>
      </c>
      <c r="V107" s="468"/>
      <c r="W107" s="468"/>
      <c r="X107" s="468"/>
      <c r="Y107" s="469"/>
      <c r="Z107" s="467">
        <f>U107+1</f>
        <v>45981</v>
      </c>
      <c r="AA107" s="468"/>
      <c r="AB107" s="468"/>
      <c r="AC107" s="468"/>
      <c r="AD107" s="469"/>
      <c r="AE107" s="467">
        <f>Z107+1</f>
        <v>45982</v>
      </c>
      <c r="AF107" s="468"/>
      <c r="AG107" s="468"/>
      <c r="AH107" s="468"/>
      <c r="AI107" s="469"/>
      <c r="AJ107" s="467">
        <f>AE107+1</f>
        <v>45983</v>
      </c>
      <c r="AK107" s="468"/>
      <c r="AL107" s="468"/>
      <c r="AM107" s="468"/>
      <c r="AN107" s="469"/>
      <c r="AO107" s="467">
        <f>AJ107+1</f>
        <v>45984</v>
      </c>
      <c r="AP107" s="468"/>
      <c r="AQ107" s="468"/>
      <c r="AR107" s="468"/>
      <c r="AS107" s="469"/>
      <c r="AT107" s="467">
        <f>AO107+1</f>
        <v>45985</v>
      </c>
      <c r="AU107" s="468"/>
      <c r="AV107" s="468"/>
      <c r="AW107" s="468"/>
      <c r="AX107" s="469"/>
    </row>
    <row r="108" spans="2:50" ht="15.75">
      <c r="B108" s="474"/>
      <c r="C108" s="474"/>
      <c r="D108" s="474"/>
      <c r="E108" s="474"/>
      <c r="F108" s="474"/>
      <c r="G108" s="474"/>
      <c r="H108" s="474"/>
      <c r="I108" s="187"/>
      <c r="J108" s="187"/>
      <c r="K108" s="187"/>
      <c r="L108" s="187"/>
      <c r="M108" s="182"/>
      <c r="N108" s="463"/>
      <c r="O108" s="463"/>
      <c r="P108" s="470" t="s">
        <v>203</v>
      </c>
      <c r="Q108" s="471"/>
      <c r="R108" s="471"/>
      <c r="S108" s="471"/>
      <c r="T108" s="471"/>
      <c r="U108" s="470" t="s">
        <v>204</v>
      </c>
      <c r="V108" s="471"/>
      <c r="W108" s="471"/>
      <c r="X108" s="471"/>
      <c r="Y108" s="471"/>
      <c r="Z108" s="470" t="s">
        <v>205</v>
      </c>
      <c r="AA108" s="471"/>
      <c r="AB108" s="471"/>
      <c r="AC108" s="471"/>
      <c r="AD108" s="471"/>
      <c r="AE108" s="470" t="s">
        <v>206</v>
      </c>
      <c r="AF108" s="471"/>
      <c r="AG108" s="471"/>
      <c r="AH108" s="471"/>
      <c r="AI108" s="471"/>
      <c r="AJ108" s="470" t="s">
        <v>207</v>
      </c>
      <c r="AK108" s="471"/>
      <c r="AL108" s="471"/>
      <c r="AM108" s="471"/>
      <c r="AN108" s="471"/>
      <c r="AO108" s="470" t="s">
        <v>157</v>
      </c>
      <c r="AP108" s="471"/>
      <c r="AQ108" s="471"/>
      <c r="AR108" s="471"/>
      <c r="AS108" s="471"/>
      <c r="AT108" s="470" t="s">
        <v>208</v>
      </c>
      <c r="AU108" s="471"/>
      <c r="AV108" s="471"/>
      <c r="AW108" s="471"/>
      <c r="AX108" s="471"/>
    </row>
    <row r="109" spans="2:50">
      <c r="B109" s="454" t="s">
        <v>209</v>
      </c>
      <c r="C109" s="454" t="s">
        <v>210</v>
      </c>
      <c r="D109" s="454"/>
      <c r="E109" s="454" t="s">
        <v>211</v>
      </c>
      <c r="F109" s="454"/>
      <c r="G109" s="454"/>
      <c r="H109" s="455" t="s">
        <v>212</v>
      </c>
      <c r="I109" s="454" t="s">
        <v>213</v>
      </c>
      <c r="J109" s="454"/>
      <c r="K109" s="454"/>
      <c r="L109" s="455" t="s">
        <v>212</v>
      </c>
      <c r="M109" s="461" t="s">
        <v>214</v>
      </c>
      <c r="N109" s="454"/>
      <c r="O109" s="454" t="s">
        <v>215</v>
      </c>
      <c r="P109" s="458" t="s">
        <v>216</v>
      </c>
      <c r="Q109" s="459"/>
      <c r="R109" s="459"/>
      <c r="S109" s="460"/>
      <c r="T109" s="454" t="s">
        <v>212</v>
      </c>
      <c r="U109" s="458" t="s">
        <v>216</v>
      </c>
      <c r="V109" s="459"/>
      <c r="W109" s="459"/>
      <c r="X109" s="460"/>
      <c r="Y109" s="454" t="s">
        <v>212</v>
      </c>
      <c r="Z109" s="458" t="s">
        <v>216</v>
      </c>
      <c r="AA109" s="459"/>
      <c r="AB109" s="459"/>
      <c r="AC109" s="460"/>
      <c r="AD109" s="454" t="s">
        <v>212</v>
      </c>
      <c r="AE109" s="458" t="s">
        <v>216</v>
      </c>
      <c r="AF109" s="459"/>
      <c r="AG109" s="459"/>
      <c r="AH109" s="460"/>
      <c r="AI109" s="454" t="s">
        <v>212</v>
      </c>
      <c r="AJ109" s="458" t="s">
        <v>216</v>
      </c>
      <c r="AK109" s="459"/>
      <c r="AL109" s="459"/>
      <c r="AM109" s="460"/>
      <c r="AN109" s="454" t="s">
        <v>212</v>
      </c>
      <c r="AO109" s="458" t="s">
        <v>216</v>
      </c>
      <c r="AP109" s="459"/>
      <c r="AQ109" s="459"/>
      <c r="AR109" s="460"/>
      <c r="AS109" s="454" t="s">
        <v>212</v>
      </c>
      <c r="AT109" s="458" t="s">
        <v>216</v>
      </c>
      <c r="AU109" s="459"/>
      <c r="AV109" s="459"/>
      <c r="AW109" s="460"/>
      <c r="AX109" s="454" t="s">
        <v>212</v>
      </c>
    </row>
    <row r="110" spans="2:50">
      <c r="B110" s="454"/>
      <c r="C110" s="454"/>
      <c r="D110" s="454"/>
      <c r="E110" s="454" t="s">
        <v>217</v>
      </c>
      <c r="F110" s="454"/>
      <c r="G110" s="454"/>
      <c r="H110" s="456"/>
      <c r="I110" s="454" t="s">
        <v>217</v>
      </c>
      <c r="J110" s="454"/>
      <c r="K110" s="454"/>
      <c r="L110" s="456"/>
      <c r="M110" s="462"/>
      <c r="N110" s="454"/>
      <c r="O110" s="454"/>
      <c r="P110" s="458" t="s">
        <v>218</v>
      </c>
      <c r="Q110" s="459"/>
      <c r="R110" s="459"/>
      <c r="S110" s="460"/>
      <c r="T110" s="454"/>
      <c r="U110" s="458" t="s">
        <v>218</v>
      </c>
      <c r="V110" s="459"/>
      <c r="W110" s="459"/>
      <c r="X110" s="460"/>
      <c r="Y110" s="454"/>
      <c r="Z110" s="458" t="s">
        <v>218</v>
      </c>
      <c r="AA110" s="459"/>
      <c r="AB110" s="459"/>
      <c r="AC110" s="460"/>
      <c r="AD110" s="454"/>
      <c r="AE110" s="458" t="s">
        <v>218</v>
      </c>
      <c r="AF110" s="459"/>
      <c r="AG110" s="459"/>
      <c r="AH110" s="460"/>
      <c r="AI110" s="454"/>
      <c r="AJ110" s="458" t="s">
        <v>218</v>
      </c>
      <c r="AK110" s="459"/>
      <c r="AL110" s="459"/>
      <c r="AM110" s="460"/>
      <c r="AN110" s="454"/>
      <c r="AO110" s="458" t="s">
        <v>218</v>
      </c>
      <c r="AP110" s="459"/>
      <c r="AQ110" s="459"/>
      <c r="AR110" s="460"/>
      <c r="AS110" s="454"/>
      <c r="AT110" s="458" t="s">
        <v>218</v>
      </c>
      <c r="AU110" s="459"/>
      <c r="AV110" s="459"/>
      <c r="AW110" s="460"/>
      <c r="AX110" s="454"/>
    </row>
    <row r="111" spans="2:50">
      <c r="B111" s="454"/>
      <c r="C111" s="454"/>
      <c r="D111" s="454"/>
      <c r="E111" s="275" t="s">
        <v>219</v>
      </c>
      <c r="F111" s="275" t="s">
        <v>220</v>
      </c>
      <c r="G111" s="275" t="s">
        <v>221</v>
      </c>
      <c r="H111" s="457"/>
      <c r="I111" s="275" t="s">
        <v>219</v>
      </c>
      <c r="J111" s="275" t="s">
        <v>220</v>
      </c>
      <c r="K111" s="275" t="s">
        <v>221</v>
      </c>
      <c r="L111" s="457"/>
      <c r="M111" s="463"/>
      <c r="N111" s="454"/>
      <c r="O111" s="454"/>
      <c r="P111" s="275" t="s">
        <v>219</v>
      </c>
      <c r="Q111" s="275" t="s">
        <v>220</v>
      </c>
      <c r="R111" s="275" t="s">
        <v>221</v>
      </c>
      <c r="S111" s="275" t="s">
        <v>214</v>
      </c>
      <c r="T111" s="454"/>
      <c r="U111" s="275" t="s">
        <v>219</v>
      </c>
      <c r="V111" s="275" t="s">
        <v>220</v>
      </c>
      <c r="W111" s="275" t="s">
        <v>221</v>
      </c>
      <c r="X111" s="275" t="s">
        <v>214</v>
      </c>
      <c r="Y111" s="454"/>
      <c r="Z111" s="275" t="s">
        <v>219</v>
      </c>
      <c r="AA111" s="275" t="s">
        <v>220</v>
      </c>
      <c r="AB111" s="275" t="s">
        <v>221</v>
      </c>
      <c r="AC111" s="275" t="s">
        <v>214</v>
      </c>
      <c r="AD111" s="454"/>
      <c r="AE111" s="275" t="s">
        <v>219</v>
      </c>
      <c r="AF111" s="275" t="s">
        <v>220</v>
      </c>
      <c r="AG111" s="275" t="s">
        <v>221</v>
      </c>
      <c r="AH111" s="275" t="s">
        <v>214</v>
      </c>
      <c r="AI111" s="454"/>
      <c r="AJ111" s="275" t="s">
        <v>219</v>
      </c>
      <c r="AK111" s="275" t="s">
        <v>220</v>
      </c>
      <c r="AL111" s="275" t="s">
        <v>221</v>
      </c>
      <c r="AM111" s="275" t="s">
        <v>214</v>
      </c>
      <c r="AN111" s="454"/>
      <c r="AO111" s="275" t="s">
        <v>219</v>
      </c>
      <c r="AP111" s="275" t="s">
        <v>220</v>
      </c>
      <c r="AQ111" s="275" t="s">
        <v>221</v>
      </c>
      <c r="AR111" s="275" t="s">
        <v>214</v>
      </c>
      <c r="AS111" s="454"/>
      <c r="AT111" s="275" t="s">
        <v>219</v>
      </c>
      <c r="AU111" s="275" t="s">
        <v>220</v>
      </c>
      <c r="AV111" s="275" t="s">
        <v>221</v>
      </c>
      <c r="AW111" s="275" t="s">
        <v>214</v>
      </c>
      <c r="AX111" s="454"/>
    </row>
    <row r="112" spans="2:50">
      <c r="B112" s="471" t="s">
        <v>222</v>
      </c>
      <c r="C112" s="185">
        <v>1</v>
      </c>
      <c r="D112" s="185"/>
      <c r="E112" s="185"/>
      <c r="F112" s="185"/>
      <c r="G112" s="185"/>
      <c r="H112" s="464" t="e">
        <f>AVERAGE(G112:G141)</f>
        <v>#DIV/0!</v>
      </c>
      <c r="I112" s="169" t="e">
        <f>AVERAGE(P112,U112,Z112,AE112,AJ112,AO112,AT112)</f>
        <v>#DIV/0!</v>
      </c>
      <c r="J112" s="169" t="e">
        <f>AVERAGE(Q112,V112,AA112,AF112,AK112,AP112,AU112)</f>
        <v>#DIV/0!</v>
      </c>
      <c r="K112" s="183" t="e">
        <f>AVERAGE(R112,W112,AB112,AG112,AL112,AQ112,AV112)</f>
        <v>#DIV/0!</v>
      </c>
      <c r="L112" s="451" t="str">
        <f>IFERROR(AVERAGE(K112:K141),"-")</f>
        <v>-</v>
      </c>
      <c r="M112" s="169" t="e">
        <f>RANK(K112, K$112:$K$141)</f>
        <v>#DIV/0!</v>
      </c>
      <c r="N112" s="454"/>
      <c r="O112" s="454"/>
      <c r="P112" s="169"/>
      <c r="Q112" s="169"/>
      <c r="R112" s="169"/>
      <c r="S112" s="185" t="e">
        <f>RANK(R112, R$112:R$141)</f>
        <v>#N/A</v>
      </c>
      <c r="T112" s="464" t="e">
        <f>AVERAGE(R112:R141)</f>
        <v>#DIV/0!</v>
      </c>
      <c r="U112" s="169"/>
      <c r="V112" s="169"/>
      <c r="W112" s="169"/>
      <c r="X112" s="185" t="e">
        <f>RANK(W112, W$112:W$141)</f>
        <v>#N/A</v>
      </c>
      <c r="Y112" s="464" t="e">
        <f>AVERAGE(W112:W141)</f>
        <v>#DIV/0!</v>
      </c>
      <c r="Z112" s="169"/>
      <c r="AA112" s="169"/>
      <c r="AB112" s="169"/>
      <c r="AC112" s="185" t="e">
        <f>RANK(AB112, AB$112:AB$141)</f>
        <v>#N/A</v>
      </c>
      <c r="AD112" s="464" t="e">
        <f>AVERAGE(AB112:AB141)</f>
        <v>#DIV/0!</v>
      </c>
      <c r="AE112" s="169"/>
      <c r="AF112" s="169"/>
      <c r="AG112" s="169"/>
      <c r="AH112" s="185" t="e">
        <f>RANK(AG112, AG$112:AG$141)</f>
        <v>#N/A</v>
      </c>
      <c r="AI112" s="464" t="e">
        <f>AVERAGE(AG112:AG141)</f>
        <v>#DIV/0!</v>
      </c>
      <c r="AJ112" s="169"/>
      <c r="AK112" s="169"/>
      <c r="AL112" s="169"/>
      <c r="AM112" s="185" t="e">
        <f>RANK(AL112, AL$112:AL$141)</f>
        <v>#N/A</v>
      </c>
      <c r="AN112" s="464" t="e">
        <f>AVERAGE(AL112:AL141)</f>
        <v>#DIV/0!</v>
      </c>
      <c r="AO112" s="169"/>
      <c r="AP112" s="169"/>
      <c r="AQ112" s="169"/>
      <c r="AR112" s="185" t="e">
        <f>RANK(AQ112, AQ$112:AQ$141)</f>
        <v>#N/A</v>
      </c>
      <c r="AS112" s="464" t="e">
        <f>AVERAGE(AQ112:AQ141)</f>
        <v>#DIV/0!</v>
      </c>
      <c r="AT112" s="169"/>
      <c r="AU112" s="169"/>
      <c r="AV112" s="169"/>
      <c r="AW112" s="185" t="e">
        <f>RANK(AV112, AV$112:AV$141)</f>
        <v>#N/A</v>
      </c>
      <c r="AX112" s="464" t="e">
        <f>AVERAGE(AV112:AV141)</f>
        <v>#DIV/0!</v>
      </c>
    </row>
    <row r="113" spans="2:50">
      <c r="B113" s="471"/>
      <c r="C113" s="185">
        <v>2</v>
      </c>
      <c r="D113" s="185"/>
      <c r="E113" s="185"/>
      <c r="F113" s="185"/>
      <c r="G113" s="185"/>
      <c r="H113" s="465"/>
      <c r="I113" s="169" t="e">
        <f t="shared" ref="I113:I131" si="38">AVERAGE(P113,U113,Z113,AE113,AJ113,AO113,AT113)</f>
        <v>#DIV/0!</v>
      </c>
      <c r="J113" s="169" t="e">
        <f t="shared" ref="J113:J131" si="39">AVERAGE(Q113,V113,AA113,AF113,AK113,AP113,AU113)</f>
        <v>#DIV/0!</v>
      </c>
      <c r="K113" s="183" t="e">
        <f t="shared" ref="K113:K131" si="40">AVERAGE(R113,W113,AB113,AG113,AL113,AQ113,AV113)</f>
        <v>#DIV/0!</v>
      </c>
      <c r="L113" s="452"/>
      <c r="M113" s="169" t="e">
        <f>RANK(K113, K$112:$K$141)</f>
        <v>#DIV/0!</v>
      </c>
      <c r="N113" s="454"/>
      <c r="O113" s="454"/>
      <c r="P113" s="169"/>
      <c r="Q113" s="169"/>
      <c r="R113" s="169"/>
      <c r="S113" s="185" t="e">
        <f t="shared" ref="S113:S141" si="41">RANK(R113, R$112:R$141)</f>
        <v>#N/A</v>
      </c>
      <c r="T113" s="465"/>
      <c r="U113" s="169"/>
      <c r="V113" s="169"/>
      <c r="W113" s="169"/>
      <c r="X113" s="185" t="e">
        <f t="shared" ref="X113:X141" si="42">RANK(W113, W$112:W$141)</f>
        <v>#N/A</v>
      </c>
      <c r="Y113" s="465"/>
      <c r="Z113" s="169"/>
      <c r="AA113" s="169"/>
      <c r="AB113" s="169"/>
      <c r="AC113" s="185" t="e">
        <f t="shared" ref="AC113:AC141" si="43">RANK(AB113, AB$112:AB$141)</f>
        <v>#N/A</v>
      </c>
      <c r="AD113" s="465"/>
      <c r="AE113" s="169"/>
      <c r="AF113" s="169"/>
      <c r="AG113" s="169"/>
      <c r="AH113" s="185" t="e">
        <f t="shared" ref="AH113:AH141" si="44">RANK(AG113, AG$112:AG$141)</f>
        <v>#N/A</v>
      </c>
      <c r="AI113" s="465"/>
      <c r="AJ113" s="169"/>
      <c r="AK113" s="169"/>
      <c r="AL113" s="169"/>
      <c r="AM113" s="185" t="e">
        <f t="shared" ref="AM113:AM141" si="45">RANK(AL113, AL$112:AL$141)</f>
        <v>#N/A</v>
      </c>
      <c r="AN113" s="465"/>
      <c r="AO113" s="169"/>
      <c r="AP113" s="169"/>
      <c r="AQ113" s="169"/>
      <c r="AR113" s="185" t="e">
        <f t="shared" ref="AR113:AR141" si="46">RANK(AQ113, AQ$112:AQ$141)</f>
        <v>#N/A</v>
      </c>
      <c r="AS113" s="465"/>
      <c r="AT113" s="169"/>
      <c r="AU113" s="169"/>
      <c r="AV113" s="169"/>
      <c r="AW113" s="185" t="e">
        <f t="shared" ref="AW113:AW141" si="47">RANK(AV113, AV$112:AV$141)</f>
        <v>#N/A</v>
      </c>
      <c r="AX113" s="465"/>
    </row>
    <row r="114" spans="2:50">
      <c r="B114" s="471"/>
      <c r="C114" s="185">
        <v>3</v>
      </c>
      <c r="D114" s="185"/>
      <c r="E114" s="185"/>
      <c r="F114" s="185"/>
      <c r="G114" s="185"/>
      <c r="H114" s="465"/>
      <c r="I114" s="169" t="e">
        <f t="shared" si="38"/>
        <v>#DIV/0!</v>
      </c>
      <c r="J114" s="169" t="e">
        <f t="shared" si="39"/>
        <v>#DIV/0!</v>
      </c>
      <c r="K114" s="183" t="e">
        <f t="shared" si="40"/>
        <v>#DIV/0!</v>
      </c>
      <c r="L114" s="452"/>
      <c r="M114" s="169" t="e">
        <f>RANK(K114, K$112:$K$141)</f>
        <v>#DIV/0!</v>
      </c>
      <c r="N114" s="454"/>
      <c r="O114" s="454"/>
      <c r="P114" s="169"/>
      <c r="Q114" s="169"/>
      <c r="R114" s="169"/>
      <c r="S114" s="185" t="e">
        <f t="shared" si="41"/>
        <v>#N/A</v>
      </c>
      <c r="T114" s="465"/>
      <c r="U114" s="169"/>
      <c r="V114" s="169"/>
      <c r="W114" s="169"/>
      <c r="X114" s="185" t="e">
        <f t="shared" si="42"/>
        <v>#N/A</v>
      </c>
      <c r="Y114" s="465"/>
      <c r="Z114" s="169"/>
      <c r="AA114" s="169"/>
      <c r="AB114" s="169"/>
      <c r="AC114" s="185" t="e">
        <f t="shared" si="43"/>
        <v>#N/A</v>
      </c>
      <c r="AD114" s="465"/>
      <c r="AE114" s="169"/>
      <c r="AF114" s="169"/>
      <c r="AG114" s="169"/>
      <c r="AH114" s="185" t="e">
        <f t="shared" si="44"/>
        <v>#N/A</v>
      </c>
      <c r="AI114" s="465"/>
      <c r="AJ114" s="169"/>
      <c r="AK114" s="169"/>
      <c r="AL114" s="169"/>
      <c r="AM114" s="185" t="e">
        <f t="shared" si="45"/>
        <v>#N/A</v>
      </c>
      <c r="AN114" s="465"/>
      <c r="AO114" s="169"/>
      <c r="AP114" s="169"/>
      <c r="AQ114" s="169"/>
      <c r="AR114" s="185" t="e">
        <f t="shared" si="46"/>
        <v>#N/A</v>
      </c>
      <c r="AS114" s="465"/>
      <c r="AT114" s="169"/>
      <c r="AU114" s="169"/>
      <c r="AV114" s="169"/>
      <c r="AW114" s="185" t="e">
        <f t="shared" si="47"/>
        <v>#N/A</v>
      </c>
      <c r="AX114" s="465"/>
    </row>
    <row r="115" spans="2:50">
      <c r="B115" s="471"/>
      <c r="C115" s="185">
        <v>4</v>
      </c>
      <c r="D115" s="185"/>
      <c r="E115" s="185"/>
      <c r="F115" s="185"/>
      <c r="G115" s="185"/>
      <c r="H115" s="465"/>
      <c r="I115" s="169" t="e">
        <f t="shared" si="38"/>
        <v>#DIV/0!</v>
      </c>
      <c r="J115" s="169" t="e">
        <f t="shared" si="39"/>
        <v>#DIV/0!</v>
      </c>
      <c r="K115" s="183" t="e">
        <f t="shared" si="40"/>
        <v>#DIV/0!</v>
      </c>
      <c r="L115" s="452"/>
      <c r="M115" s="169" t="e">
        <f>RANK(K115, K$112:$K$141)</f>
        <v>#DIV/0!</v>
      </c>
      <c r="N115" s="454"/>
      <c r="O115" s="454"/>
      <c r="P115" s="169"/>
      <c r="Q115" s="169"/>
      <c r="R115" s="169"/>
      <c r="S115" s="185" t="e">
        <f t="shared" si="41"/>
        <v>#N/A</v>
      </c>
      <c r="T115" s="465"/>
      <c r="U115" s="169"/>
      <c r="V115" s="169"/>
      <c r="W115" s="169"/>
      <c r="X115" s="185" t="e">
        <f t="shared" si="42"/>
        <v>#N/A</v>
      </c>
      <c r="Y115" s="465"/>
      <c r="Z115" s="169"/>
      <c r="AA115" s="169"/>
      <c r="AB115" s="169"/>
      <c r="AC115" s="185" t="e">
        <f t="shared" si="43"/>
        <v>#N/A</v>
      </c>
      <c r="AD115" s="465"/>
      <c r="AE115" s="169"/>
      <c r="AF115" s="169"/>
      <c r="AG115" s="169"/>
      <c r="AH115" s="185" t="e">
        <f t="shared" si="44"/>
        <v>#N/A</v>
      </c>
      <c r="AI115" s="465"/>
      <c r="AJ115" s="169"/>
      <c r="AK115" s="169"/>
      <c r="AL115" s="169"/>
      <c r="AM115" s="185" t="e">
        <f t="shared" si="45"/>
        <v>#N/A</v>
      </c>
      <c r="AN115" s="465"/>
      <c r="AO115" s="169"/>
      <c r="AP115" s="169"/>
      <c r="AQ115" s="169"/>
      <c r="AR115" s="185" t="e">
        <f t="shared" si="46"/>
        <v>#N/A</v>
      </c>
      <c r="AS115" s="465"/>
      <c r="AT115" s="169"/>
      <c r="AU115" s="169"/>
      <c r="AV115" s="169"/>
      <c r="AW115" s="185" t="e">
        <f t="shared" si="47"/>
        <v>#N/A</v>
      </c>
      <c r="AX115" s="465"/>
    </row>
    <row r="116" spans="2:50">
      <c r="B116" s="471"/>
      <c r="C116" s="185">
        <v>5</v>
      </c>
      <c r="D116" s="185"/>
      <c r="E116" s="185"/>
      <c r="F116" s="185"/>
      <c r="G116" s="185"/>
      <c r="H116" s="465"/>
      <c r="I116" s="169" t="e">
        <f t="shared" si="38"/>
        <v>#DIV/0!</v>
      </c>
      <c r="J116" s="169" t="e">
        <f t="shared" si="39"/>
        <v>#DIV/0!</v>
      </c>
      <c r="K116" s="183" t="e">
        <f t="shared" si="40"/>
        <v>#DIV/0!</v>
      </c>
      <c r="L116" s="452"/>
      <c r="M116" s="169" t="e">
        <f>RANK(K116, K$112:$K$141)</f>
        <v>#DIV/0!</v>
      </c>
      <c r="N116" s="454"/>
      <c r="O116" s="454"/>
      <c r="P116" s="169"/>
      <c r="Q116" s="169"/>
      <c r="R116" s="169"/>
      <c r="S116" s="185" t="e">
        <f t="shared" si="41"/>
        <v>#N/A</v>
      </c>
      <c r="T116" s="465"/>
      <c r="U116" s="169"/>
      <c r="V116" s="169"/>
      <c r="W116" s="169"/>
      <c r="X116" s="185" t="e">
        <f t="shared" si="42"/>
        <v>#N/A</v>
      </c>
      <c r="Y116" s="465"/>
      <c r="Z116" s="169"/>
      <c r="AA116" s="169"/>
      <c r="AB116" s="169"/>
      <c r="AC116" s="185" t="e">
        <f t="shared" si="43"/>
        <v>#N/A</v>
      </c>
      <c r="AD116" s="465"/>
      <c r="AE116" s="169"/>
      <c r="AF116" s="169"/>
      <c r="AG116" s="169"/>
      <c r="AH116" s="185" t="e">
        <f t="shared" si="44"/>
        <v>#N/A</v>
      </c>
      <c r="AI116" s="465"/>
      <c r="AJ116" s="169"/>
      <c r="AK116" s="169"/>
      <c r="AL116" s="169"/>
      <c r="AM116" s="185" t="e">
        <f t="shared" si="45"/>
        <v>#N/A</v>
      </c>
      <c r="AN116" s="465"/>
      <c r="AO116" s="169"/>
      <c r="AP116" s="169"/>
      <c r="AQ116" s="169"/>
      <c r="AR116" s="185" t="e">
        <f t="shared" si="46"/>
        <v>#N/A</v>
      </c>
      <c r="AS116" s="465"/>
      <c r="AT116" s="169"/>
      <c r="AU116" s="169"/>
      <c r="AV116" s="169"/>
      <c r="AW116" s="185" t="e">
        <f t="shared" si="47"/>
        <v>#N/A</v>
      </c>
      <c r="AX116" s="465"/>
    </row>
    <row r="117" spans="2:50">
      <c r="B117" s="471"/>
      <c r="C117" s="185">
        <v>6</v>
      </c>
      <c r="D117" s="185"/>
      <c r="E117" s="185"/>
      <c r="F117" s="185"/>
      <c r="G117" s="185"/>
      <c r="H117" s="465"/>
      <c r="I117" s="169" t="e">
        <f t="shared" si="38"/>
        <v>#DIV/0!</v>
      </c>
      <c r="J117" s="169" t="e">
        <f t="shared" si="39"/>
        <v>#DIV/0!</v>
      </c>
      <c r="K117" s="183" t="e">
        <f t="shared" si="40"/>
        <v>#DIV/0!</v>
      </c>
      <c r="L117" s="452"/>
      <c r="M117" s="169" t="e">
        <f>RANK(K117, K$112:$K$141)</f>
        <v>#DIV/0!</v>
      </c>
      <c r="N117" s="454"/>
      <c r="O117" s="454"/>
      <c r="P117" s="169"/>
      <c r="Q117" s="169"/>
      <c r="R117" s="169"/>
      <c r="S117" s="185" t="e">
        <f t="shared" si="41"/>
        <v>#N/A</v>
      </c>
      <c r="T117" s="465"/>
      <c r="U117" s="169"/>
      <c r="V117" s="169"/>
      <c r="W117" s="169"/>
      <c r="X117" s="185" t="e">
        <f t="shared" si="42"/>
        <v>#N/A</v>
      </c>
      <c r="Y117" s="465"/>
      <c r="Z117" s="169"/>
      <c r="AA117" s="169"/>
      <c r="AB117" s="169"/>
      <c r="AC117" s="185" t="e">
        <f t="shared" si="43"/>
        <v>#N/A</v>
      </c>
      <c r="AD117" s="465"/>
      <c r="AE117" s="169"/>
      <c r="AF117" s="169"/>
      <c r="AG117" s="169"/>
      <c r="AH117" s="185" t="e">
        <f t="shared" si="44"/>
        <v>#N/A</v>
      </c>
      <c r="AI117" s="465"/>
      <c r="AJ117" s="169"/>
      <c r="AK117" s="169"/>
      <c r="AL117" s="169"/>
      <c r="AM117" s="185" t="e">
        <f t="shared" si="45"/>
        <v>#N/A</v>
      </c>
      <c r="AN117" s="465"/>
      <c r="AO117" s="169"/>
      <c r="AP117" s="169"/>
      <c r="AQ117" s="169"/>
      <c r="AR117" s="185" t="e">
        <f t="shared" si="46"/>
        <v>#N/A</v>
      </c>
      <c r="AS117" s="465"/>
      <c r="AT117" s="169"/>
      <c r="AU117" s="169"/>
      <c r="AV117" s="169"/>
      <c r="AW117" s="185" t="e">
        <f t="shared" si="47"/>
        <v>#N/A</v>
      </c>
      <c r="AX117" s="465"/>
    </row>
    <row r="118" spans="2:50">
      <c r="B118" s="471"/>
      <c r="C118" s="185">
        <v>7</v>
      </c>
      <c r="D118" s="185"/>
      <c r="E118" s="185"/>
      <c r="F118" s="185"/>
      <c r="G118" s="185"/>
      <c r="H118" s="465"/>
      <c r="I118" s="169" t="e">
        <f t="shared" si="38"/>
        <v>#DIV/0!</v>
      </c>
      <c r="J118" s="169" t="e">
        <f t="shared" si="39"/>
        <v>#DIV/0!</v>
      </c>
      <c r="K118" s="183" t="e">
        <f t="shared" si="40"/>
        <v>#DIV/0!</v>
      </c>
      <c r="L118" s="452"/>
      <c r="M118" s="169" t="e">
        <f>RANK(K118, K$112:$K$141)</f>
        <v>#DIV/0!</v>
      </c>
      <c r="N118" s="454"/>
      <c r="O118" s="454"/>
      <c r="P118" s="169"/>
      <c r="Q118" s="169"/>
      <c r="R118" s="169"/>
      <c r="S118" s="185" t="e">
        <f t="shared" si="41"/>
        <v>#N/A</v>
      </c>
      <c r="T118" s="465"/>
      <c r="U118" s="169"/>
      <c r="V118" s="169"/>
      <c r="W118" s="169"/>
      <c r="X118" s="185" t="e">
        <f t="shared" si="42"/>
        <v>#N/A</v>
      </c>
      <c r="Y118" s="465"/>
      <c r="Z118" s="169"/>
      <c r="AA118" s="169"/>
      <c r="AB118" s="169"/>
      <c r="AC118" s="185" t="e">
        <f t="shared" si="43"/>
        <v>#N/A</v>
      </c>
      <c r="AD118" s="465"/>
      <c r="AE118" s="169"/>
      <c r="AF118" s="169"/>
      <c r="AG118" s="169"/>
      <c r="AH118" s="185" t="e">
        <f t="shared" si="44"/>
        <v>#N/A</v>
      </c>
      <c r="AI118" s="465"/>
      <c r="AJ118" s="169"/>
      <c r="AK118" s="169"/>
      <c r="AL118" s="169"/>
      <c r="AM118" s="185" t="e">
        <f t="shared" si="45"/>
        <v>#N/A</v>
      </c>
      <c r="AN118" s="465"/>
      <c r="AO118" s="169"/>
      <c r="AP118" s="169"/>
      <c r="AQ118" s="169"/>
      <c r="AR118" s="185" t="e">
        <f t="shared" si="46"/>
        <v>#N/A</v>
      </c>
      <c r="AS118" s="465"/>
      <c r="AT118" s="169"/>
      <c r="AU118" s="169"/>
      <c r="AV118" s="169"/>
      <c r="AW118" s="185" t="e">
        <f t="shared" si="47"/>
        <v>#N/A</v>
      </c>
      <c r="AX118" s="465"/>
    </row>
    <row r="119" spans="2:50">
      <c r="B119" s="471"/>
      <c r="C119" s="185">
        <v>8</v>
      </c>
      <c r="D119" s="185"/>
      <c r="E119" s="185"/>
      <c r="F119" s="185"/>
      <c r="G119" s="185"/>
      <c r="H119" s="465"/>
      <c r="I119" s="169" t="e">
        <f t="shared" si="38"/>
        <v>#DIV/0!</v>
      </c>
      <c r="J119" s="169" t="e">
        <f t="shared" si="39"/>
        <v>#DIV/0!</v>
      </c>
      <c r="K119" s="183" t="e">
        <f t="shared" si="40"/>
        <v>#DIV/0!</v>
      </c>
      <c r="L119" s="452"/>
      <c r="M119" s="169" t="e">
        <f>RANK(K119, K$112:$K$141)</f>
        <v>#DIV/0!</v>
      </c>
      <c r="N119" s="454"/>
      <c r="O119" s="454"/>
      <c r="P119" s="169"/>
      <c r="Q119" s="169"/>
      <c r="R119" s="169"/>
      <c r="S119" s="185" t="e">
        <f t="shared" si="41"/>
        <v>#N/A</v>
      </c>
      <c r="T119" s="465"/>
      <c r="U119" s="169"/>
      <c r="V119" s="169"/>
      <c r="W119" s="169"/>
      <c r="X119" s="185" t="e">
        <f t="shared" si="42"/>
        <v>#N/A</v>
      </c>
      <c r="Y119" s="465"/>
      <c r="Z119" s="169"/>
      <c r="AA119" s="169"/>
      <c r="AB119" s="169"/>
      <c r="AC119" s="185" t="e">
        <f t="shared" si="43"/>
        <v>#N/A</v>
      </c>
      <c r="AD119" s="465"/>
      <c r="AE119" s="169"/>
      <c r="AF119" s="169"/>
      <c r="AG119" s="169"/>
      <c r="AH119" s="185" t="e">
        <f t="shared" si="44"/>
        <v>#N/A</v>
      </c>
      <c r="AI119" s="465"/>
      <c r="AJ119" s="169"/>
      <c r="AK119" s="169"/>
      <c r="AL119" s="169"/>
      <c r="AM119" s="185" t="e">
        <f t="shared" si="45"/>
        <v>#N/A</v>
      </c>
      <c r="AN119" s="465"/>
      <c r="AO119" s="169"/>
      <c r="AP119" s="169"/>
      <c r="AQ119" s="169"/>
      <c r="AR119" s="185" t="e">
        <f t="shared" si="46"/>
        <v>#N/A</v>
      </c>
      <c r="AS119" s="465"/>
      <c r="AT119" s="169"/>
      <c r="AU119" s="169"/>
      <c r="AV119" s="169"/>
      <c r="AW119" s="185" t="e">
        <f t="shared" si="47"/>
        <v>#N/A</v>
      </c>
      <c r="AX119" s="465"/>
    </row>
    <row r="120" spans="2:50">
      <c r="B120" s="471"/>
      <c r="C120" s="185">
        <v>9</v>
      </c>
      <c r="D120" s="185"/>
      <c r="E120" s="185"/>
      <c r="F120" s="185"/>
      <c r="G120" s="185"/>
      <c r="H120" s="465"/>
      <c r="I120" s="169" t="e">
        <f t="shared" si="38"/>
        <v>#DIV/0!</v>
      </c>
      <c r="J120" s="169" t="e">
        <f t="shared" si="39"/>
        <v>#DIV/0!</v>
      </c>
      <c r="K120" s="183" t="e">
        <f t="shared" si="40"/>
        <v>#DIV/0!</v>
      </c>
      <c r="L120" s="452"/>
      <c r="M120" s="169" t="e">
        <f>RANK(K120, K$112:$K$141)</f>
        <v>#DIV/0!</v>
      </c>
      <c r="N120" s="454"/>
      <c r="O120" s="454"/>
      <c r="P120" s="169"/>
      <c r="Q120" s="169"/>
      <c r="R120" s="169"/>
      <c r="S120" s="185" t="e">
        <f t="shared" si="41"/>
        <v>#N/A</v>
      </c>
      <c r="T120" s="465"/>
      <c r="U120" s="169"/>
      <c r="V120" s="169"/>
      <c r="W120" s="169"/>
      <c r="X120" s="185" t="e">
        <f t="shared" si="42"/>
        <v>#N/A</v>
      </c>
      <c r="Y120" s="465"/>
      <c r="Z120" s="169"/>
      <c r="AA120" s="169"/>
      <c r="AB120" s="169"/>
      <c r="AC120" s="185" t="e">
        <f t="shared" si="43"/>
        <v>#N/A</v>
      </c>
      <c r="AD120" s="465"/>
      <c r="AE120" s="169"/>
      <c r="AF120" s="169"/>
      <c r="AG120" s="169"/>
      <c r="AH120" s="185" t="e">
        <f t="shared" si="44"/>
        <v>#N/A</v>
      </c>
      <c r="AI120" s="465"/>
      <c r="AJ120" s="169"/>
      <c r="AK120" s="169"/>
      <c r="AL120" s="169"/>
      <c r="AM120" s="185" t="e">
        <f t="shared" si="45"/>
        <v>#N/A</v>
      </c>
      <c r="AN120" s="465"/>
      <c r="AO120" s="169"/>
      <c r="AP120" s="169"/>
      <c r="AQ120" s="169"/>
      <c r="AR120" s="185" t="e">
        <f t="shared" si="46"/>
        <v>#N/A</v>
      </c>
      <c r="AS120" s="465"/>
      <c r="AT120" s="169"/>
      <c r="AU120" s="169"/>
      <c r="AV120" s="169"/>
      <c r="AW120" s="185" t="e">
        <f t="shared" si="47"/>
        <v>#N/A</v>
      </c>
      <c r="AX120" s="465"/>
    </row>
    <row r="121" spans="2:50">
      <c r="B121" s="471"/>
      <c r="C121" s="185">
        <v>10</v>
      </c>
      <c r="D121" s="185"/>
      <c r="E121" s="185"/>
      <c r="F121" s="185"/>
      <c r="G121" s="185"/>
      <c r="H121" s="465"/>
      <c r="I121" s="169" t="e">
        <f t="shared" si="38"/>
        <v>#DIV/0!</v>
      </c>
      <c r="J121" s="169" t="e">
        <f t="shared" si="39"/>
        <v>#DIV/0!</v>
      </c>
      <c r="K121" s="183" t="e">
        <f t="shared" si="40"/>
        <v>#DIV/0!</v>
      </c>
      <c r="L121" s="452"/>
      <c r="M121" s="169" t="e">
        <f>RANK(K121, K$112:$K$141)</f>
        <v>#DIV/0!</v>
      </c>
      <c r="N121" s="454"/>
      <c r="O121" s="454"/>
      <c r="P121" s="169"/>
      <c r="Q121" s="169"/>
      <c r="R121" s="169"/>
      <c r="S121" s="185" t="e">
        <f t="shared" si="41"/>
        <v>#N/A</v>
      </c>
      <c r="T121" s="465"/>
      <c r="U121" s="169"/>
      <c r="V121" s="169"/>
      <c r="W121" s="169"/>
      <c r="X121" s="185" t="e">
        <f t="shared" si="42"/>
        <v>#N/A</v>
      </c>
      <c r="Y121" s="465"/>
      <c r="Z121" s="169"/>
      <c r="AA121" s="169"/>
      <c r="AB121" s="169"/>
      <c r="AC121" s="185" t="e">
        <f t="shared" si="43"/>
        <v>#N/A</v>
      </c>
      <c r="AD121" s="465"/>
      <c r="AE121" s="169"/>
      <c r="AF121" s="169"/>
      <c r="AG121" s="169"/>
      <c r="AH121" s="185" t="e">
        <f t="shared" si="44"/>
        <v>#N/A</v>
      </c>
      <c r="AI121" s="465"/>
      <c r="AJ121" s="169"/>
      <c r="AK121" s="169"/>
      <c r="AL121" s="169"/>
      <c r="AM121" s="185" t="e">
        <f t="shared" si="45"/>
        <v>#N/A</v>
      </c>
      <c r="AN121" s="465"/>
      <c r="AO121" s="169"/>
      <c r="AP121" s="169"/>
      <c r="AQ121" s="169"/>
      <c r="AR121" s="185" t="e">
        <f t="shared" si="46"/>
        <v>#N/A</v>
      </c>
      <c r="AS121" s="465"/>
      <c r="AT121" s="169"/>
      <c r="AU121" s="169"/>
      <c r="AV121" s="169"/>
      <c r="AW121" s="185" t="e">
        <f t="shared" si="47"/>
        <v>#N/A</v>
      </c>
      <c r="AX121" s="465"/>
    </row>
    <row r="122" spans="2:50">
      <c r="B122" s="471"/>
      <c r="C122" s="185">
        <v>11</v>
      </c>
      <c r="D122" s="185"/>
      <c r="E122" s="185"/>
      <c r="F122" s="185"/>
      <c r="G122" s="185"/>
      <c r="H122" s="465"/>
      <c r="I122" s="169" t="e">
        <f t="shared" si="38"/>
        <v>#DIV/0!</v>
      </c>
      <c r="J122" s="169" t="e">
        <f t="shared" si="39"/>
        <v>#DIV/0!</v>
      </c>
      <c r="K122" s="183" t="e">
        <f t="shared" si="40"/>
        <v>#DIV/0!</v>
      </c>
      <c r="L122" s="452"/>
      <c r="M122" s="169" t="e">
        <f>RANK(K122, K$112:$K$141)</f>
        <v>#DIV/0!</v>
      </c>
      <c r="N122" s="454"/>
      <c r="O122" s="454"/>
      <c r="P122" s="169"/>
      <c r="Q122" s="169"/>
      <c r="R122" s="169"/>
      <c r="S122" s="185" t="e">
        <f t="shared" si="41"/>
        <v>#N/A</v>
      </c>
      <c r="T122" s="465"/>
      <c r="U122" s="169"/>
      <c r="V122" s="169"/>
      <c r="W122" s="169"/>
      <c r="X122" s="185" t="e">
        <f t="shared" si="42"/>
        <v>#N/A</v>
      </c>
      <c r="Y122" s="465"/>
      <c r="Z122" s="169"/>
      <c r="AA122" s="169"/>
      <c r="AB122" s="169"/>
      <c r="AC122" s="185" t="e">
        <f t="shared" si="43"/>
        <v>#N/A</v>
      </c>
      <c r="AD122" s="465"/>
      <c r="AE122" s="169"/>
      <c r="AF122" s="169"/>
      <c r="AG122" s="169"/>
      <c r="AH122" s="185" t="e">
        <f t="shared" si="44"/>
        <v>#N/A</v>
      </c>
      <c r="AI122" s="465"/>
      <c r="AJ122" s="169"/>
      <c r="AK122" s="169"/>
      <c r="AL122" s="169"/>
      <c r="AM122" s="185" t="e">
        <f t="shared" si="45"/>
        <v>#N/A</v>
      </c>
      <c r="AN122" s="465"/>
      <c r="AO122" s="169"/>
      <c r="AP122" s="169"/>
      <c r="AQ122" s="169"/>
      <c r="AR122" s="185" t="e">
        <f t="shared" si="46"/>
        <v>#N/A</v>
      </c>
      <c r="AS122" s="465"/>
      <c r="AT122" s="169"/>
      <c r="AU122" s="169"/>
      <c r="AV122" s="169"/>
      <c r="AW122" s="185" t="e">
        <f t="shared" si="47"/>
        <v>#N/A</v>
      </c>
      <c r="AX122" s="465"/>
    </row>
    <row r="123" spans="2:50">
      <c r="B123" s="471"/>
      <c r="C123" s="185">
        <v>12</v>
      </c>
      <c r="D123" s="185"/>
      <c r="E123" s="185"/>
      <c r="F123" s="185"/>
      <c r="G123" s="185"/>
      <c r="H123" s="465"/>
      <c r="I123" s="169" t="e">
        <f t="shared" si="38"/>
        <v>#DIV/0!</v>
      </c>
      <c r="J123" s="169" t="e">
        <f t="shared" si="39"/>
        <v>#DIV/0!</v>
      </c>
      <c r="K123" s="183" t="e">
        <f t="shared" si="40"/>
        <v>#DIV/0!</v>
      </c>
      <c r="L123" s="452"/>
      <c r="M123" s="169" t="e">
        <f>RANK(K123, K$112:$K$141)</f>
        <v>#DIV/0!</v>
      </c>
      <c r="N123" s="454"/>
      <c r="O123" s="454"/>
      <c r="P123" s="169"/>
      <c r="Q123" s="169"/>
      <c r="R123" s="169"/>
      <c r="S123" s="185" t="e">
        <f t="shared" si="41"/>
        <v>#N/A</v>
      </c>
      <c r="T123" s="465"/>
      <c r="U123" s="169"/>
      <c r="V123" s="169"/>
      <c r="W123" s="169"/>
      <c r="X123" s="185" t="e">
        <f t="shared" si="42"/>
        <v>#N/A</v>
      </c>
      <c r="Y123" s="465"/>
      <c r="Z123" s="169"/>
      <c r="AA123" s="169"/>
      <c r="AB123" s="169"/>
      <c r="AC123" s="185" t="e">
        <f t="shared" si="43"/>
        <v>#N/A</v>
      </c>
      <c r="AD123" s="465"/>
      <c r="AE123" s="169"/>
      <c r="AF123" s="169"/>
      <c r="AG123" s="169"/>
      <c r="AH123" s="185" t="e">
        <f t="shared" si="44"/>
        <v>#N/A</v>
      </c>
      <c r="AI123" s="465"/>
      <c r="AJ123" s="169"/>
      <c r="AK123" s="169"/>
      <c r="AL123" s="169"/>
      <c r="AM123" s="185" t="e">
        <f t="shared" si="45"/>
        <v>#N/A</v>
      </c>
      <c r="AN123" s="465"/>
      <c r="AO123" s="169"/>
      <c r="AP123" s="169"/>
      <c r="AQ123" s="169"/>
      <c r="AR123" s="185" t="e">
        <f t="shared" si="46"/>
        <v>#N/A</v>
      </c>
      <c r="AS123" s="465"/>
      <c r="AT123" s="169"/>
      <c r="AU123" s="169"/>
      <c r="AV123" s="169"/>
      <c r="AW123" s="185" t="e">
        <f t="shared" si="47"/>
        <v>#N/A</v>
      </c>
      <c r="AX123" s="465"/>
    </row>
    <row r="124" spans="2:50">
      <c r="B124" s="471"/>
      <c r="C124" s="185">
        <v>13</v>
      </c>
      <c r="D124" s="185"/>
      <c r="E124" s="185"/>
      <c r="F124" s="185"/>
      <c r="G124" s="185"/>
      <c r="H124" s="465"/>
      <c r="I124" s="169" t="e">
        <f t="shared" si="38"/>
        <v>#DIV/0!</v>
      </c>
      <c r="J124" s="169" t="e">
        <f t="shared" si="39"/>
        <v>#DIV/0!</v>
      </c>
      <c r="K124" s="183" t="e">
        <f t="shared" si="40"/>
        <v>#DIV/0!</v>
      </c>
      <c r="L124" s="452"/>
      <c r="M124" s="169" t="e">
        <f>RANK(K124, K$112:$K$141)</f>
        <v>#DIV/0!</v>
      </c>
      <c r="N124" s="454"/>
      <c r="O124" s="454"/>
      <c r="P124" s="169"/>
      <c r="Q124" s="169"/>
      <c r="R124" s="169"/>
      <c r="S124" s="185" t="e">
        <f t="shared" si="41"/>
        <v>#N/A</v>
      </c>
      <c r="T124" s="465"/>
      <c r="U124" s="169"/>
      <c r="V124" s="169"/>
      <c r="W124" s="169"/>
      <c r="X124" s="185" t="e">
        <f t="shared" si="42"/>
        <v>#N/A</v>
      </c>
      <c r="Y124" s="465"/>
      <c r="Z124" s="169"/>
      <c r="AA124" s="169"/>
      <c r="AB124" s="169"/>
      <c r="AC124" s="185" t="e">
        <f t="shared" si="43"/>
        <v>#N/A</v>
      </c>
      <c r="AD124" s="465"/>
      <c r="AE124" s="169"/>
      <c r="AF124" s="169"/>
      <c r="AG124" s="169"/>
      <c r="AH124" s="185" t="e">
        <f t="shared" si="44"/>
        <v>#N/A</v>
      </c>
      <c r="AI124" s="465"/>
      <c r="AJ124" s="169"/>
      <c r="AK124" s="169"/>
      <c r="AL124" s="169"/>
      <c r="AM124" s="185" t="e">
        <f t="shared" si="45"/>
        <v>#N/A</v>
      </c>
      <c r="AN124" s="465"/>
      <c r="AO124" s="169"/>
      <c r="AP124" s="169"/>
      <c r="AQ124" s="169"/>
      <c r="AR124" s="185" t="e">
        <f t="shared" si="46"/>
        <v>#N/A</v>
      </c>
      <c r="AS124" s="465"/>
      <c r="AT124" s="169"/>
      <c r="AU124" s="169"/>
      <c r="AV124" s="169"/>
      <c r="AW124" s="185" t="e">
        <f t="shared" si="47"/>
        <v>#N/A</v>
      </c>
      <c r="AX124" s="465"/>
    </row>
    <row r="125" spans="2:50">
      <c r="B125" s="471"/>
      <c r="C125" s="185">
        <v>14</v>
      </c>
      <c r="D125" s="185"/>
      <c r="E125" s="185"/>
      <c r="F125" s="185"/>
      <c r="G125" s="185"/>
      <c r="H125" s="465"/>
      <c r="I125" s="169" t="e">
        <f t="shared" si="38"/>
        <v>#DIV/0!</v>
      </c>
      <c r="J125" s="169" t="e">
        <f t="shared" si="39"/>
        <v>#DIV/0!</v>
      </c>
      <c r="K125" s="183" t="e">
        <f t="shared" si="40"/>
        <v>#DIV/0!</v>
      </c>
      <c r="L125" s="452"/>
      <c r="M125" s="169" t="e">
        <f>RANK(K125, K$112:$K$141)</f>
        <v>#DIV/0!</v>
      </c>
      <c r="N125" s="454"/>
      <c r="O125" s="454"/>
      <c r="P125" s="169"/>
      <c r="Q125" s="169"/>
      <c r="R125" s="169"/>
      <c r="S125" s="185" t="e">
        <f t="shared" si="41"/>
        <v>#N/A</v>
      </c>
      <c r="T125" s="465"/>
      <c r="U125" s="169"/>
      <c r="V125" s="169"/>
      <c r="W125" s="169"/>
      <c r="X125" s="185" t="e">
        <f t="shared" si="42"/>
        <v>#N/A</v>
      </c>
      <c r="Y125" s="465"/>
      <c r="Z125" s="169"/>
      <c r="AA125" s="169"/>
      <c r="AB125" s="169"/>
      <c r="AC125" s="185" t="e">
        <f t="shared" si="43"/>
        <v>#N/A</v>
      </c>
      <c r="AD125" s="465"/>
      <c r="AE125" s="169"/>
      <c r="AF125" s="169"/>
      <c r="AG125" s="169"/>
      <c r="AH125" s="185" t="e">
        <f t="shared" si="44"/>
        <v>#N/A</v>
      </c>
      <c r="AI125" s="465"/>
      <c r="AJ125" s="169"/>
      <c r="AK125" s="169"/>
      <c r="AL125" s="169"/>
      <c r="AM125" s="185" t="e">
        <f t="shared" si="45"/>
        <v>#N/A</v>
      </c>
      <c r="AN125" s="465"/>
      <c r="AO125" s="169"/>
      <c r="AP125" s="169"/>
      <c r="AQ125" s="169"/>
      <c r="AR125" s="185" t="e">
        <f t="shared" si="46"/>
        <v>#N/A</v>
      </c>
      <c r="AS125" s="465"/>
      <c r="AT125" s="169"/>
      <c r="AU125" s="169"/>
      <c r="AV125" s="169"/>
      <c r="AW125" s="185" t="e">
        <f t="shared" si="47"/>
        <v>#N/A</v>
      </c>
      <c r="AX125" s="465"/>
    </row>
    <row r="126" spans="2:50">
      <c r="B126" s="471"/>
      <c r="C126" s="185">
        <v>15</v>
      </c>
      <c r="D126" s="185"/>
      <c r="E126" s="185"/>
      <c r="F126" s="185"/>
      <c r="G126" s="185"/>
      <c r="H126" s="465"/>
      <c r="I126" s="169" t="e">
        <f t="shared" si="38"/>
        <v>#DIV/0!</v>
      </c>
      <c r="J126" s="169" t="e">
        <f t="shared" si="39"/>
        <v>#DIV/0!</v>
      </c>
      <c r="K126" s="183" t="e">
        <f t="shared" si="40"/>
        <v>#DIV/0!</v>
      </c>
      <c r="L126" s="452"/>
      <c r="M126" s="169" t="e">
        <f>RANK(K126, K$112:$K$141)</f>
        <v>#DIV/0!</v>
      </c>
      <c r="N126" s="454"/>
      <c r="O126" s="454"/>
      <c r="P126" s="169"/>
      <c r="Q126" s="169"/>
      <c r="R126" s="169"/>
      <c r="S126" s="185" t="e">
        <f t="shared" si="41"/>
        <v>#N/A</v>
      </c>
      <c r="T126" s="465"/>
      <c r="U126" s="169"/>
      <c r="V126" s="169"/>
      <c r="W126" s="169"/>
      <c r="X126" s="185" t="e">
        <f t="shared" si="42"/>
        <v>#N/A</v>
      </c>
      <c r="Y126" s="465"/>
      <c r="Z126" s="169"/>
      <c r="AA126" s="169"/>
      <c r="AB126" s="169"/>
      <c r="AC126" s="185" t="e">
        <f t="shared" si="43"/>
        <v>#N/A</v>
      </c>
      <c r="AD126" s="465"/>
      <c r="AE126" s="169"/>
      <c r="AF126" s="169"/>
      <c r="AG126" s="169"/>
      <c r="AH126" s="185" t="e">
        <f t="shared" si="44"/>
        <v>#N/A</v>
      </c>
      <c r="AI126" s="465"/>
      <c r="AJ126" s="169"/>
      <c r="AK126" s="169"/>
      <c r="AL126" s="169"/>
      <c r="AM126" s="185" t="e">
        <f t="shared" si="45"/>
        <v>#N/A</v>
      </c>
      <c r="AN126" s="465"/>
      <c r="AO126" s="169"/>
      <c r="AP126" s="169"/>
      <c r="AQ126" s="169"/>
      <c r="AR126" s="185" t="e">
        <f t="shared" si="46"/>
        <v>#N/A</v>
      </c>
      <c r="AS126" s="465"/>
      <c r="AT126" s="169"/>
      <c r="AU126" s="169"/>
      <c r="AV126" s="169"/>
      <c r="AW126" s="185" t="e">
        <f t="shared" si="47"/>
        <v>#N/A</v>
      </c>
      <c r="AX126" s="465"/>
    </row>
    <row r="127" spans="2:50">
      <c r="B127" s="471"/>
      <c r="C127" s="185">
        <v>16</v>
      </c>
      <c r="D127" s="185"/>
      <c r="E127" s="185"/>
      <c r="F127" s="185"/>
      <c r="G127" s="185"/>
      <c r="H127" s="465"/>
      <c r="I127" s="169" t="e">
        <f t="shared" si="38"/>
        <v>#DIV/0!</v>
      </c>
      <c r="J127" s="169" t="e">
        <f t="shared" si="39"/>
        <v>#DIV/0!</v>
      </c>
      <c r="K127" s="183" t="e">
        <f t="shared" si="40"/>
        <v>#DIV/0!</v>
      </c>
      <c r="L127" s="452"/>
      <c r="M127" s="169" t="e">
        <f>RANK(K127, K$112:$K$141)</f>
        <v>#DIV/0!</v>
      </c>
      <c r="N127" s="454"/>
      <c r="O127" s="454"/>
      <c r="P127" s="169"/>
      <c r="Q127" s="169"/>
      <c r="R127" s="169"/>
      <c r="S127" s="185" t="e">
        <f t="shared" si="41"/>
        <v>#N/A</v>
      </c>
      <c r="T127" s="465"/>
      <c r="U127" s="169"/>
      <c r="V127" s="169"/>
      <c r="W127" s="169"/>
      <c r="X127" s="185" t="e">
        <f t="shared" si="42"/>
        <v>#N/A</v>
      </c>
      <c r="Y127" s="465"/>
      <c r="Z127" s="169"/>
      <c r="AA127" s="169"/>
      <c r="AB127" s="169"/>
      <c r="AC127" s="185" t="e">
        <f t="shared" si="43"/>
        <v>#N/A</v>
      </c>
      <c r="AD127" s="465"/>
      <c r="AE127" s="169"/>
      <c r="AF127" s="169"/>
      <c r="AG127" s="169"/>
      <c r="AH127" s="185" t="e">
        <f t="shared" si="44"/>
        <v>#N/A</v>
      </c>
      <c r="AI127" s="465"/>
      <c r="AJ127" s="169"/>
      <c r="AK127" s="169"/>
      <c r="AL127" s="169"/>
      <c r="AM127" s="185" t="e">
        <f t="shared" si="45"/>
        <v>#N/A</v>
      </c>
      <c r="AN127" s="465"/>
      <c r="AO127" s="169"/>
      <c r="AP127" s="169"/>
      <c r="AQ127" s="169"/>
      <c r="AR127" s="185" t="e">
        <f t="shared" si="46"/>
        <v>#N/A</v>
      </c>
      <c r="AS127" s="465"/>
      <c r="AT127" s="169"/>
      <c r="AU127" s="169"/>
      <c r="AV127" s="169"/>
      <c r="AW127" s="185" t="e">
        <f t="shared" si="47"/>
        <v>#N/A</v>
      </c>
      <c r="AX127" s="465"/>
    </row>
    <row r="128" spans="2:50">
      <c r="B128" s="471"/>
      <c r="C128" s="185">
        <v>17</v>
      </c>
      <c r="D128" s="185"/>
      <c r="E128" s="185"/>
      <c r="F128" s="185"/>
      <c r="G128" s="185"/>
      <c r="H128" s="465"/>
      <c r="I128" s="169" t="e">
        <f t="shared" si="38"/>
        <v>#DIV/0!</v>
      </c>
      <c r="J128" s="169" t="e">
        <f t="shared" si="39"/>
        <v>#DIV/0!</v>
      </c>
      <c r="K128" s="183" t="e">
        <f t="shared" si="40"/>
        <v>#DIV/0!</v>
      </c>
      <c r="L128" s="452"/>
      <c r="M128" s="169" t="e">
        <f>RANK(K128, K$112:$K$141)</f>
        <v>#DIV/0!</v>
      </c>
      <c r="N128" s="454"/>
      <c r="O128" s="454"/>
      <c r="P128" s="169"/>
      <c r="Q128" s="169"/>
      <c r="R128" s="169"/>
      <c r="S128" s="185" t="e">
        <f t="shared" si="41"/>
        <v>#N/A</v>
      </c>
      <c r="T128" s="465"/>
      <c r="U128" s="169"/>
      <c r="V128" s="169"/>
      <c r="W128" s="169"/>
      <c r="X128" s="185" t="e">
        <f t="shared" si="42"/>
        <v>#N/A</v>
      </c>
      <c r="Y128" s="465"/>
      <c r="Z128" s="169"/>
      <c r="AA128" s="169"/>
      <c r="AB128" s="169"/>
      <c r="AC128" s="185" t="e">
        <f t="shared" si="43"/>
        <v>#N/A</v>
      </c>
      <c r="AD128" s="465"/>
      <c r="AE128" s="169"/>
      <c r="AF128" s="169"/>
      <c r="AG128" s="169"/>
      <c r="AH128" s="185" t="e">
        <f t="shared" si="44"/>
        <v>#N/A</v>
      </c>
      <c r="AI128" s="465"/>
      <c r="AJ128" s="169"/>
      <c r="AK128" s="169"/>
      <c r="AL128" s="169"/>
      <c r="AM128" s="185" t="e">
        <f t="shared" si="45"/>
        <v>#N/A</v>
      </c>
      <c r="AN128" s="465"/>
      <c r="AO128" s="169"/>
      <c r="AP128" s="169"/>
      <c r="AQ128" s="169"/>
      <c r="AR128" s="185" t="e">
        <f t="shared" si="46"/>
        <v>#N/A</v>
      </c>
      <c r="AS128" s="465"/>
      <c r="AT128" s="169"/>
      <c r="AU128" s="169"/>
      <c r="AV128" s="169"/>
      <c r="AW128" s="185" t="e">
        <f t="shared" si="47"/>
        <v>#N/A</v>
      </c>
      <c r="AX128" s="465"/>
    </row>
    <row r="129" spans="2:50">
      <c r="B129" s="471"/>
      <c r="C129" s="185">
        <v>18</v>
      </c>
      <c r="D129" s="185"/>
      <c r="E129" s="185"/>
      <c r="F129" s="185"/>
      <c r="G129" s="185"/>
      <c r="H129" s="465"/>
      <c r="I129" s="169" t="e">
        <f t="shared" si="38"/>
        <v>#DIV/0!</v>
      </c>
      <c r="J129" s="169" t="e">
        <f t="shared" si="39"/>
        <v>#DIV/0!</v>
      </c>
      <c r="K129" s="183" t="e">
        <f t="shared" si="40"/>
        <v>#DIV/0!</v>
      </c>
      <c r="L129" s="452"/>
      <c r="M129" s="169" t="e">
        <f>RANK(K129, K$112:$K$141)</f>
        <v>#DIV/0!</v>
      </c>
      <c r="N129" s="454"/>
      <c r="O129" s="454"/>
      <c r="P129" s="169"/>
      <c r="Q129" s="169"/>
      <c r="R129" s="169"/>
      <c r="S129" s="185" t="e">
        <f t="shared" si="41"/>
        <v>#N/A</v>
      </c>
      <c r="T129" s="465"/>
      <c r="U129" s="169"/>
      <c r="V129" s="169"/>
      <c r="W129" s="169"/>
      <c r="X129" s="185" t="e">
        <f t="shared" si="42"/>
        <v>#N/A</v>
      </c>
      <c r="Y129" s="465"/>
      <c r="Z129" s="169"/>
      <c r="AA129" s="169"/>
      <c r="AB129" s="169"/>
      <c r="AC129" s="185" t="e">
        <f t="shared" si="43"/>
        <v>#N/A</v>
      </c>
      <c r="AD129" s="465"/>
      <c r="AE129" s="169"/>
      <c r="AF129" s="169"/>
      <c r="AG129" s="169"/>
      <c r="AH129" s="185" t="e">
        <f t="shared" si="44"/>
        <v>#N/A</v>
      </c>
      <c r="AI129" s="465"/>
      <c r="AJ129" s="169"/>
      <c r="AK129" s="169"/>
      <c r="AL129" s="169"/>
      <c r="AM129" s="185" t="e">
        <f t="shared" si="45"/>
        <v>#N/A</v>
      </c>
      <c r="AN129" s="465"/>
      <c r="AO129" s="169"/>
      <c r="AP129" s="169"/>
      <c r="AQ129" s="169"/>
      <c r="AR129" s="185" t="e">
        <f t="shared" si="46"/>
        <v>#N/A</v>
      </c>
      <c r="AS129" s="465"/>
      <c r="AT129" s="169"/>
      <c r="AU129" s="169"/>
      <c r="AV129" s="169"/>
      <c r="AW129" s="185" t="e">
        <f t="shared" si="47"/>
        <v>#N/A</v>
      </c>
      <c r="AX129" s="465"/>
    </row>
    <row r="130" spans="2:50">
      <c r="B130" s="471"/>
      <c r="C130" s="185">
        <v>19</v>
      </c>
      <c r="D130" s="185"/>
      <c r="E130" s="185"/>
      <c r="F130" s="185"/>
      <c r="G130" s="185"/>
      <c r="H130" s="465"/>
      <c r="I130" s="169" t="e">
        <f t="shared" si="38"/>
        <v>#DIV/0!</v>
      </c>
      <c r="J130" s="169" t="e">
        <f t="shared" si="39"/>
        <v>#DIV/0!</v>
      </c>
      <c r="K130" s="183" t="e">
        <f t="shared" si="40"/>
        <v>#DIV/0!</v>
      </c>
      <c r="L130" s="452"/>
      <c r="M130" s="169" t="e">
        <f>RANK(K130, K$112:$K$141)</f>
        <v>#DIV/0!</v>
      </c>
      <c r="N130" s="454"/>
      <c r="O130" s="454"/>
      <c r="P130" s="169"/>
      <c r="Q130" s="169"/>
      <c r="R130" s="169"/>
      <c r="S130" s="185" t="e">
        <f t="shared" si="41"/>
        <v>#N/A</v>
      </c>
      <c r="T130" s="465"/>
      <c r="U130" s="169"/>
      <c r="V130" s="169"/>
      <c r="W130" s="169"/>
      <c r="X130" s="185" t="e">
        <f t="shared" si="42"/>
        <v>#N/A</v>
      </c>
      <c r="Y130" s="465"/>
      <c r="Z130" s="169"/>
      <c r="AA130" s="169"/>
      <c r="AB130" s="169"/>
      <c r="AC130" s="185" t="e">
        <f t="shared" si="43"/>
        <v>#N/A</v>
      </c>
      <c r="AD130" s="465"/>
      <c r="AE130" s="169"/>
      <c r="AF130" s="169"/>
      <c r="AG130" s="169"/>
      <c r="AH130" s="185" t="e">
        <f t="shared" si="44"/>
        <v>#N/A</v>
      </c>
      <c r="AI130" s="465"/>
      <c r="AJ130" s="169"/>
      <c r="AK130" s="169"/>
      <c r="AL130" s="169"/>
      <c r="AM130" s="185" t="e">
        <f t="shared" si="45"/>
        <v>#N/A</v>
      </c>
      <c r="AN130" s="465"/>
      <c r="AO130" s="169"/>
      <c r="AP130" s="169"/>
      <c r="AQ130" s="169"/>
      <c r="AR130" s="185" t="e">
        <f t="shared" si="46"/>
        <v>#N/A</v>
      </c>
      <c r="AS130" s="465"/>
      <c r="AT130" s="169"/>
      <c r="AU130" s="169"/>
      <c r="AV130" s="169"/>
      <c r="AW130" s="185" t="e">
        <f t="shared" si="47"/>
        <v>#N/A</v>
      </c>
      <c r="AX130" s="465"/>
    </row>
    <row r="131" spans="2:50">
      <c r="B131" s="471"/>
      <c r="C131" s="185">
        <v>20</v>
      </c>
      <c r="D131" s="185"/>
      <c r="E131" s="185"/>
      <c r="F131" s="185"/>
      <c r="G131" s="185"/>
      <c r="H131" s="465"/>
      <c r="I131" s="169" t="e">
        <f t="shared" si="38"/>
        <v>#DIV/0!</v>
      </c>
      <c r="J131" s="169" t="e">
        <f t="shared" si="39"/>
        <v>#DIV/0!</v>
      </c>
      <c r="K131" s="183" t="e">
        <f t="shared" si="40"/>
        <v>#DIV/0!</v>
      </c>
      <c r="L131" s="452"/>
      <c r="M131" s="169" t="e">
        <f>RANK(K131, K$112:$K$141)</f>
        <v>#DIV/0!</v>
      </c>
      <c r="N131" s="454"/>
      <c r="O131" s="454"/>
      <c r="P131" s="169"/>
      <c r="Q131" s="169"/>
      <c r="R131" s="169"/>
      <c r="S131" s="185" t="e">
        <f t="shared" si="41"/>
        <v>#N/A</v>
      </c>
      <c r="T131" s="465"/>
      <c r="U131" s="169"/>
      <c r="V131" s="169"/>
      <c r="W131" s="169"/>
      <c r="X131" s="185" t="e">
        <f t="shared" si="42"/>
        <v>#N/A</v>
      </c>
      <c r="Y131" s="465"/>
      <c r="Z131" s="169"/>
      <c r="AA131" s="169"/>
      <c r="AB131" s="169"/>
      <c r="AC131" s="185" t="e">
        <f t="shared" si="43"/>
        <v>#N/A</v>
      </c>
      <c r="AD131" s="465"/>
      <c r="AE131" s="169"/>
      <c r="AF131" s="169"/>
      <c r="AG131" s="169"/>
      <c r="AH131" s="185" t="e">
        <f t="shared" si="44"/>
        <v>#N/A</v>
      </c>
      <c r="AI131" s="465"/>
      <c r="AJ131" s="169"/>
      <c r="AK131" s="169"/>
      <c r="AL131" s="169"/>
      <c r="AM131" s="185" t="e">
        <f t="shared" si="45"/>
        <v>#N/A</v>
      </c>
      <c r="AN131" s="465"/>
      <c r="AO131" s="169"/>
      <c r="AP131" s="169"/>
      <c r="AQ131" s="169"/>
      <c r="AR131" s="185" t="e">
        <f t="shared" si="46"/>
        <v>#N/A</v>
      </c>
      <c r="AS131" s="465"/>
      <c r="AT131" s="169"/>
      <c r="AU131" s="169"/>
      <c r="AV131" s="169"/>
      <c r="AW131" s="185" t="e">
        <f t="shared" si="47"/>
        <v>#N/A</v>
      </c>
      <c r="AX131" s="465"/>
    </row>
    <row r="132" spans="2:50">
      <c r="B132" s="471"/>
      <c r="C132" s="185">
        <v>21</v>
      </c>
      <c r="D132" s="185"/>
      <c r="E132" s="185"/>
      <c r="F132" s="185"/>
      <c r="G132" s="185"/>
      <c r="H132" s="465"/>
      <c r="I132" s="169" t="e">
        <f t="shared" ref="I132:K134" si="48">AVERAGE(P132,U132,Z132,AE132,AJ132,AO132,AT132)</f>
        <v>#DIV/0!</v>
      </c>
      <c r="J132" s="169" t="e">
        <f t="shared" si="48"/>
        <v>#DIV/0!</v>
      </c>
      <c r="K132" s="183" t="e">
        <f t="shared" si="48"/>
        <v>#DIV/0!</v>
      </c>
      <c r="L132" s="452"/>
      <c r="M132" s="169" t="e">
        <f>RANK(K132, K$112:$K$141)</f>
        <v>#DIV/0!</v>
      </c>
      <c r="N132" s="454"/>
      <c r="O132" s="454"/>
      <c r="P132" s="185"/>
      <c r="Q132" s="169"/>
      <c r="R132" s="183"/>
      <c r="S132" s="185" t="e">
        <f t="shared" si="41"/>
        <v>#N/A</v>
      </c>
      <c r="T132" s="465"/>
      <c r="U132" s="185"/>
      <c r="V132" s="169"/>
      <c r="W132" s="183"/>
      <c r="X132" s="185" t="e">
        <f t="shared" si="42"/>
        <v>#N/A</v>
      </c>
      <c r="Y132" s="465"/>
      <c r="Z132" s="185"/>
      <c r="AA132" s="169"/>
      <c r="AB132" s="183"/>
      <c r="AC132" s="185" t="e">
        <f t="shared" si="43"/>
        <v>#N/A</v>
      </c>
      <c r="AD132" s="465"/>
      <c r="AE132" s="185"/>
      <c r="AF132" s="169"/>
      <c r="AG132" s="183"/>
      <c r="AH132" s="185" t="e">
        <f t="shared" si="44"/>
        <v>#N/A</v>
      </c>
      <c r="AI132" s="465"/>
      <c r="AJ132" s="185"/>
      <c r="AK132" s="169"/>
      <c r="AL132" s="183"/>
      <c r="AM132" s="185" t="e">
        <f t="shared" si="45"/>
        <v>#N/A</v>
      </c>
      <c r="AN132" s="465"/>
      <c r="AO132" s="185"/>
      <c r="AP132" s="169"/>
      <c r="AQ132" s="183"/>
      <c r="AR132" s="185" t="e">
        <f t="shared" si="46"/>
        <v>#N/A</v>
      </c>
      <c r="AS132" s="465"/>
      <c r="AT132" s="185"/>
      <c r="AU132" s="169"/>
      <c r="AV132" s="183"/>
      <c r="AW132" s="185" t="e">
        <f t="shared" si="47"/>
        <v>#N/A</v>
      </c>
      <c r="AX132" s="465"/>
    </row>
    <row r="133" spans="2:50">
      <c r="B133" s="471"/>
      <c r="C133" s="185">
        <v>22</v>
      </c>
      <c r="D133" s="185"/>
      <c r="E133" s="185"/>
      <c r="F133" s="185"/>
      <c r="G133" s="185"/>
      <c r="H133" s="465"/>
      <c r="I133" s="169" t="e">
        <f t="shared" si="48"/>
        <v>#DIV/0!</v>
      </c>
      <c r="J133" s="169" t="e">
        <f t="shared" si="48"/>
        <v>#DIV/0!</v>
      </c>
      <c r="K133" s="183" t="e">
        <f t="shared" si="48"/>
        <v>#DIV/0!</v>
      </c>
      <c r="L133" s="452"/>
      <c r="M133" s="169" t="e">
        <f>RANK(K133, K$112:$K$141)</f>
        <v>#DIV/0!</v>
      </c>
      <c r="N133" s="454"/>
      <c r="O133" s="454"/>
      <c r="P133" s="185"/>
      <c r="Q133" s="169"/>
      <c r="R133" s="183"/>
      <c r="S133" s="185" t="e">
        <f t="shared" si="41"/>
        <v>#N/A</v>
      </c>
      <c r="T133" s="465"/>
      <c r="U133" s="185"/>
      <c r="V133" s="169"/>
      <c r="W133" s="183"/>
      <c r="X133" s="185" t="e">
        <f t="shared" si="42"/>
        <v>#N/A</v>
      </c>
      <c r="Y133" s="465"/>
      <c r="Z133" s="185"/>
      <c r="AA133" s="169"/>
      <c r="AB133" s="183"/>
      <c r="AC133" s="185" t="e">
        <f t="shared" si="43"/>
        <v>#N/A</v>
      </c>
      <c r="AD133" s="465"/>
      <c r="AE133" s="185"/>
      <c r="AF133" s="169"/>
      <c r="AG133" s="183"/>
      <c r="AH133" s="185" t="e">
        <f t="shared" si="44"/>
        <v>#N/A</v>
      </c>
      <c r="AI133" s="465"/>
      <c r="AJ133" s="185"/>
      <c r="AK133" s="169"/>
      <c r="AL133" s="183"/>
      <c r="AM133" s="185" t="e">
        <f t="shared" si="45"/>
        <v>#N/A</v>
      </c>
      <c r="AN133" s="465"/>
      <c r="AO133" s="185"/>
      <c r="AP133" s="169"/>
      <c r="AQ133" s="183"/>
      <c r="AR133" s="185" t="e">
        <f t="shared" si="46"/>
        <v>#N/A</v>
      </c>
      <c r="AS133" s="465"/>
      <c r="AT133" s="185"/>
      <c r="AU133" s="169"/>
      <c r="AV133" s="183"/>
      <c r="AW133" s="185" t="e">
        <f t="shared" si="47"/>
        <v>#N/A</v>
      </c>
      <c r="AX133" s="465"/>
    </row>
    <row r="134" spans="2:50">
      <c r="B134" s="471"/>
      <c r="C134" s="185">
        <v>23</v>
      </c>
      <c r="D134" s="185"/>
      <c r="E134" s="185"/>
      <c r="F134" s="185"/>
      <c r="G134" s="185"/>
      <c r="H134" s="465"/>
      <c r="I134" s="169" t="e">
        <f t="shared" si="48"/>
        <v>#DIV/0!</v>
      </c>
      <c r="J134" s="169" t="e">
        <f t="shared" si="48"/>
        <v>#DIV/0!</v>
      </c>
      <c r="K134" s="183" t="e">
        <f t="shared" si="48"/>
        <v>#DIV/0!</v>
      </c>
      <c r="L134" s="452"/>
      <c r="M134" s="169" t="e">
        <f>RANK(K134, K$112:$K$141)</f>
        <v>#DIV/0!</v>
      </c>
      <c r="N134" s="454"/>
      <c r="O134" s="454"/>
      <c r="P134" s="185"/>
      <c r="Q134" s="185"/>
      <c r="R134" s="183"/>
      <c r="S134" s="185" t="e">
        <f t="shared" si="41"/>
        <v>#N/A</v>
      </c>
      <c r="T134" s="465"/>
      <c r="U134" s="185"/>
      <c r="V134" s="185"/>
      <c r="W134" s="183"/>
      <c r="X134" s="185" t="e">
        <f t="shared" si="42"/>
        <v>#N/A</v>
      </c>
      <c r="Y134" s="465"/>
      <c r="Z134" s="185"/>
      <c r="AA134" s="185"/>
      <c r="AB134" s="183"/>
      <c r="AC134" s="185" t="e">
        <f t="shared" si="43"/>
        <v>#N/A</v>
      </c>
      <c r="AD134" s="465"/>
      <c r="AE134" s="185"/>
      <c r="AF134" s="185"/>
      <c r="AG134" s="183"/>
      <c r="AH134" s="185" t="e">
        <f t="shared" si="44"/>
        <v>#N/A</v>
      </c>
      <c r="AI134" s="465"/>
      <c r="AJ134" s="185"/>
      <c r="AK134" s="185"/>
      <c r="AL134" s="183"/>
      <c r="AM134" s="185" t="e">
        <f t="shared" si="45"/>
        <v>#N/A</v>
      </c>
      <c r="AN134" s="465"/>
      <c r="AO134" s="185"/>
      <c r="AP134" s="185"/>
      <c r="AQ134" s="183"/>
      <c r="AR134" s="185" t="e">
        <f t="shared" si="46"/>
        <v>#N/A</v>
      </c>
      <c r="AS134" s="465"/>
      <c r="AT134" s="185"/>
      <c r="AU134" s="185"/>
      <c r="AV134" s="183"/>
      <c r="AW134" s="185" t="e">
        <f t="shared" si="47"/>
        <v>#N/A</v>
      </c>
      <c r="AX134" s="465"/>
    </row>
    <row r="135" spans="2:50">
      <c r="B135" s="471"/>
      <c r="C135" s="185">
        <v>24</v>
      </c>
      <c r="D135" s="185"/>
      <c r="E135" s="185"/>
      <c r="F135" s="185"/>
      <c r="G135" s="185"/>
      <c r="H135" s="465"/>
      <c r="I135" s="185"/>
      <c r="J135" s="185"/>
      <c r="K135" s="185"/>
      <c r="L135" s="452"/>
      <c r="M135" s="169" t="e">
        <f>RANK(K135, K$112:$K$141)</f>
        <v>#DIV/0!</v>
      </c>
      <c r="N135" s="454"/>
      <c r="O135" s="454"/>
      <c r="P135" s="185"/>
      <c r="Q135" s="185"/>
      <c r="R135" s="185"/>
      <c r="S135" s="185" t="e">
        <f t="shared" si="41"/>
        <v>#N/A</v>
      </c>
      <c r="T135" s="465"/>
      <c r="U135" s="185"/>
      <c r="V135" s="185"/>
      <c r="W135" s="185"/>
      <c r="X135" s="185" t="e">
        <f t="shared" si="42"/>
        <v>#N/A</v>
      </c>
      <c r="Y135" s="465"/>
      <c r="Z135" s="185"/>
      <c r="AA135" s="185"/>
      <c r="AB135" s="185"/>
      <c r="AC135" s="185" t="e">
        <f t="shared" si="43"/>
        <v>#N/A</v>
      </c>
      <c r="AD135" s="465"/>
      <c r="AE135" s="185"/>
      <c r="AF135" s="185"/>
      <c r="AG135" s="185"/>
      <c r="AH135" s="185" t="e">
        <f t="shared" si="44"/>
        <v>#N/A</v>
      </c>
      <c r="AI135" s="465"/>
      <c r="AJ135" s="185"/>
      <c r="AK135" s="185"/>
      <c r="AL135" s="185"/>
      <c r="AM135" s="185" t="e">
        <f t="shared" si="45"/>
        <v>#N/A</v>
      </c>
      <c r="AN135" s="465"/>
      <c r="AO135" s="185"/>
      <c r="AP135" s="185"/>
      <c r="AQ135" s="185"/>
      <c r="AR135" s="185" t="e">
        <f t="shared" si="46"/>
        <v>#N/A</v>
      </c>
      <c r="AS135" s="465"/>
      <c r="AT135" s="185"/>
      <c r="AU135" s="185"/>
      <c r="AV135" s="185"/>
      <c r="AW135" s="185" t="e">
        <f t="shared" si="47"/>
        <v>#N/A</v>
      </c>
      <c r="AX135" s="465"/>
    </row>
    <row r="136" spans="2:50">
      <c r="B136" s="471"/>
      <c r="C136" s="185">
        <v>25</v>
      </c>
      <c r="D136" s="185"/>
      <c r="E136" s="185"/>
      <c r="F136" s="185"/>
      <c r="G136" s="185"/>
      <c r="H136" s="465"/>
      <c r="I136" s="185"/>
      <c r="J136" s="185"/>
      <c r="K136" s="185"/>
      <c r="L136" s="452"/>
      <c r="M136" s="169" t="e">
        <f>RANK(K136, K$112:$K$141)</f>
        <v>#DIV/0!</v>
      </c>
      <c r="N136" s="454"/>
      <c r="O136" s="454"/>
      <c r="P136" s="185"/>
      <c r="Q136" s="185"/>
      <c r="R136" s="185"/>
      <c r="S136" s="185" t="e">
        <f t="shared" si="41"/>
        <v>#N/A</v>
      </c>
      <c r="T136" s="465"/>
      <c r="U136" s="185"/>
      <c r="V136" s="185"/>
      <c r="W136" s="185"/>
      <c r="X136" s="185" t="e">
        <f t="shared" si="42"/>
        <v>#N/A</v>
      </c>
      <c r="Y136" s="465"/>
      <c r="Z136" s="185"/>
      <c r="AA136" s="185"/>
      <c r="AB136" s="185"/>
      <c r="AC136" s="185" t="e">
        <f t="shared" si="43"/>
        <v>#N/A</v>
      </c>
      <c r="AD136" s="465"/>
      <c r="AE136" s="185"/>
      <c r="AF136" s="185"/>
      <c r="AG136" s="185"/>
      <c r="AH136" s="185" t="e">
        <f t="shared" si="44"/>
        <v>#N/A</v>
      </c>
      <c r="AI136" s="465"/>
      <c r="AJ136" s="185"/>
      <c r="AK136" s="185"/>
      <c r="AL136" s="185"/>
      <c r="AM136" s="185" t="e">
        <f t="shared" si="45"/>
        <v>#N/A</v>
      </c>
      <c r="AN136" s="465"/>
      <c r="AO136" s="185"/>
      <c r="AP136" s="185"/>
      <c r="AQ136" s="185"/>
      <c r="AR136" s="185" t="e">
        <f t="shared" si="46"/>
        <v>#N/A</v>
      </c>
      <c r="AS136" s="465"/>
      <c r="AT136" s="185"/>
      <c r="AU136" s="185"/>
      <c r="AV136" s="185"/>
      <c r="AW136" s="185" t="e">
        <f t="shared" si="47"/>
        <v>#N/A</v>
      </c>
      <c r="AX136" s="465"/>
    </row>
    <row r="137" spans="2:50">
      <c r="B137" s="471"/>
      <c r="C137" s="185">
        <v>26</v>
      </c>
      <c r="D137" s="185"/>
      <c r="E137" s="185"/>
      <c r="F137" s="185"/>
      <c r="G137" s="185"/>
      <c r="H137" s="465"/>
      <c r="I137" s="185"/>
      <c r="J137" s="185"/>
      <c r="K137" s="185"/>
      <c r="L137" s="452"/>
      <c r="M137" s="169" t="e">
        <f>RANK(K137, K$112:$K$141)</f>
        <v>#DIV/0!</v>
      </c>
      <c r="N137" s="454"/>
      <c r="O137" s="454"/>
      <c r="P137" s="185"/>
      <c r="Q137" s="185"/>
      <c r="R137" s="185"/>
      <c r="S137" s="185" t="e">
        <f t="shared" si="41"/>
        <v>#N/A</v>
      </c>
      <c r="T137" s="465"/>
      <c r="U137" s="185"/>
      <c r="V137" s="185"/>
      <c r="W137" s="185"/>
      <c r="X137" s="185" t="e">
        <f t="shared" si="42"/>
        <v>#N/A</v>
      </c>
      <c r="Y137" s="465"/>
      <c r="Z137" s="185"/>
      <c r="AA137" s="185"/>
      <c r="AB137" s="185"/>
      <c r="AC137" s="185" t="e">
        <f t="shared" si="43"/>
        <v>#N/A</v>
      </c>
      <c r="AD137" s="465"/>
      <c r="AE137" s="185"/>
      <c r="AF137" s="185"/>
      <c r="AG137" s="185"/>
      <c r="AH137" s="185" t="e">
        <f t="shared" si="44"/>
        <v>#N/A</v>
      </c>
      <c r="AI137" s="465"/>
      <c r="AJ137" s="185"/>
      <c r="AK137" s="185"/>
      <c r="AL137" s="185"/>
      <c r="AM137" s="185" t="e">
        <f t="shared" si="45"/>
        <v>#N/A</v>
      </c>
      <c r="AN137" s="465"/>
      <c r="AO137" s="185"/>
      <c r="AP137" s="185"/>
      <c r="AQ137" s="185"/>
      <c r="AR137" s="185" t="e">
        <f t="shared" si="46"/>
        <v>#N/A</v>
      </c>
      <c r="AS137" s="465"/>
      <c r="AT137" s="185"/>
      <c r="AU137" s="185"/>
      <c r="AV137" s="185"/>
      <c r="AW137" s="185" t="e">
        <f t="shared" si="47"/>
        <v>#N/A</v>
      </c>
      <c r="AX137" s="465"/>
    </row>
    <row r="138" spans="2:50">
      <c r="B138" s="471"/>
      <c r="C138" s="185">
        <v>27</v>
      </c>
      <c r="D138" s="185"/>
      <c r="E138" s="185"/>
      <c r="F138" s="185"/>
      <c r="G138" s="185"/>
      <c r="H138" s="465"/>
      <c r="I138" s="185"/>
      <c r="J138" s="185"/>
      <c r="K138" s="185"/>
      <c r="L138" s="452"/>
      <c r="M138" s="169" t="e">
        <f>RANK(K138, K$112:$K$141)</f>
        <v>#DIV/0!</v>
      </c>
      <c r="N138" s="454"/>
      <c r="O138" s="454"/>
      <c r="P138" s="185"/>
      <c r="Q138" s="185"/>
      <c r="R138" s="185"/>
      <c r="S138" s="185" t="e">
        <f t="shared" si="41"/>
        <v>#N/A</v>
      </c>
      <c r="T138" s="465"/>
      <c r="U138" s="185"/>
      <c r="V138" s="185"/>
      <c r="W138" s="185"/>
      <c r="X138" s="185" t="e">
        <f t="shared" si="42"/>
        <v>#N/A</v>
      </c>
      <c r="Y138" s="465"/>
      <c r="Z138" s="185"/>
      <c r="AA138" s="185"/>
      <c r="AB138" s="185"/>
      <c r="AC138" s="185" t="e">
        <f t="shared" si="43"/>
        <v>#N/A</v>
      </c>
      <c r="AD138" s="465"/>
      <c r="AE138" s="185"/>
      <c r="AF138" s="185"/>
      <c r="AG138" s="185"/>
      <c r="AH138" s="185" t="e">
        <f t="shared" si="44"/>
        <v>#N/A</v>
      </c>
      <c r="AI138" s="465"/>
      <c r="AJ138" s="185"/>
      <c r="AK138" s="185"/>
      <c r="AL138" s="185"/>
      <c r="AM138" s="185" t="e">
        <f t="shared" si="45"/>
        <v>#N/A</v>
      </c>
      <c r="AN138" s="465"/>
      <c r="AO138" s="185"/>
      <c r="AP138" s="185"/>
      <c r="AQ138" s="185"/>
      <c r="AR138" s="185" t="e">
        <f t="shared" si="46"/>
        <v>#N/A</v>
      </c>
      <c r="AS138" s="465"/>
      <c r="AT138" s="185"/>
      <c r="AU138" s="185"/>
      <c r="AV138" s="185"/>
      <c r="AW138" s="185" t="e">
        <f t="shared" si="47"/>
        <v>#N/A</v>
      </c>
      <c r="AX138" s="465"/>
    </row>
    <row r="139" spans="2:50">
      <c r="B139" s="471"/>
      <c r="C139" s="185">
        <v>28</v>
      </c>
      <c r="D139" s="185"/>
      <c r="E139" s="185"/>
      <c r="F139" s="185"/>
      <c r="G139" s="185"/>
      <c r="H139" s="465"/>
      <c r="I139" s="185"/>
      <c r="J139" s="185"/>
      <c r="K139" s="185"/>
      <c r="L139" s="452"/>
      <c r="M139" s="169" t="e">
        <f>RANK(K139, K$112:$K$141)</f>
        <v>#DIV/0!</v>
      </c>
      <c r="N139" s="454"/>
      <c r="O139" s="454"/>
      <c r="P139" s="185"/>
      <c r="Q139" s="185"/>
      <c r="R139" s="185"/>
      <c r="S139" s="185" t="e">
        <f t="shared" si="41"/>
        <v>#N/A</v>
      </c>
      <c r="T139" s="465"/>
      <c r="U139" s="185"/>
      <c r="V139" s="185"/>
      <c r="W139" s="185"/>
      <c r="X139" s="185" t="e">
        <f t="shared" si="42"/>
        <v>#N/A</v>
      </c>
      <c r="Y139" s="465"/>
      <c r="Z139" s="185"/>
      <c r="AA139" s="185"/>
      <c r="AB139" s="185"/>
      <c r="AC139" s="185" t="e">
        <f t="shared" si="43"/>
        <v>#N/A</v>
      </c>
      <c r="AD139" s="465"/>
      <c r="AE139" s="185"/>
      <c r="AF139" s="185"/>
      <c r="AG139" s="185"/>
      <c r="AH139" s="185" t="e">
        <f t="shared" si="44"/>
        <v>#N/A</v>
      </c>
      <c r="AI139" s="465"/>
      <c r="AJ139" s="185"/>
      <c r="AK139" s="185"/>
      <c r="AL139" s="185"/>
      <c r="AM139" s="185" t="e">
        <f t="shared" si="45"/>
        <v>#N/A</v>
      </c>
      <c r="AN139" s="465"/>
      <c r="AO139" s="185"/>
      <c r="AP139" s="185"/>
      <c r="AQ139" s="185"/>
      <c r="AR139" s="185" t="e">
        <f t="shared" si="46"/>
        <v>#N/A</v>
      </c>
      <c r="AS139" s="465"/>
      <c r="AT139" s="185"/>
      <c r="AU139" s="185"/>
      <c r="AV139" s="185"/>
      <c r="AW139" s="185" t="e">
        <f t="shared" si="47"/>
        <v>#N/A</v>
      </c>
      <c r="AX139" s="465"/>
    </row>
    <row r="140" spans="2:50">
      <c r="B140" s="471"/>
      <c r="C140" s="185">
        <v>29</v>
      </c>
      <c r="D140" s="185"/>
      <c r="E140" s="185"/>
      <c r="F140" s="185"/>
      <c r="G140" s="185"/>
      <c r="H140" s="465"/>
      <c r="I140" s="185"/>
      <c r="J140" s="185"/>
      <c r="K140" s="185"/>
      <c r="L140" s="452"/>
      <c r="M140" s="169" t="e">
        <f>RANK(K140, K$112:$K$141)</f>
        <v>#DIV/0!</v>
      </c>
      <c r="N140" s="454"/>
      <c r="O140" s="454"/>
      <c r="P140" s="185"/>
      <c r="Q140" s="185"/>
      <c r="R140" s="185"/>
      <c r="S140" s="185" t="e">
        <f t="shared" si="41"/>
        <v>#N/A</v>
      </c>
      <c r="T140" s="465"/>
      <c r="U140" s="185"/>
      <c r="V140" s="185"/>
      <c r="W140" s="185"/>
      <c r="X140" s="185" t="e">
        <f t="shared" si="42"/>
        <v>#N/A</v>
      </c>
      <c r="Y140" s="465"/>
      <c r="Z140" s="185"/>
      <c r="AA140" s="185"/>
      <c r="AB140" s="185"/>
      <c r="AC140" s="185" t="e">
        <f t="shared" si="43"/>
        <v>#N/A</v>
      </c>
      <c r="AD140" s="465"/>
      <c r="AE140" s="185"/>
      <c r="AF140" s="185"/>
      <c r="AG140" s="185"/>
      <c r="AH140" s="185" t="e">
        <f t="shared" si="44"/>
        <v>#N/A</v>
      </c>
      <c r="AI140" s="465"/>
      <c r="AJ140" s="185"/>
      <c r="AK140" s="185"/>
      <c r="AL140" s="185"/>
      <c r="AM140" s="185" t="e">
        <f t="shared" si="45"/>
        <v>#N/A</v>
      </c>
      <c r="AN140" s="465"/>
      <c r="AO140" s="185"/>
      <c r="AP140" s="185"/>
      <c r="AQ140" s="185"/>
      <c r="AR140" s="185" t="e">
        <f t="shared" si="46"/>
        <v>#N/A</v>
      </c>
      <c r="AS140" s="465"/>
      <c r="AT140" s="185"/>
      <c r="AU140" s="185"/>
      <c r="AV140" s="185"/>
      <c r="AW140" s="185" t="e">
        <f t="shared" si="47"/>
        <v>#N/A</v>
      </c>
      <c r="AX140" s="465"/>
    </row>
    <row r="141" spans="2:50">
      <c r="B141" s="471"/>
      <c r="C141" s="185">
        <v>30</v>
      </c>
      <c r="D141" s="185"/>
      <c r="E141" s="185"/>
      <c r="F141" s="185"/>
      <c r="G141" s="185"/>
      <c r="H141" s="466"/>
      <c r="I141" s="185"/>
      <c r="J141" s="185"/>
      <c r="K141" s="185"/>
      <c r="L141" s="453"/>
      <c r="M141" s="169" t="e">
        <f>RANK(K141, K$112:$K$141)</f>
        <v>#DIV/0!</v>
      </c>
      <c r="N141" s="454"/>
      <c r="O141" s="454"/>
      <c r="P141" s="185"/>
      <c r="Q141" s="185"/>
      <c r="R141" s="185"/>
      <c r="S141" s="185" t="e">
        <f t="shared" si="41"/>
        <v>#N/A</v>
      </c>
      <c r="T141" s="466"/>
      <c r="U141" s="185"/>
      <c r="V141" s="185"/>
      <c r="W141" s="185"/>
      <c r="X141" s="185" t="e">
        <f t="shared" si="42"/>
        <v>#N/A</v>
      </c>
      <c r="Y141" s="466"/>
      <c r="Z141" s="185"/>
      <c r="AA141" s="185"/>
      <c r="AB141" s="185"/>
      <c r="AC141" s="185" t="e">
        <f t="shared" si="43"/>
        <v>#N/A</v>
      </c>
      <c r="AD141" s="466"/>
      <c r="AE141" s="185"/>
      <c r="AF141" s="185"/>
      <c r="AG141" s="185"/>
      <c r="AH141" s="185" t="e">
        <f t="shared" si="44"/>
        <v>#N/A</v>
      </c>
      <c r="AI141" s="466"/>
      <c r="AJ141" s="185"/>
      <c r="AK141" s="185"/>
      <c r="AL141" s="185"/>
      <c r="AM141" s="185" t="e">
        <f t="shared" si="45"/>
        <v>#N/A</v>
      </c>
      <c r="AN141" s="466"/>
      <c r="AO141" s="185"/>
      <c r="AP141" s="185"/>
      <c r="AQ141" s="185"/>
      <c r="AR141" s="185" t="e">
        <f t="shared" si="46"/>
        <v>#N/A</v>
      </c>
      <c r="AS141" s="466"/>
      <c r="AT141" s="185"/>
      <c r="AU141" s="185"/>
      <c r="AV141" s="185"/>
      <c r="AW141" s="185" t="e">
        <f t="shared" si="47"/>
        <v>#N/A</v>
      </c>
      <c r="AX141" s="466"/>
    </row>
    <row r="142" spans="2:50" ht="15.75">
      <c r="B142" s="472" t="s">
        <v>201</v>
      </c>
      <c r="C142" s="473"/>
      <c r="D142" s="473"/>
      <c r="E142" s="473"/>
      <c r="F142" s="473"/>
      <c r="G142" s="473"/>
      <c r="H142" s="473"/>
      <c r="I142" s="189"/>
      <c r="J142" s="189"/>
      <c r="K142" s="189"/>
      <c r="L142" s="189"/>
      <c r="M142" s="188"/>
      <c r="N142" s="461" t="s">
        <v>202</v>
      </c>
      <c r="O142" s="461" t="s">
        <v>150</v>
      </c>
      <c r="P142" s="470">
        <f>P107+7</f>
        <v>45986</v>
      </c>
      <c r="Q142" s="471"/>
      <c r="R142" s="471"/>
      <c r="S142" s="471"/>
      <c r="T142" s="471"/>
      <c r="U142" s="467">
        <f>P142+1</f>
        <v>45987</v>
      </c>
      <c r="V142" s="468"/>
      <c r="W142" s="468"/>
      <c r="X142" s="468"/>
      <c r="Y142" s="469"/>
      <c r="Z142" s="467">
        <f>U142+1</f>
        <v>45988</v>
      </c>
      <c r="AA142" s="468"/>
      <c r="AB142" s="468"/>
      <c r="AC142" s="468"/>
      <c r="AD142" s="469"/>
      <c r="AE142" s="467">
        <f>Z142+1</f>
        <v>45989</v>
      </c>
      <c r="AF142" s="468"/>
      <c r="AG142" s="468"/>
      <c r="AH142" s="468"/>
      <c r="AI142" s="469"/>
      <c r="AJ142" s="467">
        <f>AE142+1</f>
        <v>45990</v>
      </c>
      <c r="AK142" s="468"/>
      <c r="AL142" s="468"/>
      <c r="AM142" s="468"/>
      <c r="AN142" s="469"/>
      <c r="AO142" s="467">
        <f>AJ142+1</f>
        <v>45991</v>
      </c>
      <c r="AP142" s="468"/>
      <c r="AQ142" s="468"/>
      <c r="AR142" s="468"/>
      <c r="AS142" s="469"/>
      <c r="AT142" s="467">
        <f>AO142+1</f>
        <v>45992</v>
      </c>
      <c r="AU142" s="468"/>
      <c r="AV142" s="468"/>
      <c r="AW142" s="468"/>
      <c r="AX142" s="469"/>
    </row>
    <row r="143" spans="2:50" ht="15.75">
      <c r="B143" s="474"/>
      <c r="C143" s="474"/>
      <c r="D143" s="474"/>
      <c r="E143" s="474"/>
      <c r="F143" s="474"/>
      <c r="G143" s="474"/>
      <c r="H143" s="474"/>
      <c r="I143" s="187"/>
      <c r="J143" s="187"/>
      <c r="K143" s="187"/>
      <c r="L143" s="187"/>
      <c r="M143" s="182"/>
      <c r="N143" s="463"/>
      <c r="O143" s="463"/>
      <c r="P143" s="470" t="s">
        <v>203</v>
      </c>
      <c r="Q143" s="471"/>
      <c r="R143" s="471"/>
      <c r="S143" s="471"/>
      <c r="T143" s="471"/>
      <c r="U143" s="470" t="s">
        <v>204</v>
      </c>
      <c r="V143" s="471"/>
      <c r="W143" s="471"/>
      <c r="X143" s="471"/>
      <c r="Y143" s="471"/>
      <c r="Z143" s="470" t="s">
        <v>205</v>
      </c>
      <c r="AA143" s="471"/>
      <c r="AB143" s="471"/>
      <c r="AC143" s="471"/>
      <c r="AD143" s="471"/>
      <c r="AE143" s="470" t="s">
        <v>206</v>
      </c>
      <c r="AF143" s="471"/>
      <c r="AG143" s="471"/>
      <c r="AH143" s="471"/>
      <c r="AI143" s="471"/>
      <c r="AJ143" s="470" t="s">
        <v>207</v>
      </c>
      <c r="AK143" s="471"/>
      <c r="AL143" s="471"/>
      <c r="AM143" s="471"/>
      <c r="AN143" s="471"/>
      <c r="AO143" s="470" t="s">
        <v>157</v>
      </c>
      <c r="AP143" s="471"/>
      <c r="AQ143" s="471"/>
      <c r="AR143" s="471"/>
      <c r="AS143" s="471"/>
      <c r="AT143" s="470" t="s">
        <v>208</v>
      </c>
      <c r="AU143" s="471"/>
      <c r="AV143" s="471"/>
      <c r="AW143" s="471"/>
      <c r="AX143" s="471"/>
    </row>
    <row r="144" spans="2:50">
      <c r="B144" s="454" t="s">
        <v>209</v>
      </c>
      <c r="C144" s="454" t="s">
        <v>210</v>
      </c>
      <c r="D144" s="454"/>
      <c r="E144" s="454" t="s">
        <v>211</v>
      </c>
      <c r="F144" s="454"/>
      <c r="G144" s="454"/>
      <c r="H144" s="455" t="s">
        <v>212</v>
      </c>
      <c r="I144" s="454" t="s">
        <v>213</v>
      </c>
      <c r="J144" s="454"/>
      <c r="K144" s="454"/>
      <c r="L144" s="455" t="s">
        <v>212</v>
      </c>
      <c r="M144" s="461" t="s">
        <v>214</v>
      </c>
      <c r="N144" s="454"/>
      <c r="O144" s="454" t="s">
        <v>215</v>
      </c>
      <c r="P144" s="458" t="s">
        <v>216</v>
      </c>
      <c r="Q144" s="459"/>
      <c r="R144" s="459"/>
      <c r="S144" s="460"/>
      <c r="T144" s="454" t="s">
        <v>212</v>
      </c>
      <c r="U144" s="458" t="s">
        <v>216</v>
      </c>
      <c r="V144" s="459"/>
      <c r="W144" s="459"/>
      <c r="X144" s="460"/>
      <c r="Y144" s="454" t="s">
        <v>212</v>
      </c>
      <c r="Z144" s="458" t="s">
        <v>216</v>
      </c>
      <c r="AA144" s="459"/>
      <c r="AB144" s="459"/>
      <c r="AC144" s="460"/>
      <c r="AD144" s="454" t="s">
        <v>212</v>
      </c>
      <c r="AE144" s="458" t="s">
        <v>216</v>
      </c>
      <c r="AF144" s="459"/>
      <c r="AG144" s="459"/>
      <c r="AH144" s="460"/>
      <c r="AI144" s="454" t="s">
        <v>212</v>
      </c>
      <c r="AJ144" s="458" t="s">
        <v>216</v>
      </c>
      <c r="AK144" s="459"/>
      <c r="AL144" s="459"/>
      <c r="AM144" s="460"/>
      <c r="AN144" s="454" t="s">
        <v>212</v>
      </c>
      <c r="AO144" s="458" t="s">
        <v>216</v>
      </c>
      <c r="AP144" s="459"/>
      <c r="AQ144" s="459"/>
      <c r="AR144" s="460"/>
      <c r="AS144" s="454" t="s">
        <v>212</v>
      </c>
      <c r="AT144" s="458" t="s">
        <v>216</v>
      </c>
      <c r="AU144" s="459"/>
      <c r="AV144" s="459"/>
      <c r="AW144" s="460"/>
      <c r="AX144" s="454" t="s">
        <v>212</v>
      </c>
    </row>
    <row r="145" spans="2:50">
      <c r="B145" s="454"/>
      <c r="C145" s="454"/>
      <c r="D145" s="454"/>
      <c r="E145" s="454" t="s">
        <v>217</v>
      </c>
      <c r="F145" s="454"/>
      <c r="G145" s="454"/>
      <c r="H145" s="456"/>
      <c r="I145" s="454" t="s">
        <v>217</v>
      </c>
      <c r="J145" s="454"/>
      <c r="K145" s="454"/>
      <c r="L145" s="456"/>
      <c r="M145" s="462"/>
      <c r="N145" s="454"/>
      <c r="O145" s="454"/>
      <c r="P145" s="458" t="s">
        <v>218</v>
      </c>
      <c r="Q145" s="459"/>
      <c r="R145" s="459"/>
      <c r="S145" s="460"/>
      <c r="T145" s="454"/>
      <c r="U145" s="458" t="s">
        <v>218</v>
      </c>
      <c r="V145" s="459"/>
      <c r="W145" s="459"/>
      <c r="X145" s="460"/>
      <c r="Y145" s="454"/>
      <c r="Z145" s="458" t="s">
        <v>218</v>
      </c>
      <c r="AA145" s="459"/>
      <c r="AB145" s="459"/>
      <c r="AC145" s="460"/>
      <c r="AD145" s="454"/>
      <c r="AE145" s="458" t="s">
        <v>218</v>
      </c>
      <c r="AF145" s="459"/>
      <c r="AG145" s="459"/>
      <c r="AH145" s="460"/>
      <c r="AI145" s="454"/>
      <c r="AJ145" s="458" t="s">
        <v>218</v>
      </c>
      <c r="AK145" s="459"/>
      <c r="AL145" s="459"/>
      <c r="AM145" s="460"/>
      <c r="AN145" s="454"/>
      <c r="AO145" s="458" t="s">
        <v>218</v>
      </c>
      <c r="AP145" s="459"/>
      <c r="AQ145" s="459"/>
      <c r="AR145" s="460"/>
      <c r="AS145" s="454"/>
      <c r="AT145" s="458" t="s">
        <v>218</v>
      </c>
      <c r="AU145" s="459"/>
      <c r="AV145" s="459"/>
      <c r="AW145" s="460"/>
      <c r="AX145" s="454"/>
    </row>
    <row r="146" spans="2:50">
      <c r="B146" s="454"/>
      <c r="C146" s="454"/>
      <c r="D146" s="454"/>
      <c r="E146" s="275" t="s">
        <v>219</v>
      </c>
      <c r="F146" s="275" t="s">
        <v>220</v>
      </c>
      <c r="G146" s="275" t="s">
        <v>221</v>
      </c>
      <c r="H146" s="457"/>
      <c r="I146" s="275" t="s">
        <v>219</v>
      </c>
      <c r="J146" s="275" t="s">
        <v>220</v>
      </c>
      <c r="K146" s="275" t="s">
        <v>221</v>
      </c>
      <c r="L146" s="457"/>
      <c r="M146" s="463"/>
      <c r="N146" s="454"/>
      <c r="O146" s="454"/>
      <c r="P146" s="275" t="s">
        <v>219</v>
      </c>
      <c r="Q146" s="275" t="s">
        <v>220</v>
      </c>
      <c r="R146" s="275" t="s">
        <v>221</v>
      </c>
      <c r="S146" s="275" t="s">
        <v>214</v>
      </c>
      <c r="T146" s="454"/>
      <c r="U146" s="275" t="s">
        <v>219</v>
      </c>
      <c r="V146" s="275" t="s">
        <v>220</v>
      </c>
      <c r="W146" s="275" t="s">
        <v>221</v>
      </c>
      <c r="X146" s="275" t="s">
        <v>214</v>
      </c>
      <c r="Y146" s="454"/>
      <c r="Z146" s="275" t="s">
        <v>219</v>
      </c>
      <c r="AA146" s="275" t="s">
        <v>220</v>
      </c>
      <c r="AB146" s="275" t="s">
        <v>221</v>
      </c>
      <c r="AC146" s="275" t="s">
        <v>214</v>
      </c>
      <c r="AD146" s="454"/>
      <c r="AE146" s="275" t="s">
        <v>219</v>
      </c>
      <c r="AF146" s="275" t="s">
        <v>220</v>
      </c>
      <c r="AG146" s="275" t="s">
        <v>221</v>
      </c>
      <c r="AH146" s="275" t="s">
        <v>214</v>
      </c>
      <c r="AI146" s="454"/>
      <c r="AJ146" s="275" t="s">
        <v>219</v>
      </c>
      <c r="AK146" s="275" t="s">
        <v>220</v>
      </c>
      <c r="AL146" s="275" t="s">
        <v>221</v>
      </c>
      <c r="AM146" s="275" t="s">
        <v>214</v>
      </c>
      <c r="AN146" s="454"/>
      <c r="AO146" s="275" t="s">
        <v>219</v>
      </c>
      <c r="AP146" s="275" t="s">
        <v>220</v>
      </c>
      <c r="AQ146" s="275" t="s">
        <v>221</v>
      </c>
      <c r="AR146" s="275" t="s">
        <v>214</v>
      </c>
      <c r="AS146" s="454"/>
      <c r="AT146" s="275" t="s">
        <v>219</v>
      </c>
      <c r="AU146" s="275" t="s">
        <v>220</v>
      </c>
      <c r="AV146" s="275" t="s">
        <v>221</v>
      </c>
      <c r="AW146" s="275" t="s">
        <v>214</v>
      </c>
      <c r="AX146" s="454"/>
    </row>
    <row r="147" spans="2:50">
      <c r="B147" s="471" t="s">
        <v>222</v>
      </c>
      <c r="C147" s="185">
        <v>1</v>
      </c>
      <c r="D147" s="185"/>
      <c r="E147" s="185"/>
      <c r="F147" s="185"/>
      <c r="G147" s="185"/>
      <c r="H147" s="464" t="e">
        <f>AVERAGE(G147:G176)</f>
        <v>#DIV/0!</v>
      </c>
      <c r="I147" s="169" t="e">
        <f>AVERAGE(P147,U147,Z147,AE147,AJ147,AO147,AT147)</f>
        <v>#DIV/0!</v>
      </c>
      <c r="J147" s="169" t="e">
        <f>AVERAGE(Q147,V147,AA147,AF147,AK147,AP147,AU147)</f>
        <v>#DIV/0!</v>
      </c>
      <c r="K147" s="183" t="e">
        <f>AVERAGE(R147,W147,AB147,AG147,AL147,AQ147,AV147)</f>
        <v>#DIV/0!</v>
      </c>
      <c r="L147" s="451" t="str">
        <f>IFERROR(AVERAGE(K147:K176),"-")</f>
        <v>-</v>
      </c>
      <c r="M147" s="169" t="e">
        <f>RANK(K147, K$147:$K$176)</f>
        <v>#DIV/0!</v>
      </c>
      <c r="N147" s="454"/>
      <c r="O147" s="454"/>
      <c r="P147" s="169"/>
      <c r="Q147" s="169"/>
      <c r="R147" s="169"/>
      <c r="S147" s="185" t="e">
        <f>RANK(R147, R$147:R$176)</f>
        <v>#N/A</v>
      </c>
      <c r="T147" s="464" t="e">
        <f>AVERAGE(R147:R176)</f>
        <v>#DIV/0!</v>
      </c>
      <c r="U147" s="169"/>
      <c r="V147" s="169"/>
      <c r="W147" s="169"/>
      <c r="X147" s="185" t="e">
        <f>RANK(W147, W$147:W$176)</f>
        <v>#N/A</v>
      </c>
      <c r="Y147" s="464" t="e">
        <f>AVERAGE(W147:W176)</f>
        <v>#DIV/0!</v>
      </c>
      <c r="Z147" s="169"/>
      <c r="AA147" s="169"/>
      <c r="AB147" s="169"/>
      <c r="AC147" s="185" t="e">
        <f>RANK(AB147, AB$147:AB$176)</f>
        <v>#N/A</v>
      </c>
      <c r="AD147" s="464" t="e">
        <f>AVERAGE(AB147:AB176)</f>
        <v>#DIV/0!</v>
      </c>
      <c r="AE147" s="169"/>
      <c r="AF147" s="169"/>
      <c r="AG147" s="169"/>
      <c r="AH147" s="185" t="e">
        <f>RANK(AG147, AG$147:AG$176)</f>
        <v>#N/A</v>
      </c>
      <c r="AI147" s="464" t="e">
        <f>AVERAGE(AG147:AG176)</f>
        <v>#DIV/0!</v>
      </c>
      <c r="AJ147" s="169"/>
      <c r="AK147" s="169"/>
      <c r="AL147" s="169"/>
      <c r="AM147" s="185" t="e">
        <f>RANK(AL147, AL$147:AL$176)</f>
        <v>#N/A</v>
      </c>
      <c r="AN147" s="464" t="e">
        <f>AVERAGE(AL147:AL176)</f>
        <v>#DIV/0!</v>
      </c>
      <c r="AO147" s="169"/>
      <c r="AP147" s="169"/>
      <c r="AQ147" s="169"/>
      <c r="AR147" s="185" t="e">
        <f>RANK(AQ147, AQ$147:AQ$176)</f>
        <v>#N/A</v>
      </c>
      <c r="AS147" s="464" t="e">
        <f>AVERAGE(AQ147:AQ176)</f>
        <v>#DIV/0!</v>
      </c>
      <c r="AT147" s="169"/>
      <c r="AU147" s="169"/>
      <c r="AV147" s="169"/>
      <c r="AW147" s="185" t="e">
        <f>RANK(AV147, AV$147:AV$176)</f>
        <v>#N/A</v>
      </c>
      <c r="AX147" s="464" t="e">
        <f>AVERAGE(AV147:AV176)</f>
        <v>#DIV/0!</v>
      </c>
    </row>
    <row r="148" spans="2:50">
      <c r="B148" s="471"/>
      <c r="C148" s="185">
        <v>2</v>
      </c>
      <c r="D148" s="185"/>
      <c r="E148" s="185"/>
      <c r="F148" s="185"/>
      <c r="G148" s="185"/>
      <c r="H148" s="465"/>
      <c r="I148" s="169" t="e">
        <f t="shared" ref="I148:I156" si="49">AVERAGE(P148,U148,Z148,AE148,AJ148,AO148,AT148)</f>
        <v>#DIV/0!</v>
      </c>
      <c r="J148" s="169" t="e">
        <f t="shared" ref="J148:J156" si="50">AVERAGE(Q148,V148,AA148,AF148,AK148,AP148,AU148)</f>
        <v>#DIV/0!</v>
      </c>
      <c r="K148" s="183" t="e">
        <f t="shared" ref="K148:K156" si="51">AVERAGE(R148,W148,AB148,AG148,AL148,AQ148,AV148)</f>
        <v>#DIV/0!</v>
      </c>
      <c r="L148" s="452"/>
      <c r="M148" s="169" t="e">
        <f>RANK(K148, K$147:$K$176)</f>
        <v>#DIV/0!</v>
      </c>
      <c r="N148" s="454"/>
      <c r="O148" s="454"/>
      <c r="P148" s="169"/>
      <c r="Q148" s="169"/>
      <c r="R148" s="169"/>
      <c r="S148" s="185" t="e">
        <f t="shared" ref="S148:S176" si="52">RANK(R148, R$147:R$176)</f>
        <v>#N/A</v>
      </c>
      <c r="T148" s="465"/>
      <c r="U148" s="169"/>
      <c r="V148" s="169"/>
      <c r="W148" s="169"/>
      <c r="X148" s="185" t="e">
        <f t="shared" ref="X148:X176" si="53">RANK(W148, W$147:W$176)</f>
        <v>#N/A</v>
      </c>
      <c r="Y148" s="465"/>
      <c r="Z148" s="169"/>
      <c r="AA148" s="169"/>
      <c r="AB148" s="169"/>
      <c r="AC148" s="185" t="e">
        <f t="shared" ref="AC148:AC176" si="54">RANK(AB148, AB$147:AB$176)</f>
        <v>#N/A</v>
      </c>
      <c r="AD148" s="465"/>
      <c r="AE148" s="169"/>
      <c r="AF148" s="169"/>
      <c r="AG148" s="169"/>
      <c r="AH148" s="185" t="e">
        <f t="shared" ref="AH148:AH176" si="55">RANK(AG148, AG$147:AG$176)</f>
        <v>#N/A</v>
      </c>
      <c r="AI148" s="465"/>
      <c r="AJ148" s="169"/>
      <c r="AK148" s="169"/>
      <c r="AL148" s="169"/>
      <c r="AM148" s="185" t="e">
        <f t="shared" ref="AM148:AM176" si="56">RANK(AL148, AL$147:AL$176)</f>
        <v>#N/A</v>
      </c>
      <c r="AN148" s="465"/>
      <c r="AO148" s="169"/>
      <c r="AP148" s="169"/>
      <c r="AQ148" s="169"/>
      <c r="AR148" s="185" t="e">
        <f t="shared" ref="AR148:AR176" si="57">RANK(AQ148, AQ$147:AQ$176)</f>
        <v>#N/A</v>
      </c>
      <c r="AS148" s="465"/>
      <c r="AT148" s="169"/>
      <c r="AU148" s="169"/>
      <c r="AV148" s="169"/>
      <c r="AW148" s="185" t="e">
        <f t="shared" ref="AW148:AW176" si="58">RANK(AV148, AV$147:AV$176)</f>
        <v>#N/A</v>
      </c>
      <c r="AX148" s="465"/>
    </row>
    <row r="149" spans="2:50">
      <c r="B149" s="471"/>
      <c r="C149" s="185">
        <v>3</v>
      </c>
      <c r="D149" s="185"/>
      <c r="E149" s="185"/>
      <c r="F149" s="185"/>
      <c r="G149" s="185"/>
      <c r="H149" s="465"/>
      <c r="I149" s="169" t="e">
        <f t="shared" si="49"/>
        <v>#DIV/0!</v>
      </c>
      <c r="J149" s="169" t="e">
        <f t="shared" si="50"/>
        <v>#DIV/0!</v>
      </c>
      <c r="K149" s="183" t="e">
        <f t="shared" si="51"/>
        <v>#DIV/0!</v>
      </c>
      <c r="L149" s="452"/>
      <c r="M149" s="169" t="e">
        <f>RANK(K149, K$147:$K$176)</f>
        <v>#DIV/0!</v>
      </c>
      <c r="N149" s="454"/>
      <c r="O149" s="454"/>
      <c r="P149" s="169"/>
      <c r="Q149" s="169"/>
      <c r="R149" s="169"/>
      <c r="S149" s="185" t="e">
        <f t="shared" si="52"/>
        <v>#N/A</v>
      </c>
      <c r="T149" s="465"/>
      <c r="U149" s="169"/>
      <c r="V149" s="169"/>
      <c r="W149" s="169"/>
      <c r="X149" s="185" t="e">
        <f t="shared" si="53"/>
        <v>#N/A</v>
      </c>
      <c r="Y149" s="465"/>
      <c r="Z149" s="169"/>
      <c r="AA149" s="169"/>
      <c r="AB149" s="169"/>
      <c r="AC149" s="185" t="e">
        <f t="shared" si="54"/>
        <v>#N/A</v>
      </c>
      <c r="AD149" s="465"/>
      <c r="AE149" s="169"/>
      <c r="AF149" s="169"/>
      <c r="AG149" s="169"/>
      <c r="AH149" s="185" t="e">
        <f t="shared" si="55"/>
        <v>#N/A</v>
      </c>
      <c r="AI149" s="465"/>
      <c r="AJ149" s="169"/>
      <c r="AK149" s="169"/>
      <c r="AL149" s="169"/>
      <c r="AM149" s="185" t="e">
        <f t="shared" si="56"/>
        <v>#N/A</v>
      </c>
      <c r="AN149" s="465"/>
      <c r="AO149" s="169"/>
      <c r="AP149" s="169"/>
      <c r="AQ149" s="169"/>
      <c r="AR149" s="185" t="e">
        <f t="shared" si="57"/>
        <v>#N/A</v>
      </c>
      <c r="AS149" s="465"/>
      <c r="AT149" s="169"/>
      <c r="AU149" s="169"/>
      <c r="AV149" s="169"/>
      <c r="AW149" s="185" t="e">
        <f t="shared" si="58"/>
        <v>#N/A</v>
      </c>
      <c r="AX149" s="465"/>
    </row>
    <row r="150" spans="2:50">
      <c r="B150" s="471"/>
      <c r="C150" s="185">
        <v>4</v>
      </c>
      <c r="D150" s="185"/>
      <c r="E150" s="185"/>
      <c r="F150" s="185"/>
      <c r="G150" s="185"/>
      <c r="H150" s="465"/>
      <c r="I150" s="169" t="e">
        <f t="shared" si="49"/>
        <v>#DIV/0!</v>
      </c>
      <c r="J150" s="169" t="e">
        <f t="shared" si="50"/>
        <v>#DIV/0!</v>
      </c>
      <c r="K150" s="183" t="e">
        <f t="shared" si="51"/>
        <v>#DIV/0!</v>
      </c>
      <c r="L150" s="452"/>
      <c r="M150" s="169" t="e">
        <f>RANK(K150, K$147:$K$176)</f>
        <v>#DIV/0!</v>
      </c>
      <c r="N150" s="454"/>
      <c r="O150" s="454"/>
      <c r="P150" s="169"/>
      <c r="Q150" s="169"/>
      <c r="R150" s="169"/>
      <c r="S150" s="185" t="e">
        <f t="shared" si="52"/>
        <v>#N/A</v>
      </c>
      <c r="T150" s="465"/>
      <c r="U150" s="169"/>
      <c r="V150" s="169"/>
      <c r="W150" s="169"/>
      <c r="X150" s="185" t="e">
        <f t="shared" si="53"/>
        <v>#N/A</v>
      </c>
      <c r="Y150" s="465"/>
      <c r="Z150" s="169"/>
      <c r="AA150" s="169"/>
      <c r="AB150" s="169"/>
      <c r="AC150" s="185" t="e">
        <f t="shared" si="54"/>
        <v>#N/A</v>
      </c>
      <c r="AD150" s="465"/>
      <c r="AE150" s="169"/>
      <c r="AF150" s="169"/>
      <c r="AG150" s="169"/>
      <c r="AH150" s="185" t="e">
        <f t="shared" si="55"/>
        <v>#N/A</v>
      </c>
      <c r="AI150" s="465"/>
      <c r="AJ150" s="169"/>
      <c r="AK150" s="169"/>
      <c r="AL150" s="169"/>
      <c r="AM150" s="185" t="e">
        <f t="shared" si="56"/>
        <v>#N/A</v>
      </c>
      <c r="AN150" s="465"/>
      <c r="AO150" s="169"/>
      <c r="AP150" s="169"/>
      <c r="AQ150" s="169"/>
      <c r="AR150" s="185" t="e">
        <f t="shared" si="57"/>
        <v>#N/A</v>
      </c>
      <c r="AS150" s="465"/>
      <c r="AT150" s="169"/>
      <c r="AU150" s="169"/>
      <c r="AV150" s="169"/>
      <c r="AW150" s="185" t="e">
        <f t="shared" si="58"/>
        <v>#N/A</v>
      </c>
      <c r="AX150" s="465"/>
    </row>
    <row r="151" spans="2:50">
      <c r="B151" s="471"/>
      <c r="C151" s="185">
        <v>5</v>
      </c>
      <c r="D151" s="185"/>
      <c r="E151" s="185"/>
      <c r="F151" s="185"/>
      <c r="G151" s="185"/>
      <c r="H151" s="465"/>
      <c r="I151" s="169" t="e">
        <f t="shared" si="49"/>
        <v>#DIV/0!</v>
      </c>
      <c r="J151" s="169" t="e">
        <f t="shared" si="50"/>
        <v>#DIV/0!</v>
      </c>
      <c r="K151" s="183" t="e">
        <f t="shared" si="51"/>
        <v>#DIV/0!</v>
      </c>
      <c r="L151" s="452"/>
      <c r="M151" s="169" t="e">
        <f>RANK(K151, K$147:$K$176)</f>
        <v>#DIV/0!</v>
      </c>
      <c r="N151" s="454"/>
      <c r="O151" s="454"/>
      <c r="P151" s="169"/>
      <c r="Q151" s="169"/>
      <c r="R151" s="169"/>
      <c r="S151" s="185" t="e">
        <f t="shared" si="52"/>
        <v>#N/A</v>
      </c>
      <c r="T151" s="465"/>
      <c r="U151" s="169"/>
      <c r="V151" s="169"/>
      <c r="W151" s="169"/>
      <c r="X151" s="185" t="e">
        <f t="shared" si="53"/>
        <v>#N/A</v>
      </c>
      <c r="Y151" s="465"/>
      <c r="Z151" s="169"/>
      <c r="AA151" s="169"/>
      <c r="AB151" s="169"/>
      <c r="AC151" s="185" t="e">
        <f t="shared" si="54"/>
        <v>#N/A</v>
      </c>
      <c r="AD151" s="465"/>
      <c r="AE151" s="169"/>
      <c r="AF151" s="169"/>
      <c r="AG151" s="169"/>
      <c r="AH151" s="185" t="e">
        <f t="shared" si="55"/>
        <v>#N/A</v>
      </c>
      <c r="AI151" s="465"/>
      <c r="AJ151" s="169"/>
      <c r="AK151" s="169"/>
      <c r="AL151" s="169"/>
      <c r="AM151" s="185" t="e">
        <f t="shared" si="56"/>
        <v>#N/A</v>
      </c>
      <c r="AN151" s="465"/>
      <c r="AO151" s="169"/>
      <c r="AP151" s="169"/>
      <c r="AQ151" s="169"/>
      <c r="AR151" s="185" t="e">
        <f t="shared" si="57"/>
        <v>#N/A</v>
      </c>
      <c r="AS151" s="465"/>
      <c r="AT151" s="169"/>
      <c r="AU151" s="169"/>
      <c r="AV151" s="169"/>
      <c r="AW151" s="185" t="e">
        <f t="shared" si="58"/>
        <v>#N/A</v>
      </c>
      <c r="AX151" s="465"/>
    </row>
    <row r="152" spans="2:50">
      <c r="B152" s="471"/>
      <c r="C152" s="185">
        <v>6</v>
      </c>
      <c r="D152" s="185"/>
      <c r="E152" s="185"/>
      <c r="F152" s="185"/>
      <c r="G152" s="185"/>
      <c r="H152" s="465"/>
      <c r="I152" s="169" t="e">
        <f t="shared" si="49"/>
        <v>#DIV/0!</v>
      </c>
      <c r="J152" s="169" t="e">
        <f t="shared" si="50"/>
        <v>#DIV/0!</v>
      </c>
      <c r="K152" s="183" t="e">
        <f t="shared" si="51"/>
        <v>#DIV/0!</v>
      </c>
      <c r="L152" s="452"/>
      <c r="M152" s="169" t="e">
        <f>RANK(K152, K$147:$K$176)</f>
        <v>#DIV/0!</v>
      </c>
      <c r="N152" s="454"/>
      <c r="O152" s="454"/>
      <c r="P152" s="169"/>
      <c r="Q152" s="169"/>
      <c r="R152" s="169"/>
      <c r="S152" s="185" t="e">
        <f t="shared" si="52"/>
        <v>#N/A</v>
      </c>
      <c r="T152" s="465"/>
      <c r="U152" s="169"/>
      <c r="V152" s="169"/>
      <c r="W152" s="169"/>
      <c r="X152" s="185" t="e">
        <f t="shared" si="53"/>
        <v>#N/A</v>
      </c>
      <c r="Y152" s="465"/>
      <c r="Z152" s="169"/>
      <c r="AA152" s="169"/>
      <c r="AB152" s="169"/>
      <c r="AC152" s="185" t="e">
        <f t="shared" si="54"/>
        <v>#N/A</v>
      </c>
      <c r="AD152" s="465"/>
      <c r="AE152" s="169"/>
      <c r="AF152" s="169"/>
      <c r="AG152" s="169"/>
      <c r="AH152" s="185" t="e">
        <f t="shared" si="55"/>
        <v>#N/A</v>
      </c>
      <c r="AI152" s="465"/>
      <c r="AJ152" s="169"/>
      <c r="AK152" s="169"/>
      <c r="AL152" s="169"/>
      <c r="AM152" s="185" t="e">
        <f t="shared" si="56"/>
        <v>#N/A</v>
      </c>
      <c r="AN152" s="465"/>
      <c r="AO152" s="169"/>
      <c r="AP152" s="169"/>
      <c r="AQ152" s="169"/>
      <c r="AR152" s="185" t="e">
        <f t="shared" si="57"/>
        <v>#N/A</v>
      </c>
      <c r="AS152" s="465"/>
      <c r="AT152" s="169"/>
      <c r="AU152" s="169"/>
      <c r="AV152" s="169"/>
      <c r="AW152" s="185" t="e">
        <f t="shared" si="58"/>
        <v>#N/A</v>
      </c>
      <c r="AX152" s="465"/>
    </row>
    <row r="153" spans="2:50">
      <c r="B153" s="471"/>
      <c r="C153" s="185">
        <v>7</v>
      </c>
      <c r="D153" s="185"/>
      <c r="E153" s="185"/>
      <c r="F153" s="185"/>
      <c r="G153" s="185"/>
      <c r="H153" s="465"/>
      <c r="I153" s="169" t="e">
        <f t="shared" si="49"/>
        <v>#DIV/0!</v>
      </c>
      <c r="J153" s="169" t="e">
        <f t="shared" si="50"/>
        <v>#DIV/0!</v>
      </c>
      <c r="K153" s="183" t="e">
        <f t="shared" si="51"/>
        <v>#DIV/0!</v>
      </c>
      <c r="L153" s="452"/>
      <c r="M153" s="169" t="e">
        <f>RANK(K153, K$147:$K$176)</f>
        <v>#DIV/0!</v>
      </c>
      <c r="N153" s="454"/>
      <c r="O153" s="454"/>
      <c r="P153" s="169"/>
      <c r="Q153" s="169"/>
      <c r="R153" s="169"/>
      <c r="S153" s="185" t="e">
        <f t="shared" si="52"/>
        <v>#N/A</v>
      </c>
      <c r="T153" s="465"/>
      <c r="U153" s="169"/>
      <c r="V153" s="169"/>
      <c r="W153" s="169"/>
      <c r="X153" s="185" t="e">
        <f t="shared" si="53"/>
        <v>#N/A</v>
      </c>
      <c r="Y153" s="465"/>
      <c r="Z153" s="169"/>
      <c r="AA153" s="169"/>
      <c r="AB153" s="169"/>
      <c r="AC153" s="185" t="e">
        <f t="shared" si="54"/>
        <v>#N/A</v>
      </c>
      <c r="AD153" s="465"/>
      <c r="AE153" s="169"/>
      <c r="AF153" s="169"/>
      <c r="AG153" s="169"/>
      <c r="AH153" s="185" t="e">
        <f t="shared" si="55"/>
        <v>#N/A</v>
      </c>
      <c r="AI153" s="465"/>
      <c r="AJ153" s="169"/>
      <c r="AK153" s="169"/>
      <c r="AL153" s="169"/>
      <c r="AM153" s="185" t="e">
        <f t="shared" si="56"/>
        <v>#N/A</v>
      </c>
      <c r="AN153" s="465"/>
      <c r="AO153" s="169"/>
      <c r="AP153" s="169"/>
      <c r="AQ153" s="169"/>
      <c r="AR153" s="185" t="e">
        <f t="shared" si="57"/>
        <v>#N/A</v>
      </c>
      <c r="AS153" s="465"/>
      <c r="AT153" s="169"/>
      <c r="AU153" s="169"/>
      <c r="AV153" s="169"/>
      <c r="AW153" s="185" t="e">
        <f t="shared" si="58"/>
        <v>#N/A</v>
      </c>
      <c r="AX153" s="465"/>
    </row>
    <row r="154" spans="2:50">
      <c r="B154" s="471"/>
      <c r="C154" s="185">
        <v>8</v>
      </c>
      <c r="D154" s="185"/>
      <c r="E154" s="185"/>
      <c r="F154" s="185"/>
      <c r="G154" s="185"/>
      <c r="H154" s="465"/>
      <c r="I154" s="169" t="e">
        <f t="shared" si="49"/>
        <v>#DIV/0!</v>
      </c>
      <c r="J154" s="169" t="e">
        <f t="shared" si="50"/>
        <v>#DIV/0!</v>
      </c>
      <c r="K154" s="183" t="e">
        <f t="shared" si="51"/>
        <v>#DIV/0!</v>
      </c>
      <c r="L154" s="452"/>
      <c r="M154" s="169" t="e">
        <f>RANK(K154, K$147:$K$176)</f>
        <v>#DIV/0!</v>
      </c>
      <c r="N154" s="454"/>
      <c r="O154" s="454"/>
      <c r="P154" s="169"/>
      <c r="Q154" s="169"/>
      <c r="R154" s="169"/>
      <c r="S154" s="185" t="e">
        <f t="shared" si="52"/>
        <v>#N/A</v>
      </c>
      <c r="T154" s="465"/>
      <c r="U154" s="169"/>
      <c r="V154" s="169"/>
      <c r="W154" s="169"/>
      <c r="X154" s="185" t="e">
        <f t="shared" si="53"/>
        <v>#N/A</v>
      </c>
      <c r="Y154" s="465"/>
      <c r="Z154" s="169"/>
      <c r="AA154" s="169"/>
      <c r="AB154" s="169"/>
      <c r="AC154" s="185" t="e">
        <f t="shared" si="54"/>
        <v>#N/A</v>
      </c>
      <c r="AD154" s="465"/>
      <c r="AE154" s="169"/>
      <c r="AF154" s="169"/>
      <c r="AG154" s="169"/>
      <c r="AH154" s="185" t="e">
        <f t="shared" si="55"/>
        <v>#N/A</v>
      </c>
      <c r="AI154" s="465"/>
      <c r="AJ154" s="169"/>
      <c r="AK154" s="169"/>
      <c r="AL154" s="169"/>
      <c r="AM154" s="185" t="e">
        <f t="shared" si="56"/>
        <v>#N/A</v>
      </c>
      <c r="AN154" s="465"/>
      <c r="AO154" s="169"/>
      <c r="AP154" s="169"/>
      <c r="AQ154" s="169"/>
      <c r="AR154" s="185" t="e">
        <f t="shared" si="57"/>
        <v>#N/A</v>
      </c>
      <c r="AS154" s="465"/>
      <c r="AT154" s="169"/>
      <c r="AU154" s="169"/>
      <c r="AV154" s="169"/>
      <c r="AW154" s="185" t="e">
        <f t="shared" si="58"/>
        <v>#N/A</v>
      </c>
      <c r="AX154" s="465"/>
    </row>
    <row r="155" spans="2:50">
      <c r="B155" s="471"/>
      <c r="C155" s="185">
        <v>9</v>
      </c>
      <c r="D155" s="185"/>
      <c r="E155" s="185"/>
      <c r="F155" s="185"/>
      <c r="G155" s="185"/>
      <c r="H155" s="465"/>
      <c r="I155" s="169" t="e">
        <f t="shared" si="49"/>
        <v>#DIV/0!</v>
      </c>
      <c r="J155" s="169" t="e">
        <f t="shared" si="50"/>
        <v>#DIV/0!</v>
      </c>
      <c r="K155" s="183" t="e">
        <f t="shared" si="51"/>
        <v>#DIV/0!</v>
      </c>
      <c r="L155" s="452"/>
      <c r="M155" s="169" t="e">
        <f>RANK(K155, K$147:$K$176)</f>
        <v>#DIV/0!</v>
      </c>
      <c r="N155" s="454"/>
      <c r="O155" s="454"/>
      <c r="P155" s="169"/>
      <c r="Q155" s="169"/>
      <c r="R155" s="169"/>
      <c r="S155" s="185" t="e">
        <f t="shared" si="52"/>
        <v>#N/A</v>
      </c>
      <c r="T155" s="465"/>
      <c r="U155" s="169"/>
      <c r="V155" s="169"/>
      <c r="W155" s="169"/>
      <c r="X155" s="185" t="e">
        <f t="shared" si="53"/>
        <v>#N/A</v>
      </c>
      <c r="Y155" s="465"/>
      <c r="Z155" s="169"/>
      <c r="AA155" s="169"/>
      <c r="AB155" s="169"/>
      <c r="AC155" s="185" t="e">
        <f t="shared" si="54"/>
        <v>#N/A</v>
      </c>
      <c r="AD155" s="465"/>
      <c r="AE155" s="169"/>
      <c r="AF155" s="169"/>
      <c r="AG155" s="169"/>
      <c r="AH155" s="185" t="e">
        <f t="shared" si="55"/>
        <v>#N/A</v>
      </c>
      <c r="AI155" s="465"/>
      <c r="AJ155" s="169"/>
      <c r="AK155" s="169"/>
      <c r="AL155" s="169"/>
      <c r="AM155" s="185" t="e">
        <f t="shared" si="56"/>
        <v>#N/A</v>
      </c>
      <c r="AN155" s="465"/>
      <c r="AO155" s="169"/>
      <c r="AP155" s="169"/>
      <c r="AQ155" s="169"/>
      <c r="AR155" s="185" t="e">
        <f t="shared" si="57"/>
        <v>#N/A</v>
      </c>
      <c r="AS155" s="465"/>
      <c r="AT155" s="169"/>
      <c r="AU155" s="169"/>
      <c r="AV155" s="169"/>
      <c r="AW155" s="185" t="e">
        <f t="shared" si="58"/>
        <v>#N/A</v>
      </c>
      <c r="AX155" s="465"/>
    </row>
    <row r="156" spans="2:50">
      <c r="B156" s="471"/>
      <c r="C156" s="185">
        <v>10</v>
      </c>
      <c r="D156" s="185"/>
      <c r="E156" s="185"/>
      <c r="F156" s="185"/>
      <c r="G156" s="185"/>
      <c r="H156" s="465"/>
      <c r="I156" s="169" t="e">
        <f t="shared" si="49"/>
        <v>#DIV/0!</v>
      </c>
      <c r="J156" s="169" t="e">
        <f t="shared" si="50"/>
        <v>#DIV/0!</v>
      </c>
      <c r="K156" s="183" t="e">
        <f t="shared" si="51"/>
        <v>#DIV/0!</v>
      </c>
      <c r="L156" s="452"/>
      <c r="M156" s="169" t="e">
        <f>RANK(K156, K$147:$K$176)</f>
        <v>#DIV/0!</v>
      </c>
      <c r="N156" s="454"/>
      <c r="O156" s="454"/>
      <c r="P156" s="169"/>
      <c r="Q156" s="169"/>
      <c r="R156" s="169"/>
      <c r="S156" s="185" t="e">
        <f t="shared" si="52"/>
        <v>#N/A</v>
      </c>
      <c r="T156" s="465"/>
      <c r="U156" s="169"/>
      <c r="V156" s="169"/>
      <c r="W156" s="169"/>
      <c r="X156" s="185" t="e">
        <f t="shared" si="53"/>
        <v>#N/A</v>
      </c>
      <c r="Y156" s="465"/>
      <c r="Z156" s="169"/>
      <c r="AA156" s="169"/>
      <c r="AB156" s="169"/>
      <c r="AC156" s="185" t="e">
        <f t="shared" si="54"/>
        <v>#N/A</v>
      </c>
      <c r="AD156" s="465"/>
      <c r="AE156" s="169"/>
      <c r="AF156" s="169"/>
      <c r="AG156" s="169"/>
      <c r="AH156" s="185" t="e">
        <f t="shared" si="55"/>
        <v>#N/A</v>
      </c>
      <c r="AI156" s="465"/>
      <c r="AJ156" s="169"/>
      <c r="AK156" s="169"/>
      <c r="AL156" s="169"/>
      <c r="AM156" s="185" t="e">
        <f t="shared" si="56"/>
        <v>#N/A</v>
      </c>
      <c r="AN156" s="465"/>
      <c r="AO156" s="169"/>
      <c r="AP156" s="169"/>
      <c r="AQ156" s="169"/>
      <c r="AR156" s="185" t="e">
        <f t="shared" si="57"/>
        <v>#N/A</v>
      </c>
      <c r="AS156" s="465"/>
      <c r="AT156" s="169"/>
      <c r="AU156" s="169"/>
      <c r="AV156" s="169"/>
      <c r="AW156" s="185" t="e">
        <f t="shared" si="58"/>
        <v>#N/A</v>
      </c>
      <c r="AX156" s="465"/>
    </row>
    <row r="157" spans="2:50">
      <c r="B157" s="471"/>
      <c r="C157" s="185">
        <v>11</v>
      </c>
      <c r="D157" s="185"/>
      <c r="E157" s="185"/>
      <c r="F157" s="185"/>
      <c r="G157" s="185"/>
      <c r="H157" s="465"/>
      <c r="I157" s="169" t="e">
        <f t="shared" ref="I157:I166" si="59">AVERAGE(P157,U157,Z157,AE157,AJ157,AO157,AT157)</f>
        <v>#DIV/0!</v>
      </c>
      <c r="J157" s="169" t="e">
        <f t="shared" ref="J157:J166" si="60">AVERAGE(Q157,V157,AA157,AF157,AK157,AP157,AU157)</f>
        <v>#DIV/0!</v>
      </c>
      <c r="K157" s="183" t="e">
        <f t="shared" ref="K157:K166" si="61">AVERAGE(R157,W157,AB157,AG157,AL157,AQ157,AV157)</f>
        <v>#DIV/0!</v>
      </c>
      <c r="L157" s="452"/>
      <c r="M157" s="169" t="e">
        <f>RANK(K157, K$147:$K$176)</f>
        <v>#DIV/0!</v>
      </c>
      <c r="N157" s="454"/>
      <c r="O157" s="454"/>
      <c r="P157" s="169"/>
      <c r="Q157" s="169"/>
      <c r="R157" s="169"/>
      <c r="S157" s="185" t="e">
        <f t="shared" si="52"/>
        <v>#N/A</v>
      </c>
      <c r="T157" s="465"/>
      <c r="U157" s="169"/>
      <c r="V157" s="169"/>
      <c r="W157" s="169"/>
      <c r="X157" s="185" t="e">
        <f t="shared" si="53"/>
        <v>#N/A</v>
      </c>
      <c r="Y157" s="465"/>
      <c r="Z157" s="169"/>
      <c r="AA157" s="169"/>
      <c r="AB157" s="169"/>
      <c r="AC157" s="185" t="e">
        <f t="shared" si="54"/>
        <v>#N/A</v>
      </c>
      <c r="AD157" s="465"/>
      <c r="AE157" s="169"/>
      <c r="AF157" s="169"/>
      <c r="AG157" s="169"/>
      <c r="AH157" s="185" t="e">
        <f t="shared" si="55"/>
        <v>#N/A</v>
      </c>
      <c r="AI157" s="465"/>
      <c r="AJ157" s="169"/>
      <c r="AK157" s="169"/>
      <c r="AL157" s="169"/>
      <c r="AM157" s="185" t="e">
        <f t="shared" si="56"/>
        <v>#N/A</v>
      </c>
      <c r="AN157" s="465"/>
      <c r="AO157" s="169"/>
      <c r="AP157" s="169"/>
      <c r="AQ157" s="169"/>
      <c r="AR157" s="185" t="e">
        <f t="shared" si="57"/>
        <v>#N/A</v>
      </c>
      <c r="AS157" s="465"/>
      <c r="AT157" s="169"/>
      <c r="AU157" s="169"/>
      <c r="AV157" s="169"/>
      <c r="AW157" s="185" t="e">
        <f t="shared" si="58"/>
        <v>#N/A</v>
      </c>
      <c r="AX157" s="465"/>
    </row>
    <row r="158" spans="2:50">
      <c r="B158" s="471"/>
      <c r="C158" s="185">
        <v>12</v>
      </c>
      <c r="D158" s="185"/>
      <c r="E158" s="185"/>
      <c r="F158" s="185"/>
      <c r="G158" s="185"/>
      <c r="H158" s="465"/>
      <c r="I158" s="169" t="e">
        <f t="shared" si="59"/>
        <v>#DIV/0!</v>
      </c>
      <c r="J158" s="169" t="e">
        <f t="shared" si="60"/>
        <v>#DIV/0!</v>
      </c>
      <c r="K158" s="183" t="e">
        <f t="shared" si="61"/>
        <v>#DIV/0!</v>
      </c>
      <c r="L158" s="452"/>
      <c r="M158" s="169" t="e">
        <f>RANK(K158, K$147:$K$176)</f>
        <v>#DIV/0!</v>
      </c>
      <c r="N158" s="454"/>
      <c r="O158" s="454"/>
      <c r="P158" s="169"/>
      <c r="Q158" s="169"/>
      <c r="R158" s="169"/>
      <c r="S158" s="185" t="e">
        <f t="shared" si="52"/>
        <v>#N/A</v>
      </c>
      <c r="T158" s="465"/>
      <c r="U158" s="169"/>
      <c r="V158" s="169"/>
      <c r="W158" s="169"/>
      <c r="X158" s="185" t="e">
        <f t="shared" si="53"/>
        <v>#N/A</v>
      </c>
      <c r="Y158" s="465"/>
      <c r="Z158" s="169"/>
      <c r="AA158" s="169"/>
      <c r="AB158" s="169"/>
      <c r="AC158" s="185" t="e">
        <f t="shared" si="54"/>
        <v>#N/A</v>
      </c>
      <c r="AD158" s="465"/>
      <c r="AE158" s="169"/>
      <c r="AF158" s="169"/>
      <c r="AG158" s="169"/>
      <c r="AH158" s="185" t="e">
        <f t="shared" si="55"/>
        <v>#N/A</v>
      </c>
      <c r="AI158" s="465"/>
      <c r="AJ158" s="169"/>
      <c r="AK158" s="169"/>
      <c r="AL158" s="169"/>
      <c r="AM158" s="185" t="e">
        <f t="shared" si="56"/>
        <v>#N/A</v>
      </c>
      <c r="AN158" s="465"/>
      <c r="AO158" s="169"/>
      <c r="AP158" s="169"/>
      <c r="AQ158" s="169"/>
      <c r="AR158" s="185" t="e">
        <f t="shared" si="57"/>
        <v>#N/A</v>
      </c>
      <c r="AS158" s="465"/>
      <c r="AT158" s="169"/>
      <c r="AU158" s="169"/>
      <c r="AV158" s="169"/>
      <c r="AW158" s="185" t="e">
        <f t="shared" si="58"/>
        <v>#N/A</v>
      </c>
      <c r="AX158" s="465"/>
    </row>
    <row r="159" spans="2:50">
      <c r="B159" s="471"/>
      <c r="C159" s="185">
        <v>13</v>
      </c>
      <c r="D159" s="185"/>
      <c r="E159" s="185"/>
      <c r="F159" s="185"/>
      <c r="G159" s="185"/>
      <c r="H159" s="465"/>
      <c r="I159" s="169" t="e">
        <f t="shared" si="59"/>
        <v>#DIV/0!</v>
      </c>
      <c r="J159" s="169" t="e">
        <f t="shared" si="60"/>
        <v>#DIV/0!</v>
      </c>
      <c r="K159" s="183" t="e">
        <f t="shared" si="61"/>
        <v>#DIV/0!</v>
      </c>
      <c r="L159" s="452"/>
      <c r="M159" s="169" t="e">
        <f>RANK(K159, K$147:$K$176)</f>
        <v>#DIV/0!</v>
      </c>
      <c r="N159" s="454"/>
      <c r="O159" s="454"/>
      <c r="P159" s="169"/>
      <c r="Q159" s="169"/>
      <c r="R159" s="169"/>
      <c r="S159" s="185" t="e">
        <f t="shared" si="52"/>
        <v>#N/A</v>
      </c>
      <c r="T159" s="465"/>
      <c r="U159" s="169"/>
      <c r="V159" s="169"/>
      <c r="W159" s="169"/>
      <c r="X159" s="185" t="e">
        <f t="shared" si="53"/>
        <v>#N/A</v>
      </c>
      <c r="Y159" s="465"/>
      <c r="Z159" s="169"/>
      <c r="AA159" s="169"/>
      <c r="AB159" s="169"/>
      <c r="AC159" s="185" t="e">
        <f t="shared" si="54"/>
        <v>#N/A</v>
      </c>
      <c r="AD159" s="465"/>
      <c r="AE159" s="169"/>
      <c r="AF159" s="169"/>
      <c r="AG159" s="169"/>
      <c r="AH159" s="185" t="e">
        <f t="shared" si="55"/>
        <v>#N/A</v>
      </c>
      <c r="AI159" s="465"/>
      <c r="AJ159" s="169"/>
      <c r="AK159" s="169"/>
      <c r="AL159" s="169"/>
      <c r="AM159" s="185" t="e">
        <f t="shared" si="56"/>
        <v>#N/A</v>
      </c>
      <c r="AN159" s="465"/>
      <c r="AO159" s="169"/>
      <c r="AP159" s="169"/>
      <c r="AQ159" s="169"/>
      <c r="AR159" s="185" t="e">
        <f t="shared" si="57"/>
        <v>#N/A</v>
      </c>
      <c r="AS159" s="465"/>
      <c r="AT159" s="169"/>
      <c r="AU159" s="169"/>
      <c r="AV159" s="169"/>
      <c r="AW159" s="185" t="e">
        <f t="shared" si="58"/>
        <v>#N/A</v>
      </c>
      <c r="AX159" s="465"/>
    </row>
    <row r="160" spans="2:50">
      <c r="B160" s="471"/>
      <c r="C160" s="185">
        <v>14</v>
      </c>
      <c r="D160" s="185"/>
      <c r="E160" s="185"/>
      <c r="F160" s="185"/>
      <c r="G160" s="185"/>
      <c r="H160" s="465"/>
      <c r="I160" s="169" t="e">
        <f t="shared" si="59"/>
        <v>#DIV/0!</v>
      </c>
      <c r="J160" s="169" t="e">
        <f t="shared" si="60"/>
        <v>#DIV/0!</v>
      </c>
      <c r="K160" s="183" t="e">
        <f t="shared" si="61"/>
        <v>#DIV/0!</v>
      </c>
      <c r="L160" s="452"/>
      <c r="M160" s="169" t="e">
        <f>RANK(K160, K$147:$K$176)</f>
        <v>#DIV/0!</v>
      </c>
      <c r="N160" s="454"/>
      <c r="O160" s="454"/>
      <c r="P160" s="169"/>
      <c r="Q160" s="169"/>
      <c r="R160" s="169"/>
      <c r="S160" s="185" t="e">
        <f t="shared" si="52"/>
        <v>#N/A</v>
      </c>
      <c r="T160" s="465"/>
      <c r="U160" s="169"/>
      <c r="V160" s="169"/>
      <c r="W160" s="169"/>
      <c r="X160" s="185" t="e">
        <f t="shared" si="53"/>
        <v>#N/A</v>
      </c>
      <c r="Y160" s="465"/>
      <c r="Z160" s="169"/>
      <c r="AA160" s="169"/>
      <c r="AB160" s="169"/>
      <c r="AC160" s="185" t="e">
        <f t="shared" si="54"/>
        <v>#N/A</v>
      </c>
      <c r="AD160" s="465"/>
      <c r="AE160" s="169"/>
      <c r="AF160" s="169"/>
      <c r="AG160" s="169"/>
      <c r="AH160" s="185" t="e">
        <f t="shared" si="55"/>
        <v>#N/A</v>
      </c>
      <c r="AI160" s="465"/>
      <c r="AJ160" s="169"/>
      <c r="AK160" s="169"/>
      <c r="AL160" s="169"/>
      <c r="AM160" s="185" t="e">
        <f t="shared" si="56"/>
        <v>#N/A</v>
      </c>
      <c r="AN160" s="465"/>
      <c r="AO160" s="169"/>
      <c r="AP160" s="169"/>
      <c r="AQ160" s="169"/>
      <c r="AR160" s="185" t="e">
        <f t="shared" si="57"/>
        <v>#N/A</v>
      </c>
      <c r="AS160" s="465"/>
      <c r="AT160" s="169"/>
      <c r="AU160" s="169"/>
      <c r="AV160" s="169"/>
      <c r="AW160" s="185" t="e">
        <f t="shared" si="58"/>
        <v>#N/A</v>
      </c>
      <c r="AX160" s="465"/>
    </row>
    <row r="161" spans="2:50">
      <c r="B161" s="471"/>
      <c r="C161" s="185">
        <v>15</v>
      </c>
      <c r="D161" s="185"/>
      <c r="E161" s="185"/>
      <c r="F161" s="185"/>
      <c r="G161" s="185"/>
      <c r="H161" s="465"/>
      <c r="I161" s="169" t="e">
        <f t="shared" si="59"/>
        <v>#DIV/0!</v>
      </c>
      <c r="J161" s="169" t="e">
        <f t="shared" si="60"/>
        <v>#DIV/0!</v>
      </c>
      <c r="K161" s="183" t="e">
        <f t="shared" si="61"/>
        <v>#DIV/0!</v>
      </c>
      <c r="L161" s="452"/>
      <c r="M161" s="169" t="e">
        <f>RANK(K161, K$147:$K$176)</f>
        <v>#DIV/0!</v>
      </c>
      <c r="N161" s="454"/>
      <c r="O161" s="454"/>
      <c r="P161" s="169"/>
      <c r="Q161" s="169"/>
      <c r="R161" s="169"/>
      <c r="S161" s="185" t="e">
        <f t="shared" ref="S161:S175" si="62">RANK(R161, R$147:R$176)</f>
        <v>#N/A</v>
      </c>
      <c r="T161" s="465"/>
      <c r="U161" s="169"/>
      <c r="V161" s="169"/>
      <c r="W161" s="169"/>
      <c r="X161" s="185" t="e">
        <f t="shared" ref="X161:X175" si="63">RANK(W161, W$147:W$176)</f>
        <v>#N/A</v>
      </c>
      <c r="Y161" s="465"/>
      <c r="Z161" s="169"/>
      <c r="AA161" s="169"/>
      <c r="AB161" s="169"/>
      <c r="AC161" s="185" t="e">
        <f t="shared" ref="AC161:AC175" si="64">RANK(AB161, AB$147:AB$176)</f>
        <v>#N/A</v>
      </c>
      <c r="AD161" s="465"/>
      <c r="AE161" s="169"/>
      <c r="AF161" s="169"/>
      <c r="AG161" s="169"/>
      <c r="AH161" s="185" t="e">
        <f t="shared" ref="AH161:AH175" si="65">RANK(AG161, AG$147:AG$176)</f>
        <v>#N/A</v>
      </c>
      <c r="AI161" s="465"/>
      <c r="AJ161" s="169"/>
      <c r="AK161" s="169"/>
      <c r="AL161" s="169"/>
      <c r="AM161" s="185" t="e">
        <f t="shared" ref="AM161:AM175" si="66">RANK(AL161, AL$147:AL$176)</f>
        <v>#N/A</v>
      </c>
      <c r="AN161" s="465"/>
      <c r="AO161" s="169"/>
      <c r="AP161" s="169"/>
      <c r="AQ161" s="169"/>
      <c r="AR161" s="185" t="e">
        <f t="shared" ref="AR161:AR175" si="67">RANK(AQ161, AQ$147:AQ$176)</f>
        <v>#N/A</v>
      </c>
      <c r="AS161" s="465"/>
      <c r="AT161" s="169"/>
      <c r="AU161" s="169"/>
      <c r="AV161" s="169"/>
      <c r="AW161" s="185" t="e">
        <f t="shared" ref="AW161:AW175" si="68">RANK(AV161, AV$147:AV$176)</f>
        <v>#N/A</v>
      </c>
      <c r="AX161" s="465"/>
    </row>
    <row r="162" spans="2:50">
      <c r="B162" s="471"/>
      <c r="C162" s="185">
        <v>16</v>
      </c>
      <c r="D162" s="185"/>
      <c r="E162" s="185"/>
      <c r="F162" s="185"/>
      <c r="G162" s="185"/>
      <c r="H162" s="465"/>
      <c r="I162" s="169" t="e">
        <f t="shared" si="59"/>
        <v>#DIV/0!</v>
      </c>
      <c r="J162" s="169" t="e">
        <f t="shared" si="60"/>
        <v>#DIV/0!</v>
      </c>
      <c r="K162" s="183" t="e">
        <f t="shared" si="61"/>
        <v>#DIV/0!</v>
      </c>
      <c r="L162" s="452"/>
      <c r="M162" s="169" t="e">
        <f>RANK(K162, K$147:$K$176)</f>
        <v>#DIV/0!</v>
      </c>
      <c r="N162" s="454"/>
      <c r="O162" s="454"/>
      <c r="P162" s="169"/>
      <c r="Q162" s="169"/>
      <c r="R162" s="169"/>
      <c r="S162" s="185" t="e">
        <f t="shared" si="62"/>
        <v>#N/A</v>
      </c>
      <c r="T162" s="465"/>
      <c r="U162" s="169"/>
      <c r="V162" s="169"/>
      <c r="W162" s="169"/>
      <c r="X162" s="185" t="e">
        <f t="shared" si="63"/>
        <v>#N/A</v>
      </c>
      <c r="Y162" s="465"/>
      <c r="Z162" s="169"/>
      <c r="AA162" s="169"/>
      <c r="AB162" s="169"/>
      <c r="AC162" s="185" t="e">
        <f t="shared" si="64"/>
        <v>#N/A</v>
      </c>
      <c r="AD162" s="465"/>
      <c r="AE162" s="169"/>
      <c r="AF162" s="169"/>
      <c r="AG162" s="169"/>
      <c r="AH162" s="185" t="e">
        <f t="shared" si="65"/>
        <v>#N/A</v>
      </c>
      <c r="AI162" s="465"/>
      <c r="AJ162" s="169"/>
      <c r="AK162" s="169"/>
      <c r="AL162" s="169"/>
      <c r="AM162" s="185" t="e">
        <f t="shared" si="66"/>
        <v>#N/A</v>
      </c>
      <c r="AN162" s="465"/>
      <c r="AO162" s="169"/>
      <c r="AP162" s="169"/>
      <c r="AQ162" s="169"/>
      <c r="AR162" s="185" t="e">
        <f t="shared" si="67"/>
        <v>#N/A</v>
      </c>
      <c r="AS162" s="465"/>
      <c r="AT162" s="169"/>
      <c r="AU162" s="169"/>
      <c r="AV162" s="169"/>
      <c r="AW162" s="185" t="e">
        <f t="shared" si="68"/>
        <v>#N/A</v>
      </c>
      <c r="AX162" s="465"/>
    </row>
    <row r="163" spans="2:50">
      <c r="B163" s="471"/>
      <c r="C163" s="185">
        <v>17</v>
      </c>
      <c r="D163" s="185"/>
      <c r="E163" s="185"/>
      <c r="F163" s="185"/>
      <c r="G163" s="185"/>
      <c r="H163" s="465"/>
      <c r="I163" s="169" t="e">
        <f t="shared" si="59"/>
        <v>#DIV/0!</v>
      </c>
      <c r="J163" s="169" t="e">
        <f t="shared" si="60"/>
        <v>#DIV/0!</v>
      </c>
      <c r="K163" s="183" t="e">
        <f t="shared" si="61"/>
        <v>#DIV/0!</v>
      </c>
      <c r="L163" s="452"/>
      <c r="M163" s="169" t="e">
        <f>RANK(K163, K$147:$K$176)</f>
        <v>#DIV/0!</v>
      </c>
      <c r="N163" s="454"/>
      <c r="O163" s="454"/>
      <c r="P163" s="169"/>
      <c r="Q163" s="169"/>
      <c r="R163" s="169"/>
      <c r="S163" s="185" t="e">
        <f t="shared" si="62"/>
        <v>#N/A</v>
      </c>
      <c r="T163" s="465"/>
      <c r="U163" s="169"/>
      <c r="V163" s="169"/>
      <c r="W163" s="169"/>
      <c r="X163" s="185" t="e">
        <f t="shared" si="63"/>
        <v>#N/A</v>
      </c>
      <c r="Y163" s="465"/>
      <c r="Z163" s="169"/>
      <c r="AA163" s="169"/>
      <c r="AB163" s="169"/>
      <c r="AC163" s="185" t="e">
        <f t="shared" si="64"/>
        <v>#N/A</v>
      </c>
      <c r="AD163" s="465"/>
      <c r="AE163" s="169"/>
      <c r="AF163" s="169"/>
      <c r="AG163" s="169"/>
      <c r="AH163" s="185" t="e">
        <f t="shared" si="65"/>
        <v>#N/A</v>
      </c>
      <c r="AI163" s="465"/>
      <c r="AJ163" s="169"/>
      <c r="AK163" s="169"/>
      <c r="AL163" s="169"/>
      <c r="AM163" s="185" t="e">
        <f t="shared" si="66"/>
        <v>#N/A</v>
      </c>
      <c r="AN163" s="465"/>
      <c r="AO163" s="169"/>
      <c r="AP163" s="169"/>
      <c r="AQ163" s="169"/>
      <c r="AR163" s="185" t="e">
        <f t="shared" si="67"/>
        <v>#N/A</v>
      </c>
      <c r="AS163" s="465"/>
      <c r="AT163" s="169"/>
      <c r="AU163" s="169"/>
      <c r="AV163" s="169"/>
      <c r="AW163" s="185" t="e">
        <f t="shared" si="68"/>
        <v>#N/A</v>
      </c>
      <c r="AX163" s="465"/>
    </row>
    <row r="164" spans="2:50">
      <c r="B164" s="471"/>
      <c r="C164" s="185">
        <v>18</v>
      </c>
      <c r="D164" s="185"/>
      <c r="E164" s="185"/>
      <c r="F164" s="185"/>
      <c r="G164" s="185"/>
      <c r="H164" s="465"/>
      <c r="I164" s="169" t="e">
        <f t="shared" si="59"/>
        <v>#DIV/0!</v>
      </c>
      <c r="J164" s="169" t="e">
        <f t="shared" si="60"/>
        <v>#DIV/0!</v>
      </c>
      <c r="K164" s="183" t="e">
        <f t="shared" si="61"/>
        <v>#DIV/0!</v>
      </c>
      <c r="L164" s="452"/>
      <c r="M164" s="169" t="e">
        <f>RANK(K164, K$147:$K$176)</f>
        <v>#DIV/0!</v>
      </c>
      <c r="N164" s="454"/>
      <c r="O164" s="454"/>
      <c r="P164" s="169"/>
      <c r="Q164" s="169"/>
      <c r="R164" s="169"/>
      <c r="S164" s="185" t="e">
        <f t="shared" si="62"/>
        <v>#N/A</v>
      </c>
      <c r="T164" s="465"/>
      <c r="U164" s="169"/>
      <c r="V164" s="169"/>
      <c r="W164" s="169"/>
      <c r="X164" s="185" t="e">
        <f t="shared" si="63"/>
        <v>#N/A</v>
      </c>
      <c r="Y164" s="465"/>
      <c r="Z164" s="169"/>
      <c r="AA164" s="169"/>
      <c r="AB164" s="169"/>
      <c r="AC164" s="185" t="e">
        <f t="shared" si="64"/>
        <v>#N/A</v>
      </c>
      <c r="AD164" s="465"/>
      <c r="AE164" s="169"/>
      <c r="AF164" s="169"/>
      <c r="AG164" s="169"/>
      <c r="AH164" s="185" t="e">
        <f t="shared" si="65"/>
        <v>#N/A</v>
      </c>
      <c r="AI164" s="465"/>
      <c r="AJ164" s="169"/>
      <c r="AK164" s="169"/>
      <c r="AL164" s="169"/>
      <c r="AM164" s="185" t="e">
        <f t="shared" si="66"/>
        <v>#N/A</v>
      </c>
      <c r="AN164" s="465"/>
      <c r="AO164" s="169"/>
      <c r="AP164" s="169"/>
      <c r="AQ164" s="169"/>
      <c r="AR164" s="185" t="e">
        <f t="shared" si="67"/>
        <v>#N/A</v>
      </c>
      <c r="AS164" s="465"/>
      <c r="AT164" s="169"/>
      <c r="AU164" s="169"/>
      <c r="AV164" s="169"/>
      <c r="AW164" s="185" t="e">
        <f t="shared" si="68"/>
        <v>#N/A</v>
      </c>
      <c r="AX164" s="465"/>
    </row>
    <row r="165" spans="2:50">
      <c r="B165" s="471"/>
      <c r="C165" s="185">
        <v>19</v>
      </c>
      <c r="D165" s="185"/>
      <c r="E165" s="185"/>
      <c r="F165" s="185"/>
      <c r="G165" s="185"/>
      <c r="H165" s="465"/>
      <c r="I165" s="169" t="e">
        <f t="shared" si="59"/>
        <v>#DIV/0!</v>
      </c>
      <c r="J165" s="169" t="e">
        <f t="shared" si="60"/>
        <v>#DIV/0!</v>
      </c>
      <c r="K165" s="183" t="e">
        <f t="shared" si="61"/>
        <v>#DIV/0!</v>
      </c>
      <c r="L165" s="452"/>
      <c r="M165" s="169" t="e">
        <f>RANK(K165, K$147:$K$176)</f>
        <v>#DIV/0!</v>
      </c>
      <c r="N165" s="454"/>
      <c r="O165" s="454"/>
      <c r="P165" s="169"/>
      <c r="Q165" s="169"/>
      <c r="R165" s="169"/>
      <c r="S165" s="185" t="e">
        <f t="shared" si="62"/>
        <v>#N/A</v>
      </c>
      <c r="T165" s="465"/>
      <c r="U165" s="169"/>
      <c r="V165" s="169"/>
      <c r="W165" s="169"/>
      <c r="X165" s="185" t="e">
        <f t="shared" si="63"/>
        <v>#N/A</v>
      </c>
      <c r="Y165" s="465"/>
      <c r="Z165" s="169"/>
      <c r="AA165" s="169"/>
      <c r="AB165" s="169"/>
      <c r="AC165" s="185" t="e">
        <f t="shared" si="64"/>
        <v>#N/A</v>
      </c>
      <c r="AD165" s="465"/>
      <c r="AE165" s="169"/>
      <c r="AF165" s="169"/>
      <c r="AG165" s="169"/>
      <c r="AH165" s="185" t="e">
        <f t="shared" si="65"/>
        <v>#N/A</v>
      </c>
      <c r="AI165" s="465"/>
      <c r="AJ165" s="169"/>
      <c r="AK165" s="169"/>
      <c r="AL165" s="169"/>
      <c r="AM165" s="185" t="e">
        <f t="shared" si="66"/>
        <v>#N/A</v>
      </c>
      <c r="AN165" s="465"/>
      <c r="AO165" s="169"/>
      <c r="AP165" s="169"/>
      <c r="AQ165" s="169"/>
      <c r="AR165" s="185" t="e">
        <f t="shared" si="67"/>
        <v>#N/A</v>
      </c>
      <c r="AS165" s="465"/>
      <c r="AT165" s="169"/>
      <c r="AU165" s="169"/>
      <c r="AV165" s="169"/>
      <c r="AW165" s="185" t="e">
        <f t="shared" si="68"/>
        <v>#N/A</v>
      </c>
      <c r="AX165" s="465"/>
    </row>
    <row r="166" spans="2:50">
      <c r="B166" s="471"/>
      <c r="C166" s="185">
        <v>20</v>
      </c>
      <c r="D166" s="185"/>
      <c r="E166" s="185"/>
      <c r="F166" s="185"/>
      <c r="G166" s="185"/>
      <c r="H166" s="465"/>
      <c r="I166" s="169" t="e">
        <f t="shared" si="59"/>
        <v>#DIV/0!</v>
      </c>
      <c r="J166" s="169" t="e">
        <f t="shared" si="60"/>
        <v>#DIV/0!</v>
      </c>
      <c r="K166" s="183" t="e">
        <f t="shared" si="61"/>
        <v>#DIV/0!</v>
      </c>
      <c r="L166" s="452"/>
      <c r="M166" s="169" t="e">
        <f>RANK(K166, K$147:$K$176)</f>
        <v>#DIV/0!</v>
      </c>
      <c r="N166" s="454"/>
      <c r="O166" s="454"/>
      <c r="P166" s="169"/>
      <c r="Q166" s="169"/>
      <c r="R166" s="169"/>
      <c r="S166" s="185" t="e">
        <f t="shared" si="62"/>
        <v>#N/A</v>
      </c>
      <c r="T166" s="465"/>
      <c r="U166" s="169"/>
      <c r="V166" s="169"/>
      <c r="W166" s="169"/>
      <c r="X166" s="185" t="e">
        <f t="shared" si="63"/>
        <v>#N/A</v>
      </c>
      <c r="Y166" s="465"/>
      <c r="Z166" s="169"/>
      <c r="AA166" s="169"/>
      <c r="AB166" s="169"/>
      <c r="AC166" s="185" t="e">
        <f t="shared" si="64"/>
        <v>#N/A</v>
      </c>
      <c r="AD166" s="465"/>
      <c r="AE166" s="169"/>
      <c r="AF166" s="169"/>
      <c r="AG166" s="169"/>
      <c r="AH166" s="185" t="e">
        <f t="shared" si="65"/>
        <v>#N/A</v>
      </c>
      <c r="AI166" s="465"/>
      <c r="AJ166" s="169"/>
      <c r="AK166" s="169"/>
      <c r="AL166" s="169"/>
      <c r="AM166" s="185" t="e">
        <f t="shared" si="66"/>
        <v>#N/A</v>
      </c>
      <c r="AN166" s="465"/>
      <c r="AO166" s="169"/>
      <c r="AP166" s="169"/>
      <c r="AQ166" s="169"/>
      <c r="AR166" s="185" t="e">
        <f t="shared" si="67"/>
        <v>#N/A</v>
      </c>
      <c r="AS166" s="465"/>
      <c r="AT166" s="169"/>
      <c r="AU166" s="169"/>
      <c r="AV166" s="169"/>
      <c r="AW166" s="185" t="e">
        <f t="shared" si="68"/>
        <v>#N/A</v>
      </c>
      <c r="AX166" s="465"/>
    </row>
    <row r="167" spans="2:50">
      <c r="B167" s="471"/>
      <c r="C167" s="185">
        <v>21</v>
      </c>
      <c r="D167" s="185"/>
      <c r="E167" s="185"/>
      <c r="F167" s="185"/>
      <c r="G167" s="185"/>
      <c r="H167" s="465"/>
      <c r="I167" s="169" t="e">
        <f t="shared" ref="I167:I169" si="69">AVERAGE(P167,U167,Z167,AE167,AJ167,AO167,AT167)</f>
        <v>#DIV/0!</v>
      </c>
      <c r="J167" s="169" t="e">
        <f t="shared" ref="J167:J169" si="70">AVERAGE(Q167,V167,AA167,AF167,AK167,AP167,AU167)</f>
        <v>#DIV/0!</v>
      </c>
      <c r="K167" s="183" t="e">
        <f t="shared" ref="K167:K169" si="71">AVERAGE(R167,W167,AB167,AG167,AL167,AQ167,AV167)</f>
        <v>#DIV/0!</v>
      </c>
      <c r="L167" s="452"/>
      <c r="M167" s="169" t="e">
        <f>RANK(K167, K$147:$K$176)</f>
        <v>#DIV/0!</v>
      </c>
      <c r="N167" s="454"/>
      <c r="O167" s="454"/>
      <c r="P167" s="169"/>
      <c r="Q167" s="169"/>
      <c r="R167" s="169"/>
      <c r="S167" s="185" t="e">
        <f t="shared" si="62"/>
        <v>#N/A</v>
      </c>
      <c r="T167" s="465"/>
      <c r="U167" s="169"/>
      <c r="V167" s="169"/>
      <c r="W167" s="169"/>
      <c r="X167" s="185" t="e">
        <f t="shared" si="63"/>
        <v>#N/A</v>
      </c>
      <c r="Y167" s="465"/>
      <c r="Z167" s="169"/>
      <c r="AA167" s="169"/>
      <c r="AB167" s="169"/>
      <c r="AC167" s="185" t="e">
        <f t="shared" si="64"/>
        <v>#N/A</v>
      </c>
      <c r="AD167" s="465"/>
      <c r="AE167" s="169"/>
      <c r="AF167" s="169"/>
      <c r="AG167" s="169"/>
      <c r="AH167" s="185" t="e">
        <f t="shared" si="65"/>
        <v>#N/A</v>
      </c>
      <c r="AI167" s="465"/>
      <c r="AJ167" s="169"/>
      <c r="AK167" s="169"/>
      <c r="AL167" s="169"/>
      <c r="AM167" s="185" t="e">
        <f t="shared" si="66"/>
        <v>#N/A</v>
      </c>
      <c r="AN167" s="465"/>
      <c r="AO167" s="169"/>
      <c r="AP167" s="169"/>
      <c r="AQ167" s="169"/>
      <c r="AR167" s="185" t="e">
        <f t="shared" si="67"/>
        <v>#N/A</v>
      </c>
      <c r="AS167" s="465"/>
      <c r="AT167" s="169"/>
      <c r="AU167" s="169"/>
      <c r="AV167" s="169"/>
      <c r="AW167" s="185" t="e">
        <f t="shared" si="68"/>
        <v>#N/A</v>
      </c>
      <c r="AX167" s="465"/>
    </row>
    <row r="168" spans="2:50">
      <c r="B168" s="471"/>
      <c r="C168" s="185">
        <v>22</v>
      </c>
      <c r="D168" s="185"/>
      <c r="E168" s="185"/>
      <c r="F168" s="185"/>
      <c r="G168" s="185"/>
      <c r="H168" s="465"/>
      <c r="I168" s="169" t="e">
        <f t="shared" si="69"/>
        <v>#DIV/0!</v>
      </c>
      <c r="J168" s="169" t="e">
        <f t="shared" si="70"/>
        <v>#DIV/0!</v>
      </c>
      <c r="K168" s="183" t="e">
        <f t="shared" si="71"/>
        <v>#DIV/0!</v>
      </c>
      <c r="L168" s="452"/>
      <c r="M168" s="169" t="e">
        <f>RANK(K168, K$147:$K$176)</f>
        <v>#DIV/0!</v>
      </c>
      <c r="N168" s="454"/>
      <c r="O168" s="454"/>
      <c r="P168" s="169"/>
      <c r="Q168" s="169"/>
      <c r="R168" s="169"/>
      <c r="S168" s="185" t="e">
        <f t="shared" si="62"/>
        <v>#N/A</v>
      </c>
      <c r="T168" s="465"/>
      <c r="U168" s="169"/>
      <c r="V168" s="169"/>
      <c r="W168" s="169"/>
      <c r="X168" s="185" t="e">
        <f t="shared" si="63"/>
        <v>#N/A</v>
      </c>
      <c r="Y168" s="465"/>
      <c r="Z168" s="169"/>
      <c r="AA168" s="169"/>
      <c r="AB168" s="169"/>
      <c r="AC168" s="185" t="e">
        <f t="shared" si="64"/>
        <v>#N/A</v>
      </c>
      <c r="AD168" s="465"/>
      <c r="AE168" s="169"/>
      <c r="AF168" s="169"/>
      <c r="AG168" s="169"/>
      <c r="AH168" s="185" t="e">
        <f t="shared" si="65"/>
        <v>#N/A</v>
      </c>
      <c r="AI168" s="465"/>
      <c r="AJ168" s="169"/>
      <c r="AK168" s="169"/>
      <c r="AL168" s="169"/>
      <c r="AM168" s="185" t="e">
        <f t="shared" si="66"/>
        <v>#N/A</v>
      </c>
      <c r="AN168" s="465"/>
      <c r="AO168" s="169"/>
      <c r="AP168" s="169"/>
      <c r="AQ168" s="169"/>
      <c r="AR168" s="185" t="e">
        <f t="shared" si="67"/>
        <v>#N/A</v>
      </c>
      <c r="AS168" s="465"/>
      <c r="AT168" s="169"/>
      <c r="AU168" s="169"/>
      <c r="AV168" s="169"/>
      <c r="AW168" s="185" t="e">
        <f t="shared" si="68"/>
        <v>#N/A</v>
      </c>
      <c r="AX168" s="465"/>
    </row>
    <row r="169" spans="2:50">
      <c r="B169" s="471"/>
      <c r="C169" s="185">
        <v>23</v>
      </c>
      <c r="D169" s="185"/>
      <c r="E169" s="185"/>
      <c r="F169" s="185"/>
      <c r="G169" s="185"/>
      <c r="H169" s="465"/>
      <c r="I169" s="169" t="e">
        <f t="shared" si="69"/>
        <v>#DIV/0!</v>
      </c>
      <c r="J169" s="169" t="e">
        <f t="shared" si="70"/>
        <v>#DIV/0!</v>
      </c>
      <c r="K169" s="183" t="e">
        <f t="shared" si="71"/>
        <v>#DIV/0!</v>
      </c>
      <c r="L169" s="452"/>
      <c r="M169" s="169" t="e">
        <f>RANK(K169, K$147:$K$176)</f>
        <v>#DIV/0!</v>
      </c>
      <c r="N169" s="454"/>
      <c r="O169" s="454"/>
      <c r="P169" s="169"/>
      <c r="Q169" s="169"/>
      <c r="R169" s="169"/>
      <c r="S169" s="185" t="e">
        <f t="shared" si="62"/>
        <v>#N/A</v>
      </c>
      <c r="T169" s="465"/>
      <c r="U169" s="169"/>
      <c r="V169" s="169"/>
      <c r="W169" s="169"/>
      <c r="X169" s="185" t="e">
        <f t="shared" si="63"/>
        <v>#N/A</v>
      </c>
      <c r="Y169" s="465"/>
      <c r="Z169" s="169"/>
      <c r="AA169" s="169"/>
      <c r="AB169" s="169"/>
      <c r="AC169" s="185" t="e">
        <f t="shared" si="64"/>
        <v>#N/A</v>
      </c>
      <c r="AD169" s="465"/>
      <c r="AE169" s="169"/>
      <c r="AF169" s="169"/>
      <c r="AG169" s="169"/>
      <c r="AH169" s="185" t="e">
        <f t="shared" si="65"/>
        <v>#N/A</v>
      </c>
      <c r="AI169" s="465"/>
      <c r="AJ169" s="169"/>
      <c r="AK169" s="169"/>
      <c r="AL169" s="169"/>
      <c r="AM169" s="185" t="e">
        <f t="shared" si="66"/>
        <v>#N/A</v>
      </c>
      <c r="AN169" s="465"/>
      <c r="AO169" s="169"/>
      <c r="AP169" s="169"/>
      <c r="AQ169" s="169"/>
      <c r="AR169" s="185" t="e">
        <f t="shared" si="67"/>
        <v>#N/A</v>
      </c>
      <c r="AS169" s="465"/>
      <c r="AT169" s="169"/>
      <c r="AU169" s="169"/>
      <c r="AV169" s="169"/>
      <c r="AW169" s="185" t="e">
        <f t="shared" si="68"/>
        <v>#N/A</v>
      </c>
      <c r="AX169" s="465"/>
    </row>
    <row r="170" spans="2:50">
      <c r="B170" s="471"/>
      <c r="C170" s="185">
        <v>24</v>
      </c>
      <c r="D170" s="185"/>
      <c r="E170" s="185"/>
      <c r="F170" s="185"/>
      <c r="G170" s="185"/>
      <c r="H170" s="465"/>
      <c r="I170" s="169" t="e">
        <f t="shared" ref="I170" si="72">AVERAGE(P170,U170,Z170,AE170,AJ170,AO170,AT170)</f>
        <v>#DIV/0!</v>
      </c>
      <c r="J170" s="169" t="e">
        <f t="shared" ref="J170" si="73">AVERAGE(Q170,V170,AA170,AF170,AK170,AP170,AU170)</f>
        <v>#DIV/0!</v>
      </c>
      <c r="K170" s="183" t="e">
        <f t="shared" ref="K170" si="74">AVERAGE(R170,W170,AB170,AG170,AL170,AQ170,AV170)</f>
        <v>#DIV/0!</v>
      </c>
      <c r="L170" s="452"/>
      <c r="M170" s="169" t="e">
        <f>RANK(K170, K$147:$K$176)</f>
        <v>#DIV/0!</v>
      </c>
      <c r="N170" s="454"/>
      <c r="O170" s="454"/>
      <c r="P170" s="169"/>
      <c r="Q170" s="169"/>
      <c r="R170" s="169"/>
      <c r="S170" s="185" t="e">
        <f t="shared" si="62"/>
        <v>#N/A</v>
      </c>
      <c r="T170" s="465"/>
      <c r="U170" s="169"/>
      <c r="V170" s="169"/>
      <c r="W170" s="169"/>
      <c r="X170" s="185" t="e">
        <f t="shared" si="63"/>
        <v>#N/A</v>
      </c>
      <c r="Y170" s="465"/>
      <c r="Z170" s="169"/>
      <c r="AA170" s="169"/>
      <c r="AB170" s="169"/>
      <c r="AC170" s="185" t="e">
        <f t="shared" si="64"/>
        <v>#N/A</v>
      </c>
      <c r="AD170" s="465"/>
      <c r="AE170" s="169"/>
      <c r="AF170" s="169"/>
      <c r="AG170" s="169"/>
      <c r="AH170" s="185" t="e">
        <f t="shared" si="65"/>
        <v>#N/A</v>
      </c>
      <c r="AI170" s="465"/>
      <c r="AJ170" s="169"/>
      <c r="AK170" s="169"/>
      <c r="AL170" s="169"/>
      <c r="AM170" s="185" t="e">
        <f t="shared" si="66"/>
        <v>#N/A</v>
      </c>
      <c r="AN170" s="465"/>
      <c r="AO170" s="169"/>
      <c r="AP170" s="169"/>
      <c r="AQ170" s="169"/>
      <c r="AR170" s="185" t="e">
        <f t="shared" si="67"/>
        <v>#N/A</v>
      </c>
      <c r="AS170" s="465"/>
      <c r="AT170" s="169"/>
      <c r="AU170" s="169"/>
      <c r="AV170" s="169"/>
      <c r="AW170" s="185" t="e">
        <f t="shared" si="68"/>
        <v>#N/A</v>
      </c>
      <c r="AX170" s="465"/>
    </row>
    <row r="171" spans="2:50">
      <c r="B171" s="471"/>
      <c r="C171" s="185">
        <v>25</v>
      </c>
      <c r="D171" s="185"/>
      <c r="E171" s="185"/>
      <c r="F171" s="185"/>
      <c r="G171" s="185"/>
      <c r="H171" s="465"/>
      <c r="I171" s="185"/>
      <c r="J171" s="185"/>
      <c r="K171" s="185"/>
      <c r="L171" s="452"/>
      <c r="M171" s="169" t="e">
        <f>RANK(K171, K$147:$K$176)</f>
        <v>#DIV/0!</v>
      </c>
      <c r="N171" s="454"/>
      <c r="O171" s="454"/>
      <c r="P171" s="185"/>
      <c r="Q171" s="185"/>
      <c r="R171" s="185"/>
      <c r="S171" s="185" t="e">
        <f t="shared" si="62"/>
        <v>#N/A</v>
      </c>
      <c r="T171" s="465"/>
      <c r="U171" s="185"/>
      <c r="V171" s="185"/>
      <c r="W171" s="185"/>
      <c r="X171" s="185" t="e">
        <f t="shared" si="63"/>
        <v>#N/A</v>
      </c>
      <c r="Y171" s="465"/>
      <c r="Z171" s="185"/>
      <c r="AA171" s="185"/>
      <c r="AB171" s="185"/>
      <c r="AC171" s="185" t="e">
        <f t="shared" si="64"/>
        <v>#N/A</v>
      </c>
      <c r="AD171" s="465"/>
      <c r="AE171" s="185"/>
      <c r="AF171" s="185"/>
      <c r="AG171" s="185"/>
      <c r="AH171" s="185" t="e">
        <f t="shared" si="65"/>
        <v>#N/A</v>
      </c>
      <c r="AI171" s="465"/>
      <c r="AJ171" s="185"/>
      <c r="AK171" s="185"/>
      <c r="AL171" s="185"/>
      <c r="AM171" s="185" t="e">
        <f t="shared" si="66"/>
        <v>#N/A</v>
      </c>
      <c r="AN171" s="465"/>
      <c r="AO171" s="185"/>
      <c r="AP171" s="185"/>
      <c r="AQ171" s="185"/>
      <c r="AR171" s="185" t="e">
        <f t="shared" si="67"/>
        <v>#N/A</v>
      </c>
      <c r="AS171" s="465"/>
      <c r="AT171" s="185"/>
      <c r="AU171" s="185"/>
      <c r="AV171" s="185"/>
      <c r="AW171" s="185" t="e">
        <f t="shared" si="68"/>
        <v>#N/A</v>
      </c>
      <c r="AX171" s="465"/>
    </row>
    <row r="172" spans="2:50">
      <c r="B172" s="471"/>
      <c r="C172" s="185">
        <v>26</v>
      </c>
      <c r="D172" s="185"/>
      <c r="E172" s="185"/>
      <c r="F172" s="185"/>
      <c r="G172" s="185"/>
      <c r="H172" s="465"/>
      <c r="I172" s="185"/>
      <c r="J172" s="185"/>
      <c r="K172" s="185"/>
      <c r="L172" s="452"/>
      <c r="M172" s="169" t="e">
        <f>RANK(K172, K$147:$K$176)</f>
        <v>#DIV/0!</v>
      </c>
      <c r="N172" s="454"/>
      <c r="O172" s="454"/>
      <c r="P172" s="185"/>
      <c r="Q172" s="185"/>
      <c r="R172" s="185"/>
      <c r="S172" s="185" t="e">
        <f t="shared" si="62"/>
        <v>#N/A</v>
      </c>
      <c r="T172" s="465"/>
      <c r="U172" s="185"/>
      <c r="V172" s="185"/>
      <c r="W172" s="185"/>
      <c r="X172" s="185" t="e">
        <f t="shared" si="63"/>
        <v>#N/A</v>
      </c>
      <c r="Y172" s="465"/>
      <c r="Z172" s="185"/>
      <c r="AA172" s="185"/>
      <c r="AB172" s="185"/>
      <c r="AC172" s="185" t="e">
        <f t="shared" si="64"/>
        <v>#N/A</v>
      </c>
      <c r="AD172" s="465"/>
      <c r="AE172" s="185"/>
      <c r="AF172" s="185"/>
      <c r="AG172" s="185"/>
      <c r="AH172" s="185" t="e">
        <f t="shared" si="65"/>
        <v>#N/A</v>
      </c>
      <c r="AI172" s="465"/>
      <c r="AJ172" s="185"/>
      <c r="AK172" s="185"/>
      <c r="AL172" s="185"/>
      <c r="AM172" s="185" t="e">
        <f t="shared" si="66"/>
        <v>#N/A</v>
      </c>
      <c r="AN172" s="465"/>
      <c r="AO172" s="185"/>
      <c r="AP172" s="185"/>
      <c r="AQ172" s="185"/>
      <c r="AR172" s="185" t="e">
        <f t="shared" si="67"/>
        <v>#N/A</v>
      </c>
      <c r="AS172" s="465"/>
      <c r="AT172" s="185"/>
      <c r="AU172" s="185"/>
      <c r="AV172" s="185"/>
      <c r="AW172" s="185" t="e">
        <f t="shared" si="68"/>
        <v>#N/A</v>
      </c>
      <c r="AX172" s="465"/>
    </row>
    <row r="173" spans="2:50">
      <c r="B173" s="471"/>
      <c r="C173" s="185">
        <v>27</v>
      </c>
      <c r="D173" s="185"/>
      <c r="E173" s="185"/>
      <c r="F173" s="185"/>
      <c r="G173" s="185"/>
      <c r="H173" s="465"/>
      <c r="I173" s="185"/>
      <c r="J173" s="185"/>
      <c r="K173" s="185"/>
      <c r="L173" s="452"/>
      <c r="M173" s="169" t="e">
        <f>RANK(K173, K$147:$K$176)</f>
        <v>#DIV/0!</v>
      </c>
      <c r="N173" s="454"/>
      <c r="O173" s="454"/>
      <c r="P173" s="185"/>
      <c r="Q173" s="185"/>
      <c r="R173" s="185"/>
      <c r="S173" s="185" t="e">
        <f t="shared" si="62"/>
        <v>#N/A</v>
      </c>
      <c r="T173" s="465"/>
      <c r="U173" s="185"/>
      <c r="V173" s="185"/>
      <c r="W173" s="185"/>
      <c r="X173" s="185" t="e">
        <f t="shared" si="63"/>
        <v>#N/A</v>
      </c>
      <c r="Y173" s="465"/>
      <c r="Z173" s="185"/>
      <c r="AA173" s="185"/>
      <c r="AB173" s="185"/>
      <c r="AC173" s="185" t="e">
        <f t="shared" si="64"/>
        <v>#N/A</v>
      </c>
      <c r="AD173" s="465"/>
      <c r="AE173" s="185"/>
      <c r="AF173" s="185"/>
      <c r="AG173" s="185"/>
      <c r="AH173" s="185" t="e">
        <f t="shared" si="65"/>
        <v>#N/A</v>
      </c>
      <c r="AI173" s="465"/>
      <c r="AJ173" s="185"/>
      <c r="AK173" s="185"/>
      <c r="AL173" s="185"/>
      <c r="AM173" s="185" t="e">
        <f t="shared" si="66"/>
        <v>#N/A</v>
      </c>
      <c r="AN173" s="465"/>
      <c r="AO173" s="185"/>
      <c r="AP173" s="185"/>
      <c r="AQ173" s="185"/>
      <c r="AR173" s="185" t="e">
        <f t="shared" si="67"/>
        <v>#N/A</v>
      </c>
      <c r="AS173" s="465"/>
      <c r="AT173" s="185"/>
      <c r="AU173" s="185"/>
      <c r="AV173" s="185"/>
      <c r="AW173" s="185" t="e">
        <f t="shared" si="68"/>
        <v>#N/A</v>
      </c>
      <c r="AX173" s="465"/>
    </row>
    <row r="174" spans="2:50">
      <c r="B174" s="471"/>
      <c r="C174" s="185">
        <v>28</v>
      </c>
      <c r="D174" s="185"/>
      <c r="E174" s="185"/>
      <c r="F174" s="185"/>
      <c r="G174" s="185"/>
      <c r="H174" s="465"/>
      <c r="I174" s="185"/>
      <c r="J174" s="185"/>
      <c r="K174" s="185"/>
      <c r="L174" s="452"/>
      <c r="M174" s="169" t="e">
        <f>RANK(K174, K$147:$K$176)</f>
        <v>#DIV/0!</v>
      </c>
      <c r="N174" s="454"/>
      <c r="O174" s="454"/>
      <c r="P174" s="185"/>
      <c r="Q174" s="185"/>
      <c r="R174" s="185"/>
      <c r="S174" s="185" t="e">
        <f t="shared" si="62"/>
        <v>#N/A</v>
      </c>
      <c r="T174" s="465"/>
      <c r="U174" s="185"/>
      <c r="V174" s="185"/>
      <c r="W174" s="185"/>
      <c r="X174" s="185" t="e">
        <f t="shared" si="63"/>
        <v>#N/A</v>
      </c>
      <c r="Y174" s="465"/>
      <c r="Z174" s="185"/>
      <c r="AA174" s="185"/>
      <c r="AB174" s="185"/>
      <c r="AC174" s="185" t="e">
        <f t="shared" si="64"/>
        <v>#N/A</v>
      </c>
      <c r="AD174" s="465"/>
      <c r="AE174" s="185"/>
      <c r="AF174" s="185"/>
      <c r="AG174" s="185"/>
      <c r="AH174" s="185" t="e">
        <f t="shared" si="65"/>
        <v>#N/A</v>
      </c>
      <c r="AI174" s="465"/>
      <c r="AJ174" s="185"/>
      <c r="AK174" s="185"/>
      <c r="AL174" s="185"/>
      <c r="AM174" s="185" t="e">
        <f t="shared" si="66"/>
        <v>#N/A</v>
      </c>
      <c r="AN174" s="465"/>
      <c r="AO174" s="185"/>
      <c r="AP174" s="185"/>
      <c r="AQ174" s="185"/>
      <c r="AR174" s="185" t="e">
        <f t="shared" si="67"/>
        <v>#N/A</v>
      </c>
      <c r="AS174" s="465"/>
      <c r="AT174" s="185"/>
      <c r="AU174" s="185"/>
      <c r="AV174" s="185"/>
      <c r="AW174" s="185" t="e">
        <f t="shared" si="68"/>
        <v>#N/A</v>
      </c>
      <c r="AX174" s="465"/>
    </row>
    <row r="175" spans="2:50">
      <c r="B175" s="471"/>
      <c r="C175" s="185">
        <v>29</v>
      </c>
      <c r="D175" s="185"/>
      <c r="E175" s="185"/>
      <c r="F175" s="185"/>
      <c r="G175" s="185"/>
      <c r="H175" s="465"/>
      <c r="I175" s="185"/>
      <c r="J175" s="185"/>
      <c r="K175" s="185"/>
      <c r="L175" s="452"/>
      <c r="M175" s="169" t="e">
        <f>RANK(K175, K$147:$K$176)</f>
        <v>#DIV/0!</v>
      </c>
      <c r="N175" s="454"/>
      <c r="O175" s="454"/>
      <c r="P175" s="185"/>
      <c r="Q175" s="185"/>
      <c r="R175" s="185"/>
      <c r="S175" s="185" t="e">
        <f t="shared" si="62"/>
        <v>#N/A</v>
      </c>
      <c r="T175" s="465"/>
      <c r="U175" s="185"/>
      <c r="V175" s="185"/>
      <c r="W175" s="185"/>
      <c r="X175" s="185" t="e">
        <f t="shared" si="63"/>
        <v>#N/A</v>
      </c>
      <c r="Y175" s="465"/>
      <c r="Z175" s="185"/>
      <c r="AA175" s="185"/>
      <c r="AB175" s="185"/>
      <c r="AC175" s="185" t="e">
        <f t="shared" si="64"/>
        <v>#N/A</v>
      </c>
      <c r="AD175" s="465"/>
      <c r="AE175" s="185"/>
      <c r="AF175" s="185"/>
      <c r="AG175" s="185"/>
      <c r="AH175" s="185" t="e">
        <f t="shared" si="65"/>
        <v>#N/A</v>
      </c>
      <c r="AI175" s="465"/>
      <c r="AJ175" s="185"/>
      <c r="AK175" s="185"/>
      <c r="AL175" s="185"/>
      <c r="AM175" s="185" t="e">
        <f t="shared" si="66"/>
        <v>#N/A</v>
      </c>
      <c r="AN175" s="465"/>
      <c r="AO175" s="185"/>
      <c r="AP175" s="185"/>
      <c r="AQ175" s="185"/>
      <c r="AR175" s="185" t="e">
        <f t="shared" si="67"/>
        <v>#N/A</v>
      </c>
      <c r="AS175" s="465"/>
      <c r="AT175" s="185"/>
      <c r="AU175" s="185"/>
      <c r="AV175" s="185"/>
      <c r="AW175" s="185" t="e">
        <f t="shared" si="68"/>
        <v>#N/A</v>
      </c>
      <c r="AX175" s="465"/>
    </row>
    <row r="176" spans="2:50">
      <c r="B176" s="471"/>
      <c r="C176" s="185">
        <v>30</v>
      </c>
      <c r="D176" s="185"/>
      <c r="E176" s="185"/>
      <c r="F176" s="185"/>
      <c r="G176" s="185"/>
      <c r="H176" s="466"/>
      <c r="I176" s="185"/>
      <c r="J176" s="185"/>
      <c r="K176" s="185"/>
      <c r="L176" s="453"/>
      <c r="M176" s="169" t="e">
        <f>RANK(K176, K$147:$K$176)</f>
        <v>#DIV/0!</v>
      </c>
      <c r="N176" s="454"/>
      <c r="O176" s="454"/>
      <c r="P176" s="185"/>
      <c r="Q176" s="185"/>
      <c r="R176" s="185"/>
      <c r="S176" s="185" t="e">
        <f t="shared" si="52"/>
        <v>#N/A</v>
      </c>
      <c r="T176" s="466"/>
      <c r="U176" s="185"/>
      <c r="V176" s="185"/>
      <c r="W176" s="185"/>
      <c r="X176" s="185" t="e">
        <f t="shared" si="53"/>
        <v>#N/A</v>
      </c>
      <c r="Y176" s="466"/>
      <c r="Z176" s="185"/>
      <c r="AA176" s="185"/>
      <c r="AB176" s="185"/>
      <c r="AC176" s="185" t="e">
        <f t="shared" si="54"/>
        <v>#N/A</v>
      </c>
      <c r="AD176" s="466"/>
      <c r="AE176" s="185"/>
      <c r="AF176" s="185"/>
      <c r="AG176" s="185"/>
      <c r="AH176" s="185" t="e">
        <f t="shared" si="55"/>
        <v>#N/A</v>
      </c>
      <c r="AI176" s="466"/>
      <c r="AJ176" s="185"/>
      <c r="AK176" s="185"/>
      <c r="AL176" s="185"/>
      <c r="AM176" s="185" t="e">
        <f t="shared" si="56"/>
        <v>#N/A</v>
      </c>
      <c r="AN176" s="466"/>
      <c r="AO176" s="185"/>
      <c r="AP176" s="185"/>
      <c r="AQ176" s="185"/>
      <c r="AR176" s="185" t="e">
        <f t="shared" si="57"/>
        <v>#N/A</v>
      </c>
      <c r="AS176" s="466"/>
      <c r="AT176" s="185"/>
      <c r="AU176" s="185"/>
      <c r="AV176" s="185"/>
      <c r="AW176" s="185" t="e">
        <f t="shared" si="58"/>
        <v>#N/A</v>
      </c>
      <c r="AX176" s="466"/>
    </row>
    <row r="177" spans="2:50" ht="15.75">
      <c r="B177" s="472" t="s">
        <v>201</v>
      </c>
      <c r="C177" s="473"/>
      <c r="D177" s="473"/>
      <c r="E177" s="473"/>
      <c r="F177" s="473"/>
      <c r="G177" s="473"/>
      <c r="H177" s="473"/>
      <c r="I177" s="189"/>
      <c r="J177" s="189"/>
      <c r="K177" s="189"/>
      <c r="L177" s="189"/>
      <c r="M177" s="188"/>
      <c r="N177" s="461" t="s">
        <v>202</v>
      </c>
      <c r="O177" s="461" t="s">
        <v>150</v>
      </c>
      <c r="P177" s="470">
        <f>P142+7</f>
        <v>45993</v>
      </c>
      <c r="Q177" s="471"/>
      <c r="R177" s="471"/>
      <c r="S177" s="471"/>
      <c r="T177" s="471"/>
      <c r="U177" s="467">
        <f>P177+1</f>
        <v>45994</v>
      </c>
      <c r="V177" s="468"/>
      <c r="W177" s="468"/>
      <c r="X177" s="468"/>
      <c r="Y177" s="469"/>
      <c r="Z177" s="467">
        <f>U177+1</f>
        <v>45995</v>
      </c>
      <c r="AA177" s="468"/>
      <c r="AB177" s="468"/>
      <c r="AC177" s="468"/>
      <c r="AD177" s="469"/>
      <c r="AE177" s="467">
        <f>Z177+1</f>
        <v>45996</v>
      </c>
      <c r="AF177" s="468"/>
      <c r="AG177" s="468"/>
      <c r="AH177" s="468"/>
      <c r="AI177" s="469"/>
      <c r="AJ177" s="467">
        <f>AE177+1</f>
        <v>45997</v>
      </c>
      <c r="AK177" s="468"/>
      <c r="AL177" s="468"/>
      <c r="AM177" s="468"/>
      <c r="AN177" s="469"/>
      <c r="AO177" s="467">
        <f>AJ177+1</f>
        <v>45998</v>
      </c>
      <c r="AP177" s="468"/>
      <c r="AQ177" s="468"/>
      <c r="AR177" s="468"/>
      <c r="AS177" s="469"/>
      <c r="AT177" s="467">
        <f>AO177+1</f>
        <v>45999</v>
      </c>
      <c r="AU177" s="468"/>
      <c r="AV177" s="468"/>
      <c r="AW177" s="468"/>
      <c r="AX177" s="469"/>
    </row>
    <row r="178" spans="2:50" ht="15.75">
      <c r="B178" s="474"/>
      <c r="C178" s="474"/>
      <c r="D178" s="474"/>
      <c r="E178" s="474"/>
      <c r="F178" s="474"/>
      <c r="G178" s="474"/>
      <c r="H178" s="474"/>
      <c r="I178" s="187"/>
      <c r="J178" s="187"/>
      <c r="K178" s="187"/>
      <c r="L178" s="187"/>
      <c r="M178" s="182"/>
      <c r="N178" s="463"/>
      <c r="O178" s="463"/>
      <c r="P178" s="470" t="s">
        <v>203</v>
      </c>
      <c r="Q178" s="471"/>
      <c r="R178" s="471"/>
      <c r="S178" s="471"/>
      <c r="T178" s="471"/>
      <c r="U178" s="470" t="s">
        <v>204</v>
      </c>
      <c r="V178" s="471"/>
      <c r="W178" s="471"/>
      <c r="X178" s="471"/>
      <c r="Y178" s="471"/>
      <c r="Z178" s="470" t="s">
        <v>205</v>
      </c>
      <c r="AA178" s="471"/>
      <c r="AB178" s="471"/>
      <c r="AC178" s="471"/>
      <c r="AD178" s="471"/>
      <c r="AE178" s="470" t="s">
        <v>206</v>
      </c>
      <c r="AF178" s="471"/>
      <c r="AG178" s="471"/>
      <c r="AH178" s="471"/>
      <c r="AI178" s="471"/>
      <c r="AJ178" s="470" t="s">
        <v>207</v>
      </c>
      <c r="AK178" s="471"/>
      <c r="AL178" s="471"/>
      <c r="AM178" s="471"/>
      <c r="AN178" s="471"/>
      <c r="AO178" s="470" t="s">
        <v>157</v>
      </c>
      <c r="AP178" s="471"/>
      <c r="AQ178" s="471"/>
      <c r="AR178" s="471"/>
      <c r="AS178" s="471"/>
      <c r="AT178" s="470" t="s">
        <v>208</v>
      </c>
      <c r="AU178" s="471"/>
      <c r="AV178" s="471"/>
      <c r="AW178" s="471"/>
      <c r="AX178" s="471"/>
    </row>
    <row r="179" spans="2:50">
      <c r="B179" s="454" t="s">
        <v>209</v>
      </c>
      <c r="C179" s="454" t="s">
        <v>210</v>
      </c>
      <c r="D179" s="454"/>
      <c r="E179" s="454" t="s">
        <v>211</v>
      </c>
      <c r="F179" s="454"/>
      <c r="G179" s="454"/>
      <c r="H179" s="455" t="s">
        <v>212</v>
      </c>
      <c r="I179" s="454" t="s">
        <v>213</v>
      </c>
      <c r="J179" s="454"/>
      <c r="K179" s="454"/>
      <c r="L179" s="455" t="s">
        <v>212</v>
      </c>
      <c r="M179" s="461" t="s">
        <v>214</v>
      </c>
      <c r="N179" s="454"/>
      <c r="O179" s="454" t="s">
        <v>215</v>
      </c>
      <c r="P179" s="458" t="s">
        <v>216</v>
      </c>
      <c r="Q179" s="459"/>
      <c r="R179" s="459"/>
      <c r="S179" s="460"/>
      <c r="T179" s="454" t="s">
        <v>212</v>
      </c>
      <c r="U179" s="458" t="s">
        <v>216</v>
      </c>
      <c r="V179" s="459"/>
      <c r="W179" s="459"/>
      <c r="X179" s="460"/>
      <c r="Y179" s="454" t="s">
        <v>212</v>
      </c>
      <c r="Z179" s="458" t="s">
        <v>216</v>
      </c>
      <c r="AA179" s="459"/>
      <c r="AB179" s="459"/>
      <c r="AC179" s="460"/>
      <c r="AD179" s="454" t="s">
        <v>212</v>
      </c>
      <c r="AE179" s="458" t="s">
        <v>216</v>
      </c>
      <c r="AF179" s="459"/>
      <c r="AG179" s="459"/>
      <c r="AH179" s="460"/>
      <c r="AI179" s="454" t="s">
        <v>212</v>
      </c>
      <c r="AJ179" s="458" t="s">
        <v>216</v>
      </c>
      <c r="AK179" s="459"/>
      <c r="AL179" s="459"/>
      <c r="AM179" s="460"/>
      <c r="AN179" s="454" t="s">
        <v>212</v>
      </c>
      <c r="AO179" s="458" t="s">
        <v>216</v>
      </c>
      <c r="AP179" s="459"/>
      <c r="AQ179" s="459"/>
      <c r="AR179" s="460"/>
      <c r="AS179" s="454" t="s">
        <v>212</v>
      </c>
      <c r="AT179" s="458" t="s">
        <v>216</v>
      </c>
      <c r="AU179" s="459"/>
      <c r="AV179" s="459"/>
      <c r="AW179" s="460"/>
      <c r="AX179" s="454" t="s">
        <v>212</v>
      </c>
    </row>
    <row r="180" spans="2:50">
      <c r="B180" s="454"/>
      <c r="C180" s="454"/>
      <c r="D180" s="454"/>
      <c r="E180" s="454" t="s">
        <v>217</v>
      </c>
      <c r="F180" s="454"/>
      <c r="G180" s="454"/>
      <c r="H180" s="456"/>
      <c r="I180" s="454" t="s">
        <v>217</v>
      </c>
      <c r="J180" s="454"/>
      <c r="K180" s="454"/>
      <c r="L180" s="456"/>
      <c r="M180" s="462"/>
      <c r="N180" s="454"/>
      <c r="O180" s="454"/>
      <c r="P180" s="458" t="s">
        <v>218</v>
      </c>
      <c r="Q180" s="459"/>
      <c r="R180" s="459"/>
      <c r="S180" s="460"/>
      <c r="T180" s="454"/>
      <c r="U180" s="458" t="s">
        <v>218</v>
      </c>
      <c r="V180" s="459"/>
      <c r="W180" s="459"/>
      <c r="X180" s="460"/>
      <c r="Y180" s="454"/>
      <c r="Z180" s="458" t="s">
        <v>218</v>
      </c>
      <c r="AA180" s="459"/>
      <c r="AB180" s="459"/>
      <c r="AC180" s="460"/>
      <c r="AD180" s="454"/>
      <c r="AE180" s="458" t="s">
        <v>218</v>
      </c>
      <c r="AF180" s="459"/>
      <c r="AG180" s="459"/>
      <c r="AH180" s="460"/>
      <c r="AI180" s="454"/>
      <c r="AJ180" s="458" t="s">
        <v>218</v>
      </c>
      <c r="AK180" s="459"/>
      <c r="AL180" s="459"/>
      <c r="AM180" s="460"/>
      <c r="AN180" s="454"/>
      <c r="AO180" s="458" t="s">
        <v>218</v>
      </c>
      <c r="AP180" s="459"/>
      <c r="AQ180" s="459"/>
      <c r="AR180" s="460"/>
      <c r="AS180" s="454"/>
      <c r="AT180" s="458" t="s">
        <v>218</v>
      </c>
      <c r="AU180" s="459"/>
      <c r="AV180" s="459"/>
      <c r="AW180" s="460"/>
      <c r="AX180" s="454"/>
    </row>
    <row r="181" spans="2:50">
      <c r="B181" s="454"/>
      <c r="C181" s="454"/>
      <c r="D181" s="454"/>
      <c r="E181" s="275" t="s">
        <v>219</v>
      </c>
      <c r="F181" s="275" t="s">
        <v>220</v>
      </c>
      <c r="G181" s="275" t="s">
        <v>221</v>
      </c>
      <c r="H181" s="457"/>
      <c r="I181" s="275" t="s">
        <v>219</v>
      </c>
      <c r="J181" s="275" t="s">
        <v>220</v>
      </c>
      <c r="K181" s="275" t="s">
        <v>221</v>
      </c>
      <c r="L181" s="457"/>
      <c r="M181" s="463"/>
      <c r="N181" s="454"/>
      <c r="O181" s="454"/>
      <c r="P181" s="275" t="s">
        <v>219</v>
      </c>
      <c r="Q181" s="275" t="s">
        <v>220</v>
      </c>
      <c r="R181" s="275" t="s">
        <v>221</v>
      </c>
      <c r="S181" s="275" t="s">
        <v>214</v>
      </c>
      <c r="T181" s="454"/>
      <c r="U181" s="275" t="s">
        <v>219</v>
      </c>
      <c r="V181" s="275" t="s">
        <v>220</v>
      </c>
      <c r="W181" s="275" t="s">
        <v>221</v>
      </c>
      <c r="X181" s="275" t="s">
        <v>214</v>
      </c>
      <c r="Y181" s="454"/>
      <c r="Z181" s="275" t="s">
        <v>219</v>
      </c>
      <c r="AA181" s="275" t="s">
        <v>220</v>
      </c>
      <c r="AB181" s="275" t="s">
        <v>221</v>
      </c>
      <c r="AC181" s="275" t="s">
        <v>214</v>
      </c>
      <c r="AD181" s="454"/>
      <c r="AE181" s="275" t="s">
        <v>219</v>
      </c>
      <c r="AF181" s="275" t="s">
        <v>220</v>
      </c>
      <c r="AG181" s="275" t="s">
        <v>221</v>
      </c>
      <c r="AH181" s="275" t="s">
        <v>214</v>
      </c>
      <c r="AI181" s="454"/>
      <c r="AJ181" s="275" t="s">
        <v>219</v>
      </c>
      <c r="AK181" s="275" t="s">
        <v>220</v>
      </c>
      <c r="AL181" s="275" t="s">
        <v>221</v>
      </c>
      <c r="AM181" s="275" t="s">
        <v>214</v>
      </c>
      <c r="AN181" s="454"/>
      <c r="AO181" s="275" t="s">
        <v>219</v>
      </c>
      <c r="AP181" s="275" t="s">
        <v>220</v>
      </c>
      <c r="AQ181" s="275" t="s">
        <v>221</v>
      </c>
      <c r="AR181" s="275" t="s">
        <v>214</v>
      </c>
      <c r="AS181" s="454"/>
      <c r="AT181" s="275" t="s">
        <v>219</v>
      </c>
      <c r="AU181" s="275" t="s">
        <v>220</v>
      </c>
      <c r="AV181" s="275" t="s">
        <v>221</v>
      </c>
      <c r="AW181" s="275" t="s">
        <v>214</v>
      </c>
      <c r="AX181" s="454"/>
    </row>
    <row r="182" spans="2:50">
      <c r="B182" s="471" t="s">
        <v>222</v>
      </c>
      <c r="C182" s="185">
        <v>1</v>
      </c>
      <c r="D182" s="185"/>
      <c r="E182" s="185"/>
      <c r="F182" s="185"/>
      <c r="G182" s="185"/>
      <c r="H182" s="464" t="e">
        <f>AVERAGE(G182:G211)</f>
        <v>#DIV/0!</v>
      </c>
      <c r="I182" s="169" t="e">
        <f>AVERAGE(P182,U182,Z182,AE182,AJ182,AO182,AT182)</f>
        <v>#DIV/0!</v>
      </c>
      <c r="J182" s="169" t="e">
        <f>AVERAGE(Q182,V182,AA182,AF182,AK182,AP182,AU182)</f>
        <v>#DIV/0!</v>
      </c>
      <c r="K182" s="183" t="e">
        <f>AVERAGE(R182,W182,AB182,AG182,AL182,AQ182,AV182)</f>
        <v>#DIV/0!</v>
      </c>
      <c r="L182" s="451" t="str">
        <f>IFERROR(AVERAGE(K182:K211),"-")</f>
        <v>-</v>
      </c>
      <c r="M182" s="169" t="e">
        <f>RANK(K182, K$182:$K$211)</f>
        <v>#DIV/0!</v>
      </c>
      <c r="N182" s="454"/>
      <c r="O182" s="454"/>
      <c r="P182" s="169"/>
      <c r="Q182" s="169"/>
      <c r="R182" s="183"/>
      <c r="S182" s="185" t="e">
        <f>RANK(R182, R$182:R$211)</f>
        <v>#N/A</v>
      </c>
      <c r="T182" s="464" t="e">
        <f>AVERAGE(R182:R211)</f>
        <v>#DIV/0!</v>
      </c>
      <c r="U182" s="169"/>
      <c r="V182" s="169"/>
      <c r="W182" s="183"/>
      <c r="X182" s="185" t="e">
        <f>RANK(W182, W$182:W$211)</f>
        <v>#N/A</v>
      </c>
      <c r="Y182" s="464" t="e">
        <f>AVERAGE(W182:W211)</f>
        <v>#DIV/0!</v>
      </c>
      <c r="Z182" s="169"/>
      <c r="AA182" s="169"/>
      <c r="AB182" s="183"/>
      <c r="AC182" s="185" t="e">
        <f>RANK(AB182, AB$182:AB$211)</f>
        <v>#N/A</v>
      </c>
      <c r="AD182" s="464" t="e">
        <f>AVERAGE(AB182:AB211)</f>
        <v>#DIV/0!</v>
      </c>
      <c r="AE182" s="169"/>
      <c r="AF182" s="169"/>
      <c r="AG182" s="183"/>
      <c r="AH182" s="185" t="e">
        <f>RANK(AG182, AG$182:AG$211)</f>
        <v>#N/A</v>
      </c>
      <c r="AI182" s="464" t="e">
        <f>AVERAGE(AG182:AG211)</f>
        <v>#DIV/0!</v>
      </c>
      <c r="AJ182" s="169"/>
      <c r="AK182" s="169"/>
      <c r="AL182" s="183"/>
      <c r="AM182" s="185" t="e">
        <f>RANK(AL182, AL$182:AL$211)</f>
        <v>#N/A</v>
      </c>
      <c r="AN182" s="464" t="e">
        <f>AVERAGE(AL182:AL211)</f>
        <v>#DIV/0!</v>
      </c>
      <c r="AO182" s="169"/>
      <c r="AP182" s="169"/>
      <c r="AQ182" s="183"/>
      <c r="AR182" s="185" t="e">
        <f>RANK(AQ182, AQ$182:AQ$211)</f>
        <v>#N/A</v>
      </c>
      <c r="AS182" s="464" t="e">
        <f>AVERAGE(AQ182:AQ211)</f>
        <v>#DIV/0!</v>
      </c>
      <c r="AT182" s="169"/>
      <c r="AU182" s="169"/>
      <c r="AV182" s="183"/>
      <c r="AW182" s="185" t="e">
        <f>RANK(AV182, AV$182:AV$211)</f>
        <v>#N/A</v>
      </c>
      <c r="AX182" s="464" t="e">
        <f>AVERAGE(AV182:AV211)</f>
        <v>#DIV/0!</v>
      </c>
    </row>
    <row r="183" spans="2:50">
      <c r="B183" s="471"/>
      <c r="C183" s="185">
        <v>2</v>
      </c>
      <c r="D183" s="185"/>
      <c r="E183" s="185"/>
      <c r="F183" s="185"/>
      <c r="G183" s="185"/>
      <c r="H183" s="465"/>
      <c r="I183" s="169" t="e">
        <f t="shared" ref="I183:I204" si="75">AVERAGE(P183,U183,Z183,AE183,AJ183,AO183,AT183)</f>
        <v>#DIV/0!</v>
      </c>
      <c r="J183" s="169" t="e">
        <f t="shared" ref="J183:J204" si="76">AVERAGE(Q183,V183,AA183,AF183,AK183,AP183,AU183)</f>
        <v>#DIV/0!</v>
      </c>
      <c r="K183" s="183" t="e">
        <f t="shared" ref="K183:K204" si="77">AVERAGE(R183,W183,AB183,AG183,AL183,AQ183,AV183)</f>
        <v>#DIV/0!</v>
      </c>
      <c r="L183" s="452"/>
      <c r="M183" s="169" t="e">
        <f>RANK(K183, K$182:$K$211)</f>
        <v>#DIV/0!</v>
      </c>
      <c r="N183" s="454"/>
      <c r="O183" s="454"/>
      <c r="P183" s="185"/>
      <c r="Q183" s="169"/>
      <c r="R183" s="183"/>
      <c r="S183" s="185" t="e">
        <f t="shared" ref="S183:S211" si="78">RANK(R183, R$182:R$211)</f>
        <v>#N/A</v>
      </c>
      <c r="T183" s="465"/>
      <c r="U183" s="185"/>
      <c r="V183" s="169"/>
      <c r="W183" s="183"/>
      <c r="X183" s="185" t="e">
        <f t="shared" ref="X183:X211" si="79">RANK(W183, W$182:W$211)</f>
        <v>#N/A</v>
      </c>
      <c r="Y183" s="465"/>
      <c r="Z183" s="185"/>
      <c r="AA183" s="169"/>
      <c r="AB183" s="183"/>
      <c r="AC183" s="185" t="e">
        <f t="shared" ref="AC183:AC211" si="80">RANK(AB183, AB$182:AB$211)</f>
        <v>#N/A</v>
      </c>
      <c r="AD183" s="465"/>
      <c r="AE183" s="185"/>
      <c r="AF183" s="169"/>
      <c r="AG183" s="183"/>
      <c r="AH183" s="185" t="e">
        <f t="shared" ref="AH183:AH211" si="81">RANK(AG183, AG$182:AG$211)</f>
        <v>#N/A</v>
      </c>
      <c r="AI183" s="465"/>
      <c r="AJ183" s="185"/>
      <c r="AK183" s="169"/>
      <c r="AL183" s="183"/>
      <c r="AM183" s="185" t="e">
        <f t="shared" ref="AM183:AM211" si="82">RANK(AL183, AL$182:AL$211)</f>
        <v>#N/A</v>
      </c>
      <c r="AN183" s="465"/>
      <c r="AO183" s="185"/>
      <c r="AP183" s="169"/>
      <c r="AQ183" s="183"/>
      <c r="AR183" s="185" t="e">
        <f t="shared" ref="AR183:AR211" si="83">RANK(AQ183, AQ$182:AQ$211)</f>
        <v>#N/A</v>
      </c>
      <c r="AS183" s="465"/>
      <c r="AT183" s="185"/>
      <c r="AU183" s="169"/>
      <c r="AV183" s="183"/>
      <c r="AW183" s="185" t="e">
        <f t="shared" ref="AW183:AW211" si="84">RANK(AV183, AV$182:AV$211)</f>
        <v>#N/A</v>
      </c>
      <c r="AX183" s="465"/>
    </row>
    <row r="184" spans="2:50">
      <c r="B184" s="471"/>
      <c r="C184" s="185">
        <v>3</v>
      </c>
      <c r="D184" s="185"/>
      <c r="E184" s="185"/>
      <c r="F184" s="185"/>
      <c r="G184" s="185"/>
      <c r="H184" s="465"/>
      <c r="I184" s="169" t="e">
        <f t="shared" si="75"/>
        <v>#DIV/0!</v>
      </c>
      <c r="J184" s="169" t="e">
        <f t="shared" si="76"/>
        <v>#DIV/0!</v>
      </c>
      <c r="K184" s="183" t="e">
        <f t="shared" si="77"/>
        <v>#DIV/0!</v>
      </c>
      <c r="L184" s="452"/>
      <c r="M184" s="169" t="e">
        <f>RANK(K184, K$182:$K$211)</f>
        <v>#DIV/0!</v>
      </c>
      <c r="N184" s="454"/>
      <c r="O184" s="454"/>
      <c r="P184" s="185"/>
      <c r="Q184" s="169"/>
      <c r="R184" s="183"/>
      <c r="S184" s="185" t="e">
        <f t="shared" si="78"/>
        <v>#N/A</v>
      </c>
      <c r="T184" s="465"/>
      <c r="U184" s="185"/>
      <c r="V184" s="169"/>
      <c r="W184" s="183"/>
      <c r="X184" s="185" t="e">
        <f t="shared" si="79"/>
        <v>#N/A</v>
      </c>
      <c r="Y184" s="465"/>
      <c r="Z184" s="185"/>
      <c r="AA184" s="169"/>
      <c r="AB184" s="183"/>
      <c r="AC184" s="185" t="e">
        <f t="shared" si="80"/>
        <v>#N/A</v>
      </c>
      <c r="AD184" s="465"/>
      <c r="AE184" s="185"/>
      <c r="AF184" s="169"/>
      <c r="AG184" s="183"/>
      <c r="AH184" s="185" t="e">
        <f t="shared" si="81"/>
        <v>#N/A</v>
      </c>
      <c r="AI184" s="465"/>
      <c r="AJ184" s="185"/>
      <c r="AK184" s="169"/>
      <c r="AL184" s="183"/>
      <c r="AM184" s="185" t="e">
        <f t="shared" si="82"/>
        <v>#N/A</v>
      </c>
      <c r="AN184" s="465"/>
      <c r="AO184" s="185"/>
      <c r="AP184" s="169"/>
      <c r="AQ184" s="183"/>
      <c r="AR184" s="185" t="e">
        <f t="shared" si="83"/>
        <v>#N/A</v>
      </c>
      <c r="AS184" s="465"/>
      <c r="AT184" s="185"/>
      <c r="AU184" s="169"/>
      <c r="AV184" s="183"/>
      <c r="AW184" s="185" t="e">
        <f t="shared" si="84"/>
        <v>#N/A</v>
      </c>
      <c r="AX184" s="465"/>
    </row>
    <row r="185" spans="2:50">
      <c r="B185" s="471"/>
      <c r="C185" s="185">
        <v>4</v>
      </c>
      <c r="D185" s="185"/>
      <c r="E185" s="185"/>
      <c r="F185" s="185"/>
      <c r="G185" s="185"/>
      <c r="H185" s="465"/>
      <c r="I185" s="169" t="e">
        <f t="shared" si="75"/>
        <v>#DIV/0!</v>
      </c>
      <c r="J185" s="169" t="e">
        <f t="shared" si="76"/>
        <v>#DIV/0!</v>
      </c>
      <c r="K185" s="183" t="e">
        <f t="shared" si="77"/>
        <v>#DIV/0!</v>
      </c>
      <c r="L185" s="452"/>
      <c r="M185" s="169" t="e">
        <f>RANK(K185, K$182:$K$211)</f>
        <v>#DIV/0!</v>
      </c>
      <c r="N185" s="454"/>
      <c r="O185" s="454"/>
      <c r="P185" s="185"/>
      <c r="Q185" s="169"/>
      <c r="R185" s="183"/>
      <c r="S185" s="185" t="e">
        <f t="shared" si="78"/>
        <v>#N/A</v>
      </c>
      <c r="T185" s="465"/>
      <c r="U185" s="185"/>
      <c r="V185" s="169"/>
      <c r="W185" s="183"/>
      <c r="X185" s="185" t="e">
        <f t="shared" si="79"/>
        <v>#N/A</v>
      </c>
      <c r="Y185" s="465"/>
      <c r="Z185" s="185"/>
      <c r="AA185" s="169"/>
      <c r="AB185" s="183"/>
      <c r="AC185" s="185" t="e">
        <f t="shared" si="80"/>
        <v>#N/A</v>
      </c>
      <c r="AD185" s="465"/>
      <c r="AE185" s="185"/>
      <c r="AF185" s="169"/>
      <c r="AG185" s="183"/>
      <c r="AH185" s="185" t="e">
        <f t="shared" si="81"/>
        <v>#N/A</v>
      </c>
      <c r="AI185" s="465"/>
      <c r="AJ185" s="185"/>
      <c r="AK185" s="169"/>
      <c r="AL185" s="183"/>
      <c r="AM185" s="185" t="e">
        <f t="shared" si="82"/>
        <v>#N/A</v>
      </c>
      <c r="AN185" s="465"/>
      <c r="AO185" s="185"/>
      <c r="AP185" s="169"/>
      <c r="AQ185" s="183"/>
      <c r="AR185" s="185" t="e">
        <f t="shared" si="83"/>
        <v>#N/A</v>
      </c>
      <c r="AS185" s="465"/>
      <c r="AT185" s="185"/>
      <c r="AU185" s="169"/>
      <c r="AV185" s="183"/>
      <c r="AW185" s="185" t="e">
        <f t="shared" si="84"/>
        <v>#N/A</v>
      </c>
      <c r="AX185" s="465"/>
    </row>
    <row r="186" spans="2:50">
      <c r="B186" s="471"/>
      <c r="C186" s="185">
        <v>5</v>
      </c>
      <c r="D186" s="185"/>
      <c r="E186" s="185"/>
      <c r="F186" s="185"/>
      <c r="G186" s="185"/>
      <c r="H186" s="465"/>
      <c r="I186" s="169" t="e">
        <f t="shared" si="75"/>
        <v>#DIV/0!</v>
      </c>
      <c r="J186" s="169" t="e">
        <f t="shared" si="76"/>
        <v>#DIV/0!</v>
      </c>
      <c r="K186" s="183" t="e">
        <f t="shared" si="77"/>
        <v>#DIV/0!</v>
      </c>
      <c r="L186" s="452"/>
      <c r="M186" s="169" t="e">
        <f>RANK(K186, K$182:$K$211)</f>
        <v>#DIV/0!</v>
      </c>
      <c r="N186" s="454"/>
      <c r="O186" s="454"/>
      <c r="P186" s="185"/>
      <c r="Q186" s="169"/>
      <c r="R186" s="183"/>
      <c r="S186" s="185" t="e">
        <f t="shared" si="78"/>
        <v>#N/A</v>
      </c>
      <c r="T186" s="465"/>
      <c r="U186" s="185"/>
      <c r="V186" s="169"/>
      <c r="W186" s="183"/>
      <c r="X186" s="185" t="e">
        <f t="shared" si="79"/>
        <v>#N/A</v>
      </c>
      <c r="Y186" s="465"/>
      <c r="Z186" s="185"/>
      <c r="AA186" s="169"/>
      <c r="AB186" s="183"/>
      <c r="AC186" s="185" t="e">
        <f t="shared" si="80"/>
        <v>#N/A</v>
      </c>
      <c r="AD186" s="465"/>
      <c r="AE186" s="185"/>
      <c r="AF186" s="169"/>
      <c r="AG186" s="183"/>
      <c r="AH186" s="185" t="e">
        <f t="shared" si="81"/>
        <v>#N/A</v>
      </c>
      <c r="AI186" s="465"/>
      <c r="AJ186" s="185"/>
      <c r="AK186" s="169"/>
      <c r="AL186" s="183"/>
      <c r="AM186" s="185" t="e">
        <f t="shared" si="82"/>
        <v>#N/A</v>
      </c>
      <c r="AN186" s="465"/>
      <c r="AO186" s="185"/>
      <c r="AP186" s="169"/>
      <c r="AQ186" s="183"/>
      <c r="AR186" s="185" t="e">
        <f t="shared" si="83"/>
        <v>#N/A</v>
      </c>
      <c r="AS186" s="465"/>
      <c r="AT186" s="185"/>
      <c r="AU186" s="169"/>
      <c r="AV186" s="183"/>
      <c r="AW186" s="185" t="e">
        <f t="shared" si="84"/>
        <v>#N/A</v>
      </c>
      <c r="AX186" s="465"/>
    </row>
    <row r="187" spans="2:50">
      <c r="B187" s="471"/>
      <c r="C187" s="185">
        <v>6</v>
      </c>
      <c r="D187" s="185"/>
      <c r="E187" s="185"/>
      <c r="F187" s="185"/>
      <c r="G187" s="185"/>
      <c r="H187" s="465"/>
      <c r="I187" s="169" t="e">
        <f t="shared" si="75"/>
        <v>#DIV/0!</v>
      </c>
      <c r="J187" s="169" t="e">
        <f t="shared" si="76"/>
        <v>#DIV/0!</v>
      </c>
      <c r="K187" s="183" t="e">
        <f t="shared" si="77"/>
        <v>#DIV/0!</v>
      </c>
      <c r="L187" s="452"/>
      <c r="M187" s="169" t="e">
        <f>RANK(K187, K$182:$K$211)</f>
        <v>#DIV/0!</v>
      </c>
      <c r="N187" s="454"/>
      <c r="O187" s="454"/>
      <c r="P187" s="185"/>
      <c r="Q187" s="169"/>
      <c r="R187" s="183"/>
      <c r="S187" s="185" t="e">
        <f t="shared" si="78"/>
        <v>#N/A</v>
      </c>
      <c r="T187" s="465"/>
      <c r="U187" s="185"/>
      <c r="V187" s="169"/>
      <c r="W187" s="183"/>
      <c r="X187" s="185" t="e">
        <f t="shared" si="79"/>
        <v>#N/A</v>
      </c>
      <c r="Y187" s="465"/>
      <c r="Z187" s="185"/>
      <c r="AA187" s="169"/>
      <c r="AB187" s="183"/>
      <c r="AC187" s="185" t="e">
        <f t="shared" si="80"/>
        <v>#N/A</v>
      </c>
      <c r="AD187" s="465"/>
      <c r="AE187" s="185"/>
      <c r="AF187" s="169"/>
      <c r="AG187" s="183"/>
      <c r="AH187" s="185" t="e">
        <f t="shared" si="81"/>
        <v>#N/A</v>
      </c>
      <c r="AI187" s="465"/>
      <c r="AJ187" s="185"/>
      <c r="AK187" s="169"/>
      <c r="AL187" s="183"/>
      <c r="AM187" s="185" t="e">
        <f t="shared" si="82"/>
        <v>#N/A</v>
      </c>
      <c r="AN187" s="465"/>
      <c r="AO187" s="185"/>
      <c r="AP187" s="169"/>
      <c r="AQ187" s="183"/>
      <c r="AR187" s="185" t="e">
        <f t="shared" si="83"/>
        <v>#N/A</v>
      </c>
      <c r="AS187" s="465"/>
      <c r="AT187" s="185"/>
      <c r="AU187" s="169"/>
      <c r="AV187" s="183"/>
      <c r="AW187" s="185" t="e">
        <f t="shared" si="84"/>
        <v>#N/A</v>
      </c>
      <c r="AX187" s="465"/>
    </row>
    <row r="188" spans="2:50">
      <c r="B188" s="471"/>
      <c r="C188" s="185">
        <v>7</v>
      </c>
      <c r="D188" s="185"/>
      <c r="E188" s="185"/>
      <c r="F188" s="185"/>
      <c r="G188" s="185"/>
      <c r="H188" s="465"/>
      <c r="I188" s="169" t="e">
        <f t="shared" si="75"/>
        <v>#DIV/0!</v>
      </c>
      <c r="J188" s="169" t="e">
        <f t="shared" si="76"/>
        <v>#DIV/0!</v>
      </c>
      <c r="K188" s="183" t="e">
        <f t="shared" si="77"/>
        <v>#DIV/0!</v>
      </c>
      <c r="L188" s="452"/>
      <c r="M188" s="169" t="e">
        <f>RANK(K188, K$182:$K$211)</f>
        <v>#DIV/0!</v>
      </c>
      <c r="N188" s="454"/>
      <c r="O188" s="454"/>
      <c r="P188" s="185"/>
      <c r="Q188" s="169"/>
      <c r="R188" s="183"/>
      <c r="S188" s="185" t="e">
        <f t="shared" si="78"/>
        <v>#N/A</v>
      </c>
      <c r="T188" s="465"/>
      <c r="U188" s="185"/>
      <c r="V188" s="169"/>
      <c r="W188" s="183"/>
      <c r="X188" s="185" t="e">
        <f t="shared" si="79"/>
        <v>#N/A</v>
      </c>
      <c r="Y188" s="465"/>
      <c r="Z188" s="185"/>
      <c r="AA188" s="169"/>
      <c r="AB188" s="183"/>
      <c r="AC188" s="185" t="e">
        <f t="shared" si="80"/>
        <v>#N/A</v>
      </c>
      <c r="AD188" s="465"/>
      <c r="AE188" s="185"/>
      <c r="AF188" s="169"/>
      <c r="AG188" s="183"/>
      <c r="AH188" s="185" t="e">
        <f t="shared" si="81"/>
        <v>#N/A</v>
      </c>
      <c r="AI188" s="465"/>
      <c r="AJ188" s="185"/>
      <c r="AK188" s="169"/>
      <c r="AL188" s="183"/>
      <c r="AM188" s="185" t="e">
        <f t="shared" si="82"/>
        <v>#N/A</v>
      </c>
      <c r="AN188" s="465"/>
      <c r="AO188" s="185"/>
      <c r="AP188" s="169"/>
      <c r="AQ188" s="183"/>
      <c r="AR188" s="185" t="e">
        <f t="shared" si="83"/>
        <v>#N/A</v>
      </c>
      <c r="AS188" s="465"/>
      <c r="AT188" s="185"/>
      <c r="AU188" s="169"/>
      <c r="AV188" s="183"/>
      <c r="AW188" s="185" t="e">
        <f t="shared" si="84"/>
        <v>#N/A</v>
      </c>
      <c r="AX188" s="465"/>
    </row>
    <row r="189" spans="2:50">
      <c r="B189" s="471"/>
      <c r="C189" s="185">
        <v>8</v>
      </c>
      <c r="D189" s="185"/>
      <c r="E189" s="185"/>
      <c r="F189" s="185"/>
      <c r="G189" s="185"/>
      <c r="H189" s="465"/>
      <c r="I189" s="169" t="e">
        <f t="shared" si="75"/>
        <v>#DIV/0!</v>
      </c>
      <c r="J189" s="169" t="e">
        <f t="shared" si="76"/>
        <v>#DIV/0!</v>
      </c>
      <c r="K189" s="183" t="e">
        <f t="shared" si="77"/>
        <v>#DIV/0!</v>
      </c>
      <c r="L189" s="452"/>
      <c r="M189" s="169" t="e">
        <f>RANK(K189, K$182:$K$211)</f>
        <v>#DIV/0!</v>
      </c>
      <c r="N189" s="454"/>
      <c r="O189" s="454"/>
      <c r="P189" s="185"/>
      <c r="Q189" s="169"/>
      <c r="R189" s="183"/>
      <c r="S189" s="185" t="e">
        <f t="shared" si="78"/>
        <v>#N/A</v>
      </c>
      <c r="T189" s="465"/>
      <c r="U189" s="185"/>
      <c r="V189" s="169"/>
      <c r="W189" s="183"/>
      <c r="X189" s="185" t="e">
        <f t="shared" si="79"/>
        <v>#N/A</v>
      </c>
      <c r="Y189" s="465"/>
      <c r="Z189" s="185"/>
      <c r="AA189" s="169"/>
      <c r="AB189" s="183"/>
      <c r="AC189" s="185" t="e">
        <f t="shared" si="80"/>
        <v>#N/A</v>
      </c>
      <c r="AD189" s="465"/>
      <c r="AE189" s="185"/>
      <c r="AF189" s="169"/>
      <c r="AG189" s="183"/>
      <c r="AH189" s="185" t="e">
        <f t="shared" si="81"/>
        <v>#N/A</v>
      </c>
      <c r="AI189" s="465"/>
      <c r="AJ189" s="185"/>
      <c r="AK189" s="169"/>
      <c r="AL189" s="183"/>
      <c r="AM189" s="185" t="e">
        <f t="shared" si="82"/>
        <v>#N/A</v>
      </c>
      <c r="AN189" s="465"/>
      <c r="AO189" s="185"/>
      <c r="AP189" s="169"/>
      <c r="AQ189" s="183"/>
      <c r="AR189" s="185" t="e">
        <f t="shared" si="83"/>
        <v>#N/A</v>
      </c>
      <c r="AS189" s="465"/>
      <c r="AT189" s="185"/>
      <c r="AU189" s="169"/>
      <c r="AV189" s="183"/>
      <c r="AW189" s="185" t="e">
        <f t="shared" si="84"/>
        <v>#N/A</v>
      </c>
      <c r="AX189" s="465"/>
    </row>
    <row r="190" spans="2:50">
      <c r="B190" s="471"/>
      <c r="C190" s="185">
        <v>9</v>
      </c>
      <c r="D190" s="185"/>
      <c r="E190" s="185"/>
      <c r="F190" s="185"/>
      <c r="G190" s="185"/>
      <c r="H190" s="465"/>
      <c r="I190" s="169" t="e">
        <f t="shared" si="75"/>
        <v>#DIV/0!</v>
      </c>
      <c r="J190" s="169" t="e">
        <f t="shared" si="76"/>
        <v>#DIV/0!</v>
      </c>
      <c r="K190" s="183" t="e">
        <f t="shared" si="77"/>
        <v>#DIV/0!</v>
      </c>
      <c r="L190" s="452"/>
      <c r="M190" s="169" t="e">
        <f>RANK(K190, K$182:$K$211)</f>
        <v>#DIV/0!</v>
      </c>
      <c r="N190" s="454"/>
      <c r="O190" s="454"/>
      <c r="P190" s="185"/>
      <c r="Q190" s="169"/>
      <c r="R190" s="183"/>
      <c r="S190" s="185" t="e">
        <f t="shared" si="78"/>
        <v>#N/A</v>
      </c>
      <c r="T190" s="465"/>
      <c r="U190" s="185"/>
      <c r="V190" s="169"/>
      <c r="W190" s="183"/>
      <c r="X190" s="185" t="e">
        <f t="shared" si="79"/>
        <v>#N/A</v>
      </c>
      <c r="Y190" s="465"/>
      <c r="Z190" s="185"/>
      <c r="AA190" s="169"/>
      <c r="AB190" s="183"/>
      <c r="AC190" s="185" t="e">
        <f t="shared" si="80"/>
        <v>#N/A</v>
      </c>
      <c r="AD190" s="465"/>
      <c r="AE190" s="185"/>
      <c r="AF190" s="169"/>
      <c r="AG190" s="183"/>
      <c r="AH190" s="185" t="e">
        <f t="shared" si="81"/>
        <v>#N/A</v>
      </c>
      <c r="AI190" s="465"/>
      <c r="AJ190" s="185"/>
      <c r="AK190" s="169"/>
      <c r="AL190" s="183"/>
      <c r="AM190" s="185" t="e">
        <f t="shared" si="82"/>
        <v>#N/A</v>
      </c>
      <c r="AN190" s="465"/>
      <c r="AO190" s="185"/>
      <c r="AP190" s="169"/>
      <c r="AQ190" s="183"/>
      <c r="AR190" s="185" t="e">
        <f t="shared" si="83"/>
        <v>#N/A</v>
      </c>
      <c r="AS190" s="465"/>
      <c r="AT190" s="185"/>
      <c r="AU190" s="169"/>
      <c r="AV190" s="183"/>
      <c r="AW190" s="185" t="e">
        <f t="shared" si="84"/>
        <v>#N/A</v>
      </c>
      <c r="AX190" s="465"/>
    </row>
    <row r="191" spans="2:50">
      <c r="B191" s="471"/>
      <c r="C191" s="185">
        <v>10</v>
      </c>
      <c r="D191" s="185"/>
      <c r="E191" s="185"/>
      <c r="F191" s="185"/>
      <c r="G191" s="185"/>
      <c r="H191" s="465"/>
      <c r="I191" s="169" t="e">
        <f t="shared" si="75"/>
        <v>#DIV/0!</v>
      </c>
      <c r="J191" s="169" t="e">
        <f t="shared" si="76"/>
        <v>#DIV/0!</v>
      </c>
      <c r="K191" s="183" t="e">
        <f t="shared" si="77"/>
        <v>#DIV/0!</v>
      </c>
      <c r="L191" s="452"/>
      <c r="M191" s="169" t="e">
        <f>RANK(K191, K$182:$K$211)</f>
        <v>#DIV/0!</v>
      </c>
      <c r="N191" s="454"/>
      <c r="O191" s="454"/>
      <c r="P191" s="185"/>
      <c r="Q191" s="169"/>
      <c r="R191" s="183"/>
      <c r="S191" s="185" t="e">
        <f t="shared" si="78"/>
        <v>#N/A</v>
      </c>
      <c r="T191" s="465"/>
      <c r="U191" s="185"/>
      <c r="V191" s="169"/>
      <c r="W191" s="183"/>
      <c r="X191" s="185" t="e">
        <f t="shared" si="79"/>
        <v>#N/A</v>
      </c>
      <c r="Y191" s="465"/>
      <c r="Z191" s="185"/>
      <c r="AA191" s="169"/>
      <c r="AB191" s="183"/>
      <c r="AC191" s="185" t="e">
        <f t="shared" si="80"/>
        <v>#N/A</v>
      </c>
      <c r="AD191" s="465"/>
      <c r="AE191" s="185"/>
      <c r="AF191" s="169"/>
      <c r="AG191" s="183"/>
      <c r="AH191" s="185" t="e">
        <f t="shared" si="81"/>
        <v>#N/A</v>
      </c>
      <c r="AI191" s="465"/>
      <c r="AJ191" s="185"/>
      <c r="AK191" s="169"/>
      <c r="AL191" s="183"/>
      <c r="AM191" s="185" t="e">
        <f t="shared" si="82"/>
        <v>#N/A</v>
      </c>
      <c r="AN191" s="465"/>
      <c r="AO191" s="185"/>
      <c r="AP191" s="169"/>
      <c r="AQ191" s="183"/>
      <c r="AR191" s="185" t="e">
        <f t="shared" si="83"/>
        <v>#N/A</v>
      </c>
      <c r="AS191" s="465"/>
      <c r="AT191" s="185"/>
      <c r="AU191" s="169"/>
      <c r="AV191" s="183"/>
      <c r="AW191" s="185" t="e">
        <f t="shared" si="84"/>
        <v>#N/A</v>
      </c>
      <c r="AX191" s="465"/>
    </row>
    <row r="192" spans="2:50">
      <c r="B192" s="471"/>
      <c r="C192" s="185">
        <v>11</v>
      </c>
      <c r="D192" s="185"/>
      <c r="E192" s="185"/>
      <c r="F192" s="185"/>
      <c r="G192" s="185"/>
      <c r="H192" s="465"/>
      <c r="I192" s="169" t="e">
        <f t="shared" si="75"/>
        <v>#DIV/0!</v>
      </c>
      <c r="J192" s="169" t="e">
        <f t="shared" si="76"/>
        <v>#DIV/0!</v>
      </c>
      <c r="K192" s="183" t="e">
        <f t="shared" si="77"/>
        <v>#DIV/0!</v>
      </c>
      <c r="L192" s="452"/>
      <c r="M192" s="169" t="e">
        <f>RANK(K192, K$182:$K$211)</f>
        <v>#DIV/0!</v>
      </c>
      <c r="N192" s="454"/>
      <c r="O192" s="454"/>
      <c r="P192" s="185"/>
      <c r="Q192" s="169"/>
      <c r="R192" s="183"/>
      <c r="S192" s="185" t="e">
        <f t="shared" si="78"/>
        <v>#N/A</v>
      </c>
      <c r="T192" s="465"/>
      <c r="U192" s="185"/>
      <c r="V192" s="169"/>
      <c r="W192" s="183"/>
      <c r="X192" s="185" t="e">
        <f t="shared" si="79"/>
        <v>#N/A</v>
      </c>
      <c r="Y192" s="465"/>
      <c r="Z192" s="185"/>
      <c r="AA192" s="169"/>
      <c r="AB192" s="183"/>
      <c r="AC192" s="185" t="e">
        <f t="shared" si="80"/>
        <v>#N/A</v>
      </c>
      <c r="AD192" s="465"/>
      <c r="AE192" s="185"/>
      <c r="AF192" s="169"/>
      <c r="AG192" s="183"/>
      <c r="AH192" s="185" t="e">
        <f t="shared" si="81"/>
        <v>#N/A</v>
      </c>
      <c r="AI192" s="465"/>
      <c r="AJ192" s="185"/>
      <c r="AK192" s="169"/>
      <c r="AL192" s="183"/>
      <c r="AM192" s="185" t="e">
        <f t="shared" si="82"/>
        <v>#N/A</v>
      </c>
      <c r="AN192" s="465"/>
      <c r="AO192" s="185"/>
      <c r="AP192" s="169"/>
      <c r="AQ192" s="183"/>
      <c r="AR192" s="185" t="e">
        <f t="shared" si="83"/>
        <v>#N/A</v>
      </c>
      <c r="AS192" s="465"/>
      <c r="AT192" s="185"/>
      <c r="AU192" s="169"/>
      <c r="AV192" s="183"/>
      <c r="AW192" s="185" t="e">
        <f t="shared" si="84"/>
        <v>#N/A</v>
      </c>
      <c r="AX192" s="465"/>
    </row>
    <row r="193" spans="2:50">
      <c r="B193" s="471"/>
      <c r="C193" s="185">
        <v>12</v>
      </c>
      <c r="D193" s="185"/>
      <c r="E193" s="185"/>
      <c r="F193" s="185"/>
      <c r="G193" s="185"/>
      <c r="H193" s="465"/>
      <c r="I193" s="169" t="e">
        <f t="shared" si="75"/>
        <v>#DIV/0!</v>
      </c>
      <c r="J193" s="169" t="e">
        <f t="shared" si="76"/>
        <v>#DIV/0!</v>
      </c>
      <c r="K193" s="183" t="e">
        <f t="shared" si="77"/>
        <v>#DIV/0!</v>
      </c>
      <c r="L193" s="452"/>
      <c r="M193" s="169" t="e">
        <f>RANK(K193, K$182:$K$211)</f>
        <v>#DIV/0!</v>
      </c>
      <c r="N193" s="454"/>
      <c r="O193" s="454"/>
      <c r="P193" s="185"/>
      <c r="Q193" s="169"/>
      <c r="R193" s="183"/>
      <c r="S193" s="185" t="e">
        <f t="shared" si="78"/>
        <v>#N/A</v>
      </c>
      <c r="T193" s="465"/>
      <c r="U193" s="185"/>
      <c r="V193" s="169"/>
      <c r="W193" s="183"/>
      <c r="X193" s="185" t="e">
        <f t="shared" si="79"/>
        <v>#N/A</v>
      </c>
      <c r="Y193" s="465"/>
      <c r="Z193" s="185"/>
      <c r="AA193" s="169"/>
      <c r="AB193" s="183"/>
      <c r="AC193" s="185" t="e">
        <f t="shared" si="80"/>
        <v>#N/A</v>
      </c>
      <c r="AD193" s="465"/>
      <c r="AE193" s="185"/>
      <c r="AF193" s="169"/>
      <c r="AG193" s="183"/>
      <c r="AH193" s="185" t="e">
        <f t="shared" si="81"/>
        <v>#N/A</v>
      </c>
      <c r="AI193" s="465"/>
      <c r="AJ193" s="185"/>
      <c r="AK193" s="169"/>
      <c r="AL193" s="183"/>
      <c r="AM193" s="185" t="e">
        <f t="shared" si="82"/>
        <v>#N/A</v>
      </c>
      <c r="AN193" s="465"/>
      <c r="AO193" s="185"/>
      <c r="AP193" s="169"/>
      <c r="AQ193" s="183"/>
      <c r="AR193" s="185" t="e">
        <f t="shared" si="83"/>
        <v>#N/A</v>
      </c>
      <c r="AS193" s="465"/>
      <c r="AT193" s="185"/>
      <c r="AU193" s="169"/>
      <c r="AV193" s="183"/>
      <c r="AW193" s="185" t="e">
        <f t="shared" si="84"/>
        <v>#N/A</v>
      </c>
      <c r="AX193" s="465"/>
    </row>
    <row r="194" spans="2:50">
      <c r="B194" s="471"/>
      <c r="C194" s="185">
        <v>13</v>
      </c>
      <c r="D194" s="185"/>
      <c r="E194" s="185"/>
      <c r="F194" s="185"/>
      <c r="G194" s="185"/>
      <c r="H194" s="465"/>
      <c r="I194" s="169" t="e">
        <f t="shared" si="75"/>
        <v>#DIV/0!</v>
      </c>
      <c r="J194" s="169" t="e">
        <f t="shared" si="76"/>
        <v>#DIV/0!</v>
      </c>
      <c r="K194" s="183" t="e">
        <f t="shared" si="77"/>
        <v>#DIV/0!</v>
      </c>
      <c r="L194" s="452"/>
      <c r="M194" s="169" t="e">
        <f>RANK(K194, K$182:$K$211)</f>
        <v>#DIV/0!</v>
      </c>
      <c r="N194" s="454"/>
      <c r="O194" s="454"/>
      <c r="P194" s="185"/>
      <c r="Q194" s="169"/>
      <c r="R194" s="183"/>
      <c r="S194" s="185" t="e">
        <f t="shared" si="78"/>
        <v>#N/A</v>
      </c>
      <c r="T194" s="465"/>
      <c r="U194" s="185"/>
      <c r="V194" s="169"/>
      <c r="W194" s="183"/>
      <c r="X194" s="185" t="e">
        <f t="shared" si="79"/>
        <v>#N/A</v>
      </c>
      <c r="Y194" s="465"/>
      <c r="Z194" s="185"/>
      <c r="AA194" s="169"/>
      <c r="AB194" s="183"/>
      <c r="AC194" s="185" t="e">
        <f t="shared" si="80"/>
        <v>#N/A</v>
      </c>
      <c r="AD194" s="465"/>
      <c r="AE194" s="185"/>
      <c r="AF194" s="169"/>
      <c r="AG194" s="183"/>
      <c r="AH194" s="185" t="e">
        <f t="shared" si="81"/>
        <v>#N/A</v>
      </c>
      <c r="AI194" s="465"/>
      <c r="AJ194" s="185"/>
      <c r="AK194" s="169"/>
      <c r="AL194" s="183"/>
      <c r="AM194" s="185" t="e">
        <f t="shared" si="82"/>
        <v>#N/A</v>
      </c>
      <c r="AN194" s="465"/>
      <c r="AO194" s="185"/>
      <c r="AP194" s="169"/>
      <c r="AQ194" s="183"/>
      <c r="AR194" s="185" t="e">
        <f t="shared" si="83"/>
        <v>#N/A</v>
      </c>
      <c r="AS194" s="465"/>
      <c r="AT194" s="185"/>
      <c r="AU194" s="169"/>
      <c r="AV194" s="183"/>
      <c r="AW194" s="185" t="e">
        <f t="shared" si="84"/>
        <v>#N/A</v>
      </c>
      <c r="AX194" s="465"/>
    </row>
    <row r="195" spans="2:50">
      <c r="B195" s="471"/>
      <c r="C195" s="185">
        <v>14</v>
      </c>
      <c r="D195" s="185"/>
      <c r="E195" s="185"/>
      <c r="F195" s="185"/>
      <c r="G195" s="185"/>
      <c r="H195" s="465"/>
      <c r="I195" s="169" t="e">
        <f t="shared" si="75"/>
        <v>#DIV/0!</v>
      </c>
      <c r="J195" s="169" t="e">
        <f t="shared" si="76"/>
        <v>#DIV/0!</v>
      </c>
      <c r="K195" s="183" t="e">
        <f t="shared" si="77"/>
        <v>#DIV/0!</v>
      </c>
      <c r="L195" s="452"/>
      <c r="M195" s="169" t="e">
        <f>RANK(K195, K$182:$K$211)</f>
        <v>#DIV/0!</v>
      </c>
      <c r="N195" s="454"/>
      <c r="O195" s="454"/>
      <c r="P195" s="185"/>
      <c r="Q195" s="169"/>
      <c r="R195" s="183"/>
      <c r="S195" s="185" t="e">
        <f t="shared" si="78"/>
        <v>#N/A</v>
      </c>
      <c r="T195" s="465"/>
      <c r="U195" s="185"/>
      <c r="V195" s="169"/>
      <c r="W195" s="183"/>
      <c r="X195" s="185" t="e">
        <f t="shared" si="79"/>
        <v>#N/A</v>
      </c>
      <c r="Y195" s="465"/>
      <c r="Z195" s="185"/>
      <c r="AA195" s="169"/>
      <c r="AB195" s="183"/>
      <c r="AC195" s="185" t="e">
        <f t="shared" si="80"/>
        <v>#N/A</v>
      </c>
      <c r="AD195" s="465"/>
      <c r="AE195" s="185"/>
      <c r="AF195" s="169"/>
      <c r="AG195" s="183"/>
      <c r="AH195" s="185" t="e">
        <f t="shared" si="81"/>
        <v>#N/A</v>
      </c>
      <c r="AI195" s="465"/>
      <c r="AJ195" s="185"/>
      <c r="AK195" s="169"/>
      <c r="AL195" s="183"/>
      <c r="AM195" s="185" t="e">
        <f t="shared" si="82"/>
        <v>#N/A</v>
      </c>
      <c r="AN195" s="465"/>
      <c r="AO195" s="185"/>
      <c r="AP195" s="169"/>
      <c r="AQ195" s="183"/>
      <c r="AR195" s="185" t="e">
        <f t="shared" si="83"/>
        <v>#N/A</v>
      </c>
      <c r="AS195" s="465"/>
      <c r="AT195" s="185"/>
      <c r="AU195" s="169"/>
      <c r="AV195" s="183"/>
      <c r="AW195" s="185" t="e">
        <f t="shared" si="84"/>
        <v>#N/A</v>
      </c>
      <c r="AX195" s="465"/>
    </row>
    <row r="196" spans="2:50">
      <c r="B196" s="471"/>
      <c r="C196" s="185">
        <v>15</v>
      </c>
      <c r="D196" s="185"/>
      <c r="E196" s="185"/>
      <c r="F196" s="185"/>
      <c r="G196" s="185"/>
      <c r="H196" s="465"/>
      <c r="I196" s="169" t="e">
        <f t="shared" si="75"/>
        <v>#DIV/0!</v>
      </c>
      <c r="J196" s="169" t="e">
        <f t="shared" si="76"/>
        <v>#DIV/0!</v>
      </c>
      <c r="K196" s="183" t="e">
        <f t="shared" si="77"/>
        <v>#DIV/0!</v>
      </c>
      <c r="L196" s="452"/>
      <c r="M196" s="169" t="e">
        <f>RANK(K196, K$182:$K$211)</f>
        <v>#DIV/0!</v>
      </c>
      <c r="N196" s="454"/>
      <c r="O196" s="454"/>
      <c r="P196" s="185"/>
      <c r="Q196" s="169"/>
      <c r="R196" s="183"/>
      <c r="S196" s="185" t="e">
        <f t="shared" si="78"/>
        <v>#N/A</v>
      </c>
      <c r="T196" s="465"/>
      <c r="U196" s="185"/>
      <c r="V196" s="169"/>
      <c r="W196" s="183"/>
      <c r="X196" s="185" t="e">
        <f t="shared" si="79"/>
        <v>#N/A</v>
      </c>
      <c r="Y196" s="465"/>
      <c r="Z196" s="185"/>
      <c r="AA196" s="169"/>
      <c r="AB196" s="183"/>
      <c r="AC196" s="185" t="e">
        <f t="shared" si="80"/>
        <v>#N/A</v>
      </c>
      <c r="AD196" s="465"/>
      <c r="AE196" s="185"/>
      <c r="AF196" s="169"/>
      <c r="AG196" s="183"/>
      <c r="AH196" s="185" t="e">
        <f t="shared" si="81"/>
        <v>#N/A</v>
      </c>
      <c r="AI196" s="465"/>
      <c r="AJ196" s="185"/>
      <c r="AK196" s="169"/>
      <c r="AL196" s="183"/>
      <c r="AM196" s="185" t="e">
        <f t="shared" si="82"/>
        <v>#N/A</v>
      </c>
      <c r="AN196" s="465"/>
      <c r="AO196" s="185"/>
      <c r="AP196" s="169"/>
      <c r="AQ196" s="183"/>
      <c r="AR196" s="185" t="e">
        <f t="shared" si="83"/>
        <v>#N/A</v>
      </c>
      <c r="AS196" s="465"/>
      <c r="AT196" s="185"/>
      <c r="AU196" s="169"/>
      <c r="AV196" s="183"/>
      <c r="AW196" s="185" t="e">
        <f t="shared" si="84"/>
        <v>#N/A</v>
      </c>
      <c r="AX196" s="465"/>
    </row>
    <row r="197" spans="2:50">
      <c r="B197" s="471"/>
      <c r="C197" s="185">
        <v>16</v>
      </c>
      <c r="D197" s="185"/>
      <c r="E197" s="185"/>
      <c r="F197" s="185"/>
      <c r="G197" s="185"/>
      <c r="H197" s="465"/>
      <c r="I197" s="169" t="e">
        <f t="shared" si="75"/>
        <v>#DIV/0!</v>
      </c>
      <c r="J197" s="169" t="e">
        <f t="shared" si="76"/>
        <v>#DIV/0!</v>
      </c>
      <c r="K197" s="183" t="e">
        <f t="shared" si="77"/>
        <v>#DIV/0!</v>
      </c>
      <c r="L197" s="452"/>
      <c r="M197" s="169" t="e">
        <f>RANK(K197, K$182:$K$211)</f>
        <v>#DIV/0!</v>
      </c>
      <c r="N197" s="454"/>
      <c r="O197" s="454"/>
      <c r="P197" s="185"/>
      <c r="Q197" s="169"/>
      <c r="R197" s="183"/>
      <c r="S197" s="185" t="e">
        <f t="shared" si="78"/>
        <v>#N/A</v>
      </c>
      <c r="T197" s="465"/>
      <c r="U197" s="185"/>
      <c r="V197" s="169"/>
      <c r="W197" s="183"/>
      <c r="X197" s="185" t="e">
        <f t="shared" si="79"/>
        <v>#N/A</v>
      </c>
      <c r="Y197" s="465"/>
      <c r="Z197" s="185"/>
      <c r="AA197" s="169"/>
      <c r="AB197" s="183"/>
      <c r="AC197" s="185" t="e">
        <f t="shared" si="80"/>
        <v>#N/A</v>
      </c>
      <c r="AD197" s="465"/>
      <c r="AE197" s="185"/>
      <c r="AF197" s="169"/>
      <c r="AG197" s="183"/>
      <c r="AH197" s="185" t="e">
        <f t="shared" si="81"/>
        <v>#N/A</v>
      </c>
      <c r="AI197" s="465"/>
      <c r="AJ197" s="185"/>
      <c r="AK197" s="169"/>
      <c r="AL197" s="183"/>
      <c r="AM197" s="185" t="e">
        <f t="shared" si="82"/>
        <v>#N/A</v>
      </c>
      <c r="AN197" s="465"/>
      <c r="AO197" s="185"/>
      <c r="AP197" s="169"/>
      <c r="AQ197" s="183"/>
      <c r="AR197" s="185" t="e">
        <f t="shared" si="83"/>
        <v>#N/A</v>
      </c>
      <c r="AS197" s="465"/>
      <c r="AT197" s="185"/>
      <c r="AU197" s="169"/>
      <c r="AV197" s="183"/>
      <c r="AW197" s="185" t="e">
        <f t="shared" si="84"/>
        <v>#N/A</v>
      </c>
      <c r="AX197" s="465"/>
    </row>
    <row r="198" spans="2:50">
      <c r="B198" s="471"/>
      <c r="C198" s="185">
        <v>17</v>
      </c>
      <c r="D198" s="185"/>
      <c r="E198" s="185"/>
      <c r="F198" s="185"/>
      <c r="G198" s="185"/>
      <c r="H198" s="465"/>
      <c r="I198" s="169" t="e">
        <f t="shared" si="75"/>
        <v>#DIV/0!</v>
      </c>
      <c r="J198" s="169" t="e">
        <f t="shared" si="76"/>
        <v>#DIV/0!</v>
      </c>
      <c r="K198" s="183" t="e">
        <f t="shared" si="77"/>
        <v>#DIV/0!</v>
      </c>
      <c r="L198" s="452"/>
      <c r="M198" s="169" t="e">
        <f>RANK(K198, K$182:$K$211)</f>
        <v>#DIV/0!</v>
      </c>
      <c r="N198" s="454"/>
      <c r="O198" s="454"/>
      <c r="P198" s="185"/>
      <c r="Q198" s="169"/>
      <c r="R198" s="183"/>
      <c r="S198" s="185" t="e">
        <f t="shared" si="78"/>
        <v>#N/A</v>
      </c>
      <c r="T198" s="465"/>
      <c r="U198" s="185"/>
      <c r="V198" s="169"/>
      <c r="W198" s="183"/>
      <c r="X198" s="185" t="e">
        <f t="shared" si="79"/>
        <v>#N/A</v>
      </c>
      <c r="Y198" s="465"/>
      <c r="Z198" s="185"/>
      <c r="AA198" s="169"/>
      <c r="AB198" s="183"/>
      <c r="AC198" s="185" t="e">
        <f t="shared" si="80"/>
        <v>#N/A</v>
      </c>
      <c r="AD198" s="465"/>
      <c r="AE198" s="185"/>
      <c r="AF198" s="169"/>
      <c r="AG198" s="183"/>
      <c r="AH198" s="185" t="e">
        <f t="shared" si="81"/>
        <v>#N/A</v>
      </c>
      <c r="AI198" s="465"/>
      <c r="AJ198" s="185"/>
      <c r="AK198" s="169"/>
      <c r="AL198" s="183"/>
      <c r="AM198" s="185" t="e">
        <f t="shared" si="82"/>
        <v>#N/A</v>
      </c>
      <c r="AN198" s="465"/>
      <c r="AO198" s="185"/>
      <c r="AP198" s="169"/>
      <c r="AQ198" s="183"/>
      <c r="AR198" s="185" t="e">
        <f t="shared" si="83"/>
        <v>#N/A</v>
      </c>
      <c r="AS198" s="465"/>
      <c r="AT198" s="185"/>
      <c r="AU198" s="169"/>
      <c r="AV198" s="183"/>
      <c r="AW198" s="185" t="e">
        <f t="shared" si="84"/>
        <v>#N/A</v>
      </c>
      <c r="AX198" s="465"/>
    </row>
    <row r="199" spans="2:50">
      <c r="B199" s="471"/>
      <c r="C199" s="185">
        <v>18</v>
      </c>
      <c r="D199" s="185"/>
      <c r="E199" s="185"/>
      <c r="F199" s="185"/>
      <c r="G199" s="185"/>
      <c r="H199" s="465"/>
      <c r="I199" s="169" t="e">
        <f t="shared" si="75"/>
        <v>#DIV/0!</v>
      </c>
      <c r="J199" s="169" t="e">
        <f t="shared" si="76"/>
        <v>#DIV/0!</v>
      </c>
      <c r="K199" s="183" t="e">
        <f t="shared" si="77"/>
        <v>#DIV/0!</v>
      </c>
      <c r="L199" s="452"/>
      <c r="M199" s="169" t="e">
        <f>RANK(K199, K$182:$K$211)</f>
        <v>#DIV/0!</v>
      </c>
      <c r="N199" s="454"/>
      <c r="O199" s="454"/>
      <c r="P199" s="185"/>
      <c r="Q199" s="169"/>
      <c r="R199" s="183"/>
      <c r="S199" s="185" t="e">
        <f t="shared" si="78"/>
        <v>#N/A</v>
      </c>
      <c r="T199" s="465"/>
      <c r="U199" s="185"/>
      <c r="V199" s="169"/>
      <c r="W199" s="183"/>
      <c r="X199" s="185" t="e">
        <f t="shared" si="79"/>
        <v>#N/A</v>
      </c>
      <c r="Y199" s="465"/>
      <c r="Z199" s="185"/>
      <c r="AA199" s="169"/>
      <c r="AB199" s="183"/>
      <c r="AC199" s="185" t="e">
        <f t="shared" si="80"/>
        <v>#N/A</v>
      </c>
      <c r="AD199" s="465"/>
      <c r="AE199" s="185"/>
      <c r="AF199" s="169"/>
      <c r="AG199" s="183"/>
      <c r="AH199" s="185" t="e">
        <f t="shared" si="81"/>
        <v>#N/A</v>
      </c>
      <c r="AI199" s="465"/>
      <c r="AJ199" s="185"/>
      <c r="AK199" s="169"/>
      <c r="AL199" s="183"/>
      <c r="AM199" s="185" t="e">
        <f t="shared" si="82"/>
        <v>#N/A</v>
      </c>
      <c r="AN199" s="465"/>
      <c r="AO199" s="185"/>
      <c r="AP199" s="169"/>
      <c r="AQ199" s="183"/>
      <c r="AR199" s="185" t="e">
        <f t="shared" si="83"/>
        <v>#N/A</v>
      </c>
      <c r="AS199" s="465"/>
      <c r="AT199" s="185"/>
      <c r="AU199" s="169"/>
      <c r="AV199" s="183"/>
      <c r="AW199" s="185" t="e">
        <f t="shared" si="84"/>
        <v>#N/A</v>
      </c>
      <c r="AX199" s="465"/>
    </row>
    <row r="200" spans="2:50">
      <c r="B200" s="471"/>
      <c r="C200" s="185">
        <v>19</v>
      </c>
      <c r="D200" s="185"/>
      <c r="E200" s="185"/>
      <c r="F200" s="185"/>
      <c r="G200" s="185"/>
      <c r="H200" s="465"/>
      <c r="I200" s="169" t="e">
        <f t="shared" si="75"/>
        <v>#DIV/0!</v>
      </c>
      <c r="J200" s="169" t="e">
        <f t="shared" si="76"/>
        <v>#DIV/0!</v>
      </c>
      <c r="K200" s="183" t="e">
        <f t="shared" si="77"/>
        <v>#DIV/0!</v>
      </c>
      <c r="L200" s="452"/>
      <c r="M200" s="169" t="e">
        <f>RANK(K200, K$182:$K$211)</f>
        <v>#DIV/0!</v>
      </c>
      <c r="N200" s="454"/>
      <c r="O200" s="454"/>
      <c r="P200" s="185"/>
      <c r="Q200" s="169"/>
      <c r="R200" s="183"/>
      <c r="S200" s="185" t="e">
        <f t="shared" si="78"/>
        <v>#N/A</v>
      </c>
      <c r="T200" s="465"/>
      <c r="U200" s="185"/>
      <c r="V200" s="169"/>
      <c r="W200" s="183"/>
      <c r="X200" s="185" t="e">
        <f t="shared" si="79"/>
        <v>#N/A</v>
      </c>
      <c r="Y200" s="465"/>
      <c r="Z200" s="185"/>
      <c r="AA200" s="169"/>
      <c r="AB200" s="183"/>
      <c r="AC200" s="185" t="e">
        <f t="shared" si="80"/>
        <v>#N/A</v>
      </c>
      <c r="AD200" s="465"/>
      <c r="AE200" s="185"/>
      <c r="AF200" s="169"/>
      <c r="AG200" s="183"/>
      <c r="AH200" s="185" t="e">
        <f t="shared" si="81"/>
        <v>#N/A</v>
      </c>
      <c r="AI200" s="465"/>
      <c r="AJ200" s="185"/>
      <c r="AK200" s="169"/>
      <c r="AL200" s="183"/>
      <c r="AM200" s="185" t="e">
        <f t="shared" si="82"/>
        <v>#N/A</v>
      </c>
      <c r="AN200" s="465"/>
      <c r="AO200" s="185"/>
      <c r="AP200" s="169"/>
      <c r="AQ200" s="183"/>
      <c r="AR200" s="185" t="e">
        <f t="shared" si="83"/>
        <v>#N/A</v>
      </c>
      <c r="AS200" s="465"/>
      <c r="AT200" s="185"/>
      <c r="AU200" s="169"/>
      <c r="AV200" s="183"/>
      <c r="AW200" s="185" t="e">
        <f t="shared" si="84"/>
        <v>#N/A</v>
      </c>
      <c r="AX200" s="465"/>
    </row>
    <row r="201" spans="2:50">
      <c r="B201" s="471"/>
      <c r="C201" s="185">
        <v>20</v>
      </c>
      <c r="D201" s="185"/>
      <c r="E201" s="185"/>
      <c r="F201" s="185"/>
      <c r="G201" s="185"/>
      <c r="H201" s="465"/>
      <c r="I201" s="169" t="e">
        <f t="shared" si="75"/>
        <v>#DIV/0!</v>
      </c>
      <c r="J201" s="169" t="e">
        <f t="shared" si="76"/>
        <v>#DIV/0!</v>
      </c>
      <c r="K201" s="183" t="e">
        <f t="shared" si="77"/>
        <v>#DIV/0!</v>
      </c>
      <c r="L201" s="452"/>
      <c r="M201" s="169" t="e">
        <f>RANK(K201, K$182:$K$211)</f>
        <v>#DIV/0!</v>
      </c>
      <c r="N201" s="454"/>
      <c r="O201" s="454"/>
      <c r="P201" s="185"/>
      <c r="Q201" s="169"/>
      <c r="R201" s="183"/>
      <c r="S201" s="185" t="e">
        <f t="shared" si="78"/>
        <v>#N/A</v>
      </c>
      <c r="T201" s="465"/>
      <c r="U201" s="185"/>
      <c r="V201" s="169"/>
      <c r="W201" s="183"/>
      <c r="X201" s="185" t="e">
        <f t="shared" si="79"/>
        <v>#N/A</v>
      </c>
      <c r="Y201" s="465"/>
      <c r="Z201" s="185"/>
      <c r="AA201" s="169"/>
      <c r="AB201" s="183"/>
      <c r="AC201" s="185" t="e">
        <f t="shared" si="80"/>
        <v>#N/A</v>
      </c>
      <c r="AD201" s="465"/>
      <c r="AE201" s="185"/>
      <c r="AF201" s="169"/>
      <c r="AG201" s="183"/>
      <c r="AH201" s="185" t="e">
        <f t="shared" si="81"/>
        <v>#N/A</v>
      </c>
      <c r="AI201" s="465"/>
      <c r="AJ201" s="185"/>
      <c r="AK201" s="169"/>
      <c r="AL201" s="183"/>
      <c r="AM201" s="185" t="e">
        <f t="shared" si="82"/>
        <v>#N/A</v>
      </c>
      <c r="AN201" s="465"/>
      <c r="AO201" s="185"/>
      <c r="AP201" s="169"/>
      <c r="AQ201" s="183"/>
      <c r="AR201" s="185" t="e">
        <f t="shared" si="83"/>
        <v>#N/A</v>
      </c>
      <c r="AS201" s="465"/>
      <c r="AT201" s="185"/>
      <c r="AU201" s="169"/>
      <c r="AV201" s="183"/>
      <c r="AW201" s="185" t="e">
        <f t="shared" si="84"/>
        <v>#N/A</v>
      </c>
      <c r="AX201" s="465"/>
    </row>
    <row r="202" spans="2:50">
      <c r="B202" s="471"/>
      <c r="C202" s="185">
        <v>21</v>
      </c>
      <c r="D202" s="185"/>
      <c r="E202" s="185"/>
      <c r="F202" s="185"/>
      <c r="G202" s="185"/>
      <c r="H202" s="465"/>
      <c r="I202" s="169" t="e">
        <f t="shared" si="75"/>
        <v>#DIV/0!</v>
      </c>
      <c r="J202" s="169" t="e">
        <f t="shared" si="76"/>
        <v>#DIV/0!</v>
      </c>
      <c r="K202" s="183" t="e">
        <f t="shared" si="77"/>
        <v>#DIV/0!</v>
      </c>
      <c r="L202" s="452"/>
      <c r="M202" s="169" t="e">
        <f>RANK(K202, K$182:$K$211)</f>
        <v>#DIV/0!</v>
      </c>
      <c r="N202" s="454"/>
      <c r="O202" s="454"/>
      <c r="P202" s="185"/>
      <c r="Q202" s="169"/>
      <c r="R202" s="183"/>
      <c r="S202" s="185" t="e">
        <f t="shared" si="78"/>
        <v>#N/A</v>
      </c>
      <c r="T202" s="465"/>
      <c r="U202" s="185"/>
      <c r="V202" s="169"/>
      <c r="W202" s="183"/>
      <c r="X202" s="185" t="e">
        <f t="shared" si="79"/>
        <v>#N/A</v>
      </c>
      <c r="Y202" s="465"/>
      <c r="Z202" s="185"/>
      <c r="AA202" s="169"/>
      <c r="AB202" s="183"/>
      <c r="AC202" s="185" t="e">
        <f t="shared" si="80"/>
        <v>#N/A</v>
      </c>
      <c r="AD202" s="465"/>
      <c r="AE202" s="185"/>
      <c r="AF202" s="169"/>
      <c r="AG202" s="183"/>
      <c r="AH202" s="185" t="e">
        <f t="shared" si="81"/>
        <v>#N/A</v>
      </c>
      <c r="AI202" s="465"/>
      <c r="AJ202" s="185"/>
      <c r="AK202" s="169"/>
      <c r="AL202" s="183"/>
      <c r="AM202" s="185" t="e">
        <f t="shared" si="82"/>
        <v>#N/A</v>
      </c>
      <c r="AN202" s="465"/>
      <c r="AO202" s="185"/>
      <c r="AP202" s="169"/>
      <c r="AQ202" s="183"/>
      <c r="AR202" s="185" t="e">
        <f t="shared" si="83"/>
        <v>#N/A</v>
      </c>
      <c r="AS202" s="465"/>
      <c r="AT202" s="185"/>
      <c r="AU202" s="169"/>
      <c r="AV202" s="183"/>
      <c r="AW202" s="185" t="e">
        <f t="shared" si="84"/>
        <v>#N/A</v>
      </c>
      <c r="AX202" s="465"/>
    </row>
    <row r="203" spans="2:50">
      <c r="B203" s="471"/>
      <c r="C203" s="185">
        <v>22</v>
      </c>
      <c r="D203" s="185"/>
      <c r="E203" s="185"/>
      <c r="F203" s="185"/>
      <c r="G203" s="185"/>
      <c r="H203" s="465"/>
      <c r="I203" s="169" t="e">
        <f t="shared" si="75"/>
        <v>#DIV/0!</v>
      </c>
      <c r="J203" s="169" t="e">
        <f t="shared" si="76"/>
        <v>#DIV/0!</v>
      </c>
      <c r="K203" s="183" t="e">
        <f t="shared" si="77"/>
        <v>#DIV/0!</v>
      </c>
      <c r="L203" s="452"/>
      <c r="M203" s="169" t="e">
        <f>RANK(K203, K$182:$K$211)</f>
        <v>#DIV/0!</v>
      </c>
      <c r="N203" s="454"/>
      <c r="O203" s="454"/>
      <c r="P203" s="185"/>
      <c r="Q203" s="169"/>
      <c r="R203" s="183"/>
      <c r="S203" s="185" t="e">
        <f t="shared" si="78"/>
        <v>#N/A</v>
      </c>
      <c r="T203" s="465"/>
      <c r="U203" s="185"/>
      <c r="V203" s="169"/>
      <c r="W203" s="183"/>
      <c r="X203" s="185" t="e">
        <f t="shared" si="79"/>
        <v>#N/A</v>
      </c>
      <c r="Y203" s="465"/>
      <c r="Z203" s="185"/>
      <c r="AA203" s="169"/>
      <c r="AB203" s="183"/>
      <c r="AC203" s="185" t="e">
        <f t="shared" si="80"/>
        <v>#N/A</v>
      </c>
      <c r="AD203" s="465"/>
      <c r="AE203" s="185"/>
      <c r="AF203" s="169"/>
      <c r="AG203" s="183"/>
      <c r="AH203" s="185" t="e">
        <f t="shared" si="81"/>
        <v>#N/A</v>
      </c>
      <c r="AI203" s="465"/>
      <c r="AJ203" s="185"/>
      <c r="AK203" s="169"/>
      <c r="AL203" s="183"/>
      <c r="AM203" s="185" t="e">
        <f t="shared" si="82"/>
        <v>#N/A</v>
      </c>
      <c r="AN203" s="465"/>
      <c r="AO203" s="185"/>
      <c r="AP203" s="169"/>
      <c r="AQ203" s="183"/>
      <c r="AR203" s="185" t="e">
        <f t="shared" si="83"/>
        <v>#N/A</v>
      </c>
      <c r="AS203" s="465"/>
      <c r="AT203" s="185"/>
      <c r="AU203" s="169"/>
      <c r="AV203" s="183"/>
      <c r="AW203" s="185" t="e">
        <f t="shared" si="84"/>
        <v>#N/A</v>
      </c>
      <c r="AX203" s="465"/>
    </row>
    <row r="204" spans="2:50">
      <c r="B204" s="471"/>
      <c r="C204" s="185">
        <v>23</v>
      </c>
      <c r="D204" s="185"/>
      <c r="E204" s="185"/>
      <c r="F204" s="185"/>
      <c r="G204" s="185"/>
      <c r="H204" s="465"/>
      <c r="I204" s="169" t="e">
        <f t="shared" si="75"/>
        <v>#DIV/0!</v>
      </c>
      <c r="J204" s="169" t="e">
        <f t="shared" si="76"/>
        <v>#DIV/0!</v>
      </c>
      <c r="K204" s="183" t="e">
        <f t="shared" si="77"/>
        <v>#DIV/0!</v>
      </c>
      <c r="L204" s="452"/>
      <c r="M204" s="169" t="e">
        <f>RANK(K204, K$182:$K$211)</f>
        <v>#DIV/0!</v>
      </c>
      <c r="N204" s="454"/>
      <c r="O204" s="454"/>
      <c r="P204" s="185"/>
      <c r="Q204" s="169"/>
      <c r="R204" s="183"/>
      <c r="S204" s="185" t="e">
        <f t="shared" si="78"/>
        <v>#N/A</v>
      </c>
      <c r="T204" s="465"/>
      <c r="U204" s="185"/>
      <c r="V204" s="169"/>
      <c r="W204" s="183"/>
      <c r="X204" s="185" t="e">
        <f t="shared" si="79"/>
        <v>#N/A</v>
      </c>
      <c r="Y204" s="465"/>
      <c r="Z204" s="185"/>
      <c r="AA204" s="169"/>
      <c r="AB204" s="183"/>
      <c r="AC204" s="185" t="e">
        <f t="shared" si="80"/>
        <v>#N/A</v>
      </c>
      <c r="AD204" s="465"/>
      <c r="AE204" s="185"/>
      <c r="AF204" s="169"/>
      <c r="AG204" s="183"/>
      <c r="AH204" s="185" t="e">
        <f t="shared" si="81"/>
        <v>#N/A</v>
      </c>
      <c r="AI204" s="465"/>
      <c r="AJ204" s="185"/>
      <c r="AK204" s="169"/>
      <c r="AL204" s="183"/>
      <c r="AM204" s="185" t="e">
        <f t="shared" si="82"/>
        <v>#N/A</v>
      </c>
      <c r="AN204" s="465"/>
      <c r="AO204" s="185"/>
      <c r="AP204" s="169"/>
      <c r="AQ204" s="183"/>
      <c r="AR204" s="185" t="e">
        <f t="shared" si="83"/>
        <v>#N/A</v>
      </c>
      <c r="AS204" s="465"/>
      <c r="AT204" s="185"/>
      <c r="AU204" s="169"/>
      <c r="AV204" s="183"/>
      <c r="AW204" s="185" t="e">
        <f t="shared" si="84"/>
        <v>#N/A</v>
      </c>
      <c r="AX204" s="465"/>
    </row>
    <row r="205" spans="2:50">
      <c r="B205" s="471"/>
      <c r="C205" s="185">
        <v>24</v>
      </c>
      <c r="D205" s="185"/>
      <c r="E205" s="185"/>
      <c r="F205" s="185"/>
      <c r="G205" s="185"/>
      <c r="H205" s="465"/>
      <c r="I205" s="185"/>
      <c r="J205" s="185"/>
      <c r="K205" s="185"/>
      <c r="L205" s="452"/>
      <c r="M205" s="169" t="e">
        <f>RANK(K205, K$182:$K$211)</f>
        <v>#DIV/0!</v>
      </c>
      <c r="N205" s="454"/>
      <c r="O205" s="454"/>
      <c r="P205" s="185"/>
      <c r="Q205" s="169"/>
      <c r="R205" s="183"/>
      <c r="S205" s="185" t="e">
        <f t="shared" si="78"/>
        <v>#N/A</v>
      </c>
      <c r="T205" s="465"/>
      <c r="U205" s="185"/>
      <c r="V205" s="185"/>
      <c r="W205" s="185"/>
      <c r="X205" s="185" t="e">
        <f t="shared" si="79"/>
        <v>#N/A</v>
      </c>
      <c r="Y205" s="465"/>
      <c r="Z205" s="185"/>
      <c r="AA205" s="185"/>
      <c r="AB205" s="185"/>
      <c r="AC205" s="185" t="e">
        <f t="shared" si="80"/>
        <v>#N/A</v>
      </c>
      <c r="AD205" s="465"/>
      <c r="AE205" s="185"/>
      <c r="AF205" s="185"/>
      <c r="AG205" s="185"/>
      <c r="AH205" s="185" t="e">
        <f t="shared" si="81"/>
        <v>#N/A</v>
      </c>
      <c r="AI205" s="465"/>
      <c r="AJ205" s="185"/>
      <c r="AK205" s="185"/>
      <c r="AL205" s="185"/>
      <c r="AM205" s="185" t="e">
        <f t="shared" si="82"/>
        <v>#N/A</v>
      </c>
      <c r="AN205" s="465"/>
      <c r="AO205" s="185"/>
      <c r="AP205" s="185"/>
      <c r="AQ205" s="185"/>
      <c r="AR205" s="185" t="e">
        <f t="shared" si="83"/>
        <v>#N/A</v>
      </c>
      <c r="AS205" s="465"/>
      <c r="AT205" s="185"/>
      <c r="AU205" s="185"/>
      <c r="AV205" s="185"/>
      <c r="AW205" s="185" t="e">
        <f t="shared" si="84"/>
        <v>#N/A</v>
      </c>
      <c r="AX205" s="465"/>
    </row>
    <row r="206" spans="2:50">
      <c r="B206" s="471"/>
      <c r="C206" s="185">
        <v>25</v>
      </c>
      <c r="D206" s="185"/>
      <c r="E206" s="185"/>
      <c r="F206" s="185"/>
      <c r="G206" s="185"/>
      <c r="H206" s="465"/>
      <c r="I206" s="185"/>
      <c r="J206" s="185"/>
      <c r="K206" s="185"/>
      <c r="L206" s="452"/>
      <c r="M206" s="169" t="e">
        <f>RANK(K206, K$182:$K$211)</f>
        <v>#DIV/0!</v>
      </c>
      <c r="N206" s="454"/>
      <c r="O206" s="454"/>
      <c r="P206" s="185"/>
      <c r="Q206" s="185"/>
      <c r="R206" s="185"/>
      <c r="S206" s="185" t="e">
        <f t="shared" si="78"/>
        <v>#N/A</v>
      </c>
      <c r="T206" s="465"/>
      <c r="U206" s="185"/>
      <c r="V206" s="185"/>
      <c r="W206" s="185"/>
      <c r="X206" s="185" t="e">
        <f t="shared" si="79"/>
        <v>#N/A</v>
      </c>
      <c r="Y206" s="465"/>
      <c r="Z206" s="185"/>
      <c r="AA206" s="185"/>
      <c r="AB206" s="185"/>
      <c r="AC206" s="185" t="e">
        <f t="shared" si="80"/>
        <v>#N/A</v>
      </c>
      <c r="AD206" s="465"/>
      <c r="AE206" s="185"/>
      <c r="AF206" s="185"/>
      <c r="AG206" s="185"/>
      <c r="AH206" s="185" t="e">
        <f t="shared" si="81"/>
        <v>#N/A</v>
      </c>
      <c r="AI206" s="465"/>
      <c r="AJ206" s="185"/>
      <c r="AK206" s="185"/>
      <c r="AL206" s="185"/>
      <c r="AM206" s="185" t="e">
        <f t="shared" si="82"/>
        <v>#N/A</v>
      </c>
      <c r="AN206" s="465"/>
      <c r="AO206" s="185"/>
      <c r="AP206" s="185"/>
      <c r="AQ206" s="185"/>
      <c r="AR206" s="185" t="e">
        <f t="shared" si="83"/>
        <v>#N/A</v>
      </c>
      <c r="AS206" s="465"/>
      <c r="AT206" s="185"/>
      <c r="AU206" s="185"/>
      <c r="AV206" s="185"/>
      <c r="AW206" s="185" t="e">
        <f t="shared" si="84"/>
        <v>#N/A</v>
      </c>
      <c r="AX206" s="465"/>
    </row>
    <row r="207" spans="2:50">
      <c r="B207" s="471"/>
      <c r="C207" s="185">
        <v>26</v>
      </c>
      <c r="D207" s="185"/>
      <c r="E207" s="185"/>
      <c r="F207" s="185"/>
      <c r="G207" s="185"/>
      <c r="H207" s="465"/>
      <c r="I207" s="185"/>
      <c r="J207" s="185"/>
      <c r="K207" s="185"/>
      <c r="L207" s="452"/>
      <c r="M207" s="169" t="e">
        <f>RANK(K207, K$182:$K$211)</f>
        <v>#DIV/0!</v>
      </c>
      <c r="N207" s="454"/>
      <c r="O207" s="454"/>
      <c r="P207" s="185"/>
      <c r="Q207" s="185"/>
      <c r="R207" s="185"/>
      <c r="S207" s="185" t="e">
        <f t="shared" si="78"/>
        <v>#N/A</v>
      </c>
      <c r="T207" s="465"/>
      <c r="U207" s="185"/>
      <c r="V207" s="185"/>
      <c r="W207" s="185"/>
      <c r="X207" s="185" t="e">
        <f t="shared" si="79"/>
        <v>#N/A</v>
      </c>
      <c r="Y207" s="465"/>
      <c r="Z207" s="185"/>
      <c r="AA207" s="185"/>
      <c r="AB207" s="185"/>
      <c r="AC207" s="185" t="e">
        <f t="shared" si="80"/>
        <v>#N/A</v>
      </c>
      <c r="AD207" s="465"/>
      <c r="AE207" s="185"/>
      <c r="AF207" s="185"/>
      <c r="AG207" s="185"/>
      <c r="AH207" s="185" t="e">
        <f t="shared" si="81"/>
        <v>#N/A</v>
      </c>
      <c r="AI207" s="465"/>
      <c r="AJ207" s="185"/>
      <c r="AK207" s="185"/>
      <c r="AL207" s="185"/>
      <c r="AM207" s="185" t="e">
        <f t="shared" si="82"/>
        <v>#N/A</v>
      </c>
      <c r="AN207" s="465"/>
      <c r="AO207" s="185"/>
      <c r="AP207" s="185"/>
      <c r="AQ207" s="185"/>
      <c r="AR207" s="185" t="e">
        <f t="shared" si="83"/>
        <v>#N/A</v>
      </c>
      <c r="AS207" s="465"/>
      <c r="AT207" s="185"/>
      <c r="AU207" s="185"/>
      <c r="AV207" s="185"/>
      <c r="AW207" s="185" t="e">
        <f t="shared" si="84"/>
        <v>#N/A</v>
      </c>
      <c r="AX207" s="465"/>
    </row>
    <row r="208" spans="2:50">
      <c r="B208" s="471"/>
      <c r="C208" s="185">
        <v>27</v>
      </c>
      <c r="D208" s="185"/>
      <c r="E208" s="185"/>
      <c r="F208" s="185"/>
      <c r="G208" s="185"/>
      <c r="H208" s="465"/>
      <c r="I208" s="185"/>
      <c r="J208" s="185"/>
      <c r="K208" s="185"/>
      <c r="L208" s="452"/>
      <c r="M208" s="169" t="e">
        <f>RANK(K208, K$182:$K$211)</f>
        <v>#DIV/0!</v>
      </c>
      <c r="N208" s="454"/>
      <c r="O208" s="454"/>
      <c r="P208" s="185"/>
      <c r="Q208" s="185"/>
      <c r="R208" s="185"/>
      <c r="S208" s="185" t="e">
        <f t="shared" si="78"/>
        <v>#N/A</v>
      </c>
      <c r="T208" s="465"/>
      <c r="U208" s="185"/>
      <c r="V208" s="185"/>
      <c r="W208" s="185"/>
      <c r="X208" s="185" t="e">
        <f t="shared" si="79"/>
        <v>#N/A</v>
      </c>
      <c r="Y208" s="465"/>
      <c r="Z208" s="185"/>
      <c r="AA208" s="185"/>
      <c r="AB208" s="185"/>
      <c r="AC208" s="185" t="e">
        <f t="shared" si="80"/>
        <v>#N/A</v>
      </c>
      <c r="AD208" s="465"/>
      <c r="AE208" s="185"/>
      <c r="AF208" s="185"/>
      <c r="AG208" s="185"/>
      <c r="AH208" s="185" t="e">
        <f t="shared" si="81"/>
        <v>#N/A</v>
      </c>
      <c r="AI208" s="465"/>
      <c r="AJ208" s="185"/>
      <c r="AK208" s="185"/>
      <c r="AL208" s="185"/>
      <c r="AM208" s="185" t="e">
        <f t="shared" si="82"/>
        <v>#N/A</v>
      </c>
      <c r="AN208" s="465"/>
      <c r="AO208" s="185"/>
      <c r="AP208" s="185"/>
      <c r="AQ208" s="185"/>
      <c r="AR208" s="185" t="e">
        <f t="shared" si="83"/>
        <v>#N/A</v>
      </c>
      <c r="AS208" s="465"/>
      <c r="AT208" s="185"/>
      <c r="AU208" s="185"/>
      <c r="AV208" s="185"/>
      <c r="AW208" s="185" t="e">
        <f t="shared" si="84"/>
        <v>#N/A</v>
      </c>
      <c r="AX208" s="465"/>
    </row>
    <row r="209" spans="2:50">
      <c r="B209" s="471"/>
      <c r="C209" s="185">
        <v>28</v>
      </c>
      <c r="D209" s="185"/>
      <c r="E209" s="185"/>
      <c r="F209" s="185"/>
      <c r="G209" s="185"/>
      <c r="H209" s="465"/>
      <c r="I209" s="185"/>
      <c r="J209" s="185"/>
      <c r="K209" s="185"/>
      <c r="L209" s="452"/>
      <c r="M209" s="169" t="e">
        <f>RANK(K209, K$182:$K$211)</f>
        <v>#DIV/0!</v>
      </c>
      <c r="N209" s="454"/>
      <c r="O209" s="454"/>
      <c r="P209" s="185"/>
      <c r="Q209" s="185"/>
      <c r="R209" s="185"/>
      <c r="S209" s="185" t="e">
        <f t="shared" si="78"/>
        <v>#N/A</v>
      </c>
      <c r="T209" s="465"/>
      <c r="U209" s="185"/>
      <c r="V209" s="185"/>
      <c r="W209" s="185"/>
      <c r="X209" s="185" t="e">
        <f t="shared" si="79"/>
        <v>#N/A</v>
      </c>
      <c r="Y209" s="465"/>
      <c r="Z209" s="185"/>
      <c r="AA209" s="185"/>
      <c r="AB209" s="185"/>
      <c r="AC209" s="185" t="e">
        <f t="shared" si="80"/>
        <v>#N/A</v>
      </c>
      <c r="AD209" s="465"/>
      <c r="AE209" s="185"/>
      <c r="AF209" s="185"/>
      <c r="AG209" s="185"/>
      <c r="AH209" s="185" t="e">
        <f t="shared" si="81"/>
        <v>#N/A</v>
      </c>
      <c r="AI209" s="465"/>
      <c r="AJ209" s="185"/>
      <c r="AK209" s="185"/>
      <c r="AL209" s="185"/>
      <c r="AM209" s="185" t="e">
        <f t="shared" si="82"/>
        <v>#N/A</v>
      </c>
      <c r="AN209" s="465"/>
      <c r="AO209" s="185"/>
      <c r="AP209" s="185"/>
      <c r="AQ209" s="185"/>
      <c r="AR209" s="185" t="e">
        <f t="shared" si="83"/>
        <v>#N/A</v>
      </c>
      <c r="AS209" s="465"/>
      <c r="AT209" s="185"/>
      <c r="AU209" s="185"/>
      <c r="AV209" s="185"/>
      <c r="AW209" s="185" t="e">
        <f t="shared" si="84"/>
        <v>#N/A</v>
      </c>
      <c r="AX209" s="465"/>
    </row>
    <row r="210" spans="2:50">
      <c r="B210" s="471"/>
      <c r="C210" s="185">
        <v>29</v>
      </c>
      <c r="D210" s="185"/>
      <c r="E210" s="185"/>
      <c r="F210" s="185"/>
      <c r="G210" s="185"/>
      <c r="H210" s="465"/>
      <c r="I210" s="185"/>
      <c r="J210" s="185"/>
      <c r="K210" s="185"/>
      <c r="L210" s="452"/>
      <c r="M210" s="169" t="e">
        <f>RANK(K210, K$182:$K$211)</f>
        <v>#DIV/0!</v>
      </c>
      <c r="N210" s="454"/>
      <c r="O210" s="454"/>
      <c r="P210" s="185"/>
      <c r="Q210" s="185"/>
      <c r="R210" s="185"/>
      <c r="S210" s="185" t="e">
        <f t="shared" si="78"/>
        <v>#N/A</v>
      </c>
      <c r="T210" s="465"/>
      <c r="U210" s="185"/>
      <c r="V210" s="185"/>
      <c r="W210" s="185"/>
      <c r="X210" s="185" t="e">
        <f t="shared" si="79"/>
        <v>#N/A</v>
      </c>
      <c r="Y210" s="465"/>
      <c r="Z210" s="185"/>
      <c r="AA210" s="185"/>
      <c r="AB210" s="185"/>
      <c r="AC210" s="185" t="e">
        <f t="shared" si="80"/>
        <v>#N/A</v>
      </c>
      <c r="AD210" s="465"/>
      <c r="AE210" s="185"/>
      <c r="AF210" s="185"/>
      <c r="AG210" s="185"/>
      <c r="AH210" s="185" t="e">
        <f t="shared" si="81"/>
        <v>#N/A</v>
      </c>
      <c r="AI210" s="465"/>
      <c r="AJ210" s="185"/>
      <c r="AK210" s="185"/>
      <c r="AL210" s="185"/>
      <c r="AM210" s="185" t="e">
        <f t="shared" si="82"/>
        <v>#N/A</v>
      </c>
      <c r="AN210" s="465"/>
      <c r="AO210" s="185"/>
      <c r="AP210" s="185"/>
      <c r="AQ210" s="185"/>
      <c r="AR210" s="185" t="e">
        <f t="shared" si="83"/>
        <v>#N/A</v>
      </c>
      <c r="AS210" s="465"/>
      <c r="AT210" s="185"/>
      <c r="AU210" s="185"/>
      <c r="AV210" s="185"/>
      <c r="AW210" s="185" t="e">
        <f t="shared" si="84"/>
        <v>#N/A</v>
      </c>
      <c r="AX210" s="465"/>
    </row>
    <row r="211" spans="2:50">
      <c r="B211" s="471"/>
      <c r="C211" s="185">
        <v>30</v>
      </c>
      <c r="D211" s="185"/>
      <c r="E211" s="185"/>
      <c r="F211" s="185"/>
      <c r="G211" s="185"/>
      <c r="H211" s="466"/>
      <c r="I211" s="185"/>
      <c r="J211" s="185"/>
      <c r="K211" s="185"/>
      <c r="L211" s="453"/>
      <c r="M211" s="169" t="e">
        <f>RANK(K211, K$182:$K$211)</f>
        <v>#DIV/0!</v>
      </c>
      <c r="N211" s="454"/>
      <c r="O211" s="454"/>
      <c r="P211" s="185"/>
      <c r="Q211" s="185"/>
      <c r="R211" s="185"/>
      <c r="S211" s="185" t="e">
        <f t="shared" si="78"/>
        <v>#N/A</v>
      </c>
      <c r="T211" s="466"/>
      <c r="U211" s="185"/>
      <c r="V211" s="185"/>
      <c r="W211" s="185"/>
      <c r="X211" s="185" t="e">
        <f t="shared" si="79"/>
        <v>#N/A</v>
      </c>
      <c r="Y211" s="466"/>
      <c r="Z211" s="185"/>
      <c r="AA211" s="185"/>
      <c r="AB211" s="185"/>
      <c r="AC211" s="185" t="e">
        <f t="shared" si="80"/>
        <v>#N/A</v>
      </c>
      <c r="AD211" s="466"/>
      <c r="AE211" s="185"/>
      <c r="AF211" s="185"/>
      <c r="AG211" s="185"/>
      <c r="AH211" s="185" t="e">
        <f t="shared" si="81"/>
        <v>#N/A</v>
      </c>
      <c r="AI211" s="466"/>
      <c r="AJ211" s="185"/>
      <c r="AK211" s="185"/>
      <c r="AL211" s="185"/>
      <c r="AM211" s="185" t="e">
        <f t="shared" si="82"/>
        <v>#N/A</v>
      </c>
      <c r="AN211" s="466"/>
      <c r="AO211" s="185"/>
      <c r="AP211" s="185"/>
      <c r="AQ211" s="185"/>
      <c r="AR211" s="185" t="e">
        <f t="shared" si="83"/>
        <v>#N/A</v>
      </c>
      <c r="AS211" s="466"/>
      <c r="AT211" s="185"/>
      <c r="AU211" s="185"/>
      <c r="AV211" s="185"/>
      <c r="AW211" s="185" t="e">
        <f t="shared" si="84"/>
        <v>#N/A</v>
      </c>
      <c r="AX211" s="466"/>
    </row>
    <row r="213" spans="2:50" ht="15.75">
      <c r="B213" s="489" t="s">
        <v>247</v>
      </c>
      <c r="C213" s="490"/>
      <c r="D213" s="490"/>
      <c r="E213" s="490"/>
      <c r="F213" s="490"/>
      <c r="G213" s="490"/>
      <c r="H213" s="490"/>
      <c r="I213" s="291"/>
      <c r="J213" s="291"/>
      <c r="K213" s="291"/>
      <c r="L213" s="291"/>
      <c r="M213" s="292"/>
    </row>
    <row r="214" spans="2:50" ht="15.75">
      <c r="B214" s="491"/>
      <c r="C214" s="491"/>
      <c r="D214" s="491"/>
      <c r="E214" s="491"/>
      <c r="F214" s="491"/>
      <c r="G214" s="491"/>
      <c r="H214" s="491"/>
      <c r="I214" s="293"/>
      <c r="J214" s="293"/>
      <c r="K214" s="293"/>
      <c r="L214" s="293"/>
      <c r="M214" s="294"/>
    </row>
    <row r="215" spans="2:50">
      <c r="B215" s="454" t="s">
        <v>209</v>
      </c>
      <c r="C215" s="454" t="s">
        <v>210</v>
      </c>
      <c r="D215" s="454"/>
      <c r="E215" s="454" t="s">
        <v>211</v>
      </c>
      <c r="F215" s="454"/>
      <c r="G215" s="454"/>
      <c r="H215" s="454" t="s">
        <v>212</v>
      </c>
      <c r="I215" s="492" t="s">
        <v>213</v>
      </c>
      <c r="J215" s="492"/>
      <c r="K215" s="492"/>
      <c r="L215" s="492" t="s">
        <v>212</v>
      </c>
      <c r="M215" s="492" t="s">
        <v>214</v>
      </c>
    </row>
    <row r="216" spans="2:50">
      <c r="B216" s="454"/>
      <c r="C216" s="454"/>
      <c r="D216" s="454"/>
      <c r="E216" s="454" t="s">
        <v>217</v>
      </c>
      <c r="F216" s="454"/>
      <c r="G216" s="454"/>
      <c r="H216" s="454"/>
      <c r="I216" s="492" t="s">
        <v>217</v>
      </c>
      <c r="J216" s="492"/>
      <c r="K216" s="492"/>
      <c r="L216" s="492"/>
      <c r="M216" s="492"/>
    </row>
    <row r="217" spans="2:50">
      <c r="B217" s="454"/>
      <c r="C217" s="454"/>
      <c r="D217" s="454"/>
      <c r="E217" s="275" t="s">
        <v>219</v>
      </c>
      <c r="F217" s="275" t="s">
        <v>220</v>
      </c>
      <c r="G217" s="275" t="s">
        <v>221</v>
      </c>
      <c r="H217" s="454"/>
      <c r="I217" s="295" t="s">
        <v>219</v>
      </c>
      <c r="J217" s="295" t="s">
        <v>220</v>
      </c>
      <c r="K217" s="295" t="s">
        <v>221</v>
      </c>
      <c r="L217" s="492"/>
      <c r="M217" s="492"/>
    </row>
    <row r="218" spans="2:50">
      <c r="B218" s="493" t="s">
        <v>248</v>
      </c>
      <c r="C218" s="185">
        <v>1</v>
      </c>
      <c r="D218" s="185"/>
      <c r="E218" s="185"/>
      <c r="F218" s="185"/>
      <c r="G218" s="185"/>
      <c r="H218" s="494" t="e">
        <f>AVERAGE(G218:G247)</f>
        <v>#DIV/0!</v>
      </c>
      <c r="I218" s="169" t="e">
        <f t="shared" ref="I218:K240" si="85">AVERAGEIF($D$7:$D$211,$D218,I$7:I$211)</f>
        <v>#DIV/0!</v>
      </c>
      <c r="J218" s="169" t="e">
        <f t="shared" si="85"/>
        <v>#DIV/0!</v>
      </c>
      <c r="K218" s="169" t="e">
        <f>AVERAGEIF($D$7:$D$211,$D218,K$7:K$211)</f>
        <v>#DIV/0!</v>
      </c>
      <c r="L218" s="495" t="e">
        <f>AVERAGE(K218:K247)</f>
        <v>#DIV/0!</v>
      </c>
      <c r="M218" s="169" t="e">
        <f>RANK(K218, K$218:$K$247)</f>
        <v>#DIV/0!</v>
      </c>
    </row>
    <row r="219" spans="2:50">
      <c r="B219" s="471"/>
      <c r="C219" s="185">
        <v>2</v>
      </c>
      <c r="D219" s="185"/>
      <c r="E219" s="185"/>
      <c r="F219" s="185"/>
      <c r="G219" s="185"/>
      <c r="H219" s="494"/>
      <c r="I219" s="169" t="e">
        <f t="shared" si="85"/>
        <v>#DIV/0!</v>
      </c>
      <c r="J219" s="169" t="e">
        <f t="shared" si="85"/>
        <v>#DIV/0!</v>
      </c>
      <c r="K219" s="169" t="e">
        <f t="shared" si="85"/>
        <v>#DIV/0!</v>
      </c>
      <c r="L219" s="495"/>
      <c r="M219" s="169" t="e">
        <f>RANK(K219, K$218:$K$247)</f>
        <v>#DIV/0!</v>
      </c>
    </row>
    <row r="220" spans="2:50">
      <c r="B220" s="471"/>
      <c r="C220" s="185">
        <v>3</v>
      </c>
      <c r="D220" s="185"/>
      <c r="E220" s="185"/>
      <c r="F220" s="185"/>
      <c r="G220" s="185"/>
      <c r="H220" s="494"/>
      <c r="I220" s="169" t="e">
        <f t="shared" si="85"/>
        <v>#DIV/0!</v>
      </c>
      <c r="J220" s="169" t="e">
        <f t="shared" si="85"/>
        <v>#DIV/0!</v>
      </c>
      <c r="K220" s="169" t="e">
        <f t="shared" si="85"/>
        <v>#DIV/0!</v>
      </c>
      <c r="L220" s="495"/>
      <c r="M220" s="169" t="e">
        <f>RANK(K220, K$218:$K$247)</f>
        <v>#DIV/0!</v>
      </c>
    </row>
    <row r="221" spans="2:50">
      <c r="B221" s="471"/>
      <c r="C221" s="185">
        <v>4</v>
      </c>
      <c r="D221" s="185"/>
      <c r="E221" s="185"/>
      <c r="F221" s="185"/>
      <c r="G221" s="185"/>
      <c r="H221" s="494"/>
      <c r="I221" s="169" t="e">
        <f t="shared" si="85"/>
        <v>#DIV/0!</v>
      </c>
      <c r="J221" s="169" t="e">
        <f t="shared" si="85"/>
        <v>#DIV/0!</v>
      </c>
      <c r="K221" s="169" t="e">
        <f t="shared" si="85"/>
        <v>#DIV/0!</v>
      </c>
      <c r="L221" s="495"/>
      <c r="M221" s="169" t="e">
        <f>RANK(K221, K$218:$K$247)</f>
        <v>#DIV/0!</v>
      </c>
    </row>
    <row r="222" spans="2:50">
      <c r="B222" s="471"/>
      <c r="C222" s="185">
        <v>5</v>
      </c>
      <c r="D222" s="185"/>
      <c r="E222" s="185"/>
      <c r="F222" s="185"/>
      <c r="G222" s="185"/>
      <c r="H222" s="494"/>
      <c r="I222" s="169" t="e">
        <f t="shared" si="85"/>
        <v>#DIV/0!</v>
      </c>
      <c r="J222" s="169" t="e">
        <f t="shared" si="85"/>
        <v>#DIV/0!</v>
      </c>
      <c r="K222" s="169" t="e">
        <f t="shared" si="85"/>
        <v>#DIV/0!</v>
      </c>
      <c r="L222" s="495"/>
      <c r="M222" s="169" t="e">
        <f>RANK(K222, K$218:$K$247)</f>
        <v>#DIV/0!</v>
      </c>
    </row>
    <row r="223" spans="2:50">
      <c r="B223" s="471"/>
      <c r="C223" s="185">
        <v>6</v>
      </c>
      <c r="D223" s="185"/>
      <c r="E223" s="185"/>
      <c r="F223" s="185"/>
      <c r="G223" s="185"/>
      <c r="H223" s="494"/>
      <c r="I223" s="169" t="e">
        <f t="shared" si="85"/>
        <v>#DIV/0!</v>
      </c>
      <c r="J223" s="169" t="e">
        <f t="shared" si="85"/>
        <v>#DIV/0!</v>
      </c>
      <c r="K223" s="169" t="e">
        <f t="shared" si="85"/>
        <v>#DIV/0!</v>
      </c>
      <c r="L223" s="495"/>
      <c r="M223" s="169" t="e">
        <f>RANK(K223, K$218:$K$247)</f>
        <v>#DIV/0!</v>
      </c>
    </row>
    <row r="224" spans="2:50">
      <c r="B224" s="471"/>
      <c r="C224" s="185">
        <v>7</v>
      </c>
      <c r="D224" s="185"/>
      <c r="E224" s="185"/>
      <c r="F224" s="185"/>
      <c r="G224" s="185"/>
      <c r="H224" s="494"/>
      <c r="I224" s="169" t="e">
        <f t="shared" si="85"/>
        <v>#DIV/0!</v>
      </c>
      <c r="J224" s="169" t="e">
        <f t="shared" si="85"/>
        <v>#DIV/0!</v>
      </c>
      <c r="K224" s="169" t="e">
        <f t="shared" si="85"/>
        <v>#DIV/0!</v>
      </c>
      <c r="L224" s="495"/>
      <c r="M224" s="169" t="e">
        <f>RANK(K224, K$218:$K$247)</f>
        <v>#DIV/0!</v>
      </c>
    </row>
    <row r="225" spans="2:13">
      <c r="B225" s="471"/>
      <c r="C225" s="185">
        <v>8</v>
      </c>
      <c r="D225" s="185"/>
      <c r="E225" s="185"/>
      <c r="F225" s="185"/>
      <c r="G225" s="185"/>
      <c r="H225" s="494"/>
      <c r="I225" s="169" t="e">
        <f t="shared" si="85"/>
        <v>#DIV/0!</v>
      </c>
      <c r="J225" s="169" t="e">
        <f t="shared" si="85"/>
        <v>#DIV/0!</v>
      </c>
      <c r="K225" s="169" t="e">
        <f t="shared" si="85"/>
        <v>#DIV/0!</v>
      </c>
      <c r="L225" s="495"/>
      <c r="M225" s="169" t="e">
        <f>RANK(K225, K$218:$K$247)</f>
        <v>#DIV/0!</v>
      </c>
    </row>
    <row r="226" spans="2:13">
      <c r="B226" s="471"/>
      <c r="C226" s="185">
        <v>9</v>
      </c>
      <c r="D226" s="185"/>
      <c r="E226" s="185"/>
      <c r="F226" s="185"/>
      <c r="G226" s="185"/>
      <c r="H226" s="494"/>
      <c r="I226" s="169" t="e">
        <f t="shared" si="85"/>
        <v>#DIV/0!</v>
      </c>
      <c r="J226" s="169" t="e">
        <f t="shared" si="85"/>
        <v>#DIV/0!</v>
      </c>
      <c r="K226" s="169" t="e">
        <f t="shared" si="85"/>
        <v>#DIV/0!</v>
      </c>
      <c r="L226" s="495"/>
      <c r="M226" s="169" t="e">
        <f>RANK(K226, K$218:$K$247)</f>
        <v>#DIV/0!</v>
      </c>
    </row>
    <row r="227" spans="2:13">
      <c r="B227" s="471"/>
      <c r="C227" s="185">
        <v>10</v>
      </c>
      <c r="D227" s="185"/>
      <c r="E227" s="185"/>
      <c r="F227" s="185"/>
      <c r="G227" s="185"/>
      <c r="H227" s="494"/>
      <c r="I227" s="169" t="e">
        <f t="shared" si="85"/>
        <v>#DIV/0!</v>
      </c>
      <c r="J227" s="169" t="e">
        <f t="shared" si="85"/>
        <v>#DIV/0!</v>
      </c>
      <c r="K227" s="169" t="e">
        <f t="shared" si="85"/>
        <v>#DIV/0!</v>
      </c>
      <c r="L227" s="495"/>
      <c r="M227" s="169" t="e">
        <f>RANK(K227, K$218:$K$247)</f>
        <v>#DIV/0!</v>
      </c>
    </row>
    <row r="228" spans="2:13">
      <c r="B228" s="471"/>
      <c r="C228" s="185">
        <v>11</v>
      </c>
      <c r="D228" s="185"/>
      <c r="E228" s="185"/>
      <c r="F228" s="185"/>
      <c r="G228" s="185"/>
      <c r="H228" s="494"/>
      <c r="I228" s="169" t="e">
        <f t="shared" si="85"/>
        <v>#DIV/0!</v>
      </c>
      <c r="J228" s="169" t="e">
        <f t="shared" si="85"/>
        <v>#DIV/0!</v>
      </c>
      <c r="K228" s="169" t="e">
        <f t="shared" si="85"/>
        <v>#DIV/0!</v>
      </c>
      <c r="L228" s="495"/>
      <c r="M228" s="169" t="e">
        <f>RANK(K228, K$218:$K$247)</f>
        <v>#DIV/0!</v>
      </c>
    </row>
    <row r="229" spans="2:13">
      <c r="B229" s="471"/>
      <c r="C229" s="185">
        <v>12</v>
      </c>
      <c r="D229" s="185"/>
      <c r="E229" s="185"/>
      <c r="F229" s="185"/>
      <c r="G229" s="185"/>
      <c r="H229" s="494"/>
      <c r="I229" s="169" t="e">
        <f t="shared" si="85"/>
        <v>#DIV/0!</v>
      </c>
      <c r="J229" s="169" t="e">
        <f t="shared" si="85"/>
        <v>#DIV/0!</v>
      </c>
      <c r="K229" s="169" t="e">
        <f t="shared" si="85"/>
        <v>#DIV/0!</v>
      </c>
      <c r="L229" s="495"/>
      <c r="M229" s="169" t="e">
        <f>RANK(K229, K$218:$K$247)</f>
        <v>#DIV/0!</v>
      </c>
    </row>
    <row r="230" spans="2:13">
      <c r="B230" s="471"/>
      <c r="C230" s="185">
        <v>13</v>
      </c>
      <c r="D230" s="185"/>
      <c r="E230" s="185"/>
      <c r="F230" s="185"/>
      <c r="G230" s="185"/>
      <c r="H230" s="494"/>
      <c r="I230" s="169" t="e">
        <f t="shared" si="85"/>
        <v>#DIV/0!</v>
      </c>
      <c r="J230" s="169" t="e">
        <f t="shared" si="85"/>
        <v>#DIV/0!</v>
      </c>
      <c r="K230" s="169" t="e">
        <f t="shared" si="85"/>
        <v>#DIV/0!</v>
      </c>
      <c r="L230" s="495"/>
      <c r="M230" s="169" t="e">
        <f>RANK(K230, K$218:$K$247)</f>
        <v>#DIV/0!</v>
      </c>
    </row>
    <row r="231" spans="2:13">
      <c r="B231" s="471"/>
      <c r="C231" s="185">
        <v>14</v>
      </c>
      <c r="D231" s="185"/>
      <c r="E231" s="185"/>
      <c r="F231" s="185"/>
      <c r="G231" s="185"/>
      <c r="H231" s="494"/>
      <c r="I231" s="169" t="e">
        <f t="shared" si="85"/>
        <v>#DIV/0!</v>
      </c>
      <c r="J231" s="169" t="e">
        <f t="shared" si="85"/>
        <v>#DIV/0!</v>
      </c>
      <c r="K231" s="169" t="e">
        <f t="shared" si="85"/>
        <v>#DIV/0!</v>
      </c>
      <c r="L231" s="495"/>
      <c r="M231" s="169" t="e">
        <f>RANK(K231, K$218:$K$247)</f>
        <v>#DIV/0!</v>
      </c>
    </row>
    <row r="232" spans="2:13">
      <c r="B232" s="471"/>
      <c r="C232" s="185">
        <v>15</v>
      </c>
      <c r="D232" s="185"/>
      <c r="E232" s="185"/>
      <c r="F232" s="185"/>
      <c r="G232" s="185"/>
      <c r="H232" s="494"/>
      <c r="I232" s="169" t="e">
        <f t="shared" si="85"/>
        <v>#DIV/0!</v>
      </c>
      <c r="J232" s="169" t="e">
        <f t="shared" si="85"/>
        <v>#DIV/0!</v>
      </c>
      <c r="K232" s="169" t="e">
        <f t="shared" si="85"/>
        <v>#DIV/0!</v>
      </c>
      <c r="L232" s="495"/>
      <c r="M232" s="169" t="e">
        <f>RANK(K232, K$218:$K$247)</f>
        <v>#DIV/0!</v>
      </c>
    </row>
    <row r="233" spans="2:13">
      <c r="B233" s="471"/>
      <c r="C233" s="185">
        <v>16</v>
      </c>
      <c r="D233" s="185"/>
      <c r="E233" s="185"/>
      <c r="F233" s="185"/>
      <c r="G233" s="185"/>
      <c r="H233" s="494"/>
      <c r="I233" s="169" t="e">
        <f t="shared" si="85"/>
        <v>#DIV/0!</v>
      </c>
      <c r="J233" s="169" t="e">
        <f t="shared" si="85"/>
        <v>#DIV/0!</v>
      </c>
      <c r="K233" s="169" t="e">
        <f t="shared" si="85"/>
        <v>#DIV/0!</v>
      </c>
      <c r="L233" s="495"/>
      <c r="M233" s="169" t="e">
        <f>RANK(K233, K$218:$K$247)</f>
        <v>#DIV/0!</v>
      </c>
    </row>
    <row r="234" spans="2:13">
      <c r="B234" s="471"/>
      <c r="C234" s="185">
        <v>17</v>
      </c>
      <c r="D234" s="185"/>
      <c r="E234" s="185"/>
      <c r="F234" s="185"/>
      <c r="G234" s="185"/>
      <c r="H234" s="494"/>
      <c r="I234" s="169" t="e">
        <f t="shared" si="85"/>
        <v>#DIV/0!</v>
      </c>
      <c r="J234" s="169" t="e">
        <f t="shared" si="85"/>
        <v>#DIV/0!</v>
      </c>
      <c r="K234" s="169" t="e">
        <f t="shared" si="85"/>
        <v>#DIV/0!</v>
      </c>
      <c r="L234" s="495"/>
      <c r="M234" s="169" t="e">
        <f>RANK(K234, K$218:$K$247)</f>
        <v>#DIV/0!</v>
      </c>
    </row>
    <row r="235" spans="2:13">
      <c r="B235" s="471"/>
      <c r="C235" s="185">
        <v>18</v>
      </c>
      <c r="D235" s="185"/>
      <c r="E235" s="185"/>
      <c r="F235" s="185"/>
      <c r="G235" s="185"/>
      <c r="H235" s="494"/>
      <c r="I235" s="169" t="e">
        <f t="shared" si="85"/>
        <v>#DIV/0!</v>
      </c>
      <c r="J235" s="169" t="e">
        <f t="shared" si="85"/>
        <v>#DIV/0!</v>
      </c>
      <c r="K235" s="169" t="e">
        <f t="shared" si="85"/>
        <v>#DIV/0!</v>
      </c>
      <c r="L235" s="495"/>
      <c r="M235" s="169" t="e">
        <f>RANK(K235, K$218:$K$247)</f>
        <v>#DIV/0!</v>
      </c>
    </row>
    <row r="236" spans="2:13">
      <c r="B236" s="471"/>
      <c r="C236" s="185">
        <v>19</v>
      </c>
      <c r="D236" s="185"/>
      <c r="E236" s="185"/>
      <c r="F236" s="185"/>
      <c r="G236" s="185"/>
      <c r="H236" s="494"/>
      <c r="I236" s="169" t="e">
        <f t="shared" si="85"/>
        <v>#DIV/0!</v>
      </c>
      <c r="J236" s="169" t="e">
        <f t="shared" si="85"/>
        <v>#DIV/0!</v>
      </c>
      <c r="K236" s="169" t="e">
        <f t="shared" si="85"/>
        <v>#DIV/0!</v>
      </c>
      <c r="L236" s="495"/>
      <c r="M236" s="169" t="e">
        <f>RANK(K236, K$218:$K$247)</f>
        <v>#DIV/0!</v>
      </c>
    </row>
    <row r="237" spans="2:13">
      <c r="B237" s="471"/>
      <c r="C237" s="185">
        <v>20</v>
      </c>
      <c r="D237" s="185"/>
      <c r="E237" s="185"/>
      <c r="F237" s="185"/>
      <c r="G237" s="185"/>
      <c r="H237" s="494"/>
      <c r="I237" s="169" t="e">
        <f t="shared" si="85"/>
        <v>#DIV/0!</v>
      </c>
      <c r="J237" s="169" t="e">
        <f t="shared" si="85"/>
        <v>#DIV/0!</v>
      </c>
      <c r="K237" s="169" t="e">
        <f t="shared" si="85"/>
        <v>#DIV/0!</v>
      </c>
      <c r="L237" s="495"/>
      <c r="M237" s="169" t="e">
        <f>RANK(K237, K$218:$K$247)</f>
        <v>#DIV/0!</v>
      </c>
    </row>
    <row r="238" spans="2:13">
      <c r="B238" s="471"/>
      <c r="C238" s="185">
        <v>21</v>
      </c>
      <c r="D238" s="185"/>
      <c r="E238" s="185"/>
      <c r="F238" s="185"/>
      <c r="G238" s="185"/>
      <c r="H238" s="494"/>
      <c r="I238" s="169" t="e">
        <f t="shared" si="85"/>
        <v>#DIV/0!</v>
      </c>
      <c r="J238" s="169" t="e">
        <f t="shared" si="85"/>
        <v>#DIV/0!</v>
      </c>
      <c r="K238" s="169" t="e">
        <f t="shared" si="85"/>
        <v>#DIV/0!</v>
      </c>
      <c r="L238" s="495"/>
      <c r="M238" s="169" t="e">
        <f>RANK(K238, K$218:$K$247)</f>
        <v>#DIV/0!</v>
      </c>
    </row>
    <row r="239" spans="2:13">
      <c r="B239" s="471"/>
      <c r="C239" s="185">
        <v>22</v>
      </c>
      <c r="D239" s="185"/>
      <c r="E239" s="185"/>
      <c r="F239" s="185"/>
      <c r="G239" s="185"/>
      <c r="H239" s="494"/>
      <c r="I239" s="169" t="e">
        <f t="shared" si="85"/>
        <v>#DIV/0!</v>
      </c>
      <c r="J239" s="169" t="e">
        <f t="shared" si="85"/>
        <v>#DIV/0!</v>
      </c>
      <c r="K239" s="169" t="e">
        <f t="shared" si="85"/>
        <v>#DIV/0!</v>
      </c>
      <c r="L239" s="495"/>
      <c r="M239" s="169" t="e">
        <f>RANK(K239, K$218:$K$247)</f>
        <v>#DIV/0!</v>
      </c>
    </row>
    <row r="240" spans="2:13">
      <c r="B240" s="471"/>
      <c r="C240" s="185">
        <v>23</v>
      </c>
      <c r="D240" s="185"/>
      <c r="E240" s="185"/>
      <c r="F240" s="185"/>
      <c r="G240" s="185"/>
      <c r="H240" s="494"/>
      <c r="I240" s="169" t="e">
        <f t="shared" si="85"/>
        <v>#DIV/0!</v>
      </c>
      <c r="J240" s="169" t="e">
        <f t="shared" si="85"/>
        <v>#DIV/0!</v>
      </c>
      <c r="K240" s="169" t="e">
        <f t="shared" si="85"/>
        <v>#DIV/0!</v>
      </c>
      <c r="L240" s="495"/>
      <c r="M240" s="169" t="e">
        <f>RANK(K240, K$218:$K$247)</f>
        <v>#DIV/0!</v>
      </c>
    </row>
    <row r="241" spans="2:13">
      <c r="B241" s="471"/>
      <c r="C241" s="185">
        <v>24</v>
      </c>
      <c r="D241" s="185"/>
      <c r="E241" s="185"/>
      <c r="F241" s="185"/>
      <c r="G241" s="185"/>
      <c r="H241" s="494"/>
      <c r="I241" s="169"/>
      <c r="J241" s="169"/>
      <c r="K241" s="169"/>
      <c r="L241" s="495"/>
      <c r="M241" s="169" t="e">
        <f>RANK(K241, K$218:$K$247)</f>
        <v>#DIV/0!</v>
      </c>
    </row>
    <row r="242" spans="2:13">
      <c r="B242" s="471"/>
      <c r="C242" s="185">
        <v>25</v>
      </c>
      <c r="D242" s="185"/>
      <c r="E242" s="185"/>
      <c r="F242" s="185"/>
      <c r="G242" s="185"/>
      <c r="H242" s="494"/>
      <c r="I242" s="169"/>
      <c r="J242" s="169"/>
      <c r="K242" s="169"/>
      <c r="L242" s="495"/>
      <c r="M242" s="169" t="e">
        <f>RANK(K242, K$218:$K$247)</f>
        <v>#DIV/0!</v>
      </c>
    </row>
    <row r="243" spans="2:13">
      <c r="B243" s="471"/>
      <c r="C243" s="185">
        <v>26</v>
      </c>
      <c r="D243" s="185"/>
      <c r="E243" s="185"/>
      <c r="F243" s="185"/>
      <c r="G243" s="185"/>
      <c r="H243" s="494"/>
      <c r="I243" s="169"/>
      <c r="J243" s="169"/>
      <c r="K243" s="169"/>
      <c r="L243" s="495"/>
      <c r="M243" s="169" t="e">
        <f>RANK(K243, K$218:$K$247)</f>
        <v>#DIV/0!</v>
      </c>
    </row>
    <row r="244" spans="2:13">
      <c r="B244" s="471"/>
      <c r="C244" s="185">
        <v>27</v>
      </c>
      <c r="D244" s="185"/>
      <c r="E244" s="185"/>
      <c r="F244" s="185"/>
      <c r="G244" s="185"/>
      <c r="H244" s="494"/>
      <c r="I244" s="169"/>
      <c r="J244" s="169"/>
      <c r="K244" s="169"/>
      <c r="L244" s="495"/>
      <c r="M244" s="169" t="e">
        <f>RANK(K244, K$218:$K$247)</f>
        <v>#DIV/0!</v>
      </c>
    </row>
    <row r="245" spans="2:13">
      <c r="B245" s="471"/>
      <c r="C245" s="185">
        <v>28</v>
      </c>
      <c r="D245" s="185"/>
      <c r="E245" s="185"/>
      <c r="F245" s="185"/>
      <c r="G245" s="185"/>
      <c r="H245" s="494"/>
      <c r="I245" s="169"/>
      <c r="J245" s="169"/>
      <c r="K245" s="169"/>
      <c r="L245" s="495"/>
      <c r="M245" s="169" t="e">
        <f>RANK(K245, K$218:$K$247)</f>
        <v>#DIV/0!</v>
      </c>
    </row>
    <row r="246" spans="2:13">
      <c r="B246" s="471"/>
      <c r="C246" s="185">
        <v>29</v>
      </c>
      <c r="D246" s="185"/>
      <c r="E246" s="185"/>
      <c r="F246" s="185"/>
      <c r="G246" s="185"/>
      <c r="H246" s="494"/>
      <c r="I246" s="169"/>
      <c r="J246" s="169"/>
      <c r="K246" s="169"/>
      <c r="L246" s="495"/>
      <c r="M246" s="169" t="e">
        <f>RANK(K246, K$218:$K$247)</f>
        <v>#DIV/0!</v>
      </c>
    </row>
    <row r="247" spans="2:13">
      <c r="B247" s="471"/>
      <c r="C247" s="185">
        <v>30</v>
      </c>
      <c r="D247" s="185"/>
      <c r="E247" s="185"/>
      <c r="F247" s="185"/>
      <c r="G247" s="185"/>
      <c r="H247" s="494"/>
      <c r="I247" s="169"/>
      <c r="J247" s="169"/>
      <c r="K247" s="169"/>
      <c r="L247" s="495"/>
      <c r="M247" s="169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zoomScale="55" zoomScaleNormal="55" workbookViewId="0">
      <pane xSplit="15" topLeftCell="P1" activePane="topRight" state="frozen"/>
      <selection pane="topRight" activeCell="D27" sqref="D27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182.50774803719358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70" t="s">
        <v>203</v>
      </c>
      <c r="Q3" s="471"/>
      <c r="R3" s="471"/>
      <c r="S3" s="471"/>
      <c r="T3" s="471"/>
      <c r="U3" s="470" t="s">
        <v>204</v>
      </c>
      <c r="V3" s="471"/>
      <c r="W3" s="471"/>
      <c r="X3" s="471"/>
      <c r="Y3" s="471"/>
      <c r="Z3" s="470" t="s">
        <v>205</v>
      </c>
      <c r="AA3" s="471"/>
      <c r="AB3" s="471"/>
      <c r="AC3" s="471"/>
      <c r="AD3" s="471"/>
      <c r="AE3" s="470" t="s">
        <v>206</v>
      </c>
      <c r="AF3" s="471"/>
      <c r="AG3" s="471"/>
      <c r="AH3" s="471"/>
      <c r="AI3" s="471"/>
      <c r="AJ3" s="470" t="s">
        <v>207</v>
      </c>
      <c r="AK3" s="471"/>
      <c r="AL3" s="471"/>
      <c r="AM3" s="471"/>
      <c r="AN3" s="471"/>
      <c r="AO3" s="470" t="s">
        <v>157</v>
      </c>
      <c r="AP3" s="471"/>
      <c r="AQ3" s="471"/>
      <c r="AR3" s="471"/>
      <c r="AS3" s="471"/>
      <c r="AT3" s="470" t="s">
        <v>208</v>
      </c>
      <c r="AU3" s="471"/>
      <c r="AV3" s="471"/>
      <c r="AW3" s="471"/>
      <c r="AX3" s="471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96" t="s">
        <v>250</v>
      </c>
      <c r="C7" s="185">
        <v>1</v>
      </c>
      <c r="D7" s="185" t="s">
        <v>251</v>
      </c>
      <c r="E7" s="185">
        <v>10</v>
      </c>
      <c r="F7" s="185">
        <v>1500</v>
      </c>
      <c r="G7" s="185">
        <v>150</v>
      </c>
      <c r="H7" s="451">
        <f>AVERAGE(G7:G21)</f>
        <v>181.25</v>
      </c>
      <c r="I7" s="169">
        <f>AVERAGE(P7,U7,Z7,AE7,AJ7,AO7,AT7)</f>
        <v>10</v>
      </c>
      <c r="J7" s="169">
        <f>AVERAGE(Q7,V7,AA7,AF7,AK7,AP7,AU7)</f>
        <v>778.3768167440287</v>
      </c>
      <c r="K7" s="183">
        <f>AVERAGE(R7,W7,AB7,AG7,AL7,AQ7,AV7)</f>
        <v>77.837681674402887</v>
      </c>
      <c r="L7" s="451">
        <f>IFERROR(AVERAGE(K7:K21),"-")</f>
        <v>182.82702524249024</v>
      </c>
      <c r="M7" s="184">
        <f>RANK(K7, $K$7:K$21)</f>
        <v>8</v>
      </c>
      <c r="N7" s="454"/>
      <c r="O7" s="454"/>
      <c r="P7" s="169">
        <v>10</v>
      </c>
      <c r="Q7" s="169">
        <v>1085.6250000000014</v>
      </c>
      <c r="R7" s="169">
        <v>108.56250000000014</v>
      </c>
      <c r="S7" s="185">
        <f>RANK(R7, R$7:R$21)</f>
        <v>6</v>
      </c>
      <c r="T7" s="494">
        <f>AVERAGE(R7:R21)</f>
        <v>188.14265148717072</v>
      </c>
      <c r="U7" s="169">
        <v>10</v>
      </c>
      <c r="V7" s="169">
        <v>1214.0000000000011</v>
      </c>
      <c r="W7" s="169">
        <v>121.40000000000012</v>
      </c>
      <c r="X7" s="185">
        <f>RANK(W7, W$7:W$21)</f>
        <v>6</v>
      </c>
      <c r="Y7" s="494">
        <f>AVERAGE(W7:W21)</f>
        <v>193.55365340813464</v>
      </c>
      <c r="Z7" s="169">
        <v>10</v>
      </c>
      <c r="AA7" s="169">
        <v>621.81818181818221</v>
      </c>
      <c r="AB7" s="169">
        <v>62.181818181818223</v>
      </c>
      <c r="AC7" s="185">
        <f>RANK(AB7, AB$7:AB$21)</f>
        <v>8</v>
      </c>
      <c r="AD7" s="494">
        <f>AVERAGE(AB7:AB21)</f>
        <v>170.8665034965035</v>
      </c>
      <c r="AE7" s="169">
        <v>10</v>
      </c>
      <c r="AF7" s="169">
        <v>619.53488372093011</v>
      </c>
      <c r="AG7" s="169">
        <v>61.953488372093013</v>
      </c>
      <c r="AH7" s="185">
        <f>RANK(AG7, AG$7:AG$21)</f>
        <v>8</v>
      </c>
      <c r="AI7" s="494">
        <f>AVERAGE(AG7:AG21)</f>
        <v>181.82633445366005</v>
      </c>
      <c r="AJ7" s="169">
        <v>10</v>
      </c>
      <c r="AK7" s="169">
        <v>638.46153846153811</v>
      </c>
      <c r="AL7" s="169">
        <v>63.846153846153811</v>
      </c>
      <c r="AM7" s="185">
        <f>RANK(AL7, AL$7:AL$21)</f>
        <v>8</v>
      </c>
      <c r="AN7" s="494">
        <f>AVERAGE(AL7:AL21)</f>
        <v>177.79272380558717</v>
      </c>
      <c r="AO7" s="169">
        <v>10</v>
      </c>
      <c r="AP7" s="169">
        <v>637.50000000000057</v>
      </c>
      <c r="AQ7" s="169">
        <v>63.750000000000057</v>
      </c>
      <c r="AR7" s="185">
        <f>RANK(AQ7, AQ$7:AQ$21)</f>
        <v>8</v>
      </c>
      <c r="AS7" s="494">
        <f>AVERAGE(AQ7:AQ21)</f>
        <v>185.16073564593313</v>
      </c>
      <c r="AT7" s="169">
        <v>10</v>
      </c>
      <c r="AU7" s="169">
        <v>631.69811320754752</v>
      </c>
      <c r="AV7" s="169">
        <v>63.169811320754754</v>
      </c>
      <c r="AW7" s="185">
        <f>RANK(AV7, AV$7:AV$21)</f>
        <v>8</v>
      </c>
      <c r="AX7" s="494">
        <f>AVERAGE(AV7:AV21)</f>
        <v>182.44657440044236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185" t="s">
        <v>252</v>
      </c>
      <c r="E8" s="185">
        <v>15</v>
      </c>
      <c r="F8" s="185">
        <v>1800</v>
      </c>
      <c r="G8" s="185">
        <v>120</v>
      </c>
      <c r="H8" s="452"/>
      <c r="I8" s="169">
        <f t="shared" ref="I8:I14" si="0">AVERAGE(P8,U8,Z8,AE8,AJ8,AO8,AT8)</f>
        <v>12.285714285714286</v>
      </c>
      <c r="J8" s="169">
        <f t="shared" ref="J8:J14" si="1">AVERAGE(Q8,V8,AA8,AF8,AK8,AP8,AU8)</f>
        <v>1825.2666666666657</v>
      </c>
      <c r="K8" s="183">
        <f t="shared" ref="K8:K14" si="2">AVERAGE(R8,W8,AB8,AG8,AL8,AQ8,AV8)</f>
        <v>148.75170940170932</v>
      </c>
      <c r="L8" s="452"/>
      <c r="M8" s="184">
        <f>RANK(K8, $K$7:K$21)</f>
        <v>4</v>
      </c>
      <c r="N8" s="454"/>
      <c r="O8" s="454"/>
      <c r="P8" s="169">
        <v>12</v>
      </c>
      <c r="Q8" s="169">
        <v>1828.8000000000004</v>
      </c>
      <c r="R8" s="169">
        <v>152.40000000000003</v>
      </c>
      <c r="S8" s="185">
        <f t="shared" ref="S8:S21" si="3">RANK(R8, R$7:R$21)</f>
        <v>4</v>
      </c>
      <c r="T8" s="494"/>
      <c r="U8" s="169">
        <v>12</v>
      </c>
      <c r="V8" s="169">
        <v>1846.7999999999947</v>
      </c>
      <c r="W8" s="169">
        <v>153.89999999999955</v>
      </c>
      <c r="X8" s="185">
        <f t="shared" ref="X8:X21" si="4">RANK(W8, W$7:W$21)</f>
        <v>5</v>
      </c>
      <c r="Y8" s="494"/>
      <c r="Z8" s="169">
        <v>13</v>
      </c>
      <c r="AA8" s="169">
        <v>1837.2000000000005</v>
      </c>
      <c r="AB8" s="169">
        <v>141.32307692307697</v>
      </c>
      <c r="AC8" s="185">
        <f t="shared" ref="AC8:AC21" si="5">RANK(AB8, AB$7:AB$21)</f>
        <v>4</v>
      </c>
      <c r="AD8" s="494"/>
      <c r="AE8" s="169">
        <v>12</v>
      </c>
      <c r="AF8" s="169">
        <v>1738.6666666666667</v>
      </c>
      <c r="AG8" s="169">
        <v>144.88888888888889</v>
      </c>
      <c r="AH8" s="185">
        <f t="shared" ref="AH8:AH21" si="6">RANK(AG8, AG$7:AG$21)</f>
        <v>5</v>
      </c>
      <c r="AI8" s="494"/>
      <c r="AJ8" s="169">
        <v>12</v>
      </c>
      <c r="AK8" s="169">
        <v>1820.9999999999955</v>
      </c>
      <c r="AL8" s="169">
        <v>151.74999999999963</v>
      </c>
      <c r="AM8" s="185">
        <f t="shared" ref="AM8:AM21" si="7">RANK(AL8, AL$7:AL$21)</f>
        <v>4</v>
      </c>
      <c r="AN8" s="494"/>
      <c r="AO8" s="169">
        <v>12</v>
      </c>
      <c r="AP8" s="169">
        <v>1879.2000000000005</v>
      </c>
      <c r="AQ8" s="169">
        <v>156.60000000000005</v>
      </c>
      <c r="AR8" s="185">
        <f t="shared" ref="AR8:AR21" si="8">RANK(AQ8, AQ$7:AQ$21)</f>
        <v>4</v>
      </c>
      <c r="AS8" s="494"/>
      <c r="AT8" s="169">
        <v>13</v>
      </c>
      <c r="AU8" s="169">
        <v>1825.2000000000005</v>
      </c>
      <c r="AV8" s="169">
        <v>140.40000000000003</v>
      </c>
      <c r="AW8" s="185">
        <f t="shared" ref="AW8:AW21" si="9">RANK(AV8, AV$7:AV$21)</f>
        <v>4</v>
      </c>
      <c r="AX8" s="494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185" t="s">
        <v>253</v>
      </c>
      <c r="E9" s="185">
        <v>15</v>
      </c>
      <c r="F9" s="185">
        <v>1800</v>
      </c>
      <c r="G9" s="185">
        <v>120</v>
      </c>
      <c r="H9" s="452"/>
      <c r="I9" s="169">
        <f t="shared" si="0"/>
        <v>12.285714285714286</v>
      </c>
      <c r="J9" s="169">
        <f t="shared" si="1"/>
        <v>1779.066666666668</v>
      </c>
      <c r="K9" s="183">
        <f t="shared" si="2"/>
        <v>145.01989121989135</v>
      </c>
      <c r="L9" s="452"/>
      <c r="M9" s="184">
        <f>RANK(K9, $K$7:K$21)</f>
        <v>5</v>
      </c>
      <c r="N9" s="454"/>
      <c r="O9" s="454"/>
      <c r="P9" s="169">
        <v>12</v>
      </c>
      <c r="Q9" s="169">
        <v>1745.4545454545519</v>
      </c>
      <c r="R9" s="169">
        <v>145.45454545454598</v>
      </c>
      <c r="S9" s="185">
        <f t="shared" si="3"/>
        <v>5</v>
      </c>
      <c r="T9" s="494"/>
      <c r="U9" s="169">
        <v>12</v>
      </c>
      <c r="V9" s="169">
        <v>1857.6000000000067</v>
      </c>
      <c r="W9" s="169">
        <v>154.80000000000055</v>
      </c>
      <c r="X9" s="185">
        <f t="shared" si="4"/>
        <v>4</v>
      </c>
      <c r="Y9" s="494"/>
      <c r="Z9" s="169">
        <v>13</v>
      </c>
      <c r="AA9" s="169">
        <v>1722.5454545454506</v>
      </c>
      <c r="AB9" s="169">
        <v>132.50349650349619</v>
      </c>
      <c r="AC9" s="185">
        <f t="shared" si="5"/>
        <v>5</v>
      </c>
      <c r="AD9" s="494"/>
      <c r="AE9" s="169">
        <v>12</v>
      </c>
      <c r="AF9" s="169">
        <v>1768</v>
      </c>
      <c r="AG9" s="169">
        <v>147.33333333333334</v>
      </c>
      <c r="AH9" s="185">
        <f t="shared" si="6"/>
        <v>4</v>
      </c>
      <c r="AI9" s="494"/>
      <c r="AJ9" s="169">
        <v>12</v>
      </c>
      <c r="AK9" s="169">
        <v>1674.6666666666667</v>
      </c>
      <c r="AL9" s="169">
        <v>139.55555555555557</v>
      </c>
      <c r="AM9" s="185">
        <f t="shared" si="7"/>
        <v>5</v>
      </c>
      <c r="AN9" s="494"/>
      <c r="AO9" s="169">
        <v>12</v>
      </c>
      <c r="AP9" s="169">
        <v>1874.4000000000005</v>
      </c>
      <c r="AQ9" s="169">
        <v>156.20000000000005</v>
      </c>
      <c r="AR9" s="185">
        <f t="shared" si="8"/>
        <v>5</v>
      </c>
      <c r="AS9" s="494"/>
      <c r="AT9" s="169">
        <v>13</v>
      </c>
      <c r="AU9" s="169">
        <v>1810.8000000000004</v>
      </c>
      <c r="AV9" s="169">
        <v>139.29230769230773</v>
      </c>
      <c r="AW9" s="185">
        <f t="shared" si="9"/>
        <v>5</v>
      </c>
      <c r="AX9" s="494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185" t="s">
        <v>254</v>
      </c>
      <c r="E10" s="185">
        <v>5</v>
      </c>
      <c r="F10" s="185">
        <v>1500</v>
      </c>
      <c r="G10" s="185">
        <v>300</v>
      </c>
      <c r="H10" s="452"/>
      <c r="I10" s="169">
        <f t="shared" si="0"/>
        <v>5</v>
      </c>
      <c r="J10" s="169">
        <f t="shared" si="1"/>
        <v>1495.08444578443</v>
      </c>
      <c r="K10" s="183">
        <f t="shared" si="2"/>
        <v>299.01688915688607</v>
      </c>
      <c r="L10" s="452"/>
      <c r="M10" s="184">
        <f>RANK(K10, $K$7:K$21)</f>
        <v>2</v>
      </c>
      <c r="N10" s="454"/>
      <c r="O10" s="454"/>
      <c r="P10" s="169">
        <v>5</v>
      </c>
      <c r="Q10" s="169">
        <v>1503.7894736842102</v>
      </c>
      <c r="R10" s="169">
        <v>300.75789473684205</v>
      </c>
      <c r="S10" s="185">
        <f t="shared" si="3"/>
        <v>2</v>
      </c>
      <c r="T10" s="494"/>
      <c r="U10" s="169">
        <v>5</v>
      </c>
      <c r="V10" s="169">
        <v>1496.2886597938143</v>
      </c>
      <c r="W10" s="169">
        <v>299.25773195876286</v>
      </c>
      <c r="X10" s="185">
        <f t="shared" si="4"/>
        <v>2</v>
      </c>
      <c r="Y10" s="494"/>
      <c r="Z10" s="169">
        <v>5</v>
      </c>
      <c r="AA10" s="169">
        <v>1485</v>
      </c>
      <c r="AB10" s="169">
        <v>297</v>
      </c>
      <c r="AC10" s="185">
        <f t="shared" si="5"/>
        <v>1</v>
      </c>
      <c r="AD10" s="494"/>
      <c r="AE10" s="169">
        <v>5</v>
      </c>
      <c r="AF10" s="169">
        <v>1555.6363636363633</v>
      </c>
      <c r="AG10" s="169">
        <v>311.12727272727267</v>
      </c>
      <c r="AH10" s="185">
        <f t="shared" si="6"/>
        <v>1</v>
      </c>
      <c r="AI10" s="494"/>
      <c r="AJ10" s="169">
        <v>5</v>
      </c>
      <c r="AK10" s="169">
        <v>1429.090909090909</v>
      </c>
      <c r="AL10" s="169">
        <v>285.81818181818181</v>
      </c>
      <c r="AM10" s="185">
        <f t="shared" si="7"/>
        <v>3</v>
      </c>
      <c r="AN10" s="494"/>
      <c r="AO10" s="169">
        <v>5</v>
      </c>
      <c r="AP10" s="169">
        <v>1499.0000000000002</v>
      </c>
      <c r="AQ10" s="169">
        <v>299.80000000000007</v>
      </c>
      <c r="AR10" s="185">
        <f t="shared" si="8"/>
        <v>3</v>
      </c>
      <c r="AS10" s="494"/>
      <c r="AT10" s="169">
        <v>5</v>
      </c>
      <c r="AU10" s="169">
        <v>1496.7857142857144</v>
      </c>
      <c r="AV10" s="169">
        <v>299.35714285714289</v>
      </c>
      <c r="AW10" s="185">
        <f t="shared" si="9"/>
        <v>2</v>
      </c>
      <c r="AX10" s="494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185" t="s">
        <v>255</v>
      </c>
      <c r="E11" s="185">
        <v>5</v>
      </c>
      <c r="F11" s="185">
        <v>1500</v>
      </c>
      <c r="G11" s="185">
        <v>300</v>
      </c>
      <c r="H11" s="452"/>
      <c r="I11" s="169">
        <f t="shared" si="0"/>
        <v>5</v>
      </c>
      <c r="J11" s="169">
        <f t="shared" si="1"/>
        <v>1510.891738825959</v>
      </c>
      <c r="K11" s="183">
        <f t="shared" si="2"/>
        <v>302.17834776519169</v>
      </c>
      <c r="L11" s="452"/>
      <c r="M11" s="184">
        <f>RANK(K11, $K$7:K$21)</f>
        <v>1</v>
      </c>
      <c r="N11" s="454"/>
      <c r="O11" s="454"/>
      <c r="P11" s="169">
        <v>5</v>
      </c>
      <c r="Q11" s="169">
        <v>1482.7272727272727</v>
      </c>
      <c r="R11" s="169">
        <v>296.54545454545456</v>
      </c>
      <c r="S11" s="185">
        <f t="shared" si="3"/>
        <v>3</v>
      </c>
      <c r="T11" s="494"/>
      <c r="U11" s="169">
        <v>5</v>
      </c>
      <c r="V11" s="169">
        <v>1468.57142857143</v>
      </c>
      <c r="W11" s="169">
        <v>293.71428571428601</v>
      </c>
      <c r="X11" s="185">
        <f t="shared" si="4"/>
        <v>3</v>
      </c>
      <c r="Y11" s="494"/>
      <c r="Z11" s="169">
        <v>5</v>
      </c>
      <c r="AA11" s="169">
        <v>1438.0000000000002</v>
      </c>
      <c r="AB11" s="169">
        <v>287.60000000000002</v>
      </c>
      <c r="AC11" s="185">
        <f t="shared" si="5"/>
        <v>2</v>
      </c>
      <c r="AD11" s="494"/>
      <c r="AE11" s="169">
        <v>5</v>
      </c>
      <c r="AF11" s="169">
        <v>1498.8461538461534</v>
      </c>
      <c r="AG11" s="169">
        <v>299.76923076923066</v>
      </c>
      <c r="AH11" s="185">
        <f t="shared" si="6"/>
        <v>3</v>
      </c>
      <c r="AI11" s="494"/>
      <c r="AJ11" s="169">
        <v>5</v>
      </c>
      <c r="AK11" s="169">
        <v>1544.6511627906991</v>
      </c>
      <c r="AL11" s="169">
        <v>308.93023255813983</v>
      </c>
      <c r="AM11" s="185">
        <f t="shared" si="7"/>
        <v>1</v>
      </c>
      <c r="AN11" s="494"/>
      <c r="AO11" s="169">
        <v>5</v>
      </c>
      <c r="AP11" s="169">
        <v>1543.8461538461556</v>
      </c>
      <c r="AQ11" s="169">
        <v>308.76923076923111</v>
      </c>
      <c r="AR11" s="185">
        <f t="shared" si="8"/>
        <v>1</v>
      </c>
      <c r="AS11" s="494"/>
      <c r="AT11" s="169">
        <v>5</v>
      </c>
      <c r="AU11" s="169">
        <v>1599.5999999999995</v>
      </c>
      <c r="AV11" s="169">
        <v>319.9199999999999</v>
      </c>
      <c r="AW11" s="185">
        <f t="shared" si="9"/>
        <v>1</v>
      </c>
      <c r="AX11" s="494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185" t="s">
        <v>256</v>
      </c>
      <c r="E12" s="185">
        <v>5</v>
      </c>
      <c r="F12" s="185">
        <v>1500</v>
      </c>
      <c r="G12" s="185">
        <v>300</v>
      </c>
      <c r="H12" s="452"/>
      <c r="I12" s="169">
        <f t="shared" si="0"/>
        <v>5</v>
      </c>
      <c r="J12" s="169">
        <f t="shared" si="1"/>
        <v>1491.6161480475039</v>
      </c>
      <c r="K12" s="183">
        <f t="shared" si="2"/>
        <v>298.32322960950074</v>
      </c>
      <c r="L12" s="452"/>
      <c r="M12" s="184">
        <f>RANK(K12, $K$7:K$21)</f>
        <v>3</v>
      </c>
      <c r="N12" s="454"/>
      <c r="O12" s="454"/>
      <c r="P12" s="169">
        <v>5</v>
      </c>
      <c r="Q12" s="169">
        <v>1573.1707317073167</v>
      </c>
      <c r="R12" s="169">
        <v>314.63414634146335</v>
      </c>
      <c r="S12" s="185">
        <f t="shared" si="3"/>
        <v>1</v>
      </c>
      <c r="T12" s="494"/>
      <c r="U12" s="169">
        <v>5</v>
      </c>
      <c r="V12" s="169">
        <v>1700.0000000000023</v>
      </c>
      <c r="W12" s="169">
        <v>340.00000000000045</v>
      </c>
      <c r="X12" s="185">
        <f t="shared" si="4"/>
        <v>1</v>
      </c>
      <c r="Y12" s="494"/>
      <c r="Z12" s="169">
        <v>5</v>
      </c>
      <c r="AA12" s="169">
        <v>1144.8000000000004</v>
      </c>
      <c r="AB12" s="169">
        <v>228.96000000000009</v>
      </c>
      <c r="AC12" s="185">
        <f t="shared" si="5"/>
        <v>3</v>
      </c>
      <c r="AD12" s="494"/>
      <c r="AE12" s="169">
        <v>5</v>
      </c>
      <c r="AF12" s="169">
        <v>1541.8181818181833</v>
      </c>
      <c r="AG12" s="169">
        <v>308.36363636363666</v>
      </c>
      <c r="AH12" s="185">
        <f t="shared" si="6"/>
        <v>2</v>
      </c>
      <c r="AI12" s="494"/>
      <c r="AJ12" s="169">
        <v>5</v>
      </c>
      <c r="AK12" s="169">
        <v>1456.8750000000018</v>
      </c>
      <c r="AL12" s="169">
        <v>291.37500000000034</v>
      </c>
      <c r="AM12" s="185">
        <f t="shared" si="7"/>
        <v>2</v>
      </c>
      <c r="AN12" s="494"/>
      <c r="AO12" s="169">
        <v>5</v>
      </c>
      <c r="AP12" s="169">
        <v>1536.3157894736864</v>
      </c>
      <c r="AQ12" s="169">
        <v>307.26315789473728</v>
      </c>
      <c r="AR12" s="185">
        <f t="shared" si="8"/>
        <v>2</v>
      </c>
      <c r="AS12" s="494"/>
      <c r="AT12" s="169">
        <v>5</v>
      </c>
      <c r="AU12" s="169">
        <v>1488.3333333333353</v>
      </c>
      <c r="AV12" s="169">
        <v>297.66666666666708</v>
      </c>
      <c r="AW12" s="185">
        <f t="shared" si="9"/>
        <v>3</v>
      </c>
      <c r="AX12" s="494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185" t="s">
        <v>257</v>
      </c>
      <c r="E13" s="185">
        <v>15</v>
      </c>
      <c r="F13" s="185">
        <v>1200</v>
      </c>
      <c r="G13" s="185">
        <v>80</v>
      </c>
      <c r="H13" s="452"/>
      <c r="I13" s="169">
        <f t="shared" si="0"/>
        <v>12.714285714285714</v>
      </c>
      <c r="J13" s="169">
        <f t="shared" si="1"/>
        <v>1228.8695374800643</v>
      </c>
      <c r="K13" s="183">
        <f t="shared" si="2"/>
        <v>96.924363355942319</v>
      </c>
      <c r="L13" s="452"/>
      <c r="M13" s="184">
        <f>RANK(K13, $K$7:K$21)</f>
        <v>6</v>
      </c>
      <c r="N13" s="454"/>
      <c r="O13" s="454"/>
      <c r="P13" s="169">
        <v>13</v>
      </c>
      <c r="Q13" s="169">
        <v>1220.8421052631593</v>
      </c>
      <c r="R13" s="169">
        <v>93.910931174089171</v>
      </c>
      <c r="S13" s="185">
        <f t="shared" si="3"/>
        <v>7</v>
      </c>
      <c r="T13" s="494"/>
      <c r="U13" s="169">
        <v>13</v>
      </c>
      <c r="V13" s="169">
        <v>1198.1052631578939</v>
      </c>
      <c r="W13" s="169">
        <v>92.161943319837988</v>
      </c>
      <c r="X13" s="185">
        <f t="shared" si="4"/>
        <v>8</v>
      </c>
      <c r="Y13" s="494"/>
      <c r="Z13" s="169">
        <v>12</v>
      </c>
      <c r="AA13" s="169">
        <v>1420.3636363636374</v>
      </c>
      <c r="AB13" s="169">
        <v>118.36363636363645</v>
      </c>
      <c r="AC13" s="185">
        <f t="shared" si="5"/>
        <v>6</v>
      </c>
      <c r="AD13" s="494"/>
      <c r="AE13" s="169">
        <v>13</v>
      </c>
      <c r="AF13" s="169">
        <v>1186.9090909090917</v>
      </c>
      <c r="AG13" s="169">
        <v>91.300699300699364</v>
      </c>
      <c r="AH13" s="185">
        <f t="shared" si="6"/>
        <v>6</v>
      </c>
      <c r="AI13" s="494"/>
      <c r="AJ13" s="169">
        <v>13</v>
      </c>
      <c r="AK13" s="169">
        <v>1142.6666666666667</v>
      </c>
      <c r="AL13" s="169">
        <v>87.897435897435898</v>
      </c>
      <c r="AM13" s="185">
        <f t="shared" si="7"/>
        <v>7</v>
      </c>
      <c r="AN13" s="494"/>
      <c r="AO13" s="169">
        <v>13</v>
      </c>
      <c r="AP13" s="169">
        <v>1237.2000000000003</v>
      </c>
      <c r="AQ13" s="169">
        <v>95.169230769230793</v>
      </c>
      <c r="AR13" s="185">
        <f t="shared" si="8"/>
        <v>6</v>
      </c>
      <c r="AS13" s="494"/>
      <c r="AT13" s="169">
        <v>12</v>
      </c>
      <c r="AU13" s="169">
        <v>1196</v>
      </c>
      <c r="AV13" s="169">
        <v>99.666666666666671</v>
      </c>
      <c r="AW13" s="185">
        <f t="shared" si="9"/>
        <v>7</v>
      </c>
      <c r="AX13" s="494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185" t="s">
        <v>258</v>
      </c>
      <c r="E14" s="185">
        <v>15</v>
      </c>
      <c r="F14" s="185">
        <v>1200</v>
      </c>
      <c r="G14" s="185">
        <v>80</v>
      </c>
      <c r="H14" s="452"/>
      <c r="I14" s="169">
        <f t="shared" si="0"/>
        <v>12.714285714285714</v>
      </c>
      <c r="J14" s="169">
        <f t="shared" si="1"/>
        <v>1200.8903096903093</v>
      </c>
      <c r="K14" s="183">
        <f t="shared" si="2"/>
        <v>94.564089756397451</v>
      </c>
      <c r="L14" s="452"/>
      <c r="M14" s="184">
        <f>RANK(K14, $K$7:K$21)</f>
        <v>7</v>
      </c>
      <c r="N14" s="454"/>
      <c r="O14" s="454"/>
      <c r="P14" s="169">
        <v>13</v>
      </c>
      <c r="Q14" s="169">
        <v>1207.3846153846159</v>
      </c>
      <c r="R14" s="169">
        <v>92.875739644970452</v>
      </c>
      <c r="S14" s="185">
        <f t="shared" si="3"/>
        <v>8</v>
      </c>
      <c r="T14" s="494"/>
      <c r="U14" s="169">
        <v>13</v>
      </c>
      <c r="V14" s="169">
        <v>1211.5384615384612</v>
      </c>
      <c r="W14" s="169">
        <v>93.195266272189329</v>
      </c>
      <c r="X14" s="185">
        <f t="shared" si="4"/>
        <v>7</v>
      </c>
      <c r="Y14" s="494"/>
      <c r="Z14" s="169">
        <v>12</v>
      </c>
      <c r="AA14" s="169">
        <v>1187.9999999999993</v>
      </c>
      <c r="AB14" s="169">
        <v>98.999999999999943</v>
      </c>
      <c r="AC14" s="185">
        <f t="shared" si="5"/>
        <v>7</v>
      </c>
      <c r="AD14" s="494"/>
      <c r="AE14" s="169">
        <v>13</v>
      </c>
      <c r="AF14" s="169">
        <v>1168.363636363636</v>
      </c>
      <c r="AG14" s="169">
        <v>89.874125874125852</v>
      </c>
      <c r="AH14" s="185">
        <f t="shared" si="6"/>
        <v>7</v>
      </c>
      <c r="AI14" s="494"/>
      <c r="AJ14" s="169">
        <v>13</v>
      </c>
      <c r="AK14" s="169">
        <v>1211.2000000000005</v>
      </c>
      <c r="AL14" s="169">
        <v>93.169230769230808</v>
      </c>
      <c r="AM14" s="185">
        <f t="shared" si="7"/>
        <v>6</v>
      </c>
      <c r="AN14" s="494"/>
      <c r="AO14" s="169">
        <v>13</v>
      </c>
      <c r="AP14" s="169">
        <v>1218.5454545454536</v>
      </c>
      <c r="AQ14" s="169">
        <v>93.734265734265662</v>
      </c>
      <c r="AR14" s="185">
        <f t="shared" si="8"/>
        <v>7</v>
      </c>
      <c r="AS14" s="494"/>
      <c r="AT14" s="169">
        <v>12</v>
      </c>
      <c r="AU14" s="169">
        <v>1201.1999999999996</v>
      </c>
      <c r="AV14" s="169">
        <v>100.09999999999997</v>
      </c>
      <c r="AW14" s="185">
        <f t="shared" si="9"/>
        <v>6</v>
      </c>
      <c r="AX14" s="494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185"/>
      <c r="E15" s="185"/>
      <c r="F15" s="185"/>
      <c r="G15" s="185"/>
      <c r="H15" s="452"/>
      <c r="I15" s="169"/>
      <c r="J15" s="169"/>
      <c r="K15" s="183"/>
      <c r="L15" s="452"/>
      <c r="M15" s="184" t="e">
        <f>RANK(K15, $K$7:K$21)</f>
        <v>#N/A</v>
      </c>
      <c r="N15" s="454"/>
      <c r="O15" s="454"/>
      <c r="P15" s="185"/>
      <c r="Q15" s="169"/>
      <c r="R15" s="183"/>
      <c r="S15" s="185" t="e">
        <f t="shared" si="3"/>
        <v>#N/A</v>
      </c>
      <c r="T15" s="494"/>
      <c r="U15" s="185"/>
      <c r="V15" s="169"/>
      <c r="W15" s="183"/>
      <c r="X15" s="185" t="e">
        <f t="shared" si="4"/>
        <v>#N/A</v>
      </c>
      <c r="Y15" s="494"/>
      <c r="Z15" s="185"/>
      <c r="AA15" s="169"/>
      <c r="AB15" s="183"/>
      <c r="AC15" s="185" t="e">
        <f t="shared" si="5"/>
        <v>#N/A</v>
      </c>
      <c r="AD15" s="494"/>
      <c r="AE15" s="185"/>
      <c r="AF15" s="169"/>
      <c r="AG15" s="183"/>
      <c r="AH15" s="185" t="e">
        <f t="shared" si="6"/>
        <v>#N/A</v>
      </c>
      <c r="AI15" s="494"/>
      <c r="AJ15" s="185"/>
      <c r="AK15" s="169"/>
      <c r="AL15" s="183"/>
      <c r="AM15" s="185" t="e">
        <f t="shared" si="7"/>
        <v>#N/A</v>
      </c>
      <c r="AN15" s="494"/>
      <c r="AO15" s="185"/>
      <c r="AP15" s="169"/>
      <c r="AQ15" s="183"/>
      <c r="AR15" s="185" t="e">
        <f t="shared" si="8"/>
        <v>#N/A</v>
      </c>
      <c r="AS15" s="494"/>
      <c r="AT15" s="185"/>
      <c r="AU15" s="169"/>
      <c r="AV15" s="183"/>
      <c r="AW15" s="185" t="e">
        <f t="shared" si="9"/>
        <v>#N/A</v>
      </c>
      <c r="AX15" s="494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185"/>
      <c r="E16" s="185"/>
      <c r="F16" s="185"/>
      <c r="G16" s="185"/>
      <c r="H16" s="452"/>
      <c r="I16" s="169"/>
      <c r="J16" s="169"/>
      <c r="K16" s="183"/>
      <c r="L16" s="452"/>
      <c r="M16" s="184" t="e">
        <f>RANK(K16, $K$7:K$21)</f>
        <v>#N/A</v>
      </c>
      <c r="N16" s="454"/>
      <c r="O16" s="454"/>
      <c r="P16" s="185"/>
      <c r="Q16" s="169"/>
      <c r="R16" s="183"/>
      <c r="S16" s="185" t="e">
        <f t="shared" si="3"/>
        <v>#N/A</v>
      </c>
      <c r="T16" s="494"/>
      <c r="U16" s="185"/>
      <c r="V16" s="169"/>
      <c r="W16" s="183"/>
      <c r="X16" s="185" t="e">
        <f t="shared" si="4"/>
        <v>#N/A</v>
      </c>
      <c r="Y16" s="494"/>
      <c r="Z16" s="185"/>
      <c r="AA16" s="169"/>
      <c r="AB16" s="183"/>
      <c r="AC16" s="185" t="e">
        <f t="shared" si="5"/>
        <v>#N/A</v>
      </c>
      <c r="AD16" s="494"/>
      <c r="AE16" s="185"/>
      <c r="AF16" s="169"/>
      <c r="AG16" s="183"/>
      <c r="AH16" s="185" t="e">
        <f t="shared" si="6"/>
        <v>#N/A</v>
      </c>
      <c r="AI16" s="494"/>
      <c r="AJ16" s="185"/>
      <c r="AK16" s="169"/>
      <c r="AL16" s="183"/>
      <c r="AM16" s="185" t="e">
        <f t="shared" si="7"/>
        <v>#N/A</v>
      </c>
      <c r="AN16" s="494"/>
      <c r="AO16" s="185"/>
      <c r="AP16" s="169"/>
      <c r="AQ16" s="183"/>
      <c r="AR16" s="185" t="e">
        <f t="shared" si="8"/>
        <v>#N/A</v>
      </c>
      <c r="AS16" s="494"/>
      <c r="AT16" s="185"/>
      <c r="AU16" s="169"/>
      <c r="AV16" s="183"/>
      <c r="AW16" s="185" t="e">
        <f t="shared" si="9"/>
        <v>#N/A</v>
      </c>
      <c r="AX16" s="494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185"/>
      <c r="E17" s="185"/>
      <c r="F17" s="185"/>
      <c r="G17" s="185"/>
      <c r="H17" s="452"/>
      <c r="I17" s="185"/>
      <c r="J17" s="185"/>
      <c r="K17" s="185"/>
      <c r="L17" s="452"/>
      <c r="M17" s="184" t="e">
        <f>RANK(K17, $K$7:K$21)</f>
        <v>#N/A</v>
      </c>
      <c r="N17" s="454"/>
      <c r="O17" s="454"/>
      <c r="P17" s="185"/>
      <c r="Q17" s="185"/>
      <c r="R17" s="185"/>
      <c r="S17" s="185" t="e">
        <f t="shared" si="3"/>
        <v>#N/A</v>
      </c>
      <c r="T17" s="494"/>
      <c r="U17" s="185"/>
      <c r="V17" s="185"/>
      <c r="W17" s="185"/>
      <c r="X17" s="185" t="e">
        <f t="shared" si="4"/>
        <v>#N/A</v>
      </c>
      <c r="Y17" s="494"/>
      <c r="Z17" s="185"/>
      <c r="AA17" s="185"/>
      <c r="AB17" s="185"/>
      <c r="AC17" s="185" t="e">
        <f t="shared" si="5"/>
        <v>#N/A</v>
      </c>
      <c r="AD17" s="494"/>
      <c r="AE17" s="185"/>
      <c r="AF17" s="185"/>
      <c r="AG17" s="185"/>
      <c r="AH17" s="185" t="e">
        <f t="shared" si="6"/>
        <v>#N/A</v>
      </c>
      <c r="AI17" s="494"/>
      <c r="AJ17" s="185"/>
      <c r="AK17" s="185"/>
      <c r="AL17" s="185"/>
      <c r="AM17" s="185" t="e">
        <f t="shared" si="7"/>
        <v>#N/A</v>
      </c>
      <c r="AN17" s="494"/>
      <c r="AO17" s="185"/>
      <c r="AP17" s="185"/>
      <c r="AQ17" s="185"/>
      <c r="AR17" s="185" t="e">
        <f t="shared" si="8"/>
        <v>#N/A</v>
      </c>
      <c r="AS17" s="494"/>
      <c r="AT17" s="185"/>
      <c r="AU17" s="185"/>
      <c r="AV17" s="185"/>
      <c r="AW17" s="185" t="e">
        <f t="shared" si="9"/>
        <v>#N/A</v>
      </c>
      <c r="AX17" s="494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185"/>
      <c r="E18" s="185"/>
      <c r="F18" s="185"/>
      <c r="G18" s="185"/>
      <c r="H18" s="452"/>
      <c r="I18" s="185"/>
      <c r="J18" s="185"/>
      <c r="K18" s="185"/>
      <c r="L18" s="452"/>
      <c r="M18" s="184" t="e">
        <f>RANK(K18, $K$7:K$21)</f>
        <v>#N/A</v>
      </c>
      <c r="N18" s="454"/>
      <c r="O18" s="454"/>
      <c r="P18" s="185"/>
      <c r="Q18" s="185"/>
      <c r="R18" s="185"/>
      <c r="S18" s="185" t="e">
        <f t="shared" si="3"/>
        <v>#N/A</v>
      </c>
      <c r="T18" s="494"/>
      <c r="U18" s="185"/>
      <c r="V18" s="185"/>
      <c r="W18" s="185"/>
      <c r="X18" s="185" t="e">
        <f t="shared" si="4"/>
        <v>#N/A</v>
      </c>
      <c r="Y18" s="494"/>
      <c r="Z18" s="185"/>
      <c r="AA18" s="185"/>
      <c r="AB18" s="185"/>
      <c r="AC18" s="185" t="e">
        <f t="shared" si="5"/>
        <v>#N/A</v>
      </c>
      <c r="AD18" s="494"/>
      <c r="AE18" s="185"/>
      <c r="AF18" s="185"/>
      <c r="AG18" s="185"/>
      <c r="AH18" s="185" t="e">
        <f t="shared" si="6"/>
        <v>#N/A</v>
      </c>
      <c r="AI18" s="494"/>
      <c r="AJ18" s="185"/>
      <c r="AK18" s="185"/>
      <c r="AL18" s="185"/>
      <c r="AM18" s="185" t="e">
        <f t="shared" si="7"/>
        <v>#N/A</v>
      </c>
      <c r="AN18" s="494"/>
      <c r="AO18" s="185"/>
      <c r="AP18" s="185"/>
      <c r="AQ18" s="185"/>
      <c r="AR18" s="185" t="e">
        <f t="shared" si="8"/>
        <v>#N/A</v>
      </c>
      <c r="AS18" s="494"/>
      <c r="AT18" s="185"/>
      <c r="AU18" s="185"/>
      <c r="AV18" s="185"/>
      <c r="AW18" s="185" t="e">
        <f t="shared" si="9"/>
        <v>#N/A</v>
      </c>
      <c r="AX18" s="494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185"/>
      <c r="E19" s="185"/>
      <c r="F19" s="185"/>
      <c r="G19" s="185"/>
      <c r="H19" s="452"/>
      <c r="I19" s="185"/>
      <c r="J19" s="185"/>
      <c r="K19" s="185"/>
      <c r="L19" s="452"/>
      <c r="M19" s="184" t="e">
        <f>RANK(K19, $K$7:K$21)</f>
        <v>#N/A</v>
      </c>
      <c r="N19" s="454"/>
      <c r="O19" s="454"/>
      <c r="P19" s="185"/>
      <c r="Q19" s="185"/>
      <c r="R19" s="185"/>
      <c r="S19" s="185" t="e">
        <f t="shared" si="3"/>
        <v>#N/A</v>
      </c>
      <c r="T19" s="494"/>
      <c r="U19" s="185"/>
      <c r="V19" s="185"/>
      <c r="W19" s="185"/>
      <c r="X19" s="185" t="e">
        <f t="shared" si="4"/>
        <v>#N/A</v>
      </c>
      <c r="Y19" s="494"/>
      <c r="Z19" s="185"/>
      <c r="AA19" s="185"/>
      <c r="AB19" s="185"/>
      <c r="AC19" s="185" t="e">
        <f t="shared" si="5"/>
        <v>#N/A</v>
      </c>
      <c r="AD19" s="494"/>
      <c r="AE19" s="185"/>
      <c r="AF19" s="185"/>
      <c r="AG19" s="185"/>
      <c r="AH19" s="185" t="e">
        <f t="shared" si="6"/>
        <v>#N/A</v>
      </c>
      <c r="AI19" s="494"/>
      <c r="AJ19" s="185"/>
      <c r="AK19" s="185"/>
      <c r="AL19" s="185"/>
      <c r="AM19" s="185" t="e">
        <f t="shared" si="7"/>
        <v>#N/A</v>
      </c>
      <c r="AN19" s="494"/>
      <c r="AO19" s="185"/>
      <c r="AP19" s="185"/>
      <c r="AQ19" s="185"/>
      <c r="AR19" s="185" t="e">
        <f t="shared" si="8"/>
        <v>#N/A</v>
      </c>
      <c r="AS19" s="494"/>
      <c r="AT19" s="185"/>
      <c r="AU19" s="185"/>
      <c r="AV19" s="185"/>
      <c r="AW19" s="185" t="e">
        <f t="shared" si="9"/>
        <v>#N/A</v>
      </c>
      <c r="AX19" s="494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185"/>
      <c r="E20" s="185"/>
      <c r="F20" s="185"/>
      <c r="G20" s="185"/>
      <c r="H20" s="452"/>
      <c r="I20" s="185"/>
      <c r="J20" s="185"/>
      <c r="K20" s="185"/>
      <c r="L20" s="452"/>
      <c r="M20" s="184" t="e">
        <f>RANK(K20, $K$7:K$21)</f>
        <v>#N/A</v>
      </c>
      <c r="N20" s="454"/>
      <c r="O20" s="454"/>
      <c r="P20" s="185"/>
      <c r="Q20" s="185"/>
      <c r="R20" s="185"/>
      <c r="S20" s="185" t="e">
        <f t="shared" si="3"/>
        <v>#N/A</v>
      </c>
      <c r="T20" s="494"/>
      <c r="U20" s="185"/>
      <c r="V20" s="185"/>
      <c r="W20" s="185"/>
      <c r="X20" s="185" t="e">
        <f t="shared" si="4"/>
        <v>#N/A</v>
      </c>
      <c r="Y20" s="494"/>
      <c r="Z20" s="185"/>
      <c r="AA20" s="185"/>
      <c r="AB20" s="185"/>
      <c r="AC20" s="185" t="e">
        <f t="shared" si="5"/>
        <v>#N/A</v>
      </c>
      <c r="AD20" s="494"/>
      <c r="AE20" s="185"/>
      <c r="AF20" s="185"/>
      <c r="AG20" s="185"/>
      <c r="AH20" s="185" t="e">
        <f t="shared" si="6"/>
        <v>#N/A</v>
      </c>
      <c r="AI20" s="494"/>
      <c r="AJ20" s="185"/>
      <c r="AK20" s="185"/>
      <c r="AL20" s="185"/>
      <c r="AM20" s="185" t="e">
        <f t="shared" si="7"/>
        <v>#N/A</v>
      </c>
      <c r="AN20" s="494"/>
      <c r="AO20" s="185"/>
      <c r="AP20" s="185"/>
      <c r="AQ20" s="185"/>
      <c r="AR20" s="185" t="e">
        <f t="shared" si="8"/>
        <v>#N/A</v>
      </c>
      <c r="AS20" s="494"/>
      <c r="AT20" s="185"/>
      <c r="AU20" s="185"/>
      <c r="AV20" s="185"/>
      <c r="AW20" s="185" t="e">
        <f t="shared" si="9"/>
        <v>#N/A</v>
      </c>
      <c r="AX20" s="494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185"/>
      <c r="E21" s="185"/>
      <c r="F21" s="185"/>
      <c r="G21" s="185"/>
      <c r="H21" s="453"/>
      <c r="I21" s="185"/>
      <c r="J21" s="185"/>
      <c r="K21" s="185"/>
      <c r="L21" s="453"/>
      <c r="M21" s="169" t="e">
        <f>RANK(K21, $K$7:K$21)</f>
        <v>#N/A</v>
      </c>
      <c r="N21" s="454"/>
      <c r="O21" s="454"/>
      <c r="P21" s="185"/>
      <c r="Q21" s="185"/>
      <c r="R21" s="185"/>
      <c r="S21" s="185" t="e">
        <f t="shared" si="3"/>
        <v>#N/A</v>
      </c>
      <c r="T21" s="494"/>
      <c r="U21" s="185"/>
      <c r="V21" s="185"/>
      <c r="W21" s="185"/>
      <c r="X21" s="185" t="e">
        <f t="shared" si="4"/>
        <v>#N/A</v>
      </c>
      <c r="Y21" s="494"/>
      <c r="Z21" s="185"/>
      <c r="AA21" s="185"/>
      <c r="AB21" s="185"/>
      <c r="AC21" s="185" t="e">
        <f t="shared" si="5"/>
        <v>#N/A</v>
      </c>
      <c r="AD21" s="494"/>
      <c r="AE21" s="185"/>
      <c r="AF21" s="185"/>
      <c r="AG21" s="185"/>
      <c r="AH21" s="185" t="e">
        <f t="shared" si="6"/>
        <v>#N/A</v>
      </c>
      <c r="AI21" s="494"/>
      <c r="AJ21" s="185"/>
      <c r="AK21" s="185"/>
      <c r="AL21" s="185"/>
      <c r="AM21" s="185" t="e">
        <f t="shared" si="7"/>
        <v>#N/A</v>
      </c>
      <c r="AN21" s="494"/>
      <c r="AO21" s="185"/>
      <c r="AP21" s="185"/>
      <c r="AQ21" s="185"/>
      <c r="AR21" s="185" t="e">
        <f t="shared" si="8"/>
        <v>#N/A</v>
      </c>
      <c r="AS21" s="494"/>
      <c r="AT21" s="185"/>
      <c r="AU21" s="185"/>
      <c r="AV21" s="185"/>
      <c r="AW21" s="185" t="e">
        <f t="shared" si="9"/>
        <v>#N/A</v>
      </c>
      <c r="AX21" s="494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97">
        <f>AT2+1</f>
        <v>45965</v>
      </c>
      <c r="Q22" s="498"/>
      <c r="R22" s="498"/>
      <c r="S22" s="498"/>
      <c r="T22" s="498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96" t="s">
        <v>250</v>
      </c>
      <c r="C27" s="185">
        <v>1</v>
      </c>
      <c r="D27" s="185" t="s">
        <v>251</v>
      </c>
      <c r="E27" s="185">
        <v>10</v>
      </c>
      <c r="F27" s="185">
        <v>1500</v>
      </c>
      <c r="G27" s="169">
        <v>150</v>
      </c>
      <c r="H27" s="451">
        <f>AVERAGE(G27:G41)</f>
        <v>181.25</v>
      </c>
      <c r="I27" s="169">
        <f>AVERAGE(P27,U27,Z27,AE27,AJ27,AO27,AT27)</f>
        <v>10</v>
      </c>
      <c r="J27" s="169">
        <f>AVERAGE(Q27,V27,AA27,AF27,AK27,AP27,AU27)</f>
        <v>828.64042876089718</v>
      </c>
      <c r="K27" s="183">
        <f>AVERAGE(R27,W27,AB27,AG27,AL27,AQ27,AV27)</f>
        <v>82.864042876089712</v>
      </c>
      <c r="L27" s="451">
        <f>IFERROR(AVERAGE(K27:K41),"-")</f>
        <v>182.18847083189692</v>
      </c>
      <c r="M27" s="184">
        <f>RANK(K27, K$27:$K$41)</f>
        <v>8</v>
      </c>
      <c r="N27" s="454"/>
      <c r="O27" s="454"/>
      <c r="P27" s="169">
        <v>10</v>
      </c>
      <c r="Q27" s="169">
        <v>725.45454545454606</v>
      </c>
      <c r="R27" s="183">
        <v>72.545454545454604</v>
      </c>
      <c r="S27" s="185">
        <f t="shared" ref="S27:S41" si="11">RANK(R27, R$27:R$41)</f>
        <v>8</v>
      </c>
      <c r="T27" s="494">
        <f>AVERAGE(R27:R41)</f>
        <v>180.8773851148851</v>
      </c>
      <c r="U27" s="169">
        <v>10</v>
      </c>
      <c r="V27" s="169">
        <v>1374.7826086956522</v>
      </c>
      <c r="W27" s="183">
        <v>137.47826086956522</v>
      </c>
      <c r="X27" s="185">
        <f t="shared" ref="X27:X41" si="12">RANK(W27, W$27:W$41)</f>
        <v>6</v>
      </c>
      <c r="Y27" s="494">
        <f>AVERAGE(W27:W41)</f>
        <v>189.77137280212804</v>
      </c>
      <c r="Z27" s="169">
        <v>10</v>
      </c>
      <c r="AA27" s="169">
        <v>726.00000000000045</v>
      </c>
      <c r="AB27" s="183">
        <v>72.600000000000051</v>
      </c>
      <c r="AC27" s="185">
        <f t="shared" ref="AC27:AC41" si="13">RANK(AB27, AB$27:AB$41)</f>
        <v>8</v>
      </c>
      <c r="AD27" s="494">
        <f>AVERAGE(AB27:AB41)</f>
        <v>180.97616453205504</v>
      </c>
      <c r="AE27" s="169">
        <v>10</v>
      </c>
      <c r="AF27" s="169">
        <v>749.14285714285722</v>
      </c>
      <c r="AG27" s="183">
        <v>74.914285714285725</v>
      </c>
      <c r="AH27" s="185">
        <f t="shared" ref="AH27:AH41" si="14">RANK(AG27, AG$27:AG$41)</f>
        <v>8</v>
      </c>
      <c r="AI27" s="494">
        <f>AVERAGE(AG27:AG41)</f>
        <v>184.50550976800974</v>
      </c>
      <c r="AJ27" s="169">
        <v>10</v>
      </c>
      <c r="AK27" s="169">
        <v>747.42857142857156</v>
      </c>
      <c r="AL27" s="183">
        <v>74.742857142857162</v>
      </c>
      <c r="AM27" s="185">
        <f t="shared" ref="AM27:AM41" si="15">RANK(AL27, AL$27:AL$41)</f>
        <v>8</v>
      </c>
      <c r="AN27" s="494">
        <f>AVERAGE(AL27:AL41)</f>
        <v>176.50412851037848</v>
      </c>
      <c r="AO27" s="169">
        <v>10</v>
      </c>
      <c r="AP27" s="169">
        <v>752.0930232558145</v>
      </c>
      <c r="AQ27" s="183">
        <v>75.209302325581447</v>
      </c>
      <c r="AR27" s="185">
        <f t="shared" ref="AR27:AR41" si="16">RANK(AQ27, AQ$27:AQ$41)</f>
        <v>8</v>
      </c>
      <c r="AS27" s="464">
        <f>AVERAGE(AQ27:AQ41)</f>
        <v>181.3794021499163</v>
      </c>
      <c r="AT27" s="169">
        <v>10</v>
      </c>
      <c r="AU27" s="169">
        <v>725.58139534883787</v>
      </c>
      <c r="AV27" s="183">
        <v>72.558139534883793</v>
      </c>
      <c r="AW27" s="185">
        <f t="shared" ref="AW27:AW41" si="17">RANK(AV27, AV$27:AV$41)</f>
        <v>8</v>
      </c>
      <c r="AX27" s="464">
        <f>AVERAGE(AV27:AV41)</f>
        <v>181.30533294590566</v>
      </c>
    </row>
    <row r="28" spans="2:54">
      <c r="B28" s="471"/>
      <c r="C28" s="185">
        <v>2</v>
      </c>
      <c r="D28" s="185" t="s">
        <v>252</v>
      </c>
      <c r="E28" s="185">
        <v>15</v>
      </c>
      <c r="F28" s="185">
        <v>1800</v>
      </c>
      <c r="G28" s="169">
        <v>120</v>
      </c>
      <c r="H28" s="452"/>
      <c r="I28" s="169">
        <f t="shared" ref="I28:I32" si="18">AVERAGE(P28,U28,Z28,AE28,AJ28,AO28,AT28)</f>
        <v>12.142857142857142</v>
      </c>
      <c r="J28" s="169">
        <f t="shared" ref="J28:J32" si="19">AVERAGE(Q28,V28,AA28,AF28,AK28,AP28,AU28)</f>
        <v>1781.6909090909101</v>
      </c>
      <c r="K28" s="183">
        <f t="shared" ref="K28:K32" si="20">AVERAGE(R28,W28,AB28,AG28,AL28,AQ28,AV28)</f>
        <v>146.74774669774678</v>
      </c>
      <c r="L28" s="452"/>
      <c r="M28" s="184">
        <f>RANK(K28, K$27:$K$41)</f>
        <v>4</v>
      </c>
      <c r="N28" s="454"/>
      <c r="O28" s="454"/>
      <c r="P28" s="185">
        <v>12</v>
      </c>
      <c r="Q28" s="169">
        <v>1746.0000000000064</v>
      </c>
      <c r="R28" s="183">
        <v>145.50000000000054</v>
      </c>
      <c r="S28" s="185">
        <f t="shared" si="11"/>
        <v>5</v>
      </c>
      <c r="T28" s="494"/>
      <c r="U28" s="185">
        <v>12</v>
      </c>
      <c r="V28" s="169">
        <v>1761.6000000000006</v>
      </c>
      <c r="W28" s="183">
        <v>146.80000000000004</v>
      </c>
      <c r="X28" s="185">
        <f t="shared" si="12"/>
        <v>5</v>
      </c>
      <c r="Y28" s="494"/>
      <c r="Z28" s="185">
        <v>13</v>
      </c>
      <c r="AA28" s="169">
        <v>1885.3333333333333</v>
      </c>
      <c r="AB28" s="183">
        <v>145.02564102564102</v>
      </c>
      <c r="AC28" s="185">
        <f t="shared" si="13"/>
        <v>4</v>
      </c>
      <c r="AD28" s="494"/>
      <c r="AE28" s="185">
        <v>12</v>
      </c>
      <c r="AF28" s="169">
        <v>1706.6666666666665</v>
      </c>
      <c r="AG28" s="183">
        <v>142.2222222222222</v>
      </c>
      <c r="AH28" s="185">
        <f t="shared" si="14"/>
        <v>5</v>
      </c>
      <c r="AI28" s="494"/>
      <c r="AJ28" s="185">
        <v>12</v>
      </c>
      <c r="AK28" s="169">
        <v>1875.000000000003</v>
      </c>
      <c r="AL28" s="183">
        <v>156.25000000000026</v>
      </c>
      <c r="AM28" s="185">
        <f t="shared" si="15"/>
        <v>4</v>
      </c>
      <c r="AN28" s="494"/>
      <c r="AO28" s="185">
        <v>12</v>
      </c>
      <c r="AP28" s="169">
        <v>1723.6363636363596</v>
      </c>
      <c r="AQ28" s="183">
        <v>143.63636363636331</v>
      </c>
      <c r="AR28" s="185">
        <f t="shared" si="16"/>
        <v>4</v>
      </c>
      <c r="AS28" s="465"/>
      <c r="AT28" s="185">
        <v>12</v>
      </c>
      <c r="AU28" s="169">
        <v>1773.6000000000006</v>
      </c>
      <c r="AV28" s="183">
        <v>147.80000000000004</v>
      </c>
      <c r="AW28" s="185">
        <f t="shared" si="17"/>
        <v>4</v>
      </c>
      <c r="AX28" s="465"/>
    </row>
    <row r="29" spans="2:54">
      <c r="B29" s="471"/>
      <c r="C29" s="185">
        <v>3</v>
      </c>
      <c r="D29" s="185" t="s">
        <v>253</v>
      </c>
      <c r="E29" s="185">
        <v>15</v>
      </c>
      <c r="F29" s="185">
        <v>1800</v>
      </c>
      <c r="G29" s="169">
        <v>120</v>
      </c>
      <c r="H29" s="452"/>
      <c r="I29" s="169">
        <f t="shared" si="18"/>
        <v>12.142857142857142</v>
      </c>
      <c r="J29" s="169">
        <f t="shared" si="19"/>
        <v>1745.9203463203469</v>
      </c>
      <c r="K29" s="183">
        <f t="shared" si="20"/>
        <v>143.90325230325234</v>
      </c>
      <c r="L29" s="452"/>
      <c r="M29" s="184">
        <f>RANK(K29, K$27:$K$41)</f>
        <v>5</v>
      </c>
      <c r="N29" s="454"/>
      <c r="O29" s="454"/>
      <c r="P29" s="185">
        <v>12</v>
      </c>
      <c r="Q29" s="169">
        <v>1780.8000000000004</v>
      </c>
      <c r="R29" s="183">
        <v>148.40000000000003</v>
      </c>
      <c r="S29" s="185">
        <f t="shared" si="11"/>
        <v>4</v>
      </c>
      <c r="T29" s="494"/>
      <c r="U29" s="185">
        <v>12</v>
      </c>
      <c r="V29" s="169">
        <v>1922.6666666666667</v>
      </c>
      <c r="W29" s="183">
        <v>160.22222222222223</v>
      </c>
      <c r="X29" s="185">
        <f t="shared" si="12"/>
        <v>4</v>
      </c>
      <c r="Y29" s="494"/>
      <c r="Z29" s="185">
        <v>13</v>
      </c>
      <c r="AA29" s="169">
        <v>1736.4000000000005</v>
      </c>
      <c r="AB29" s="183">
        <v>133.56923076923081</v>
      </c>
      <c r="AC29" s="185">
        <f t="shared" si="13"/>
        <v>5</v>
      </c>
      <c r="AD29" s="494"/>
      <c r="AE29" s="185">
        <v>12</v>
      </c>
      <c r="AF29" s="169">
        <v>1752</v>
      </c>
      <c r="AG29" s="183">
        <v>146</v>
      </c>
      <c r="AH29" s="185">
        <f t="shared" si="14"/>
        <v>4</v>
      </c>
      <c r="AI29" s="494"/>
      <c r="AJ29" s="185">
        <v>12</v>
      </c>
      <c r="AK29" s="169">
        <v>1694.6666666666665</v>
      </c>
      <c r="AL29" s="183">
        <v>141.2222222222222</v>
      </c>
      <c r="AM29" s="185">
        <f t="shared" si="15"/>
        <v>5</v>
      </c>
      <c r="AN29" s="494"/>
      <c r="AO29" s="185">
        <v>12</v>
      </c>
      <c r="AP29" s="169">
        <v>1722.5454545454556</v>
      </c>
      <c r="AQ29" s="183">
        <v>143.54545454545465</v>
      </c>
      <c r="AR29" s="185">
        <f t="shared" si="16"/>
        <v>5</v>
      </c>
      <c r="AS29" s="465"/>
      <c r="AT29" s="185">
        <v>12</v>
      </c>
      <c r="AU29" s="169">
        <v>1612.3636363636374</v>
      </c>
      <c r="AV29" s="183">
        <v>134.36363636363646</v>
      </c>
      <c r="AW29" s="185">
        <f t="shared" si="17"/>
        <v>5</v>
      </c>
      <c r="AX29" s="465"/>
    </row>
    <row r="30" spans="2:54">
      <c r="B30" s="471"/>
      <c r="C30" s="185">
        <v>4</v>
      </c>
      <c r="D30" s="185" t="s">
        <v>254</v>
      </c>
      <c r="E30" s="185">
        <v>5</v>
      </c>
      <c r="F30" s="185">
        <v>1500</v>
      </c>
      <c r="G30" s="169">
        <v>300</v>
      </c>
      <c r="H30" s="452"/>
      <c r="I30" s="169">
        <f t="shared" si="18"/>
        <v>5</v>
      </c>
      <c r="J30" s="169">
        <f t="shared" si="19"/>
        <v>1521.8019361590784</v>
      </c>
      <c r="K30" s="183">
        <f t="shared" si="20"/>
        <v>304.36038723181571</v>
      </c>
      <c r="L30" s="452"/>
      <c r="M30" s="184">
        <f>RANK(K30, K$27:$K$41)</f>
        <v>1</v>
      </c>
      <c r="N30" s="454"/>
      <c r="O30" s="454"/>
      <c r="P30" s="185">
        <v>5</v>
      </c>
      <c r="Q30" s="169">
        <v>1478.5714285714284</v>
      </c>
      <c r="R30" s="183">
        <v>295.71428571428567</v>
      </c>
      <c r="S30" s="185">
        <f t="shared" si="11"/>
        <v>3</v>
      </c>
      <c r="T30" s="494"/>
      <c r="U30" s="185">
        <v>5</v>
      </c>
      <c r="V30" s="169">
        <v>1506.9230769230767</v>
      </c>
      <c r="W30" s="183">
        <v>301.38461538461536</v>
      </c>
      <c r="X30" s="185">
        <f t="shared" si="12"/>
        <v>1</v>
      </c>
      <c r="Y30" s="494"/>
      <c r="Z30" s="185">
        <v>5</v>
      </c>
      <c r="AA30" s="169">
        <v>1499.9999999999991</v>
      </c>
      <c r="AB30" s="183">
        <v>299.99999999999983</v>
      </c>
      <c r="AC30" s="185">
        <f t="shared" si="13"/>
        <v>1</v>
      </c>
      <c r="AD30" s="494"/>
      <c r="AE30" s="185">
        <v>5</v>
      </c>
      <c r="AF30" s="169">
        <v>1554.2857142857138</v>
      </c>
      <c r="AG30" s="183">
        <v>310.85714285714278</v>
      </c>
      <c r="AH30" s="185">
        <f t="shared" si="14"/>
        <v>2</v>
      </c>
      <c r="AI30" s="494"/>
      <c r="AJ30" s="185">
        <v>5</v>
      </c>
      <c r="AK30" s="169">
        <v>1549.4999999999995</v>
      </c>
      <c r="AL30" s="183">
        <v>309.89999999999992</v>
      </c>
      <c r="AM30" s="185">
        <f t="shared" si="15"/>
        <v>1</v>
      </c>
      <c r="AN30" s="494"/>
      <c r="AO30" s="185">
        <v>5</v>
      </c>
      <c r="AP30" s="169">
        <v>1529.9999999999991</v>
      </c>
      <c r="AQ30" s="183">
        <v>305.99999999999983</v>
      </c>
      <c r="AR30" s="185">
        <f t="shared" si="16"/>
        <v>1</v>
      </c>
      <c r="AS30" s="465"/>
      <c r="AT30" s="185">
        <v>5</v>
      </c>
      <c r="AU30" s="169">
        <v>1533.3333333333335</v>
      </c>
      <c r="AV30" s="183">
        <v>306.66666666666669</v>
      </c>
      <c r="AW30" s="185">
        <f t="shared" si="17"/>
        <v>1</v>
      </c>
      <c r="AX30" s="465"/>
    </row>
    <row r="31" spans="2:54">
      <c r="B31" s="471"/>
      <c r="C31" s="185">
        <v>5</v>
      </c>
      <c r="D31" s="185" t="s">
        <v>255</v>
      </c>
      <c r="E31" s="185">
        <v>5</v>
      </c>
      <c r="F31" s="185">
        <v>1500</v>
      </c>
      <c r="G31" s="169">
        <v>300</v>
      </c>
      <c r="H31" s="452"/>
      <c r="I31" s="169">
        <f t="shared" si="18"/>
        <v>5</v>
      </c>
      <c r="J31" s="169">
        <f t="shared" si="19"/>
        <v>1488.2362764052257</v>
      </c>
      <c r="K31" s="183">
        <f t="shared" si="20"/>
        <v>297.64725528104509</v>
      </c>
      <c r="L31" s="452"/>
      <c r="M31" s="184">
        <f>RANK(K31, K$27:$K$41)</f>
        <v>2</v>
      </c>
      <c r="N31" s="454"/>
      <c r="O31" s="454"/>
      <c r="P31" s="185">
        <v>5</v>
      </c>
      <c r="Q31" s="169">
        <v>1504.6153846153841</v>
      </c>
      <c r="R31" s="183">
        <v>300.92307692307679</v>
      </c>
      <c r="S31" s="185">
        <f t="shared" si="11"/>
        <v>2</v>
      </c>
      <c r="T31" s="494"/>
      <c r="U31" s="185">
        <v>5</v>
      </c>
      <c r="V31" s="169">
        <v>1501.1999999999994</v>
      </c>
      <c r="W31" s="183">
        <v>300.2399999999999</v>
      </c>
      <c r="X31" s="185">
        <f t="shared" si="12"/>
        <v>2</v>
      </c>
      <c r="Y31" s="494"/>
      <c r="Z31" s="185">
        <v>5</v>
      </c>
      <c r="AA31" s="169">
        <v>1494.7826086956509</v>
      </c>
      <c r="AB31" s="183">
        <v>298.95652173913015</v>
      </c>
      <c r="AC31" s="185">
        <f t="shared" si="13"/>
        <v>2</v>
      </c>
      <c r="AD31" s="494"/>
      <c r="AE31" s="185">
        <v>5</v>
      </c>
      <c r="AF31" s="169">
        <v>1573.4999999999995</v>
      </c>
      <c r="AG31" s="183">
        <v>314.69999999999993</v>
      </c>
      <c r="AH31" s="185">
        <f t="shared" si="14"/>
        <v>1</v>
      </c>
      <c r="AI31" s="494"/>
      <c r="AJ31" s="185">
        <v>5</v>
      </c>
      <c r="AK31" s="169">
        <v>1358.6666666666667</v>
      </c>
      <c r="AL31" s="183">
        <v>271.73333333333335</v>
      </c>
      <c r="AM31" s="185">
        <f t="shared" si="15"/>
        <v>2</v>
      </c>
      <c r="AN31" s="494"/>
      <c r="AO31" s="185">
        <v>5</v>
      </c>
      <c r="AP31" s="169">
        <v>1495.1020408163258</v>
      </c>
      <c r="AQ31" s="183">
        <v>299.02040816326519</v>
      </c>
      <c r="AR31" s="185">
        <f t="shared" si="16"/>
        <v>2</v>
      </c>
      <c r="AS31" s="465"/>
      <c r="AT31" s="185">
        <v>5</v>
      </c>
      <c r="AU31" s="169">
        <v>1489.787234042552</v>
      </c>
      <c r="AV31" s="183">
        <v>297.95744680851038</v>
      </c>
      <c r="AW31" s="185">
        <f t="shared" si="17"/>
        <v>3</v>
      </c>
      <c r="AX31" s="465"/>
    </row>
    <row r="32" spans="2:54">
      <c r="B32" s="471"/>
      <c r="C32" s="185">
        <v>6</v>
      </c>
      <c r="D32" s="185" t="s">
        <v>256</v>
      </c>
      <c r="E32" s="185">
        <v>5</v>
      </c>
      <c r="F32" s="185">
        <v>1500</v>
      </c>
      <c r="G32" s="169">
        <v>300</v>
      </c>
      <c r="H32" s="452"/>
      <c r="I32" s="169">
        <f t="shared" si="18"/>
        <v>5</v>
      </c>
      <c r="J32" s="169">
        <f t="shared" si="19"/>
        <v>1475.0925175956061</v>
      </c>
      <c r="K32" s="183">
        <f t="shared" si="20"/>
        <v>295.01850351912117</v>
      </c>
      <c r="L32" s="452"/>
      <c r="M32" s="184">
        <f>RANK(K32, K$27:$K$41)</f>
        <v>3</v>
      </c>
      <c r="N32" s="454"/>
      <c r="O32" s="454"/>
      <c r="P32" s="185">
        <v>5</v>
      </c>
      <c r="Q32" s="169">
        <v>1505.1428571428555</v>
      </c>
      <c r="R32" s="183">
        <v>301.02857142857113</v>
      </c>
      <c r="S32" s="185">
        <f t="shared" si="11"/>
        <v>1</v>
      </c>
      <c r="T32" s="494"/>
      <c r="U32" s="185">
        <v>5</v>
      </c>
      <c r="V32" s="169">
        <v>1466.8421052631602</v>
      </c>
      <c r="W32" s="183">
        <v>293.36842105263202</v>
      </c>
      <c r="X32" s="185">
        <f t="shared" si="12"/>
        <v>3</v>
      </c>
      <c r="Y32" s="494"/>
      <c r="Z32" s="185">
        <v>5</v>
      </c>
      <c r="AA32" s="169">
        <v>1490.3225806451587</v>
      </c>
      <c r="AB32" s="183">
        <v>298.06451612903174</v>
      </c>
      <c r="AC32" s="185">
        <f t="shared" si="13"/>
        <v>3</v>
      </c>
      <c r="AD32" s="494"/>
      <c r="AE32" s="185">
        <v>5</v>
      </c>
      <c r="AF32" s="169">
        <v>1524.4444444444453</v>
      </c>
      <c r="AG32" s="183">
        <v>304.88888888888903</v>
      </c>
      <c r="AH32" s="185">
        <f t="shared" si="14"/>
        <v>3</v>
      </c>
      <c r="AI32" s="494"/>
      <c r="AJ32" s="185">
        <v>5</v>
      </c>
      <c r="AK32" s="169">
        <v>1333.9999999999977</v>
      </c>
      <c r="AL32" s="183">
        <v>266.79999999999956</v>
      </c>
      <c r="AM32" s="185">
        <f t="shared" si="15"/>
        <v>3</v>
      </c>
      <c r="AN32" s="494"/>
      <c r="AO32" s="185">
        <v>5</v>
      </c>
      <c r="AP32" s="169">
        <v>1489.4117647058843</v>
      </c>
      <c r="AQ32" s="183">
        <v>297.88235294117686</v>
      </c>
      <c r="AR32" s="185">
        <f t="shared" si="16"/>
        <v>3</v>
      </c>
      <c r="AS32" s="465"/>
      <c r="AT32" s="185">
        <v>5</v>
      </c>
      <c r="AU32" s="169">
        <v>1515.4838709677397</v>
      </c>
      <c r="AV32" s="183">
        <v>303.09677419354796</v>
      </c>
      <c r="AW32" s="185">
        <f t="shared" si="17"/>
        <v>2</v>
      </c>
      <c r="AX32" s="465"/>
    </row>
    <row r="33" spans="2:50">
      <c r="B33" s="471"/>
      <c r="C33" s="185">
        <v>7</v>
      </c>
      <c r="D33" s="185" t="s">
        <v>257</v>
      </c>
      <c r="E33" s="185">
        <v>15</v>
      </c>
      <c r="F33" s="185">
        <v>1200</v>
      </c>
      <c r="G33" s="169">
        <v>80</v>
      </c>
      <c r="H33" s="452"/>
      <c r="I33" s="169">
        <f t="shared" ref="I33:I34" si="21">AVERAGE(P33,U33,Z33,AE33,AJ33,AO33,AT33)</f>
        <v>12.857142857142858</v>
      </c>
      <c r="J33" s="169">
        <f t="shared" ref="J33:J34" si="22">AVERAGE(Q33,V33,AA33,AF33,AK33,AP33,AU33)</f>
        <v>1213.2108843537419</v>
      </c>
      <c r="K33" s="183">
        <f t="shared" ref="K33:K34" si="23">AVERAGE(R33,W33,AB33,AG33,AL33,AQ33,AV33)</f>
        <v>94.447933019361599</v>
      </c>
      <c r="L33" s="452"/>
      <c r="M33" s="184">
        <f>RANK(K33, K$27:$K$41)</f>
        <v>6</v>
      </c>
      <c r="N33" s="454"/>
      <c r="O33" s="454"/>
      <c r="P33" s="185">
        <v>13</v>
      </c>
      <c r="Q33" s="169">
        <v>1175.999999999998</v>
      </c>
      <c r="R33" s="183">
        <v>90.461538461538311</v>
      </c>
      <c r="S33" s="185">
        <f t="shared" si="11"/>
        <v>7</v>
      </c>
      <c r="T33" s="494"/>
      <c r="U33" s="185">
        <v>13</v>
      </c>
      <c r="V33" s="169">
        <v>1125.3333333333335</v>
      </c>
      <c r="W33" s="183">
        <v>86.564102564102569</v>
      </c>
      <c r="X33" s="185">
        <f t="shared" si="12"/>
        <v>8</v>
      </c>
      <c r="Y33" s="494"/>
      <c r="Z33" s="185">
        <v>12</v>
      </c>
      <c r="AA33" s="169">
        <v>1227.4285714285729</v>
      </c>
      <c r="AB33" s="183">
        <v>102.28571428571441</v>
      </c>
      <c r="AC33" s="185">
        <f t="shared" si="13"/>
        <v>6</v>
      </c>
      <c r="AD33" s="494"/>
      <c r="AE33" s="185">
        <v>13</v>
      </c>
      <c r="AF33" s="169">
        <v>1222.0000000000011</v>
      </c>
      <c r="AG33" s="183">
        <v>94.000000000000085</v>
      </c>
      <c r="AH33" s="185">
        <f t="shared" si="14"/>
        <v>6</v>
      </c>
      <c r="AI33" s="494"/>
      <c r="AJ33" s="185">
        <v>13</v>
      </c>
      <c r="AK33" s="169">
        <v>1260.0000000000005</v>
      </c>
      <c r="AL33" s="183">
        <v>96.923076923076962</v>
      </c>
      <c r="AM33" s="185">
        <f t="shared" si="15"/>
        <v>6</v>
      </c>
      <c r="AN33" s="494"/>
      <c r="AO33" s="185">
        <v>13</v>
      </c>
      <c r="AP33" s="169">
        <v>1225.7142857142846</v>
      </c>
      <c r="AQ33" s="183">
        <v>94.285714285714207</v>
      </c>
      <c r="AR33" s="185">
        <f t="shared" si="16"/>
        <v>6</v>
      </c>
      <c r="AS33" s="465"/>
      <c r="AT33" s="185">
        <v>13</v>
      </c>
      <c r="AU33" s="169">
        <v>1256.0000000000014</v>
      </c>
      <c r="AV33" s="183">
        <v>96.615384615384727</v>
      </c>
      <c r="AW33" s="185">
        <f t="shared" si="17"/>
        <v>6</v>
      </c>
      <c r="AX33" s="465"/>
    </row>
    <row r="34" spans="2:50">
      <c r="B34" s="471"/>
      <c r="C34" s="185">
        <v>8</v>
      </c>
      <c r="D34" s="185" t="s">
        <v>258</v>
      </c>
      <c r="E34" s="185">
        <v>15</v>
      </c>
      <c r="F34" s="185">
        <v>1200</v>
      </c>
      <c r="G34" s="169">
        <v>80</v>
      </c>
      <c r="H34" s="452"/>
      <c r="I34" s="169">
        <f t="shared" si="21"/>
        <v>12.857142857142858</v>
      </c>
      <c r="J34" s="169">
        <f t="shared" si="22"/>
        <v>1188.841295546559</v>
      </c>
      <c r="K34" s="183">
        <f t="shared" si="23"/>
        <v>92.518645726742903</v>
      </c>
      <c r="L34" s="452"/>
      <c r="M34" s="184">
        <f>RANK(K34, K$27:$K$41)</f>
        <v>7</v>
      </c>
      <c r="N34" s="454"/>
      <c r="O34" s="454"/>
      <c r="P34" s="185">
        <v>13</v>
      </c>
      <c r="Q34" s="169">
        <v>1201.7999999999995</v>
      </c>
      <c r="R34" s="183">
        <v>92.446153846153805</v>
      </c>
      <c r="S34" s="185">
        <f t="shared" si="11"/>
        <v>6</v>
      </c>
      <c r="T34" s="494"/>
      <c r="U34" s="185">
        <v>13</v>
      </c>
      <c r="V34" s="169">
        <v>1197.4736842105274</v>
      </c>
      <c r="W34" s="183">
        <v>92.113360323886724</v>
      </c>
      <c r="X34" s="185">
        <f t="shared" si="12"/>
        <v>7</v>
      </c>
      <c r="Y34" s="494"/>
      <c r="Z34" s="185">
        <v>12</v>
      </c>
      <c r="AA34" s="169">
        <v>1167.692307692309</v>
      </c>
      <c r="AB34" s="183">
        <v>97.30769230769242</v>
      </c>
      <c r="AC34" s="185">
        <f t="shared" si="13"/>
        <v>7</v>
      </c>
      <c r="AD34" s="494"/>
      <c r="AE34" s="185">
        <v>13</v>
      </c>
      <c r="AF34" s="169">
        <v>1149.9999999999995</v>
      </c>
      <c r="AG34" s="183">
        <v>88.461538461538424</v>
      </c>
      <c r="AH34" s="185">
        <f t="shared" si="14"/>
        <v>7</v>
      </c>
      <c r="AI34" s="494"/>
      <c r="AJ34" s="185">
        <v>13</v>
      </c>
      <c r="AK34" s="169">
        <v>1228.000000000002</v>
      </c>
      <c r="AL34" s="183">
        <v>94.461538461538623</v>
      </c>
      <c r="AM34" s="185">
        <f t="shared" si="15"/>
        <v>7</v>
      </c>
      <c r="AN34" s="494"/>
      <c r="AO34" s="185">
        <v>13</v>
      </c>
      <c r="AP34" s="169">
        <v>1188.9230769230753</v>
      </c>
      <c r="AQ34" s="183">
        <v>91.455621301775025</v>
      </c>
      <c r="AR34" s="185">
        <f t="shared" si="16"/>
        <v>7</v>
      </c>
      <c r="AS34" s="465"/>
      <c r="AT34" s="185">
        <v>13</v>
      </c>
      <c r="AU34" s="169">
        <v>1187.9999999999993</v>
      </c>
      <c r="AV34" s="183">
        <v>91.38461538461533</v>
      </c>
      <c r="AW34" s="185">
        <f t="shared" si="17"/>
        <v>7</v>
      </c>
      <c r="AX34" s="465"/>
    </row>
    <row r="35" spans="2:50">
      <c r="B35" s="471"/>
      <c r="C35" s="185">
        <v>9</v>
      </c>
      <c r="D35" s="185"/>
      <c r="E35" s="185"/>
      <c r="F35" s="185"/>
      <c r="G35" s="169"/>
      <c r="H35" s="452"/>
      <c r="I35" s="169"/>
      <c r="J35" s="169"/>
      <c r="K35" s="183"/>
      <c r="L35" s="452"/>
      <c r="M35" s="184" t="e">
        <f>RANK(K35, K$27:$K$41)</f>
        <v>#N/A</v>
      </c>
      <c r="N35" s="454"/>
      <c r="O35" s="454"/>
      <c r="P35" s="185"/>
      <c r="Q35" s="169"/>
      <c r="R35" s="183"/>
      <c r="S35" s="185" t="e">
        <f t="shared" si="11"/>
        <v>#N/A</v>
      </c>
      <c r="T35" s="494"/>
      <c r="U35" s="185"/>
      <c r="V35" s="169"/>
      <c r="W35" s="183"/>
      <c r="X35" s="185" t="e">
        <f t="shared" si="12"/>
        <v>#N/A</v>
      </c>
      <c r="Y35" s="494"/>
      <c r="Z35" s="185"/>
      <c r="AA35" s="169"/>
      <c r="AB35" s="183"/>
      <c r="AC35" s="185" t="e">
        <f t="shared" si="13"/>
        <v>#N/A</v>
      </c>
      <c r="AD35" s="494"/>
      <c r="AE35" s="185"/>
      <c r="AF35" s="169"/>
      <c r="AG35" s="183"/>
      <c r="AH35" s="185" t="e">
        <f t="shared" si="14"/>
        <v>#N/A</v>
      </c>
      <c r="AI35" s="494"/>
      <c r="AJ35" s="185"/>
      <c r="AK35" s="169"/>
      <c r="AL35" s="183"/>
      <c r="AM35" s="185" t="e">
        <f t="shared" si="15"/>
        <v>#N/A</v>
      </c>
      <c r="AN35" s="494"/>
      <c r="AO35" s="185"/>
      <c r="AP35" s="169"/>
      <c r="AQ35" s="183"/>
      <c r="AR35" s="185" t="e">
        <f t="shared" si="16"/>
        <v>#N/A</v>
      </c>
      <c r="AS35" s="465"/>
      <c r="AT35" s="185"/>
      <c r="AU35" s="169"/>
      <c r="AV35" s="183"/>
      <c r="AW35" s="185" t="e">
        <f t="shared" si="17"/>
        <v>#N/A</v>
      </c>
      <c r="AX35" s="465"/>
    </row>
    <row r="36" spans="2:50">
      <c r="B36" s="471"/>
      <c r="C36" s="185">
        <v>10</v>
      </c>
      <c r="D36" s="185"/>
      <c r="E36" s="185"/>
      <c r="F36" s="185"/>
      <c r="G36" s="169"/>
      <c r="H36" s="452"/>
      <c r="I36" s="169"/>
      <c r="J36" s="169"/>
      <c r="K36" s="183"/>
      <c r="L36" s="452"/>
      <c r="M36" s="184" t="e">
        <f>RANK(K36, K$27:$K$41)</f>
        <v>#N/A</v>
      </c>
      <c r="N36" s="454"/>
      <c r="O36" s="454"/>
      <c r="P36" s="185"/>
      <c r="Q36" s="169"/>
      <c r="R36" s="183"/>
      <c r="S36" s="185" t="e">
        <f t="shared" si="11"/>
        <v>#N/A</v>
      </c>
      <c r="T36" s="494"/>
      <c r="U36" s="185"/>
      <c r="V36" s="169"/>
      <c r="W36" s="183"/>
      <c r="X36" s="185" t="e">
        <f t="shared" si="12"/>
        <v>#N/A</v>
      </c>
      <c r="Y36" s="494"/>
      <c r="Z36" s="185"/>
      <c r="AA36" s="169"/>
      <c r="AB36" s="183"/>
      <c r="AC36" s="185" t="e">
        <f t="shared" si="13"/>
        <v>#N/A</v>
      </c>
      <c r="AD36" s="494"/>
      <c r="AE36" s="185"/>
      <c r="AF36" s="169"/>
      <c r="AG36" s="183"/>
      <c r="AH36" s="185" t="e">
        <f t="shared" si="14"/>
        <v>#N/A</v>
      </c>
      <c r="AI36" s="494"/>
      <c r="AJ36" s="185"/>
      <c r="AK36" s="169"/>
      <c r="AL36" s="183"/>
      <c r="AM36" s="185" t="e">
        <f t="shared" si="15"/>
        <v>#N/A</v>
      </c>
      <c r="AN36" s="494"/>
      <c r="AO36" s="185"/>
      <c r="AP36" s="169"/>
      <c r="AQ36" s="183"/>
      <c r="AR36" s="185" t="e">
        <f t="shared" si="16"/>
        <v>#N/A</v>
      </c>
      <c r="AS36" s="465"/>
      <c r="AT36" s="185"/>
      <c r="AU36" s="169"/>
      <c r="AV36" s="183"/>
      <c r="AW36" s="185" t="e">
        <f t="shared" si="17"/>
        <v>#N/A</v>
      </c>
      <c r="AX36" s="465"/>
    </row>
    <row r="37" spans="2:50">
      <c r="B37" s="471"/>
      <c r="C37" s="185">
        <v>11</v>
      </c>
      <c r="D37" s="185"/>
      <c r="E37" s="185"/>
      <c r="F37" s="185"/>
      <c r="G37" s="169"/>
      <c r="H37" s="452"/>
      <c r="I37" s="185"/>
      <c r="J37" s="185"/>
      <c r="K37" s="185"/>
      <c r="L37" s="452"/>
      <c r="M37" s="184" t="e">
        <f>RANK(K37, K$27:$K$41)</f>
        <v>#N/A</v>
      </c>
      <c r="N37" s="454"/>
      <c r="O37" s="454"/>
      <c r="P37" s="185"/>
      <c r="Q37" s="185"/>
      <c r="R37" s="185"/>
      <c r="S37" s="185" t="e">
        <f t="shared" si="11"/>
        <v>#N/A</v>
      </c>
      <c r="T37" s="494"/>
      <c r="U37" s="185"/>
      <c r="V37" s="185"/>
      <c r="W37" s="185"/>
      <c r="X37" s="185" t="e">
        <f t="shared" si="12"/>
        <v>#N/A</v>
      </c>
      <c r="Y37" s="494"/>
      <c r="Z37" s="185"/>
      <c r="AA37" s="185"/>
      <c r="AB37" s="185"/>
      <c r="AC37" s="185" t="e">
        <f t="shared" si="13"/>
        <v>#N/A</v>
      </c>
      <c r="AD37" s="494"/>
      <c r="AE37" s="185"/>
      <c r="AF37" s="185"/>
      <c r="AG37" s="185"/>
      <c r="AH37" s="185" t="e">
        <f t="shared" si="14"/>
        <v>#N/A</v>
      </c>
      <c r="AI37" s="494"/>
      <c r="AJ37" s="185"/>
      <c r="AK37" s="185"/>
      <c r="AL37" s="185"/>
      <c r="AM37" s="185" t="e">
        <f t="shared" si="15"/>
        <v>#N/A</v>
      </c>
      <c r="AN37" s="494"/>
      <c r="AO37" s="185"/>
      <c r="AP37" s="185"/>
      <c r="AQ37" s="185"/>
      <c r="AR37" s="185" t="e">
        <f t="shared" si="16"/>
        <v>#N/A</v>
      </c>
      <c r="AS37" s="465"/>
      <c r="AT37" s="185"/>
      <c r="AU37" s="185"/>
      <c r="AV37" s="185"/>
      <c r="AW37" s="185" t="e">
        <f t="shared" si="17"/>
        <v>#N/A</v>
      </c>
      <c r="AX37" s="465"/>
    </row>
    <row r="38" spans="2:50">
      <c r="B38" s="471"/>
      <c r="C38" s="185">
        <v>12</v>
      </c>
      <c r="D38" s="185"/>
      <c r="E38" s="185"/>
      <c r="F38" s="185"/>
      <c r="G38" s="169"/>
      <c r="H38" s="452"/>
      <c r="I38" s="185"/>
      <c r="J38" s="185"/>
      <c r="K38" s="185"/>
      <c r="L38" s="452"/>
      <c r="M38" s="184" t="e">
        <f>RANK(K38, K$27:$K$41)</f>
        <v>#N/A</v>
      </c>
      <c r="N38" s="454"/>
      <c r="O38" s="454"/>
      <c r="P38" s="185"/>
      <c r="Q38" s="185"/>
      <c r="R38" s="185"/>
      <c r="S38" s="185" t="e">
        <f t="shared" si="11"/>
        <v>#N/A</v>
      </c>
      <c r="T38" s="494"/>
      <c r="U38" s="185"/>
      <c r="V38" s="185"/>
      <c r="W38" s="185"/>
      <c r="X38" s="185" t="e">
        <f t="shared" si="12"/>
        <v>#N/A</v>
      </c>
      <c r="Y38" s="494"/>
      <c r="Z38" s="185"/>
      <c r="AA38" s="185"/>
      <c r="AB38" s="185"/>
      <c r="AC38" s="185" t="e">
        <f t="shared" si="13"/>
        <v>#N/A</v>
      </c>
      <c r="AD38" s="494"/>
      <c r="AE38" s="185"/>
      <c r="AF38" s="185"/>
      <c r="AG38" s="185"/>
      <c r="AH38" s="185" t="e">
        <f t="shared" si="14"/>
        <v>#N/A</v>
      </c>
      <c r="AI38" s="494"/>
      <c r="AJ38" s="185"/>
      <c r="AK38" s="185"/>
      <c r="AL38" s="185"/>
      <c r="AM38" s="185" t="e">
        <f t="shared" si="15"/>
        <v>#N/A</v>
      </c>
      <c r="AN38" s="494"/>
      <c r="AO38" s="185"/>
      <c r="AP38" s="185"/>
      <c r="AQ38" s="185"/>
      <c r="AR38" s="185" t="e">
        <f t="shared" si="16"/>
        <v>#N/A</v>
      </c>
      <c r="AS38" s="465"/>
      <c r="AT38" s="185"/>
      <c r="AU38" s="185"/>
      <c r="AV38" s="185"/>
      <c r="AW38" s="185" t="e">
        <f t="shared" si="17"/>
        <v>#N/A</v>
      </c>
      <c r="AX38" s="465"/>
    </row>
    <row r="39" spans="2:50">
      <c r="B39" s="471"/>
      <c r="C39" s="185">
        <v>13</v>
      </c>
      <c r="D39" s="185"/>
      <c r="E39" s="185"/>
      <c r="F39" s="185"/>
      <c r="G39" s="169"/>
      <c r="H39" s="452"/>
      <c r="I39" s="185"/>
      <c r="J39" s="185"/>
      <c r="K39" s="185"/>
      <c r="L39" s="452"/>
      <c r="M39" s="184" t="e">
        <f>RANK(K39, K$27:$K$41)</f>
        <v>#N/A</v>
      </c>
      <c r="N39" s="454"/>
      <c r="O39" s="454"/>
      <c r="P39" s="185"/>
      <c r="Q39" s="185"/>
      <c r="R39" s="185"/>
      <c r="S39" s="185" t="e">
        <f t="shared" si="11"/>
        <v>#N/A</v>
      </c>
      <c r="T39" s="494"/>
      <c r="U39" s="185"/>
      <c r="V39" s="185"/>
      <c r="W39" s="185"/>
      <c r="X39" s="185" t="e">
        <f t="shared" si="12"/>
        <v>#N/A</v>
      </c>
      <c r="Y39" s="494"/>
      <c r="Z39" s="185"/>
      <c r="AA39" s="185"/>
      <c r="AB39" s="185"/>
      <c r="AC39" s="185" t="e">
        <f t="shared" si="13"/>
        <v>#N/A</v>
      </c>
      <c r="AD39" s="494"/>
      <c r="AE39" s="185"/>
      <c r="AF39" s="185"/>
      <c r="AG39" s="185"/>
      <c r="AH39" s="185" t="e">
        <f t="shared" si="14"/>
        <v>#N/A</v>
      </c>
      <c r="AI39" s="494"/>
      <c r="AJ39" s="185"/>
      <c r="AK39" s="185"/>
      <c r="AL39" s="185"/>
      <c r="AM39" s="185" t="e">
        <f t="shared" si="15"/>
        <v>#N/A</v>
      </c>
      <c r="AN39" s="494"/>
      <c r="AO39" s="185"/>
      <c r="AP39" s="185"/>
      <c r="AQ39" s="185"/>
      <c r="AR39" s="185" t="e">
        <f t="shared" si="16"/>
        <v>#N/A</v>
      </c>
      <c r="AS39" s="465"/>
      <c r="AT39" s="185"/>
      <c r="AU39" s="185"/>
      <c r="AV39" s="185"/>
      <c r="AW39" s="185" t="e">
        <f t="shared" si="17"/>
        <v>#N/A</v>
      </c>
      <c r="AX39" s="465"/>
    </row>
    <row r="40" spans="2:50">
      <c r="B40" s="471"/>
      <c r="C40" s="185">
        <v>14</v>
      </c>
      <c r="D40" s="185"/>
      <c r="E40" s="185"/>
      <c r="F40" s="185"/>
      <c r="G40" s="169"/>
      <c r="H40" s="452"/>
      <c r="I40" s="185"/>
      <c r="J40" s="185"/>
      <c r="K40" s="185"/>
      <c r="L40" s="452"/>
      <c r="M40" s="184" t="e">
        <f>RANK(K40, K$27:$K$41)</f>
        <v>#N/A</v>
      </c>
      <c r="N40" s="454"/>
      <c r="O40" s="454"/>
      <c r="P40" s="185"/>
      <c r="Q40" s="185"/>
      <c r="R40" s="185"/>
      <c r="S40" s="185" t="e">
        <f t="shared" si="11"/>
        <v>#N/A</v>
      </c>
      <c r="T40" s="494"/>
      <c r="U40" s="185"/>
      <c r="V40" s="185"/>
      <c r="W40" s="185"/>
      <c r="X40" s="185" t="e">
        <f t="shared" si="12"/>
        <v>#N/A</v>
      </c>
      <c r="Y40" s="494"/>
      <c r="Z40" s="185"/>
      <c r="AA40" s="185"/>
      <c r="AB40" s="185"/>
      <c r="AC40" s="185" t="e">
        <f t="shared" si="13"/>
        <v>#N/A</v>
      </c>
      <c r="AD40" s="494"/>
      <c r="AE40" s="185"/>
      <c r="AF40" s="185"/>
      <c r="AG40" s="185"/>
      <c r="AH40" s="185" t="e">
        <f t="shared" si="14"/>
        <v>#N/A</v>
      </c>
      <c r="AI40" s="494"/>
      <c r="AJ40" s="185"/>
      <c r="AK40" s="185"/>
      <c r="AL40" s="185"/>
      <c r="AM40" s="185" t="e">
        <f t="shared" si="15"/>
        <v>#N/A</v>
      </c>
      <c r="AN40" s="494"/>
      <c r="AO40" s="185"/>
      <c r="AP40" s="185"/>
      <c r="AQ40" s="185"/>
      <c r="AR40" s="185" t="e">
        <f t="shared" si="16"/>
        <v>#N/A</v>
      </c>
      <c r="AS40" s="465"/>
      <c r="AT40" s="185"/>
      <c r="AU40" s="185"/>
      <c r="AV40" s="185"/>
      <c r="AW40" s="185" t="e">
        <f t="shared" si="17"/>
        <v>#N/A</v>
      </c>
      <c r="AX40" s="465"/>
    </row>
    <row r="41" spans="2:50">
      <c r="B41" s="471"/>
      <c r="C41" s="185">
        <v>15</v>
      </c>
      <c r="D41" s="185"/>
      <c r="E41" s="185"/>
      <c r="F41" s="185"/>
      <c r="G41" s="185"/>
      <c r="H41" s="453"/>
      <c r="I41" s="185"/>
      <c r="J41" s="185"/>
      <c r="K41" s="185"/>
      <c r="L41" s="453"/>
      <c r="M41" s="169" t="e">
        <f>RANK(K41, K$27:$K$41)</f>
        <v>#N/A</v>
      </c>
      <c r="N41" s="454"/>
      <c r="O41" s="454"/>
      <c r="P41" s="185"/>
      <c r="Q41" s="185"/>
      <c r="R41" s="185"/>
      <c r="S41" s="185" t="e">
        <f t="shared" si="11"/>
        <v>#N/A</v>
      </c>
      <c r="T41" s="494"/>
      <c r="U41" s="185"/>
      <c r="V41" s="185"/>
      <c r="W41" s="185"/>
      <c r="X41" s="185" t="e">
        <f t="shared" si="12"/>
        <v>#N/A</v>
      </c>
      <c r="Y41" s="494"/>
      <c r="Z41" s="185"/>
      <c r="AA41" s="185"/>
      <c r="AB41" s="185"/>
      <c r="AC41" s="185" t="e">
        <f t="shared" si="13"/>
        <v>#N/A</v>
      </c>
      <c r="AD41" s="494"/>
      <c r="AE41" s="185"/>
      <c r="AF41" s="185"/>
      <c r="AG41" s="185"/>
      <c r="AH41" s="185" t="e">
        <f t="shared" si="14"/>
        <v>#N/A</v>
      </c>
      <c r="AI41" s="494"/>
      <c r="AJ41" s="185"/>
      <c r="AK41" s="185"/>
      <c r="AL41" s="185"/>
      <c r="AM41" s="185" t="e">
        <f t="shared" si="15"/>
        <v>#N/A</v>
      </c>
      <c r="AN41" s="494"/>
      <c r="AO41" s="185"/>
      <c r="AP41" s="185"/>
      <c r="AQ41" s="185"/>
      <c r="AR41" s="185" t="e">
        <f t="shared" si="16"/>
        <v>#N/A</v>
      </c>
      <c r="AS41" s="466"/>
      <c r="AT41" s="185"/>
      <c r="AU41" s="185"/>
      <c r="AV41" s="185"/>
      <c r="AW41" s="185" t="e">
        <f t="shared" si="17"/>
        <v>#N/A</v>
      </c>
      <c r="AX41" s="466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96" t="s">
        <v>250</v>
      </c>
      <c r="C47" s="185">
        <v>1</v>
      </c>
      <c r="D47" s="185"/>
      <c r="E47" s="185"/>
      <c r="F47" s="185"/>
      <c r="G47" s="169"/>
      <c r="H47" s="451" t="e">
        <f>AVERAGE(G47:G61)</f>
        <v>#DIV/0!</v>
      </c>
      <c r="I47" s="169" t="e">
        <f>AVERAGE(P47,U47,Z47,AE47,AJ47,AO47,AT47)</f>
        <v>#DIV/0!</v>
      </c>
      <c r="J47" s="169" t="e">
        <f>AVERAGE(Q47,V47,AA47,AF47,AK47,AP47,AU47)</f>
        <v>#DIV/0!</v>
      </c>
      <c r="K47" s="183" t="e">
        <f>AVERAGE(R47,W47,AB47,AG47,AL47,AQ47,AV47)</f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69"/>
      <c r="R47" s="183"/>
      <c r="S47" s="185" t="e">
        <f>RANK(R47, R$47:R$61)</f>
        <v>#N/A</v>
      </c>
      <c r="T47" s="494" t="e">
        <f>AVERAGE(R47:R61)</f>
        <v>#DIV/0!</v>
      </c>
      <c r="U47" s="169"/>
      <c r="V47" s="169"/>
      <c r="W47" s="183"/>
      <c r="X47" s="185" t="e">
        <f>RANK(W47, W$47:W$61)</f>
        <v>#N/A</v>
      </c>
      <c r="Y47" s="494" t="e">
        <f>AVERAGE(W47:W61)</f>
        <v>#DIV/0!</v>
      </c>
      <c r="Z47" s="169"/>
      <c r="AA47" s="169"/>
      <c r="AB47" s="183"/>
      <c r="AC47" s="185" t="e">
        <f>RANK(AB47, AB$47:AB$61)</f>
        <v>#N/A</v>
      </c>
      <c r="AD47" s="494" t="e">
        <f>AVERAGE(AB47:AB61)</f>
        <v>#DIV/0!</v>
      </c>
      <c r="AE47" s="169"/>
      <c r="AF47" s="169"/>
      <c r="AG47" s="183"/>
      <c r="AH47" s="185" t="e">
        <f>RANK(AG47, AG$47:AG$61)</f>
        <v>#N/A</v>
      </c>
      <c r="AI47" s="494" t="e">
        <f>AVERAGE(AG47:AG61)</f>
        <v>#DIV/0!</v>
      </c>
      <c r="AJ47" s="169"/>
      <c r="AK47" s="169"/>
      <c r="AL47" s="183"/>
      <c r="AM47" s="185" t="e">
        <f>RANK(AL47, AL$47:AL$61)</f>
        <v>#N/A</v>
      </c>
      <c r="AN47" s="494" t="e">
        <f>AVERAGE(AL47:AL61)</f>
        <v>#DIV/0!</v>
      </c>
      <c r="AO47" s="169"/>
      <c r="AP47" s="169"/>
      <c r="AQ47" s="183"/>
      <c r="AR47" s="185" t="e">
        <f>RANK(AQ47, AQ$47:AQ$61)</f>
        <v>#N/A</v>
      </c>
      <c r="AS47" s="464" t="e">
        <f>AVERAGE(AQ47:AQ61)</f>
        <v>#DIV/0!</v>
      </c>
      <c r="AT47" s="169"/>
      <c r="AU47" s="169"/>
      <c r="AV47" s="183"/>
      <c r="AW47" s="185" t="e">
        <f>RANK(AV47, AV$47:AV$61)</f>
        <v>#N/A</v>
      </c>
      <c r="AX47" s="464" t="e">
        <f>AVERAGE(AV47:AV61)</f>
        <v>#DIV/0!</v>
      </c>
    </row>
    <row r="48" spans="2:50">
      <c r="B48" s="471"/>
      <c r="C48" s="185">
        <v>2</v>
      </c>
      <c r="D48" s="185"/>
      <c r="E48" s="185"/>
      <c r="F48" s="185"/>
      <c r="G48" s="169"/>
      <c r="H48" s="452"/>
      <c r="I48" s="169" t="e">
        <f t="shared" ref="I48:I53" si="24">AVERAGE(P48,U48,Z48,AE48,AJ48,AO48,AT48)</f>
        <v>#DIV/0!</v>
      </c>
      <c r="J48" s="169" t="e">
        <f t="shared" ref="J48:J53" si="25">AVERAGE(Q48,V48,AA48,AF48,AK48,AP48,AU48)</f>
        <v>#DIV/0!</v>
      </c>
      <c r="K48" s="183" t="e">
        <f t="shared" ref="K48:K53" si="26">AVERAGE(R48,W48,AB48,AG48,AL48,AQ48,AV48)</f>
        <v>#DIV/0!</v>
      </c>
      <c r="L48" s="452"/>
      <c r="M48" s="184" t="e">
        <f>RANK(K48, K$47:$K$61)</f>
        <v>#DIV/0!</v>
      </c>
      <c r="N48" s="454"/>
      <c r="O48" s="454"/>
      <c r="P48" s="185"/>
      <c r="Q48" s="169"/>
      <c r="R48" s="183"/>
      <c r="S48" s="185" t="e">
        <f t="shared" ref="S48:S61" si="27">RANK(R48, R$47:R$61)</f>
        <v>#N/A</v>
      </c>
      <c r="T48" s="494"/>
      <c r="U48" s="185"/>
      <c r="V48" s="169"/>
      <c r="W48" s="183"/>
      <c r="X48" s="185" t="e">
        <f t="shared" ref="X48:X61" si="28">RANK(W48, W$47:W$61)</f>
        <v>#N/A</v>
      </c>
      <c r="Y48" s="494"/>
      <c r="Z48" s="185"/>
      <c r="AA48" s="169"/>
      <c r="AB48" s="183"/>
      <c r="AC48" s="185" t="e">
        <f t="shared" ref="AC48:AC61" si="29">RANK(AB48, AB$47:AB$61)</f>
        <v>#N/A</v>
      </c>
      <c r="AD48" s="494"/>
      <c r="AE48" s="185"/>
      <c r="AF48" s="169"/>
      <c r="AG48" s="183"/>
      <c r="AH48" s="185" t="e">
        <f t="shared" ref="AH48:AH61" si="30">RANK(AG48, AG$47:AG$61)</f>
        <v>#N/A</v>
      </c>
      <c r="AI48" s="494"/>
      <c r="AJ48" s="185"/>
      <c r="AK48" s="169"/>
      <c r="AL48" s="183"/>
      <c r="AM48" s="185" t="e">
        <f t="shared" ref="AM48:AM61" si="31">RANK(AL48, AL$47:AL$61)</f>
        <v>#N/A</v>
      </c>
      <c r="AN48" s="494"/>
      <c r="AO48" s="185"/>
      <c r="AP48" s="169"/>
      <c r="AQ48" s="183"/>
      <c r="AR48" s="185" t="e">
        <f t="shared" ref="AR48:AR61" si="32">RANK(AQ48, AQ$47:AQ$61)</f>
        <v>#N/A</v>
      </c>
      <c r="AS48" s="465"/>
      <c r="AT48" s="185"/>
      <c r="AU48" s="169"/>
      <c r="AV48" s="183"/>
      <c r="AW48" s="185" t="e">
        <f t="shared" ref="AW48:AW61" si="33">RANK(AV48, AV$47:AV$61)</f>
        <v>#N/A</v>
      </c>
      <c r="AX48" s="465"/>
    </row>
    <row r="49" spans="2:50">
      <c r="B49" s="471"/>
      <c r="C49" s="185">
        <v>3</v>
      </c>
      <c r="D49" s="185"/>
      <c r="E49" s="185"/>
      <c r="F49" s="185"/>
      <c r="G49" s="169"/>
      <c r="H49" s="452"/>
      <c r="I49" s="169" t="e">
        <f t="shared" si="24"/>
        <v>#DIV/0!</v>
      </c>
      <c r="J49" s="169" t="e">
        <f t="shared" si="25"/>
        <v>#DIV/0!</v>
      </c>
      <c r="K49" s="183" t="e">
        <f t="shared" si="26"/>
        <v>#DIV/0!</v>
      </c>
      <c r="L49" s="452"/>
      <c r="M49" s="184" t="e">
        <f>RANK(K49, K$47:$K$61)</f>
        <v>#DIV/0!</v>
      </c>
      <c r="N49" s="454"/>
      <c r="O49" s="454"/>
      <c r="P49" s="185"/>
      <c r="Q49" s="169"/>
      <c r="R49" s="183"/>
      <c r="S49" s="185" t="e">
        <f t="shared" si="27"/>
        <v>#N/A</v>
      </c>
      <c r="T49" s="494"/>
      <c r="U49" s="185"/>
      <c r="V49" s="169"/>
      <c r="W49" s="183"/>
      <c r="X49" s="185" t="e">
        <f t="shared" si="28"/>
        <v>#N/A</v>
      </c>
      <c r="Y49" s="494"/>
      <c r="Z49" s="185"/>
      <c r="AA49" s="169"/>
      <c r="AB49" s="183"/>
      <c r="AC49" s="185" t="e">
        <f t="shared" si="29"/>
        <v>#N/A</v>
      </c>
      <c r="AD49" s="494"/>
      <c r="AE49" s="185"/>
      <c r="AF49" s="169"/>
      <c r="AG49" s="183"/>
      <c r="AH49" s="185" t="e">
        <f t="shared" si="30"/>
        <v>#N/A</v>
      </c>
      <c r="AI49" s="494"/>
      <c r="AJ49" s="185"/>
      <c r="AK49" s="169"/>
      <c r="AL49" s="183"/>
      <c r="AM49" s="185" t="e">
        <f t="shared" si="31"/>
        <v>#N/A</v>
      </c>
      <c r="AN49" s="494"/>
      <c r="AO49" s="185"/>
      <c r="AP49" s="169"/>
      <c r="AQ49" s="183"/>
      <c r="AR49" s="185" t="e">
        <f t="shared" si="32"/>
        <v>#N/A</v>
      </c>
      <c r="AS49" s="465"/>
      <c r="AT49" s="185"/>
      <c r="AU49" s="169"/>
      <c r="AV49" s="183"/>
      <c r="AW49" s="185" t="e">
        <f t="shared" si="33"/>
        <v>#N/A</v>
      </c>
      <c r="AX49" s="465"/>
    </row>
    <row r="50" spans="2:50">
      <c r="B50" s="471"/>
      <c r="C50" s="185">
        <v>4</v>
      </c>
      <c r="D50" s="185"/>
      <c r="E50" s="185"/>
      <c r="F50" s="185"/>
      <c r="G50" s="169"/>
      <c r="H50" s="452"/>
      <c r="I50" s="169" t="e">
        <f t="shared" si="24"/>
        <v>#DIV/0!</v>
      </c>
      <c r="J50" s="169" t="e">
        <f t="shared" si="25"/>
        <v>#DIV/0!</v>
      </c>
      <c r="K50" s="183" t="e">
        <f t="shared" si="26"/>
        <v>#DIV/0!</v>
      </c>
      <c r="L50" s="452"/>
      <c r="M50" s="184" t="e">
        <f>RANK(K50, K$47:$K$61)</f>
        <v>#DIV/0!</v>
      </c>
      <c r="N50" s="454"/>
      <c r="O50" s="454"/>
      <c r="P50" s="185"/>
      <c r="Q50" s="169"/>
      <c r="R50" s="183"/>
      <c r="S50" s="185" t="e">
        <f t="shared" si="27"/>
        <v>#N/A</v>
      </c>
      <c r="T50" s="494"/>
      <c r="U50" s="185"/>
      <c r="V50" s="169"/>
      <c r="W50" s="183"/>
      <c r="X50" s="185" t="e">
        <f t="shared" si="28"/>
        <v>#N/A</v>
      </c>
      <c r="Y50" s="494"/>
      <c r="Z50" s="185"/>
      <c r="AA50" s="169"/>
      <c r="AB50" s="183"/>
      <c r="AC50" s="185" t="e">
        <f t="shared" si="29"/>
        <v>#N/A</v>
      </c>
      <c r="AD50" s="494"/>
      <c r="AE50" s="185"/>
      <c r="AF50" s="169"/>
      <c r="AG50" s="183"/>
      <c r="AH50" s="185" t="e">
        <f t="shared" si="30"/>
        <v>#N/A</v>
      </c>
      <c r="AI50" s="494"/>
      <c r="AJ50" s="185"/>
      <c r="AK50" s="169"/>
      <c r="AL50" s="183"/>
      <c r="AM50" s="185" t="e">
        <f t="shared" si="31"/>
        <v>#N/A</v>
      </c>
      <c r="AN50" s="494"/>
      <c r="AO50" s="185"/>
      <c r="AP50" s="169"/>
      <c r="AQ50" s="183"/>
      <c r="AR50" s="185" t="e">
        <f t="shared" si="32"/>
        <v>#N/A</v>
      </c>
      <c r="AS50" s="465"/>
      <c r="AT50" s="185"/>
      <c r="AU50" s="169"/>
      <c r="AV50" s="183"/>
      <c r="AW50" s="185" t="e">
        <f t="shared" si="33"/>
        <v>#N/A</v>
      </c>
      <c r="AX50" s="465"/>
    </row>
    <row r="51" spans="2:50">
      <c r="B51" s="471"/>
      <c r="C51" s="185">
        <v>5</v>
      </c>
      <c r="D51" s="185"/>
      <c r="E51" s="185"/>
      <c r="F51" s="185"/>
      <c r="G51" s="169"/>
      <c r="H51" s="452"/>
      <c r="I51" s="169" t="e">
        <f t="shared" si="24"/>
        <v>#DIV/0!</v>
      </c>
      <c r="J51" s="169" t="e">
        <f t="shared" si="25"/>
        <v>#DIV/0!</v>
      </c>
      <c r="K51" s="183" t="e">
        <f t="shared" si="26"/>
        <v>#DIV/0!</v>
      </c>
      <c r="L51" s="452"/>
      <c r="M51" s="184" t="e">
        <f>RANK(K51, K$47:$K$61)</f>
        <v>#DIV/0!</v>
      </c>
      <c r="N51" s="454"/>
      <c r="O51" s="454"/>
      <c r="P51" s="185"/>
      <c r="Q51" s="169"/>
      <c r="R51" s="183"/>
      <c r="S51" s="185" t="e">
        <f t="shared" si="27"/>
        <v>#N/A</v>
      </c>
      <c r="T51" s="494"/>
      <c r="U51" s="185"/>
      <c r="V51" s="169"/>
      <c r="W51" s="183"/>
      <c r="X51" s="185" t="e">
        <f t="shared" si="28"/>
        <v>#N/A</v>
      </c>
      <c r="Y51" s="494"/>
      <c r="Z51" s="185"/>
      <c r="AA51" s="169"/>
      <c r="AB51" s="183"/>
      <c r="AC51" s="185" t="e">
        <f t="shared" si="29"/>
        <v>#N/A</v>
      </c>
      <c r="AD51" s="494"/>
      <c r="AE51" s="185"/>
      <c r="AF51" s="169"/>
      <c r="AG51" s="183"/>
      <c r="AH51" s="185" t="e">
        <f t="shared" si="30"/>
        <v>#N/A</v>
      </c>
      <c r="AI51" s="494"/>
      <c r="AJ51" s="185"/>
      <c r="AK51" s="169"/>
      <c r="AL51" s="183"/>
      <c r="AM51" s="185" t="e">
        <f t="shared" si="31"/>
        <v>#N/A</v>
      </c>
      <c r="AN51" s="494"/>
      <c r="AO51" s="185"/>
      <c r="AP51" s="169"/>
      <c r="AQ51" s="183"/>
      <c r="AR51" s="185" t="e">
        <f t="shared" si="32"/>
        <v>#N/A</v>
      </c>
      <c r="AS51" s="465"/>
      <c r="AT51" s="185"/>
      <c r="AU51" s="169"/>
      <c r="AV51" s="183"/>
      <c r="AW51" s="185" t="e">
        <f t="shared" si="33"/>
        <v>#N/A</v>
      </c>
      <c r="AX51" s="465"/>
    </row>
    <row r="52" spans="2:50">
      <c r="B52" s="471"/>
      <c r="C52" s="185">
        <v>6</v>
      </c>
      <c r="D52" s="185"/>
      <c r="E52" s="185"/>
      <c r="F52" s="185"/>
      <c r="G52" s="169"/>
      <c r="H52" s="452"/>
      <c r="I52" s="169" t="e">
        <f t="shared" si="24"/>
        <v>#DIV/0!</v>
      </c>
      <c r="J52" s="169" t="e">
        <f t="shared" si="25"/>
        <v>#DIV/0!</v>
      </c>
      <c r="K52" s="183" t="e">
        <f t="shared" si="26"/>
        <v>#DIV/0!</v>
      </c>
      <c r="L52" s="452"/>
      <c r="M52" s="184" t="e">
        <f>RANK(K52, K$47:$K$61)</f>
        <v>#DIV/0!</v>
      </c>
      <c r="N52" s="454"/>
      <c r="O52" s="454"/>
      <c r="P52" s="185"/>
      <c r="Q52" s="169"/>
      <c r="R52" s="183"/>
      <c r="S52" s="185" t="e">
        <f t="shared" si="27"/>
        <v>#N/A</v>
      </c>
      <c r="T52" s="494"/>
      <c r="U52" s="185"/>
      <c r="V52" s="169"/>
      <c r="W52" s="183"/>
      <c r="X52" s="185" t="e">
        <f t="shared" si="28"/>
        <v>#N/A</v>
      </c>
      <c r="Y52" s="494"/>
      <c r="Z52" s="185"/>
      <c r="AA52" s="169"/>
      <c r="AB52" s="183"/>
      <c r="AC52" s="185" t="e">
        <f t="shared" si="29"/>
        <v>#N/A</v>
      </c>
      <c r="AD52" s="494"/>
      <c r="AE52" s="185"/>
      <c r="AF52" s="169"/>
      <c r="AG52" s="183"/>
      <c r="AH52" s="185" t="e">
        <f t="shared" si="30"/>
        <v>#N/A</v>
      </c>
      <c r="AI52" s="494"/>
      <c r="AJ52" s="185"/>
      <c r="AK52" s="169"/>
      <c r="AL52" s="183"/>
      <c r="AM52" s="185" t="e">
        <f t="shared" si="31"/>
        <v>#N/A</v>
      </c>
      <c r="AN52" s="494"/>
      <c r="AO52" s="185"/>
      <c r="AP52" s="169"/>
      <c r="AQ52" s="183"/>
      <c r="AR52" s="185" t="e">
        <f t="shared" si="32"/>
        <v>#N/A</v>
      </c>
      <c r="AS52" s="465"/>
      <c r="AT52" s="185"/>
      <c r="AU52" s="169"/>
      <c r="AV52" s="183"/>
      <c r="AW52" s="185" t="e">
        <f t="shared" si="33"/>
        <v>#N/A</v>
      </c>
      <c r="AX52" s="465"/>
    </row>
    <row r="53" spans="2:50">
      <c r="B53" s="471"/>
      <c r="C53" s="185">
        <v>7</v>
      </c>
      <c r="D53" s="185"/>
      <c r="E53" s="185"/>
      <c r="F53" s="185"/>
      <c r="G53" s="169"/>
      <c r="H53" s="452"/>
      <c r="I53" s="169" t="e">
        <f t="shared" si="24"/>
        <v>#DIV/0!</v>
      </c>
      <c r="J53" s="169" t="e">
        <f t="shared" si="25"/>
        <v>#DIV/0!</v>
      </c>
      <c r="K53" s="183" t="e">
        <f t="shared" si="26"/>
        <v>#DIV/0!</v>
      </c>
      <c r="L53" s="452"/>
      <c r="M53" s="184" t="e">
        <f>RANK(K53, K$47:$K$61)</f>
        <v>#DIV/0!</v>
      </c>
      <c r="N53" s="454"/>
      <c r="O53" s="454"/>
      <c r="P53" s="185"/>
      <c r="Q53" s="169"/>
      <c r="R53" s="183"/>
      <c r="S53" s="185" t="e">
        <f t="shared" si="27"/>
        <v>#N/A</v>
      </c>
      <c r="T53" s="494"/>
      <c r="U53" s="185"/>
      <c r="V53" s="169"/>
      <c r="W53" s="183"/>
      <c r="X53" s="185" t="e">
        <f t="shared" si="28"/>
        <v>#N/A</v>
      </c>
      <c r="Y53" s="494"/>
      <c r="Z53" s="185"/>
      <c r="AA53" s="169"/>
      <c r="AB53" s="183"/>
      <c r="AC53" s="185" t="e">
        <f t="shared" si="29"/>
        <v>#N/A</v>
      </c>
      <c r="AD53" s="494"/>
      <c r="AE53" s="185"/>
      <c r="AF53" s="169"/>
      <c r="AG53" s="183"/>
      <c r="AH53" s="185" t="e">
        <f t="shared" si="30"/>
        <v>#N/A</v>
      </c>
      <c r="AI53" s="494"/>
      <c r="AJ53" s="185"/>
      <c r="AK53" s="169"/>
      <c r="AL53" s="183"/>
      <c r="AM53" s="185" t="e">
        <f t="shared" si="31"/>
        <v>#N/A</v>
      </c>
      <c r="AN53" s="494"/>
      <c r="AO53" s="185"/>
      <c r="AP53" s="169"/>
      <c r="AQ53" s="183"/>
      <c r="AR53" s="185" t="e">
        <f t="shared" si="32"/>
        <v>#N/A</v>
      </c>
      <c r="AS53" s="465"/>
      <c r="AT53" s="185"/>
      <c r="AU53" s="169"/>
      <c r="AV53" s="183"/>
      <c r="AW53" s="185" t="e">
        <f t="shared" si="33"/>
        <v>#N/A</v>
      </c>
      <c r="AX53" s="465"/>
    </row>
    <row r="54" spans="2:50">
      <c r="B54" s="471"/>
      <c r="C54" s="185">
        <v>8</v>
      </c>
      <c r="D54" s="185"/>
      <c r="E54" s="185"/>
      <c r="F54" s="185"/>
      <c r="G54" s="169"/>
      <c r="H54" s="452"/>
      <c r="I54" s="169"/>
      <c r="J54" s="169"/>
      <c r="K54" s="183"/>
      <c r="L54" s="452"/>
      <c r="M54" s="184" t="e">
        <f>RANK(K54, K$47:$K$61)</f>
        <v>#DIV/0!</v>
      </c>
      <c r="N54" s="454"/>
      <c r="O54" s="454"/>
      <c r="P54" s="185"/>
      <c r="Q54" s="169"/>
      <c r="R54" s="183"/>
      <c r="S54" s="185" t="e">
        <f t="shared" si="27"/>
        <v>#N/A</v>
      </c>
      <c r="T54" s="494"/>
      <c r="U54" s="185"/>
      <c r="V54" s="169"/>
      <c r="W54" s="183"/>
      <c r="X54" s="185" t="e">
        <f t="shared" si="28"/>
        <v>#N/A</v>
      </c>
      <c r="Y54" s="494"/>
      <c r="Z54" s="185"/>
      <c r="AA54" s="169"/>
      <c r="AB54" s="183"/>
      <c r="AC54" s="185" t="e">
        <f t="shared" si="29"/>
        <v>#N/A</v>
      </c>
      <c r="AD54" s="494"/>
      <c r="AE54" s="185"/>
      <c r="AF54" s="169"/>
      <c r="AG54" s="183"/>
      <c r="AH54" s="185" t="e">
        <f t="shared" si="30"/>
        <v>#N/A</v>
      </c>
      <c r="AI54" s="494"/>
      <c r="AJ54" s="185"/>
      <c r="AK54" s="169"/>
      <c r="AL54" s="183"/>
      <c r="AM54" s="185" t="e">
        <f t="shared" si="31"/>
        <v>#N/A</v>
      </c>
      <c r="AN54" s="494"/>
      <c r="AO54" s="185"/>
      <c r="AP54" s="169"/>
      <c r="AQ54" s="183"/>
      <c r="AR54" s="185" t="e">
        <f t="shared" si="32"/>
        <v>#N/A</v>
      </c>
      <c r="AS54" s="465"/>
      <c r="AT54" s="185"/>
      <c r="AU54" s="169"/>
      <c r="AV54" s="183"/>
      <c r="AW54" s="185" t="e">
        <f t="shared" si="33"/>
        <v>#N/A</v>
      </c>
      <c r="AX54" s="465"/>
    </row>
    <row r="55" spans="2:50">
      <c r="B55" s="471"/>
      <c r="C55" s="185">
        <v>9</v>
      </c>
      <c r="D55" s="185"/>
      <c r="E55" s="185"/>
      <c r="F55" s="185"/>
      <c r="G55" s="169"/>
      <c r="H55" s="452"/>
      <c r="I55" s="169"/>
      <c r="J55" s="169"/>
      <c r="K55" s="183"/>
      <c r="L55" s="452"/>
      <c r="M55" s="184" t="e">
        <f>RANK(K55, K$47:$K$61)</f>
        <v>#DIV/0!</v>
      </c>
      <c r="N55" s="454"/>
      <c r="O55" s="454"/>
      <c r="P55" s="185"/>
      <c r="Q55" s="169"/>
      <c r="R55" s="183"/>
      <c r="S55" s="185" t="e">
        <f t="shared" si="27"/>
        <v>#N/A</v>
      </c>
      <c r="T55" s="494"/>
      <c r="U55" s="185"/>
      <c r="V55" s="169"/>
      <c r="W55" s="183"/>
      <c r="X55" s="185" t="e">
        <f t="shared" si="28"/>
        <v>#N/A</v>
      </c>
      <c r="Y55" s="494"/>
      <c r="Z55" s="185"/>
      <c r="AA55" s="169"/>
      <c r="AB55" s="183"/>
      <c r="AC55" s="185" t="e">
        <f t="shared" si="29"/>
        <v>#N/A</v>
      </c>
      <c r="AD55" s="494"/>
      <c r="AE55" s="185"/>
      <c r="AF55" s="169"/>
      <c r="AG55" s="183"/>
      <c r="AH55" s="185" t="e">
        <f t="shared" si="30"/>
        <v>#N/A</v>
      </c>
      <c r="AI55" s="494"/>
      <c r="AJ55" s="185"/>
      <c r="AK55" s="169"/>
      <c r="AL55" s="183"/>
      <c r="AM55" s="185" t="e">
        <f t="shared" si="31"/>
        <v>#N/A</v>
      </c>
      <c r="AN55" s="494"/>
      <c r="AO55" s="185"/>
      <c r="AP55" s="169"/>
      <c r="AQ55" s="183"/>
      <c r="AR55" s="185" t="e">
        <f t="shared" si="32"/>
        <v>#N/A</v>
      </c>
      <c r="AS55" s="465"/>
      <c r="AT55" s="185"/>
      <c r="AU55" s="169"/>
      <c r="AV55" s="183"/>
      <c r="AW55" s="185" t="e">
        <f t="shared" si="33"/>
        <v>#N/A</v>
      </c>
      <c r="AX55" s="465"/>
    </row>
    <row r="56" spans="2:50">
      <c r="B56" s="471"/>
      <c r="C56" s="185">
        <v>10</v>
      </c>
      <c r="D56" s="185"/>
      <c r="E56" s="185"/>
      <c r="F56" s="185"/>
      <c r="G56" s="169"/>
      <c r="H56" s="452"/>
      <c r="I56" s="169"/>
      <c r="J56" s="169"/>
      <c r="K56" s="183"/>
      <c r="L56" s="452"/>
      <c r="M56" s="184" t="e">
        <f>RANK(K56, K$47:$K$61)</f>
        <v>#DIV/0!</v>
      </c>
      <c r="N56" s="454"/>
      <c r="O56" s="454"/>
      <c r="P56" s="185"/>
      <c r="Q56" s="169"/>
      <c r="R56" s="183"/>
      <c r="S56" s="185" t="e">
        <f t="shared" si="27"/>
        <v>#N/A</v>
      </c>
      <c r="T56" s="494"/>
      <c r="U56" s="185"/>
      <c r="V56" s="169"/>
      <c r="W56" s="183"/>
      <c r="X56" s="185" t="e">
        <f t="shared" si="28"/>
        <v>#N/A</v>
      </c>
      <c r="Y56" s="494"/>
      <c r="Z56" s="185"/>
      <c r="AA56" s="169"/>
      <c r="AB56" s="183"/>
      <c r="AC56" s="185" t="e">
        <f t="shared" si="29"/>
        <v>#N/A</v>
      </c>
      <c r="AD56" s="494"/>
      <c r="AE56" s="185"/>
      <c r="AF56" s="169"/>
      <c r="AG56" s="183"/>
      <c r="AH56" s="185" t="e">
        <f t="shared" si="30"/>
        <v>#N/A</v>
      </c>
      <c r="AI56" s="494"/>
      <c r="AJ56" s="185"/>
      <c r="AK56" s="169"/>
      <c r="AL56" s="183"/>
      <c r="AM56" s="185" t="e">
        <f t="shared" si="31"/>
        <v>#N/A</v>
      </c>
      <c r="AN56" s="494"/>
      <c r="AO56" s="185"/>
      <c r="AP56" s="169"/>
      <c r="AQ56" s="183"/>
      <c r="AR56" s="185" t="e">
        <f t="shared" si="32"/>
        <v>#N/A</v>
      </c>
      <c r="AS56" s="465"/>
      <c r="AT56" s="185"/>
      <c r="AU56" s="169"/>
      <c r="AV56" s="183"/>
      <c r="AW56" s="185" t="e">
        <f t="shared" si="33"/>
        <v>#N/A</v>
      </c>
      <c r="AX56" s="465"/>
    </row>
    <row r="57" spans="2:50">
      <c r="B57" s="471"/>
      <c r="C57" s="185">
        <v>11</v>
      </c>
      <c r="D57" s="185"/>
      <c r="E57" s="185"/>
      <c r="F57" s="185"/>
      <c r="G57" s="169"/>
      <c r="H57" s="452"/>
      <c r="I57" s="185"/>
      <c r="J57" s="185"/>
      <c r="K57" s="185"/>
      <c r="L57" s="452"/>
      <c r="M57" s="184" t="e">
        <f>RANK(K57, K$47:$K$61)</f>
        <v>#DIV/0!</v>
      </c>
      <c r="N57" s="454"/>
      <c r="O57" s="454"/>
      <c r="P57" s="185"/>
      <c r="Q57" s="185"/>
      <c r="R57" s="185"/>
      <c r="S57" s="185" t="e">
        <f t="shared" si="27"/>
        <v>#N/A</v>
      </c>
      <c r="T57" s="494"/>
      <c r="U57" s="185"/>
      <c r="V57" s="185"/>
      <c r="W57" s="185"/>
      <c r="X57" s="185" t="e">
        <f t="shared" si="28"/>
        <v>#N/A</v>
      </c>
      <c r="Y57" s="494"/>
      <c r="Z57" s="185"/>
      <c r="AA57" s="185"/>
      <c r="AB57" s="185"/>
      <c r="AC57" s="185" t="e">
        <f t="shared" si="29"/>
        <v>#N/A</v>
      </c>
      <c r="AD57" s="494"/>
      <c r="AE57" s="185"/>
      <c r="AF57" s="185"/>
      <c r="AG57" s="185"/>
      <c r="AH57" s="185" t="e">
        <f t="shared" si="30"/>
        <v>#N/A</v>
      </c>
      <c r="AI57" s="494"/>
      <c r="AJ57" s="185"/>
      <c r="AK57" s="185"/>
      <c r="AL57" s="185"/>
      <c r="AM57" s="185" t="e">
        <f t="shared" si="31"/>
        <v>#N/A</v>
      </c>
      <c r="AN57" s="494"/>
      <c r="AO57" s="185"/>
      <c r="AP57" s="185"/>
      <c r="AQ57" s="185"/>
      <c r="AR57" s="185" t="e">
        <f t="shared" si="32"/>
        <v>#N/A</v>
      </c>
      <c r="AS57" s="465"/>
      <c r="AT57" s="185"/>
      <c r="AU57" s="185"/>
      <c r="AV57" s="185"/>
      <c r="AW57" s="185" t="e">
        <f t="shared" si="33"/>
        <v>#N/A</v>
      </c>
      <c r="AX57" s="465"/>
    </row>
    <row r="58" spans="2:50">
      <c r="B58" s="471"/>
      <c r="C58" s="185">
        <v>12</v>
      </c>
      <c r="D58" s="185"/>
      <c r="E58" s="185"/>
      <c r="F58" s="185"/>
      <c r="G58" s="169"/>
      <c r="H58" s="452"/>
      <c r="I58" s="185"/>
      <c r="J58" s="185"/>
      <c r="K58" s="185"/>
      <c r="L58" s="452"/>
      <c r="M58" s="184" t="e">
        <f>RANK(K58, K$47:$K$61)</f>
        <v>#DIV/0!</v>
      </c>
      <c r="N58" s="454"/>
      <c r="O58" s="454"/>
      <c r="P58" s="185"/>
      <c r="Q58" s="185"/>
      <c r="R58" s="185"/>
      <c r="S58" s="185" t="e">
        <f t="shared" si="27"/>
        <v>#N/A</v>
      </c>
      <c r="T58" s="494"/>
      <c r="U58" s="185"/>
      <c r="V58" s="185"/>
      <c r="W58" s="185"/>
      <c r="X58" s="185" t="e">
        <f t="shared" si="28"/>
        <v>#N/A</v>
      </c>
      <c r="Y58" s="494"/>
      <c r="Z58" s="185"/>
      <c r="AA58" s="185"/>
      <c r="AB58" s="185"/>
      <c r="AC58" s="185" t="e">
        <f t="shared" si="29"/>
        <v>#N/A</v>
      </c>
      <c r="AD58" s="494"/>
      <c r="AE58" s="185"/>
      <c r="AF58" s="185"/>
      <c r="AG58" s="185"/>
      <c r="AH58" s="185" t="e">
        <f t="shared" si="30"/>
        <v>#N/A</v>
      </c>
      <c r="AI58" s="494"/>
      <c r="AJ58" s="185"/>
      <c r="AK58" s="185"/>
      <c r="AL58" s="185"/>
      <c r="AM58" s="185" t="e">
        <f t="shared" si="31"/>
        <v>#N/A</v>
      </c>
      <c r="AN58" s="494"/>
      <c r="AO58" s="185"/>
      <c r="AP58" s="185"/>
      <c r="AQ58" s="185"/>
      <c r="AR58" s="185" t="e">
        <f t="shared" si="32"/>
        <v>#N/A</v>
      </c>
      <c r="AS58" s="465"/>
      <c r="AT58" s="185"/>
      <c r="AU58" s="185"/>
      <c r="AV58" s="185"/>
      <c r="AW58" s="185" t="e">
        <f t="shared" si="33"/>
        <v>#N/A</v>
      </c>
      <c r="AX58" s="465"/>
    </row>
    <row r="59" spans="2:50">
      <c r="B59" s="471"/>
      <c r="C59" s="185">
        <v>13</v>
      </c>
      <c r="D59" s="185"/>
      <c r="E59" s="185"/>
      <c r="F59" s="185"/>
      <c r="G59" s="169"/>
      <c r="H59" s="452"/>
      <c r="I59" s="185"/>
      <c r="J59" s="185"/>
      <c r="K59" s="185"/>
      <c r="L59" s="452"/>
      <c r="M59" s="184" t="e">
        <f>RANK(K59, K$47:$K$61)</f>
        <v>#DIV/0!</v>
      </c>
      <c r="N59" s="454"/>
      <c r="O59" s="454"/>
      <c r="P59" s="185"/>
      <c r="Q59" s="185"/>
      <c r="R59" s="185"/>
      <c r="S59" s="185" t="e">
        <f t="shared" si="27"/>
        <v>#N/A</v>
      </c>
      <c r="T59" s="494"/>
      <c r="U59" s="185"/>
      <c r="V59" s="185"/>
      <c r="W59" s="185"/>
      <c r="X59" s="185" t="e">
        <f t="shared" si="28"/>
        <v>#N/A</v>
      </c>
      <c r="Y59" s="494"/>
      <c r="Z59" s="185"/>
      <c r="AA59" s="185"/>
      <c r="AB59" s="185"/>
      <c r="AC59" s="185" t="e">
        <f t="shared" si="29"/>
        <v>#N/A</v>
      </c>
      <c r="AD59" s="494"/>
      <c r="AE59" s="185"/>
      <c r="AF59" s="185"/>
      <c r="AG59" s="185"/>
      <c r="AH59" s="185" t="e">
        <f t="shared" si="30"/>
        <v>#N/A</v>
      </c>
      <c r="AI59" s="494"/>
      <c r="AJ59" s="185"/>
      <c r="AK59" s="185"/>
      <c r="AL59" s="185"/>
      <c r="AM59" s="185" t="e">
        <f t="shared" si="31"/>
        <v>#N/A</v>
      </c>
      <c r="AN59" s="494"/>
      <c r="AO59" s="185"/>
      <c r="AP59" s="185"/>
      <c r="AQ59" s="185"/>
      <c r="AR59" s="185" t="e">
        <f t="shared" si="32"/>
        <v>#N/A</v>
      </c>
      <c r="AS59" s="465"/>
      <c r="AT59" s="185"/>
      <c r="AU59" s="185"/>
      <c r="AV59" s="185"/>
      <c r="AW59" s="185" t="e">
        <f t="shared" si="33"/>
        <v>#N/A</v>
      </c>
      <c r="AX59" s="465"/>
    </row>
    <row r="60" spans="2:50">
      <c r="B60" s="471"/>
      <c r="C60" s="185">
        <v>14</v>
      </c>
      <c r="D60" s="185"/>
      <c r="E60" s="185"/>
      <c r="F60" s="185"/>
      <c r="G60" s="169"/>
      <c r="H60" s="452"/>
      <c r="I60" s="185"/>
      <c r="J60" s="185"/>
      <c r="K60" s="185"/>
      <c r="L60" s="452"/>
      <c r="M60" s="184" t="e">
        <f>RANK(K60, K$47:$K$61)</f>
        <v>#DIV/0!</v>
      </c>
      <c r="N60" s="454"/>
      <c r="O60" s="454"/>
      <c r="P60" s="185"/>
      <c r="Q60" s="185"/>
      <c r="R60" s="185"/>
      <c r="S60" s="185" t="e">
        <f t="shared" si="27"/>
        <v>#N/A</v>
      </c>
      <c r="T60" s="494"/>
      <c r="U60" s="185"/>
      <c r="V60" s="185"/>
      <c r="W60" s="185"/>
      <c r="X60" s="185" t="e">
        <f t="shared" si="28"/>
        <v>#N/A</v>
      </c>
      <c r="Y60" s="494"/>
      <c r="Z60" s="185"/>
      <c r="AA60" s="185"/>
      <c r="AB60" s="185"/>
      <c r="AC60" s="185" t="e">
        <f t="shared" si="29"/>
        <v>#N/A</v>
      </c>
      <c r="AD60" s="494"/>
      <c r="AE60" s="185"/>
      <c r="AF60" s="185"/>
      <c r="AG60" s="185"/>
      <c r="AH60" s="185" t="e">
        <f t="shared" si="30"/>
        <v>#N/A</v>
      </c>
      <c r="AI60" s="494"/>
      <c r="AJ60" s="185"/>
      <c r="AK60" s="185"/>
      <c r="AL60" s="185"/>
      <c r="AM60" s="185" t="e">
        <f t="shared" si="31"/>
        <v>#N/A</v>
      </c>
      <c r="AN60" s="494"/>
      <c r="AO60" s="185"/>
      <c r="AP60" s="185"/>
      <c r="AQ60" s="185"/>
      <c r="AR60" s="185" t="e">
        <f t="shared" si="32"/>
        <v>#N/A</v>
      </c>
      <c r="AS60" s="465"/>
      <c r="AT60" s="185"/>
      <c r="AU60" s="185"/>
      <c r="AV60" s="185"/>
      <c r="AW60" s="185" t="e">
        <f t="shared" si="33"/>
        <v>#N/A</v>
      </c>
      <c r="AX60" s="465"/>
    </row>
    <row r="61" spans="2:50">
      <c r="B61" s="471"/>
      <c r="C61" s="185">
        <v>15</v>
      </c>
      <c r="D61" s="185"/>
      <c r="E61" s="185"/>
      <c r="F61" s="185"/>
      <c r="G61" s="185"/>
      <c r="H61" s="453"/>
      <c r="I61" s="185"/>
      <c r="J61" s="185"/>
      <c r="K61" s="185"/>
      <c r="L61" s="453"/>
      <c r="M61" s="184" t="e">
        <f>RANK(K61, K$47:$K$61)</f>
        <v>#DIV/0!</v>
      </c>
      <c r="N61" s="454"/>
      <c r="O61" s="454"/>
      <c r="P61" s="185"/>
      <c r="Q61" s="185"/>
      <c r="R61" s="185"/>
      <c r="S61" s="185" t="e">
        <f t="shared" si="27"/>
        <v>#N/A</v>
      </c>
      <c r="T61" s="494"/>
      <c r="U61" s="185"/>
      <c r="V61" s="185"/>
      <c r="W61" s="185"/>
      <c r="X61" s="185" t="e">
        <f t="shared" si="28"/>
        <v>#N/A</v>
      </c>
      <c r="Y61" s="494"/>
      <c r="Z61" s="185"/>
      <c r="AA61" s="185"/>
      <c r="AB61" s="185"/>
      <c r="AC61" s="185" t="e">
        <f t="shared" si="29"/>
        <v>#N/A</v>
      </c>
      <c r="AD61" s="494"/>
      <c r="AE61" s="185"/>
      <c r="AF61" s="185"/>
      <c r="AG61" s="185"/>
      <c r="AH61" s="185" t="e">
        <f t="shared" si="30"/>
        <v>#N/A</v>
      </c>
      <c r="AI61" s="494"/>
      <c r="AJ61" s="185"/>
      <c r="AK61" s="185"/>
      <c r="AL61" s="185"/>
      <c r="AM61" s="185" t="e">
        <f t="shared" si="31"/>
        <v>#N/A</v>
      </c>
      <c r="AN61" s="494"/>
      <c r="AO61" s="185"/>
      <c r="AP61" s="185"/>
      <c r="AQ61" s="185"/>
      <c r="AR61" s="185" t="e">
        <f t="shared" si="32"/>
        <v>#N/A</v>
      </c>
      <c r="AS61" s="466"/>
      <c r="AT61" s="185"/>
      <c r="AU61" s="185"/>
      <c r="AV61" s="185"/>
      <c r="AW61" s="185" t="e">
        <f t="shared" si="33"/>
        <v>#N/A</v>
      </c>
      <c r="AX61" s="466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96" t="s">
        <v>250</v>
      </c>
      <c r="C67" s="185">
        <v>1</v>
      </c>
      <c r="D67" s="185"/>
      <c r="E67" s="185"/>
      <c r="F67" s="185"/>
      <c r="G67" s="169"/>
      <c r="H67" s="451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69"/>
      <c r="R67" s="183"/>
      <c r="S67" s="185" t="e">
        <f>RANK(R67, R$67:R$81)</f>
        <v>#N/A</v>
      </c>
      <c r="T67" s="494" t="e">
        <f>AVERAGE(R67:R81)</f>
        <v>#DIV/0!</v>
      </c>
      <c r="U67" s="169"/>
      <c r="V67" s="169"/>
      <c r="W67" s="183"/>
      <c r="X67" s="185" t="e">
        <f>RANK(W67, W$67:W$81)</f>
        <v>#N/A</v>
      </c>
      <c r="Y67" s="494" t="e">
        <f>AVERAGE(W67:W81)</f>
        <v>#DIV/0!</v>
      </c>
      <c r="Z67" s="169"/>
      <c r="AA67" s="169"/>
      <c r="AB67" s="183"/>
      <c r="AC67" s="185" t="e">
        <f>RANK(AB67, AB$67:AB$81)</f>
        <v>#N/A</v>
      </c>
      <c r="AD67" s="494" t="e">
        <f>AVERAGE(AB67:AB81)</f>
        <v>#DIV/0!</v>
      </c>
      <c r="AE67" s="169"/>
      <c r="AF67" s="169"/>
      <c r="AG67" s="183"/>
      <c r="AH67" s="185" t="e">
        <f>RANK(AG67, AG$67:AG$81)</f>
        <v>#N/A</v>
      </c>
      <c r="AI67" s="494" t="e">
        <f>AVERAGE(AG67:AG81)</f>
        <v>#DIV/0!</v>
      </c>
      <c r="AJ67" s="169"/>
      <c r="AK67" s="169"/>
      <c r="AL67" s="183"/>
      <c r="AM67" s="185" t="e">
        <f>RANK(AL67, AL$67:AL$81)</f>
        <v>#N/A</v>
      </c>
      <c r="AN67" s="494" t="e">
        <f>AVERAGE(AL67:AL81)</f>
        <v>#DIV/0!</v>
      </c>
      <c r="AO67" s="169"/>
      <c r="AP67" s="169"/>
      <c r="AQ67" s="183"/>
      <c r="AR67" s="185" t="e">
        <f>RANK(AQ67, AQ$67:AQ$81)</f>
        <v>#N/A</v>
      </c>
      <c r="AS67" s="494" t="e">
        <f>AVERAGE(AQ67:AQ81)</f>
        <v>#DIV/0!</v>
      </c>
      <c r="AT67" s="169"/>
      <c r="AU67" s="169"/>
      <c r="AV67" s="183"/>
      <c r="AW67" s="185" t="e">
        <f>RANK(AV67, AV$67:AV$81)</f>
        <v>#N/A</v>
      </c>
      <c r="AX67" s="494" t="e">
        <f>AVERAGE(AV67:AV81)</f>
        <v>#DIV/0!</v>
      </c>
    </row>
    <row r="68" spans="2:50">
      <c r="B68" s="471"/>
      <c r="C68" s="185">
        <v>2</v>
      </c>
      <c r="D68" s="185"/>
      <c r="E68" s="185"/>
      <c r="F68" s="185"/>
      <c r="G68" s="169"/>
      <c r="H68" s="452"/>
      <c r="I68" s="169" t="e">
        <f t="shared" ref="I68:I73" si="34">AVERAGE(P68,U68,Z68,AE68,AJ68,AO68,AT68)</f>
        <v>#DIV/0!</v>
      </c>
      <c r="J68" s="169" t="e">
        <f t="shared" ref="J68:J73" si="35">AVERAGE(Q68,V68,AA68,AF68,AK68,AP68,AU68)</f>
        <v>#DIV/0!</v>
      </c>
      <c r="K68" s="183" t="e">
        <f t="shared" ref="K68:K73" si="36">AVERAGE(R68,W68,AB68,AG68,AL68,AQ68,AV68)</f>
        <v>#DIV/0!</v>
      </c>
      <c r="L68" s="452"/>
      <c r="M68" s="184" t="e">
        <f>RANK(K68, K$67:$K$81)</f>
        <v>#DIV/0!</v>
      </c>
      <c r="N68" s="454"/>
      <c r="O68" s="454"/>
      <c r="P68" s="185"/>
      <c r="Q68" s="169"/>
      <c r="R68" s="183"/>
      <c r="S68" s="185" t="e">
        <f t="shared" ref="S68:S81" si="37">RANK(R68, R$67:R$81)</f>
        <v>#N/A</v>
      </c>
      <c r="T68" s="494"/>
      <c r="U68" s="185"/>
      <c r="V68" s="169"/>
      <c r="W68" s="183"/>
      <c r="X68" s="185" t="e">
        <f t="shared" ref="X68:X81" si="38">RANK(W68, W$67:W$81)</f>
        <v>#N/A</v>
      </c>
      <c r="Y68" s="494"/>
      <c r="Z68" s="185"/>
      <c r="AA68" s="169"/>
      <c r="AB68" s="183"/>
      <c r="AC68" s="185" t="e">
        <f t="shared" ref="AC68:AC81" si="39">RANK(AB68, AB$67:AB$81)</f>
        <v>#N/A</v>
      </c>
      <c r="AD68" s="494"/>
      <c r="AE68" s="185"/>
      <c r="AF68" s="169"/>
      <c r="AG68" s="183"/>
      <c r="AH68" s="185" t="e">
        <f t="shared" ref="AH68:AH81" si="40">RANK(AG68, AG$67:AG$81)</f>
        <v>#N/A</v>
      </c>
      <c r="AI68" s="494"/>
      <c r="AJ68" s="185"/>
      <c r="AK68" s="169"/>
      <c r="AL68" s="183"/>
      <c r="AM68" s="185" t="e">
        <f t="shared" ref="AM68:AM81" si="41">RANK(AL68, AL$67:AL$81)</f>
        <v>#N/A</v>
      </c>
      <c r="AN68" s="494"/>
      <c r="AO68" s="185"/>
      <c r="AP68" s="169"/>
      <c r="AQ68" s="183"/>
      <c r="AR68" s="185" t="e">
        <f t="shared" ref="AR68:AR81" si="42">RANK(AQ68, AQ$67:AQ$81)</f>
        <v>#N/A</v>
      </c>
      <c r="AS68" s="494"/>
      <c r="AT68" s="185"/>
      <c r="AU68" s="169"/>
      <c r="AV68" s="183"/>
      <c r="AW68" s="185" t="e">
        <f t="shared" ref="AW68:AW81" si="43">RANK(AV68, AV$67:AV$81)</f>
        <v>#N/A</v>
      </c>
      <c r="AX68" s="494"/>
    </row>
    <row r="69" spans="2:50">
      <c r="B69" s="471"/>
      <c r="C69" s="185">
        <v>3</v>
      </c>
      <c r="D69" s="185"/>
      <c r="E69" s="185"/>
      <c r="F69" s="185"/>
      <c r="G69" s="169"/>
      <c r="H69" s="452"/>
      <c r="I69" s="169" t="e">
        <f t="shared" si="34"/>
        <v>#DIV/0!</v>
      </c>
      <c r="J69" s="169" t="e">
        <f t="shared" si="35"/>
        <v>#DIV/0!</v>
      </c>
      <c r="K69" s="183" t="e">
        <f t="shared" si="36"/>
        <v>#DIV/0!</v>
      </c>
      <c r="L69" s="452"/>
      <c r="M69" s="184" t="e">
        <f>RANK(K69, K$67:$K$81)</f>
        <v>#DIV/0!</v>
      </c>
      <c r="N69" s="454"/>
      <c r="O69" s="454"/>
      <c r="P69" s="185"/>
      <c r="Q69" s="169"/>
      <c r="R69" s="183"/>
      <c r="S69" s="185" t="e">
        <f t="shared" si="37"/>
        <v>#N/A</v>
      </c>
      <c r="T69" s="494"/>
      <c r="U69" s="185"/>
      <c r="V69" s="169"/>
      <c r="W69" s="183"/>
      <c r="X69" s="185" t="e">
        <f t="shared" si="38"/>
        <v>#N/A</v>
      </c>
      <c r="Y69" s="494"/>
      <c r="Z69" s="185"/>
      <c r="AA69" s="169"/>
      <c r="AB69" s="183"/>
      <c r="AC69" s="185" t="e">
        <f t="shared" si="39"/>
        <v>#N/A</v>
      </c>
      <c r="AD69" s="494"/>
      <c r="AE69" s="185"/>
      <c r="AF69" s="169"/>
      <c r="AG69" s="183"/>
      <c r="AH69" s="185" t="e">
        <f t="shared" si="40"/>
        <v>#N/A</v>
      </c>
      <c r="AI69" s="494"/>
      <c r="AJ69" s="185"/>
      <c r="AK69" s="169"/>
      <c r="AL69" s="183"/>
      <c r="AM69" s="185" t="e">
        <f t="shared" si="41"/>
        <v>#N/A</v>
      </c>
      <c r="AN69" s="494"/>
      <c r="AO69" s="185"/>
      <c r="AP69" s="169"/>
      <c r="AQ69" s="183"/>
      <c r="AR69" s="185" t="e">
        <f t="shared" si="42"/>
        <v>#N/A</v>
      </c>
      <c r="AS69" s="494"/>
      <c r="AT69" s="185"/>
      <c r="AU69" s="169"/>
      <c r="AV69" s="183"/>
      <c r="AW69" s="185" t="e">
        <f t="shared" si="43"/>
        <v>#N/A</v>
      </c>
      <c r="AX69" s="494"/>
    </row>
    <row r="70" spans="2:50">
      <c r="B70" s="471"/>
      <c r="C70" s="185">
        <v>4</v>
      </c>
      <c r="D70" s="185"/>
      <c r="E70" s="185"/>
      <c r="F70" s="185"/>
      <c r="G70" s="169"/>
      <c r="H70" s="452"/>
      <c r="I70" s="169" t="e">
        <f t="shared" si="34"/>
        <v>#DIV/0!</v>
      </c>
      <c r="J70" s="169" t="e">
        <f t="shared" si="35"/>
        <v>#DIV/0!</v>
      </c>
      <c r="K70" s="183" t="e">
        <f t="shared" si="36"/>
        <v>#DIV/0!</v>
      </c>
      <c r="L70" s="452"/>
      <c r="M70" s="184" t="e">
        <f>RANK(K70, K$67:$K$81)</f>
        <v>#DIV/0!</v>
      </c>
      <c r="N70" s="454"/>
      <c r="O70" s="454"/>
      <c r="P70" s="185"/>
      <c r="Q70" s="169"/>
      <c r="R70" s="183"/>
      <c r="S70" s="185" t="e">
        <f t="shared" si="37"/>
        <v>#N/A</v>
      </c>
      <c r="T70" s="494"/>
      <c r="U70" s="185"/>
      <c r="V70" s="169"/>
      <c r="W70" s="183"/>
      <c r="X70" s="185" t="e">
        <f t="shared" si="38"/>
        <v>#N/A</v>
      </c>
      <c r="Y70" s="494"/>
      <c r="Z70" s="185"/>
      <c r="AA70" s="169"/>
      <c r="AB70" s="183"/>
      <c r="AC70" s="185" t="e">
        <f t="shared" si="39"/>
        <v>#N/A</v>
      </c>
      <c r="AD70" s="494"/>
      <c r="AE70" s="185"/>
      <c r="AF70" s="169"/>
      <c r="AG70" s="183"/>
      <c r="AH70" s="185" t="e">
        <f t="shared" si="40"/>
        <v>#N/A</v>
      </c>
      <c r="AI70" s="494"/>
      <c r="AJ70" s="185"/>
      <c r="AK70" s="169"/>
      <c r="AL70" s="183"/>
      <c r="AM70" s="185" t="e">
        <f t="shared" si="41"/>
        <v>#N/A</v>
      </c>
      <c r="AN70" s="494"/>
      <c r="AO70" s="185"/>
      <c r="AP70" s="169"/>
      <c r="AQ70" s="183"/>
      <c r="AR70" s="185" t="e">
        <f t="shared" si="42"/>
        <v>#N/A</v>
      </c>
      <c r="AS70" s="494"/>
      <c r="AT70" s="185"/>
      <c r="AU70" s="169"/>
      <c r="AV70" s="183"/>
      <c r="AW70" s="185" t="e">
        <f t="shared" si="43"/>
        <v>#N/A</v>
      </c>
      <c r="AX70" s="494"/>
    </row>
    <row r="71" spans="2:50">
      <c r="B71" s="471"/>
      <c r="C71" s="185">
        <v>5</v>
      </c>
      <c r="D71" s="185"/>
      <c r="E71" s="185"/>
      <c r="F71" s="185"/>
      <c r="G71" s="169"/>
      <c r="H71" s="452"/>
      <c r="I71" s="169" t="e">
        <f t="shared" si="34"/>
        <v>#DIV/0!</v>
      </c>
      <c r="J71" s="169" t="e">
        <f t="shared" si="35"/>
        <v>#DIV/0!</v>
      </c>
      <c r="K71" s="183" t="e">
        <f t="shared" si="36"/>
        <v>#DIV/0!</v>
      </c>
      <c r="L71" s="452"/>
      <c r="M71" s="184" t="e">
        <f>RANK(K71, K$67:$K$81)</f>
        <v>#DIV/0!</v>
      </c>
      <c r="N71" s="454"/>
      <c r="O71" s="454"/>
      <c r="P71" s="185"/>
      <c r="Q71" s="169"/>
      <c r="R71" s="183"/>
      <c r="S71" s="185" t="e">
        <f t="shared" si="37"/>
        <v>#N/A</v>
      </c>
      <c r="T71" s="494"/>
      <c r="U71" s="185"/>
      <c r="V71" s="169"/>
      <c r="W71" s="183"/>
      <c r="X71" s="185" t="e">
        <f t="shared" si="38"/>
        <v>#N/A</v>
      </c>
      <c r="Y71" s="494"/>
      <c r="Z71" s="185"/>
      <c r="AA71" s="169"/>
      <c r="AB71" s="183"/>
      <c r="AC71" s="185" t="e">
        <f t="shared" si="39"/>
        <v>#N/A</v>
      </c>
      <c r="AD71" s="494"/>
      <c r="AE71" s="185"/>
      <c r="AF71" s="169"/>
      <c r="AG71" s="183"/>
      <c r="AH71" s="185" t="e">
        <f t="shared" si="40"/>
        <v>#N/A</v>
      </c>
      <c r="AI71" s="494"/>
      <c r="AJ71" s="185"/>
      <c r="AK71" s="169"/>
      <c r="AL71" s="183"/>
      <c r="AM71" s="185" t="e">
        <f t="shared" si="41"/>
        <v>#N/A</v>
      </c>
      <c r="AN71" s="494"/>
      <c r="AO71" s="185"/>
      <c r="AP71" s="169"/>
      <c r="AQ71" s="183"/>
      <c r="AR71" s="185" t="e">
        <f t="shared" si="42"/>
        <v>#N/A</v>
      </c>
      <c r="AS71" s="494"/>
      <c r="AT71" s="185"/>
      <c r="AU71" s="169"/>
      <c r="AV71" s="183"/>
      <c r="AW71" s="185" t="e">
        <f t="shared" si="43"/>
        <v>#N/A</v>
      </c>
      <c r="AX71" s="494"/>
    </row>
    <row r="72" spans="2:50">
      <c r="B72" s="471"/>
      <c r="C72" s="185">
        <v>6</v>
      </c>
      <c r="D72" s="185"/>
      <c r="E72" s="185"/>
      <c r="F72" s="185"/>
      <c r="G72" s="169"/>
      <c r="H72" s="452"/>
      <c r="I72" s="169" t="e">
        <f t="shared" si="34"/>
        <v>#DIV/0!</v>
      </c>
      <c r="J72" s="169" t="e">
        <f t="shared" si="35"/>
        <v>#DIV/0!</v>
      </c>
      <c r="K72" s="183" t="e">
        <f t="shared" si="36"/>
        <v>#DIV/0!</v>
      </c>
      <c r="L72" s="452"/>
      <c r="M72" s="184" t="e">
        <f>RANK(K72, K$67:$K$81)</f>
        <v>#DIV/0!</v>
      </c>
      <c r="N72" s="454"/>
      <c r="O72" s="454"/>
      <c r="P72" s="185"/>
      <c r="Q72" s="169"/>
      <c r="R72" s="183"/>
      <c r="S72" s="185" t="e">
        <f t="shared" si="37"/>
        <v>#N/A</v>
      </c>
      <c r="T72" s="494"/>
      <c r="U72" s="185"/>
      <c r="V72" s="169"/>
      <c r="W72" s="183"/>
      <c r="X72" s="185" t="e">
        <f t="shared" si="38"/>
        <v>#N/A</v>
      </c>
      <c r="Y72" s="494"/>
      <c r="Z72" s="185"/>
      <c r="AA72" s="169"/>
      <c r="AB72" s="183"/>
      <c r="AC72" s="185" t="e">
        <f t="shared" si="39"/>
        <v>#N/A</v>
      </c>
      <c r="AD72" s="494"/>
      <c r="AE72" s="185"/>
      <c r="AF72" s="169"/>
      <c r="AG72" s="183"/>
      <c r="AH72" s="185" t="e">
        <f t="shared" si="40"/>
        <v>#N/A</v>
      </c>
      <c r="AI72" s="494"/>
      <c r="AJ72" s="185"/>
      <c r="AK72" s="169"/>
      <c r="AL72" s="183"/>
      <c r="AM72" s="185" t="e">
        <f t="shared" si="41"/>
        <v>#N/A</v>
      </c>
      <c r="AN72" s="494"/>
      <c r="AO72" s="185"/>
      <c r="AP72" s="169"/>
      <c r="AQ72" s="183"/>
      <c r="AR72" s="185" t="e">
        <f t="shared" si="42"/>
        <v>#N/A</v>
      </c>
      <c r="AS72" s="494"/>
      <c r="AT72" s="185"/>
      <c r="AU72" s="169"/>
      <c r="AV72" s="183"/>
      <c r="AW72" s="185" t="e">
        <f t="shared" si="43"/>
        <v>#N/A</v>
      </c>
      <c r="AX72" s="494"/>
    </row>
    <row r="73" spans="2:50">
      <c r="B73" s="471"/>
      <c r="C73" s="185">
        <v>7</v>
      </c>
      <c r="D73" s="185"/>
      <c r="E73" s="185"/>
      <c r="F73" s="185"/>
      <c r="G73" s="169"/>
      <c r="H73" s="452"/>
      <c r="I73" s="169" t="e">
        <f t="shared" si="34"/>
        <v>#DIV/0!</v>
      </c>
      <c r="J73" s="169" t="e">
        <f t="shared" si="35"/>
        <v>#DIV/0!</v>
      </c>
      <c r="K73" s="183" t="e">
        <f t="shared" si="36"/>
        <v>#DIV/0!</v>
      </c>
      <c r="L73" s="452"/>
      <c r="M73" s="184" t="e">
        <f>RANK(K73, K$67:$K$81)</f>
        <v>#DIV/0!</v>
      </c>
      <c r="N73" s="454"/>
      <c r="O73" s="454"/>
      <c r="P73" s="185"/>
      <c r="Q73" s="169"/>
      <c r="R73" s="183"/>
      <c r="S73" s="185" t="e">
        <f t="shared" si="37"/>
        <v>#N/A</v>
      </c>
      <c r="T73" s="494"/>
      <c r="U73" s="185"/>
      <c r="V73" s="169"/>
      <c r="W73" s="183"/>
      <c r="X73" s="185" t="e">
        <f t="shared" si="38"/>
        <v>#N/A</v>
      </c>
      <c r="Y73" s="494"/>
      <c r="Z73" s="185"/>
      <c r="AA73" s="169"/>
      <c r="AB73" s="183"/>
      <c r="AC73" s="185" t="e">
        <f t="shared" si="39"/>
        <v>#N/A</v>
      </c>
      <c r="AD73" s="494"/>
      <c r="AE73" s="185"/>
      <c r="AF73" s="169"/>
      <c r="AG73" s="183"/>
      <c r="AH73" s="185" t="e">
        <f t="shared" si="40"/>
        <v>#N/A</v>
      </c>
      <c r="AI73" s="494"/>
      <c r="AJ73" s="185"/>
      <c r="AK73" s="169"/>
      <c r="AL73" s="183"/>
      <c r="AM73" s="185" t="e">
        <f t="shared" si="41"/>
        <v>#N/A</v>
      </c>
      <c r="AN73" s="494"/>
      <c r="AO73" s="185"/>
      <c r="AP73" s="169"/>
      <c r="AQ73" s="183"/>
      <c r="AR73" s="185" t="e">
        <f t="shared" si="42"/>
        <v>#N/A</v>
      </c>
      <c r="AS73" s="494"/>
      <c r="AT73" s="185"/>
      <c r="AU73" s="169"/>
      <c r="AV73" s="183"/>
      <c r="AW73" s="185" t="e">
        <f t="shared" si="43"/>
        <v>#N/A</v>
      </c>
      <c r="AX73" s="494"/>
    </row>
    <row r="74" spans="2:50">
      <c r="B74" s="471"/>
      <c r="C74" s="185">
        <v>8</v>
      </c>
      <c r="D74" s="185"/>
      <c r="E74" s="185"/>
      <c r="F74" s="185"/>
      <c r="G74" s="169"/>
      <c r="H74" s="452"/>
      <c r="I74" s="169" t="e">
        <f t="shared" ref="I74" si="44">AVERAGE(P74,U74,Z74,AE74,AJ74,AO74,AT74)</f>
        <v>#DIV/0!</v>
      </c>
      <c r="J74" s="169" t="e">
        <f t="shared" ref="J74" si="45">AVERAGE(Q74,V74,AA74,AF74,AK74,AP74,AU74)</f>
        <v>#DIV/0!</v>
      </c>
      <c r="K74" s="183" t="e">
        <f t="shared" ref="K74" si="46">AVERAGE(R74,W74,AB74,AG74,AL74,AQ74,AV74)</f>
        <v>#DIV/0!</v>
      </c>
      <c r="L74" s="452"/>
      <c r="M74" s="184" t="e">
        <f>RANK(K74, K$67:$K$81)</f>
        <v>#DIV/0!</v>
      </c>
      <c r="N74" s="454"/>
      <c r="O74" s="454"/>
      <c r="P74" s="185"/>
      <c r="Q74" s="169"/>
      <c r="R74" s="183"/>
      <c r="S74" s="185" t="e">
        <f t="shared" si="37"/>
        <v>#N/A</v>
      </c>
      <c r="T74" s="494"/>
      <c r="U74" s="185"/>
      <c r="V74" s="169"/>
      <c r="W74" s="183"/>
      <c r="X74" s="185" t="e">
        <f t="shared" si="38"/>
        <v>#N/A</v>
      </c>
      <c r="Y74" s="494"/>
      <c r="Z74" s="185"/>
      <c r="AA74" s="169"/>
      <c r="AB74" s="183"/>
      <c r="AC74" s="185" t="e">
        <f t="shared" si="39"/>
        <v>#N/A</v>
      </c>
      <c r="AD74" s="494"/>
      <c r="AE74" s="185"/>
      <c r="AF74" s="169"/>
      <c r="AG74" s="183"/>
      <c r="AH74" s="185" t="e">
        <f t="shared" si="40"/>
        <v>#N/A</v>
      </c>
      <c r="AI74" s="494"/>
      <c r="AJ74" s="185"/>
      <c r="AK74" s="169"/>
      <c r="AL74" s="183"/>
      <c r="AM74" s="185" t="e">
        <f t="shared" si="41"/>
        <v>#N/A</v>
      </c>
      <c r="AN74" s="494"/>
      <c r="AO74" s="185"/>
      <c r="AP74" s="169"/>
      <c r="AQ74" s="183"/>
      <c r="AR74" s="185" t="e">
        <f t="shared" si="42"/>
        <v>#N/A</v>
      </c>
      <c r="AS74" s="494"/>
      <c r="AT74" s="185"/>
      <c r="AU74" s="169"/>
      <c r="AV74" s="183"/>
      <c r="AW74" s="185" t="e">
        <f t="shared" si="43"/>
        <v>#N/A</v>
      </c>
      <c r="AX74" s="494"/>
    </row>
    <row r="75" spans="2:50">
      <c r="B75" s="471"/>
      <c r="C75" s="185">
        <v>9</v>
      </c>
      <c r="D75" s="185"/>
      <c r="E75" s="185"/>
      <c r="F75" s="185"/>
      <c r="G75" s="169"/>
      <c r="H75" s="452"/>
      <c r="I75" s="169"/>
      <c r="J75" s="169"/>
      <c r="K75" s="183"/>
      <c r="L75" s="452"/>
      <c r="M75" s="184" t="e">
        <f>RANK(K75, K$67:$K$81)</f>
        <v>#DIV/0!</v>
      </c>
      <c r="N75" s="454"/>
      <c r="O75" s="454"/>
      <c r="P75" s="185"/>
      <c r="Q75" s="169"/>
      <c r="R75" s="183"/>
      <c r="S75" s="185" t="e">
        <f t="shared" si="37"/>
        <v>#N/A</v>
      </c>
      <c r="T75" s="494"/>
      <c r="U75" s="185"/>
      <c r="V75" s="169"/>
      <c r="W75" s="183"/>
      <c r="X75" s="185" t="e">
        <f t="shared" si="38"/>
        <v>#N/A</v>
      </c>
      <c r="Y75" s="494"/>
      <c r="Z75" s="185"/>
      <c r="AA75" s="169"/>
      <c r="AB75" s="183"/>
      <c r="AC75" s="185" t="e">
        <f t="shared" si="39"/>
        <v>#N/A</v>
      </c>
      <c r="AD75" s="494"/>
      <c r="AE75" s="185"/>
      <c r="AF75" s="169"/>
      <c r="AG75" s="183"/>
      <c r="AH75" s="185" t="e">
        <f t="shared" si="40"/>
        <v>#N/A</v>
      </c>
      <c r="AI75" s="494"/>
      <c r="AJ75" s="185"/>
      <c r="AK75" s="169"/>
      <c r="AL75" s="183"/>
      <c r="AM75" s="185" t="e">
        <f t="shared" si="41"/>
        <v>#N/A</v>
      </c>
      <c r="AN75" s="494"/>
      <c r="AO75" s="185"/>
      <c r="AP75" s="169"/>
      <c r="AQ75" s="183"/>
      <c r="AR75" s="185" t="e">
        <f t="shared" si="42"/>
        <v>#N/A</v>
      </c>
      <c r="AS75" s="494"/>
      <c r="AT75" s="185"/>
      <c r="AU75" s="169"/>
      <c r="AV75" s="183"/>
      <c r="AW75" s="185" t="e">
        <f t="shared" si="43"/>
        <v>#N/A</v>
      </c>
      <c r="AX75" s="494"/>
    </row>
    <row r="76" spans="2:50">
      <c r="B76" s="471"/>
      <c r="C76" s="185">
        <v>10</v>
      </c>
      <c r="D76" s="185"/>
      <c r="E76" s="185"/>
      <c r="F76" s="185"/>
      <c r="G76" s="169"/>
      <c r="H76" s="452"/>
      <c r="I76" s="169"/>
      <c r="J76" s="169"/>
      <c r="K76" s="183"/>
      <c r="L76" s="452"/>
      <c r="M76" s="184" t="e">
        <f>RANK(K76, K$67:$K$81)</f>
        <v>#DIV/0!</v>
      </c>
      <c r="N76" s="454"/>
      <c r="O76" s="454"/>
      <c r="P76" s="185"/>
      <c r="Q76" s="169"/>
      <c r="R76" s="183"/>
      <c r="S76" s="185" t="e">
        <f t="shared" si="37"/>
        <v>#N/A</v>
      </c>
      <c r="T76" s="494"/>
      <c r="U76" s="185"/>
      <c r="V76" s="169"/>
      <c r="W76" s="183"/>
      <c r="X76" s="185" t="e">
        <f t="shared" si="38"/>
        <v>#N/A</v>
      </c>
      <c r="Y76" s="494"/>
      <c r="Z76" s="185"/>
      <c r="AA76" s="169"/>
      <c r="AB76" s="183"/>
      <c r="AC76" s="185" t="e">
        <f t="shared" si="39"/>
        <v>#N/A</v>
      </c>
      <c r="AD76" s="494"/>
      <c r="AE76" s="185"/>
      <c r="AF76" s="169"/>
      <c r="AG76" s="183"/>
      <c r="AH76" s="185" t="e">
        <f t="shared" si="40"/>
        <v>#N/A</v>
      </c>
      <c r="AI76" s="494"/>
      <c r="AJ76" s="185"/>
      <c r="AK76" s="169"/>
      <c r="AL76" s="183"/>
      <c r="AM76" s="185" t="e">
        <f t="shared" si="41"/>
        <v>#N/A</v>
      </c>
      <c r="AN76" s="494"/>
      <c r="AO76" s="185"/>
      <c r="AP76" s="169"/>
      <c r="AQ76" s="183"/>
      <c r="AR76" s="185" t="e">
        <f t="shared" si="42"/>
        <v>#N/A</v>
      </c>
      <c r="AS76" s="494"/>
      <c r="AT76" s="185"/>
      <c r="AU76" s="169"/>
      <c r="AV76" s="183"/>
      <c r="AW76" s="185" t="e">
        <f t="shared" si="43"/>
        <v>#N/A</v>
      </c>
      <c r="AX76" s="494"/>
    </row>
    <row r="77" spans="2:50">
      <c r="B77" s="471"/>
      <c r="C77" s="185">
        <v>11</v>
      </c>
      <c r="D77" s="185"/>
      <c r="E77" s="185"/>
      <c r="F77" s="185"/>
      <c r="G77" s="169"/>
      <c r="H77" s="452"/>
      <c r="I77" s="185"/>
      <c r="J77" s="185"/>
      <c r="K77" s="185"/>
      <c r="L77" s="452"/>
      <c r="M77" s="184" t="e">
        <f>RANK(K77, K$67:$K$81)</f>
        <v>#DIV/0!</v>
      </c>
      <c r="N77" s="454"/>
      <c r="O77" s="454"/>
      <c r="P77" s="185"/>
      <c r="Q77" s="185"/>
      <c r="R77" s="185"/>
      <c r="S77" s="185" t="e">
        <f t="shared" si="37"/>
        <v>#N/A</v>
      </c>
      <c r="T77" s="494"/>
      <c r="U77" s="185"/>
      <c r="V77" s="185"/>
      <c r="W77" s="185"/>
      <c r="X77" s="185" t="e">
        <f t="shared" si="38"/>
        <v>#N/A</v>
      </c>
      <c r="Y77" s="494"/>
      <c r="Z77" s="185"/>
      <c r="AA77" s="185"/>
      <c r="AB77" s="185"/>
      <c r="AC77" s="185" t="e">
        <f t="shared" si="39"/>
        <v>#N/A</v>
      </c>
      <c r="AD77" s="494"/>
      <c r="AE77" s="185"/>
      <c r="AF77" s="185"/>
      <c r="AG77" s="185"/>
      <c r="AH77" s="185" t="e">
        <f t="shared" si="40"/>
        <v>#N/A</v>
      </c>
      <c r="AI77" s="494"/>
      <c r="AJ77" s="185"/>
      <c r="AK77" s="185"/>
      <c r="AL77" s="185"/>
      <c r="AM77" s="185" t="e">
        <f t="shared" si="41"/>
        <v>#N/A</v>
      </c>
      <c r="AN77" s="494"/>
      <c r="AO77" s="185"/>
      <c r="AP77" s="185"/>
      <c r="AQ77" s="185"/>
      <c r="AR77" s="185" t="e">
        <f t="shared" si="42"/>
        <v>#N/A</v>
      </c>
      <c r="AS77" s="494"/>
      <c r="AT77" s="185"/>
      <c r="AU77" s="185"/>
      <c r="AV77" s="185"/>
      <c r="AW77" s="185" t="e">
        <f t="shared" si="43"/>
        <v>#N/A</v>
      </c>
      <c r="AX77" s="494"/>
    </row>
    <row r="78" spans="2:50">
      <c r="B78" s="471"/>
      <c r="C78" s="185">
        <v>12</v>
      </c>
      <c r="D78" s="185"/>
      <c r="E78" s="185"/>
      <c r="F78" s="185"/>
      <c r="G78" s="169"/>
      <c r="H78" s="452"/>
      <c r="I78" s="185"/>
      <c r="J78" s="185"/>
      <c r="K78" s="185"/>
      <c r="L78" s="452"/>
      <c r="M78" s="184" t="e">
        <f>RANK(K78, K$67:$K$81)</f>
        <v>#DIV/0!</v>
      </c>
      <c r="N78" s="454"/>
      <c r="O78" s="454"/>
      <c r="P78" s="185"/>
      <c r="Q78" s="185"/>
      <c r="R78" s="185"/>
      <c r="S78" s="185" t="e">
        <f t="shared" si="37"/>
        <v>#N/A</v>
      </c>
      <c r="T78" s="494"/>
      <c r="U78" s="185"/>
      <c r="V78" s="185"/>
      <c r="W78" s="185"/>
      <c r="X78" s="185" t="e">
        <f t="shared" si="38"/>
        <v>#N/A</v>
      </c>
      <c r="Y78" s="494"/>
      <c r="Z78" s="185"/>
      <c r="AA78" s="185"/>
      <c r="AB78" s="185"/>
      <c r="AC78" s="185" t="e">
        <f t="shared" si="39"/>
        <v>#N/A</v>
      </c>
      <c r="AD78" s="494"/>
      <c r="AE78" s="185"/>
      <c r="AF78" s="185"/>
      <c r="AG78" s="185"/>
      <c r="AH78" s="185" t="e">
        <f t="shared" si="40"/>
        <v>#N/A</v>
      </c>
      <c r="AI78" s="494"/>
      <c r="AJ78" s="185"/>
      <c r="AK78" s="185"/>
      <c r="AL78" s="185"/>
      <c r="AM78" s="185" t="e">
        <f t="shared" si="41"/>
        <v>#N/A</v>
      </c>
      <c r="AN78" s="494"/>
      <c r="AO78" s="185"/>
      <c r="AP78" s="185"/>
      <c r="AQ78" s="185"/>
      <c r="AR78" s="185" t="e">
        <f t="shared" si="42"/>
        <v>#N/A</v>
      </c>
      <c r="AS78" s="494"/>
      <c r="AT78" s="185"/>
      <c r="AU78" s="185"/>
      <c r="AV78" s="185"/>
      <c r="AW78" s="185" t="e">
        <f t="shared" si="43"/>
        <v>#N/A</v>
      </c>
      <c r="AX78" s="494"/>
    </row>
    <row r="79" spans="2:50">
      <c r="B79" s="471"/>
      <c r="C79" s="185">
        <v>13</v>
      </c>
      <c r="D79" s="185"/>
      <c r="E79" s="185"/>
      <c r="F79" s="185"/>
      <c r="G79" s="169"/>
      <c r="H79" s="452"/>
      <c r="I79" s="185"/>
      <c r="J79" s="185"/>
      <c r="K79" s="185"/>
      <c r="L79" s="452"/>
      <c r="M79" s="184" t="e">
        <f>RANK(K79, K$67:$K$81)</f>
        <v>#DIV/0!</v>
      </c>
      <c r="N79" s="454"/>
      <c r="O79" s="454"/>
      <c r="P79" s="185"/>
      <c r="Q79" s="185"/>
      <c r="R79" s="185"/>
      <c r="S79" s="185" t="e">
        <f t="shared" si="37"/>
        <v>#N/A</v>
      </c>
      <c r="T79" s="494"/>
      <c r="U79" s="185"/>
      <c r="V79" s="185"/>
      <c r="W79" s="185"/>
      <c r="X79" s="185" t="e">
        <f t="shared" si="38"/>
        <v>#N/A</v>
      </c>
      <c r="Y79" s="494"/>
      <c r="Z79" s="185"/>
      <c r="AA79" s="185"/>
      <c r="AB79" s="185"/>
      <c r="AC79" s="185" t="e">
        <f t="shared" si="39"/>
        <v>#N/A</v>
      </c>
      <c r="AD79" s="494"/>
      <c r="AE79" s="185"/>
      <c r="AF79" s="185"/>
      <c r="AG79" s="185"/>
      <c r="AH79" s="185" t="e">
        <f t="shared" si="40"/>
        <v>#N/A</v>
      </c>
      <c r="AI79" s="494"/>
      <c r="AJ79" s="185"/>
      <c r="AK79" s="185"/>
      <c r="AL79" s="185"/>
      <c r="AM79" s="185" t="e">
        <f t="shared" si="41"/>
        <v>#N/A</v>
      </c>
      <c r="AN79" s="494"/>
      <c r="AO79" s="185"/>
      <c r="AP79" s="185"/>
      <c r="AQ79" s="185"/>
      <c r="AR79" s="185" t="e">
        <f t="shared" si="42"/>
        <v>#N/A</v>
      </c>
      <c r="AS79" s="494"/>
      <c r="AT79" s="185"/>
      <c r="AU79" s="185"/>
      <c r="AV79" s="185"/>
      <c r="AW79" s="185" t="e">
        <f t="shared" si="43"/>
        <v>#N/A</v>
      </c>
      <c r="AX79" s="494"/>
    </row>
    <row r="80" spans="2:50">
      <c r="B80" s="471"/>
      <c r="C80" s="185">
        <v>14</v>
      </c>
      <c r="D80" s="185"/>
      <c r="E80" s="185"/>
      <c r="F80" s="185"/>
      <c r="G80" s="169"/>
      <c r="H80" s="452"/>
      <c r="I80" s="185"/>
      <c r="J80" s="185"/>
      <c r="K80" s="185"/>
      <c r="L80" s="452"/>
      <c r="M80" s="184" t="e">
        <f>RANK(K80, K$67:$K$81)</f>
        <v>#DIV/0!</v>
      </c>
      <c r="N80" s="454"/>
      <c r="O80" s="454"/>
      <c r="P80" s="185"/>
      <c r="Q80" s="185"/>
      <c r="R80" s="185"/>
      <c r="S80" s="185" t="e">
        <f t="shared" si="37"/>
        <v>#N/A</v>
      </c>
      <c r="T80" s="494"/>
      <c r="U80" s="185"/>
      <c r="V80" s="185"/>
      <c r="W80" s="185"/>
      <c r="X80" s="185" t="e">
        <f t="shared" si="38"/>
        <v>#N/A</v>
      </c>
      <c r="Y80" s="494"/>
      <c r="Z80" s="185"/>
      <c r="AA80" s="185"/>
      <c r="AB80" s="185"/>
      <c r="AC80" s="185" t="e">
        <f t="shared" si="39"/>
        <v>#N/A</v>
      </c>
      <c r="AD80" s="494"/>
      <c r="AE80" s="185"/>
      <c r="AF80" s="185"/>
      <c r="AG80" s="185"/>
      <c r="AH80" s="185" t="e">
        <f t="shared" si="40"/>
        <v>#N/A</v>
      </c>
      <c r="AI80" s="494"/>
      <c r="AJ80" s="185"/>
      <c r="AK80" s="185"/>
      <c r="AL80" s="185"/>
      <c r="AM80" s="185" t="e">
        <f t="shared" si="41"/>
        <v>#N/A</v>
      </c>
      <c r="AN80" s="494"/>
      <c r="AO80" s="185"/>
      <c r="AP80" s="185"/>
      <c r="AQ80" s="185"/>
      <c r="AR80" s="185" t="e">
        <f t="shared" si="42"/>
        <v>#N/A</v>
      </c>
      <c r="AS80" s="494"/>
      <c r="AT80" s="185"/>
      <c r="AU80" s="185"/>
      <c r="AV80" s="185"/>
      <c r="AW80" s="185" t="e">
        <f t="shared" si="43"/>
        <v>#N/A</v>
      </c>
      <c r="AX80" s="494"/>
    </row>
    <row r="81" spans="2:50">
      <c r="B81" s="471"/>
      <c r="C81" s="185">
        <v>15</v>
      </c>
      <c r="D81" s="185"/>
      <c r="E81" s="185"/>
      <c r="F81" s="185"/>
      <c r="G81" s="185"/>
      <c r="H81" s="453"/>
      <c r="I81" s="185"/>
      <c r="J81" s="185"/>
      <c r="K81" s="185"/>
      <c r="L81" s="453"/>
      <c r="M81" s="184" t="e">
        <f>RANK(K81, K$67:$K$81)</f>
        <v>#DIV/0!</v>
      </c>
      <c r="N81" s="454"/>
      <c r="O81" s="454"/>
      <c r="P81" s="185"/>
      <c r="Q81" s="185"/>
      <c r="R81" s="185"/>
      <c r="S81" s="185" t="e">
        <f t="shared" si="37"/>
        <v>#N/A</v>
      </c>
      <c r="T81" s="494"/>
      <c r="U81" s="185"/>
      <c r="V81" s="185"/>
      <c r="W81" s="185"/>
      <c r="X81" s="185" t="e">
        <f t="shared" si="38"/>
        <v>#N/A</v>
      </c>
      <c r="Y81" s="494"/>
      <c r="Z81" s="185"/>
      <c r="AA81" s="185"/>
      <c r="AB81" s="185"/>
      <c r="AC81" s="185" t="e">
        <f t="shared" si="39"/>
        <v>#N/A</v>
      </c>
      <c r="AD81" s="494"/>
      <c r="AE81" s="185"/>
      <c r="AF81" s="185"/>
      <c r="AG81" s="185"/>
      <c r="AH81" s="185" t="e">
        <f t="shared" si="40"/>
        <v>#N/A</v>
      </c>
      <c r="AI81" s="494"/>
      <c r="AJ81" s="185"/>
      <c r="AK81" s="185"/>
      <c r="AL81" s="185"/>
      <c r="AM81" s="185" t="e">
        <f t="shared" si="41"/>
        <v>#N/A</v>
      </c>
      <c r="AN81" s="494"/>
      <c r="AO81" s="185"/>
      <c r="AP81" s="185"/>
      <c r="AQ81" s="185"/>
      <c r="AR81" s="185" t="e">
        <f t="shared" si="42"/>
        <v>#N/A</v>
      </c>
      <c r="AS81" s="494"/>
      <c r="AT81" s="185"/>
      <c r="AU81" s="185"/>
      <c r="AV81" s="185"/>
      <c r="AW81" s="185" t="e">
        <f t="shared" si="43"/>
        <v>#N/A</v>
      </c>
      <c r="AX81" s="494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96" t="s">
        <v>250</v>
      </c>
      <c r="C87" s="185">
        <v>1</v>
      </c>
      <c r="D87" s="185"/>
      <c r="E87" s="185"/>
      <c r="F87" s="185"/>
      <c r="G87" s="169"/>
      <c r="H87" s="451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69"/>
      <c r="R87" s="183"/>
      <c r="S87" s="185" t="e">
        <f>RANK(R87, R$87:R$101)</f>
        <v>#N/A</v>
      </c>
      <c r="T87" s="494" t="e">
        <f>AVERAGE(R87:R101)</f>
        <v>#DIV/0!</v>
      </c>
      <c r="U87" s="169"/>
      <c r="V87" s="169"/>
      <c r="W87" s="183"/>
      <c r="X87" s="185" t="e">
        <f>RANK(W87, W$87:W$101)</f>
        <v>#N/A</v>
      </c>
      <c r="Y87" s="494" t="e">
        <f>AVERAGE(W87:W101)</f>
        <v>#DIV/0!</v>
      </c>
      <c r="Z87" s="169"/>
      <c r="AA87" s="169"/>
      <c r="AB87" s="183"/>
      <c r="AC87" s="185" t="e">
        <f>RANK(AB87, AB$87:AB$101)</f>
        <v>#N/A</v>
      </c>
      <c r="AD87" s="494" t="e">
        <f>AVERAGE(AB87:AB101)</f>
        <v>#DIV/0!</v>
      </c>
      <c r="AE87" s="169"/>
      <c r="AF87" s="169"/>
      <c r="AG87" s="183"/>
      <c r="AH87" s="185" t="e">
        <f>RANK(AG87, AG$87:AG$101)</f>
        <v>#N/A</v>
      </c>
      <c r="AI87" s="494" t="e">
        <f>AVERAGE(AG87:AG101)</f>
        <v>#DIV/0!</v>
      </c>
      <c r="AJ87" s="169"/>
      <c r="AK87" s="169"/>
      <c r="AL87" s="183"/>
      <c r="AM87" s="185" t="e">
        <f>RANK(AL87, AL$87:AL$101)</f>
        <v>#N/A</v>
      </c>
      <c r="AN87" s="494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94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94" t="e">
        <f>AVERAGE(AV87:AV101)</f>
        <v>#DIV/0!</v>
      </c>
    </row>
    <row r="88" spans="2:50">
      <c r="B88" s="471"/>
      <c r="C88" s="185">
        <v>2</v>
      </c>
      <c r="D88" s="185"/>
      <c r="E88" s="185"/>
      <c r="F88" s="185"/>
      <c r="G88" s="169"/>
      <c r="H88" s="452"/>
      <c r="I88" s="169" t="e">
        <f t="shared" ref="I88:I93" si="47">AVERAGE(P88,U88,Z88,AE88,AJ88,AO88,AT88)</f>
        <v>#DIV/0!</v>
      </c>
      <c r="J88" s="169" t="e">
        <f t="shared" ref="J88:J93" si="48">AVERAGE(Q88,V88,AA88,AF88,AK88,AP88,AU88)</f>
        <v>#DIV/0!</v>
      </c>
      <c r="K88" s="183" t="e">
        <f t="shared" ref="K88:K93" si="49">AVERAGE(R88,W88,AB88,AG88,AL88,AQ88,AV88)</f>
        <v>#DIV/0!</v>
      </c>
      <c r="L88" s="452"/>
      <c r="M88" s="184" t="e">
        <f>RANK(K88, K$87:$K$101)</f>
        <v>#DIV/0!</v>
      </c>
      <c r="N88" s="454"/>
      <c r="O88" s="454"/>
      <c r="P88" s="185"/>
      <c r="Q88" s="169"/>
      <c r="R88" s="183"/>
      <c r="S88" s="185" t="e">
        <f t="shared" ref="S88:S101" si="50">RANK(R88, R$87:R$101)</f>
        <v>#N/A</v>
      </c>
      <c r="T88" s="494"/>
      <c r="U88" s="185"/>
      <c r="V88" s="169"/>
      <c r="W88" s="183"/>
      <c r="X88" s="185" t="e">
        <f t="shared" ref="X88:X101" si="51">RANK(W88, W$87:W$101)</f>
        <v>#N/A</v>
      </c>
      <c r="Y88" s="494"/>
      <c r="Z88" s="185"/>
      <c r="AA88" s="169"/>
      <c r="AB88" s="183"/>
      <c r="AC88" s="185" t="e">
        <f t="shared" ref="AC88:AC101" si="52">RANK(AB88, AB$87:AB$101)</f>
        <v>#N/A</v>
      </c>
      <c r="AD88" s="494"/>
      <c r="AE88" s="185"/>
      <c r="AF88" s="169"/>
      <c r="AG88" s="183"/>
      <c r="AH88" s="185" t="e">
        <f t="shared" ref="AH88:AH101" si="53">RANK(AG88, AG$87:AG$101)</f>
        <v>#N/A</v>
      </c>
      <c r="AI88" s="494"/>
      <c r="AJ88" s="185"/>
      <c r="AK88" s="169"/>
      <c r="AL88" s="183"/>
      <c r="AM88" s="185" t="e">
        <f t="shared" ref="AM88:AM101" si="54">RANK(AL88, AL$87:AL$101)</f>
        <v>#N/A</v>
      </c>
      <c r="AN88" s="494"/>
      <c r="AO88" s="185"/>
      <c r="AP88" s="169"/>
      <c r="AQ88" s="183"/>
      <c r="AR88" s="185" t="e">
        <f t="shared" ref="AR88:AR101" si="55">RANK(AQ88, AQ$87:AQ$101)</f>
        <v>#N/A</v>
      </c>
      <c r="AS88" s="494"/>
      <c r="AT88" s="185"/>
      <c r="AU88" s="169"/>
      <c r="AV88" s="183"/>
      <c r="AW88" s="185" t="e">
        <f t="shared" ref="AW88:AW101" si="56">RANK(AV88, AV$87:AV$101)</f>
        <v>#N/A</v>
      </c>
      <c r="AX88" s="494"/>
    </row>
    <row r="89" spans="2:50">
      <c r="B89" s="471"/>
      <c r="C89" s="185">
        <v>3</v>
      </c>
      <c r="D89" s="185"/>
      <c r="E89" s="185"/>
      <c r="F89" s="185"/>
      <c r="G89" s="169"/>
      <c r="H89" s="452"/>
      <c r="I89" s="169" t="e">
        <f t="shared" si="47"/>
        <v>#DIV/0!</v>
      </c>
      <c r="J89" s="169" t="e">
        <f t="shared" si="48"/>
        <v>#DIV/0!</v>
      </c>
      <c r="K89" s="183" t="e">
        <f t="shared" si="49"/>
        <v>#DIV/0!</v>
      </c>
      <c r="L89" s="452"/>
      <c r="M89" s="184" t="e">
        <f>RANK(K89, K$87:$K$101)</f>
        <v>#DIV/0!</v>
      </c>
      <c r="N89" s="454"/>
      <c r="O89" s="454"/>
      <c r="P89" s="185"/>
      <c r="Q89" s="169"/>
      <c r="R89" s="183"/>
      <c r="S89" s="185" t="e">
        <f t="shared" si="50"/>
        <v>#N/A</v>
      </c>
      <c r="T89" s="494"/>
      <c r="U89" s="185"/>
      <c r="V89" s="169"/>
      <c r="W89" s="183"/>
      <c r="X89" s="185" t="e">
        <f t="shared" si="51"/>
        <v>#N/A</v>
      </c>
      <c r="Y89" s="494"/>
      <c r="Z89" s="185"/>
      <c r="AA89" s="169"/>
      <c r="AB89" s="183"/>
      <c r="AC89" s="185" t="e">
        <f t="shared" si="52"/>
        <v>#N/A</v>
      </c>
      <c r="AD89" s="494"/>
      <c r="AE89" s="185"/>
      <c r="AF89" s="169"/>
      <c r="AG89" s="183"/>
      <c r="AH89" s="185" t="e">
        <f t="shared" si="53"/>
        <v>#N/A</v>
      </c>
      <c r="AI89" s="494"/>
      <c r="AJ89" s="185"/>
      <c r="AK89" s="169"/>
      <c r="AL89" s="183"/>
      <c r="AM89" s="185" t="e">
        <f t="shared" si="54"/>
        <v>#N/A</v>
      </c>
      <c r="AN89" s="494"/>
      <c r="AO89" s="185"/>
      <c r="AP89" s="169"/>
      <c r="AQ89" s="183"/>
      <c r="AR89" s="185" t="e">
        <f t="shared" si="55"/>
        <v>#N/A</v>
      </c>
      <c r="AS89" s="494"/>
      <c r="AT89" s="185"/>
      <c r="AU89" s="169"/>
      <c r="AV89" s="183"/>
      <c r="AW89" s="185" t="e">
        <f t="shared" si="56"/>
        <v>#N/A</v>
      </c>
      <c r="AX89" s="494"/>
    </row>
    <row r="90" spans="2:50">
      <c r="B90" s="471"/>
      <c r="C90" s="185">
        <v>4</v>
      </c>
      <c r="D90" s="185"/>
      <c r="E90" s="185"/>
      <c r="F90" s="185"/>
      <c r="G90" s="169"/>
      <c r="H90" s="452"/>
      <c r="I90" s="169" t="e">
        <f t="shared" si="47"/>
        <v>#DIV/0!</v>
      </c>
      <c r="J90" s="169" t="e">
        <f t="shared" si="48"/>
        <v>#DIV/0!</v>
      </c>
      <c r="K90" s="183" t="e">
        <f t="shared" si="49"/>
        <v>#DIV/0!</v>
      </c>
      <c r="L90" s="452"/>
      <c r="M90" s="184" t="e">
        <f>RANK(K90, K$87:$K$101)</f>
        <v>#DIV/0!</v>
      </c>
      <c r="N90" s="454"/>
      <c r="O90" s="454"/>
      <c r="P90" s="185"/>
      <c r="Q90" s="169"/>
      <c r="R90" s="183"/>
      <c r="S90" s="185" t="e">
        <f t="shared" si="50"/>
        <v>#N/A</v>
      </c>
      <c r="T90" s="494"/>
      <c r="U90" s="185"/>
      <c r="V90" s="169"/>
      <c r="W90" s="183"/>
      <c r="X90" s="185" t="e">
        <f t="shared" si="51"/>
        <v>#N/A</v>
      </c>
      <c r="Y90" s="494"/>
      <c r="Z90" s="185"/>
      <c r="AA90" s="169"/>
      <c r="AB90" s="183"/>
      <c r="AC90" s="185" t="e">
        <f t="shared" si="52"/>
        <v>#N/A</v>
      </c>
      <c r="AD90" s="494"/>
      <c r="AE90" s="185"/>
      <c r="AF90" s="169"/>
      <c r="AG90" s="183"/>
      <c r="AH90" s="185" t="e">
        <f t="shared" si="53"/>
        <v>#N/A</v>
      </c>
      <c r="AI90" s="494"/>
      <c r="AJ90" s="185"/>
      <c r="AK90" s="169"/>
      <c r="AL90" s="183"/>
      <c r="AM90" s="185" t="e">
        <f t="shared" si="54"/>
        <v>#N/A</v>
      </c>
      <c r="AN90" s="494"/>
      <c r="AO90" s="185"/>
      <c r="AP90" s="169"/>
      <c r="AQ90" s="183"/>
      <c r="AR90" s="185" t="e">
        <f t="shared" si="55"/>
        <v>#N/A</v>
      </c>
      <c r="AS90" s="494"/>
      <c r="AT90" s="185"/>
      <c r="AU90" s="169"/>
      <c r="AV90" s="183"/>
      <c r="AW90" s="185" t="e">
        <f t="shared" si="56"/>
        <v>#N/A</v>
      </c>
      <c r="AX90" s="494"/>
    </row>
    <row r="91" spans="2:50">
      <c r="B91" s="471"/>
      <c r="C91" s="185">
        <v>5</v>
      </c>
      <c r="D91" s="185"/>
      <c r="E91" s="185"/>
      <c r="F91" s="185"/>
      <c r="G91" s="169"/>
      <c r="H91" s="452"/>
      <c r="I91" s="169" t="e">
        <f t="shared" si="47"/>
        <v>#DIV/0!</v>
      </c>
      <c r="J91" s="169" t="e">
        <f t="shared" si="48"/>
        <v>#DIV/0!</v>
      </c>
      <c r="K91" s="183" t="e">
        <f t="shared" si="49"/>
        <v>#DIV/0!</v>
      </c>
      <c r="L91" s="452"/>
      <c r="M91" s="184" t="e">
        <f>RANK(K91, K$87:$K$101)</f>
        <v>#DIV/0!</v>
      </c>
      <c r="N91" s="454"/>
      <c r="O91" s="454"/>
      <c r="P91" s="185"/>
      <c r="Q91" s="169"/>
      <c r="R91" s="183"/>
      <c r="S91" s="185" t="e">
        <f t="shared" si="50"/>
        <v>#N/A</v>
      </c>
      <c r="T91" s="494"/>
      <c r="U91" s="185"/>
      <c r="V91" s="169"/>
      <c r="W91" s="183"/>
      <c r="X91" s="185" t="e">
        <f t="shared" si="51"/>
        <v>#N/A</v>
      </c>
      <c r="Y91" s="494"/>
      <c r="Z91" s="185"/>
      <c r="AA91" s="169"/>
      <c r="AB91" s="183"/>
      <c r="AC91" s="185" t="e">
        <f t="shared" si="52"/>
        <v>#N/A</v>
      </c>
      <c r="AD91" s="494"/>
      <c r="AE91" s="185"/>
      <c r="AF91" s="169"/>
      <c r="AG91" s="183"/>
      <c r="AH91" s="185" t="e">
        <f t="shared" si="53"/>
        <v>#N/A</v>
      </c>
      <c r="AI91" s="494"/>
      <c r="AJ91" s="185"/>
      <c r="AK91" s="169"/>
      <c r="AL91" s="183"/>
      <c r="AM91" s="185" t="e">
        <f t="shared" si="54"/>
        <v>#N/A</v>
      </c>
      <c r="AN91" s="494"/>
      <c r="AO91" s="185"/>
      <c r="AP91" s="169"/>
      <c r="AQ91" s="183"/>
      <c r="AR91" s="185" t="e">
        <f t="shared" si="55"/>
        <v>#N/A</v>
      </c>
      <c r="AS91" s="494"/>
      <c r="AT91" s="185"/>
      <c r="AU91" s="169"/>
      <c r="AV91" s="183"/>
      <c r="AW91" s="185" t="e">
        <f t="shared" si="56"/>
        <v>#N/A</v>
      </c>
      <c r="AX91" s="494"/>
    </row>
    <row r="92" spans="2:50">
      <c r="B92" s="471"/>
      <c r="C92" s="185">
        <v>6</v>
      </c>
      <c r="D92" s="185"/>
      <c r="E92" s="185"/>
      <c r="F92" s="185"/>
      <c r="G92" s="169"/>
      <c r="H92" s="452"/>
      <c r="I92" s="169" t="e">
        <f t="shared" si="47"/>
        <v>#DIV/0!</v>
      </c>
      <c r="J92" s="169" t="e">
        <f t="shared" si="48"/>
        <v>#DIV/0!</v>
      </c>
      <c r="K92" s="183" t="e">
        <f t="shared" si="49"/>
        <v>#DIV/0!</v>
      </c>
      <c r="L92" s="452"/>
      <c r="M92" s="184" t="e">
        <f>RANK(K92, K$87:$K$101)</f>
        <v>#DIV/0!</v>
      </c>
      <c r="N92" s="454"/>
      <c r="O92" s="454"/>
      <c r="P92" s="185"/>
      <c r="Q92" s="169"/>
      <c r="R92" s="183"/>
      <c r="S92" s="185" t="e">
        <f t="shared" si="50"/>
        <v>#N/A</v>
      </c>
      <c r="T92" s="494"/>
      <c r="U92" s="185"/>
      <c r="V92" s="169"/>
      <c r="W92" s="183"/>
      <c r="X92" s="185" t="e">
        <f t="shared" si="51"/>
        <v>#N/A</v>
      </c>
      <c r="Y92" s="494"/>
      <c r="Z92" s="185"/>
      <c r="AA92" s="169"/>
      <c r="AB92" s="183"/>
      <c r="AC92" s="185" t="e">
        <f t="shared" si="52"/>
        <v>#N/A</v>
      </c>
      <c r="AD92" s="494"/>
      <c r="AE92" s="185"/>
      <c r="AF92" s="169"/>
      <c r="AG92" s="183"/>
      <c r="AH92" s="185" t="e">
        <f t="shared" si="53"/>
        <v>#N/A</v>
      </c>
      <c r="AI92" s="494"/>
      <c r="AJ92" s="185"/>
      <c r="AK92" s="169"/>
      <c r="AL92" s="183"/>
      <c r="AM92" s="185" t="e">
        <f t="shared" si="54"/>
        <v>#N/A</v>
      </c>
      <c r="AN92" s="494"/>
      <c r="AO92" s="185"/>
      <c r="AP92" s="169"/>
      <c r="AQ92" s="183"/>
      <c r="AR92" s="185" t="e">
        <f t="shared" si="55"/>
        <v>#N/A</v>
      </c>
      <c r="AS92" s="494"/>
      <c r="AT92" s="185"/>
      <c r="AU92" s="169"/>
      <c r="AV92" s="183"/>
      <c r="AW92" s="185" t="e">
        <f t="shared" si="56"/>
        <v>#N/A</v>
      </c>
      <c r="AX92" s="494"/>
    </row>
    <row r="93" spans="2:50">
      <c r="B93" s="471"/>
      <c r="C93" s="185">
        <v>7</v>
      </c>
      <c r="D93" s="185"/>
      <c r="E93" s="185"/>
      <c r="F93" s="185"/>
      <c r="G93" s="169"/>
      <c r="H93" s="452"/>
      <c r="I93" s="169" t="e">
        <f t="shared" si="47"/>
        <v>#DIV/0!</v>
      </c>
      <c r="J93" s="169" t="e">
        <f t="shared" si="48"/>
        <v>#DIV/0!</v>
      </c>
      <c r="K93" s="183" t="e">
        <f t="shared" si="49"/>
        <v>#DIV/0!</v>
      </c>
      <c r="L93" s="452"/>
      <c r="M93" s="184" t="e">
        <f>RANK(K93, K$87:$K$101)</f>
        <v>#DIV/0!</v>
      </c>
      <c r="N93" s="454"/>
      <c r="O93" s="454"/>
      <c r="P93" s="185"/>
      <c r="Q93" s="169"/>
      <c r="R93" s="183"/>
      <c r="S93" s="185" t="e">
        <f t="shared" si="50"/>
        <v>#N/A</v>
      </c>
      <c r="T93" s="494"/>
      <c r="U93" s="185"/>
      <c r="V93" s="169"/>
      <c r="W93" s="183"/>
      <c r="X93" s="185" t="e">
        <f t="shared" si="51"/>
        <v>#N/A</v>
      </c>
      <c r="Y93" s="494"/>
      <c r="Z93" s="185"/>
      <c r="AA93" s="169"/>
      <c r="AB93" s="183"/>
      <c r="AC93" s="185" t="e">
        <f t="shared" si="52"/>
        <v>#N/A</v>
      </c>
      <c r="AD93" s="494"/>
      <c r="AE93" s="185"/>
      <c r="AF93" s="169"/>
      <c r="AG93" s="183"/>
      <c r="AH93" s="185" t="e">
        <f t="shared" si="53"/>
        <v>#N/A</v>
      </c>
      <c r="AI93" s="494"/>
      <c r="AJ93" s="185"/>
      <c r="AK93" s="169"/>
      <c r="AL93" s="183"/>
      <c r="AM93" s="185" t="e">
        <f t="shared" si="54"/>
        <v>#N/A</v>
      </c>
      <c r="AN93" s="494"/>
      <c r="AO93" s="185"/>
      <c r="AP93" s="169"/>
      <c r="AQ93" s="183"/>
      <c r="AR93" s="185" t="e">
        <f t="shared" si="55"/>
        <v>#N/A</v>
      </c>
      <c r="AS93" s="494"/>
      <c r="AT93" s="185"/>
      <c r="AU93" s="169"/>
      <c r="AV93" s="183"/>
      <c r="AW93" s="185" t="e">
        <f t="shared" si="56"/>
        <v>#N/A</v>
      </c>
      <c r="AX93" s="494"/>
    </row>
    <row r="94" spans="2:50">
      <c r="B94" s="471"/>
      <c r="C94" s="185">
        <v>8</v>
      </c>
      <c r="D94" s="185"/>
      <c r="E94" s="185"/>
      <c r="F94" s="185"/>
      <c r="G94" s="169"/>
      <c r="H94" s="452"/>
      <c r="I94" s="169" t="e">
        <f t="shared" ref="I94" si="57">AVERAGE(P94,U94,Z94,AE94,AJ94,AO94,AT94)</f>
        <v>#DIV/0!</v>
      </c>
      <c r="J94" s="169" t="e">
        <f t="shared" ref="J94" si="58">AVERAGE(Q94,V94,AA94,AF94,AK94,AP94,AU94)</f>
        <v>#DIV/0!</v>
      </c>
      <c r="K94" s="183" t="e">
        <f t="shared" ref="K94" si="59">AVERAGE(R94,W94,AB94,AG94,AL94,AQ94,AV94)</f>
        <v>#DIV/0!</v>
      </c>
      <c r="L94" s="452"/>
      <c r="M94" s="184" t="e">
        <f>RANK(K94, K$87:$K$101)</f>
        <v>#DIV/0!</v>
      </c>
      <c r="N94" s="454"/>
      <c r="O94" s="454"/>
      <c r="P94" s="185"/>
      <c r="Q94" s="169"/>
      <c r="R94" s="183"/>
      <c r="S94" s="185" t="e">
        <f t="shared" si="50"/>
        <v>#N/A</v>
      </c>
      <c r="T94" s="494"/>
      <c r="U94" s="185"/>
      <c r="V94" s="169"/>
      <c r="W94" s="183"/>
      <c r="X94" s="185" t="e">
        <f t="shared" si="51"/>
        <v>#N/A</v>
      </c>
      <c r="Y94" s="494"/>
      <c r="Z94" s="185"/>
      <c r="AA94" s="169"/>
      <c r="AB94" s="183"/>
      <c r="AC94" s="185" t="e">
        <f t="shared" si="52"/>
        <v>#N/A</v>
      </c>
      <c r="AD94" s="494"/>
      <c r="AE94" s="185"/>
      <c r="AF94" s="169"/>
      <c r="AG94" s="183"/>
      <c r="AH94" s="185" t="e">
        <f t="shared" si="53"/>
        <v>#N/A</v>
      </c>
      <c r="AI94" s="494"/>
      <c r="AJ94" s="185"/>
      <c r="AK94" s="169"/>
      <c r="AL94" s="183"/>
      <c r="AM94" s="185" t="e">
        <f t="shared" si="54"/>
        <v>#N/A</v>
      </c>
      <c r="AN94" s="494"/>
      <c r="AO94" s="185"/>
      <c r="AP94" s="169"/>
      <c r="AQ94" s="183"/>
      <c r="AR94" s="185" t="e">
        <f t="shared" si="55"/>
        <v>#N/A</v>
      </c>
      <c r="AS94" s="494"/>
      <c r="AT94" s="185"/>
      <c r="AU94" s="169"/>
      <c r="AV94" s="183"/>
      <c r="AW94" s="185" t="e">
        <f t="shared" si="56"/>
        <v>#N/A</v>
      </c>
      <c r="AX94" s="494"/>
    </row>
    <row r="95" spans="2:50">
      <c r="B95" s="471"/>
      <c r="C95" s="185">
        <v>9</v>
      </c>
      <c r="D95" s="185"/>
      <c r="E95" s="185"/>
      <c r="F95" s="185"/>
      <c r="G95" s="169"/>
      <c r="H95" s="452"/>
      <c r="I95" s="169"/>
      <c r="J95" s="169"/>
      <c r="K95" s="183"/>
      <c r="L95" s="452"/>
      <c r="M95" s="184" t="e">
        <f>RANK(K95, K$87:$K$101)</f>
        <v>#DIV/0!</v>
      </c>
      <c r="N95" s="454"/>
      <c r="O95" s="454"/>
      <c r="P95" s="185"/>
      <c r="Q95" s="169"/>
      <c r="R95" s="183"/>
      <c r="S95" s="185" t="e">
        <f t="shared" si="50"/>
        <v>#N/A</v>
      </c>
      <c r="T95" s="494"/>
      <c r="U95" s="185"/>
      <c r="V95" s="169"/>
      <c r="W95" s="183"/>
      <c r="X95" s="185" t="e">
        <f t="shared" si="51"/>
        <v>#N/A</v>
      </c>
      <c r="Y95" s="494"/>
      <c r="Z95" s="185"/>
      <c r="AA95" s="169"/>
      <c r="AB95" s="183"/>
      <c r="AC95" s="185" t="e">
        <f t="shared" si="52"/>
        <v>#N/A</v>
      </c>
      <c r="AD95" s="494"/>
      <c r="AE95" s="185"/>
      <c r="AF95" s="169"/>
      <c r="AG95" s="183"/>
      <c r="AH95" s="185" t="e">
        <f t="shared" si="53"/>
        <v>#N/A</v>
      </c>
      <c r="AI95" s="494"/>
      <c r="AJ95" s="185"/>
      <c r="AK95" s="169"/>
      <c r="AL95" s="183"/>
      <c r="AM95" s="185" t="e">
        <f t="shared" si="54"/>
        <v>#N/A</v>
      </c>
      <c r="AN95" s="494"/>
      <c r="AO95" s="185"/>
      <c r="AP95" s="169"/>
      <c r="AQ95" s="183"/>
      <c r="AR95" s="185" t="e">
        <f t="shared" si="55"/>
        <v>#N/A</v>
      </c>
      <c r="AS95" s="494"/>
      <c r="AT95" s="185"/>
      <c r="AU95" s="169"/>
      <c r="AV95" s="183"/>
      <c r="AW95" s="185" t="e">
        <f t="shared" si="56"/>
        <v>#N/A</v>
      </c>
      <c r="AX95" s="494"/>
    </row>
    <row r="96" spans="2:50">
      <c r="B96" s="471"/>
      <c r="C96" s="185">
        <v>10</v>
      </c>
      <c r="D96" s="185"/>
      <c r="E96" s="185"/>
      <c r="F96" s="185"/>
      <c r="G96" s="169"/>
      <c r="H96" s="452"/>
      <c r="I96" s="169"/>
      <c r="J96" s="169"/>
      <c r="K96" s="183"/>
      <c r="L96" s="452"/>
      <c r="M96" s="184" t="e">
        <f>RANK(K96, K$87:$K$101)</f>
        <v>#DIV/0!</v>
      </c>
      <c r="N96" s="454"/>
      <c r="O96" s="454"/>
      <c r="P96" s="185"/>
      <c r="Q96" s="169"/>
      <c r="R96" s="183"/>
      <c r="S96" s="185" t="e">
        <f t="shared" si="50"/>
        <v>#N/A</v>
      </c>
      <c r="T96" s="494"/>
      <c r="U96" s="185"/>
      <c r="V96" s="169"/>
      <c r="W96" s="183"/>
      <c r="X96" s="185" t="e">
        <f t="shared" si="51"/>
        <v>#N/A</v>
      </c>
      <c r="Y96" s="494"/>
      <c r="Z96" s="185"/>
      <c r="AA96" s="169"/>
      <c r="AB96" s="183"/>
      <c r="AC96" s="185" t="e">
        <f t="shared" si="52"/>
        <v>#N/A</v>
      </c>
      <c r="AD96" s="494"/>
      <c r="AE96" s="185"/>
      <c r="AF96" s="169"/>
      <c r="AG96" s="183"/>
      <c r="AH96" s="185" t="e">
        <f t="shared" si="53"/>
        <v>#N/A</v>
      </c>
      <c r="AI96" s="494"/>
      <c r="AJ96" s="185"/>
      <c r="AK96" s="169"/>
      <c r="AL96" s="183"/>
      <c r="AM96" s="185" t="e">
        <f t="shared" si="54"/>
        <v>#N/A</v>
      </c>
      <c r="AN96" s="494"/>
      <c r="AO96" s="185"/>
      <c r="AP96" s="169"/>
      <c r="AQ96" s="183"/>
      <c r="AR96" s="185" t="e">
        <f t="shared" si="55"/>
        <v>#N/A</v>
      </c>
      <c r="AS96" s="494"/>
      <c r="AT96" s="185"/>
      <c r="AU96" s="169"/>
      <c r="AV96" s="183"/>
      <c r="AW96" s="185" t="e">
        <f t="shared" si="56"/>
        <v>#N/A</v>
      </c>
      <c r="AX96" s="494"/>
    </row>
    <row r="97" spans="2:50">
      <c r="B97" s="471"/>
      <c r="C97" s="185">
        <v>11</v>
      </c>
      <c r="D97" s="185"/>
      <c r="E97" s="185"/>
      <c r="F97" s="185"/>
      <c r="G97" s="169"/>
      <c r="H97" s="452"/>
      <c r="I97" s="185"/>
      <c r="J97" s="185"/>
      <c r="K97" s="185"/>
      <c r="L97" s="452"/>
      <c r="M97" s="184" t="e">
        <f>RANK(K97, K$87:$K$101)</f>
        <v>#DIV/0!</v>
      </c>
      <c r="N97" s="454"/>
      <c r="O97" s="454"/>
      <c r="P97" s="185"/>
      <c r="Q97" s="185"/>
      <c r="R97" s="185"/>
      <c r="S97" s="185" t="e">
        <f t="shared" si="50"/>
        <v>#N/A</v>
      </c>
      <c r="T97" s="494"/>
      <c r="U97" s="185"/>
      <c r="V97" s="185"/>
      <c r="W97" s="185"/>
      <c r="X97" s="185" t="e">
        <f t="shared" si="51"/>
        <v>#N/A</v>
      </c>
      <c r="Y97" s="494"/>
      <c r="Z97" s="185"/>
      <c r="AA97" s="185"/>
      <c r="AB97" s="185"/>
      <c r="AC97" s="185" t="e">
        <f t="shared" si="52"/>
        <v>#N/A</v>
      </c>
      <c r="AD97" s="494"/>
      <c r="AE97" s="185"/>
      <c r="AF97" s="185"/>
      <c r="AG97" s="185"/>
      <c r="AH97" s="185" t="e">
        <f t="shared" si="53"/>
        <v>#N/A</v>
      </c>
      <c r="AI97" s="494"/>
      <c r="AJ97" s="185"/>
      <c r="AK97" s="185"/>
      <c r="AL97" s="185"/>
      <c r="AM97" s="185" t="e">
        <f t="shared" si="54"/>
        <v>#N/A</v>
      </c>
      <c r="AN97" s="494"/>
      <c r="AO97" s="185"/>
      <c r="AP97" s="185"/>
      <c r="AQ97" s="185"/>
      <c r="AR97" s="185" t="e">
        <f t="shared" si="55"/>
        <v>#N/A</v>
      </c>
      <c r="AS97" s="494"/>
      <c r="AT97" s="185"/>
      <c r="AU97" s="185"/>
      <c r="AV97" s="185"/>
      <c r="AW97" s="185" t="e">
        <f t="shared" si="56"/>
        <v>#N/A</v>
      </c>
      <c r="AX97" s="494"/>
    </row>
    <row r="98" spans="2:50">
      <c r="B98" s="471"/>
      <c r="C98" s="185">
        <v>12</v>
      </c>
      <c r="D98" s="185"/>
      <c r="E98" s="185"/>
      <c r="F98" s="185"/>
      <c r="G98" s="169"/>
      <c r="H98" s="452"/>
      <c r="I98" s="185"/>
      <c r="J98" s="185"/>
      <c r="K98" s="185"/>
      <c r="L98" s="452"/>
      <c r="M98" s="184" t="e">
        <f>RANK(K98, K$87:$K$101)</f>
        <v>#DIV/0!</v>
      </c>
      <c r="N98" s="454"/>
      <c r="O98" s="454"/>
      <c r="P98" s="185"/>
      <c r="Q98" s="185"/>
      <c r="R98" s="185"/>
      <c r="S98" s="185" t="e">
        <f t="shared" si="50"/>
        <v>#N/A</v>
      </c>
      <c r="T98" s="494"/>
      <c r="U98" s="185"/>
      <c r="V98" s="185"/>
      <c r="W98" s="185"/>
      <c r="X98" s="185" t="e">
        <f t="shared" si="51"/>
        <v>#N/A</v>
      </c>
      <c r="Y98" s="494"/>
      <c r="Z98" s="185"/>
      <c r="AA98" s="185"/>
      <c r="AB98" s="185"/>
      <c r="AC98" s="185" t="e">
        <f t="shared" si="52"/>
        <v>#N/A</v>
      </c>
      <c r="AD98" s="494"/>
      <c r="AE98" s="185"/>
      <c r="AF98" s="185"/>
      <c r="AG98" s="185"/>
      <c r="AH98" s="185" t="e">
        <f t="shared" si="53"/>
        <v>#N/A</v>
      </c>
      <c r="AI98" s="494"/>
      <c r="AJ98" s="185"/>
      <c r="AK98" s="185"/>
      <c r="AL98" s="185"/>
      <c r="AM98" s="185" t="e">
        <f t="shared" si="54"/>
        <v>#N/A</v>
      </c>
      <c r="AN98" s="494"/>
      <c r="AO98" s="185"/>
      <c r="AP98" s="185"/>
      <c r="AQ98" s="185"/>
      <c r="AR98" s="185" t="e">
        <f t="shared" si="55"/>
        <v>#N/A</v>
      </c>
      <c r="AS98" s="494"/>
      <c r="AT98" s="185"/>
      <c r="AU98" s="185"/>
      <c r="AV98" s="185"/>
      <c r="AW98" s="185" t="e">
        <f t="shared" si="56"/>
        <v>#N/A</v>
      </c>
      <c r="AX98" s="494"/>
    </row>
    <row r="99" spans="2:50">
      <c r="B99" s="471"/>
      <c r="C99" s="185">
        <v>13</v>
      </c>
      <c r="D99" s="185"/>
      <c r="E99" s="185"/>
      <c r="F99" s="185"/>
      <c r="G99" s="169"/>
      <c r="H99" s="452"/>
      <c r="I99" s="185"/>
      <c r="J99" s="185"/>
      <c r="K99" s="185"/>
      <c r="L99" s="452"/>
      <c r="M99" s="184" t="e">
        <f>RANK(K99, K$87:$K$101)</f>
        <v>#DIV/0!</v>
      </c>
      <c r="N99" s="454"/>
      <c r="O99" s="454"/>
      <c r="P99" s="185"/>
      <c r="Q99" s="185"/>
      <c r="R99" s="185"/>
      <c r="S99" s="185" t="e">
        <f t="shared" si="50"/>
        <v>#N/A</v>
      </c>
      <c r="T99" s="494"/>
      <c r="U99" s="185"/>
      <c r="V99" s="185"/>
      <c r="W99" s="185"/>
      <c r="X99" s="185" t="e">
        <f t="shared" si="51"/>
        <v>#N/A</v>
      </c>
      <c r="Y99" s="494"/>
      <c r="Z99" s="185"/>
      <c r="AA99" s="185"/>
      <c r="AB99" s="185"/>
      <c r="AC99" s="185" t="e">
        <f t="shared" si="52"/>
        <v>#N/A</v>
      </c>
      <c r="AD99" s="494"/>
      <c r="AE99" s="185"/>
      <c r="AF99" s="185"/>
      <c r="AG99" s="185"/>
      <c r="AH99" s="185" t="e">
        <f t="shared" si="53"/>
        <v>#N/A</v>
      </c>
      <c r="AI99" s="494"/>
      <c r="AJ99" s="185"/>
      <c r="AK99" s="185"/>
      <c r="AL99" s="185"/>
      <c r="AM99" s="185" t="e">
        <f t="shared" si="54"/>
        <v>#N/A</v>
      </c>
      <c r="AN99" s="494"/>
      <c r="AO99" s="185"/>
      <c r="AP99" s="185"/>
      <c r="AQ99" s="185"/>
      <c r="AR99" s="185" t="e">
        <f t="shared" si="55"/>
        <v>#N/A</v>
      </c>
      <c r="AS99" s="494"/>
      <c r="AT99" s="185"/>
      <c r="AU99" s="185"/>
      <c r="AV99" s="185"/>
      <c r="AW99" s="185" t="e">
        <f t="shared" si="56"/>
        <v>#N/A</v>
      </c>
      <c r="AX99" s="494"/>
    </row>
    <row r="100" spans="2:50">
      <c r="B100" s="471"/>
      <c r="C100" s="185">
        <v>14</v>
      </c>
      <c r="D100" s="185"/>
      <c r="E100" s="185"/>
      <c r="F100" s="185"/>
      <c r="G100" s="169"/>
      <c r="H100" s="452"/>
      <c r="I100" s="185"/>
      <c r="J100" s="185"/>
      <c r="K100" s="185"/>
      <c r="L100" s="452"/>
      <c r="M100" s="184" t="e">
        <f>RANK(K100, K$87:$K$101)</f>
        <v>#DIV/0!</v>
      </c>
      <c r="N100" s="454"/>
      <c r="O100" s="454"/>
      <c r="P100" s="185"/>
      <c r="Q100" s="185"/>
      <c r="R100" s="185"/>
      <c r="S100" s="185" t="e">
        <f t="shared" si="50"/>
        <v>#N/A</v>
      </c>
      <c r="T100" s="494"/>
      <c r="U100" s="185"/>
      <c r="V100" s="185"/>
      <c r="W100" s="185"/>
      <c r="X100" s="185" t="e">
        <f t="shared" si="51"/>
        <v>#N/A</v>
      </c>
      <c r="Y100" s="494"/>
      <c r="Z100" s="185"/>
      <c r="AA100" s="185"/>
      <c r="AB100" s="185"/>
      <c r="AC100" s="185" t="e">
        <f t="shared" si="52"/>
        <v>#N/A</v>
      </c>
      <c r="AD100" s="494"/>
      <c r="AE100" s="185"/>
      <c r="AF100" s="185"/>
      <c r="AG100" s="185"/>
      <c r="AH100" s="185" t="e">
        <f t="shared" si="53"/>
        <v>#N/A</v>
      </c>
      <c r="AI100" s="494"/>
      <c r="AJ100" s="185"/>
      <c r="AK100" s="185"/>
      <c r="AL100" s="185"/>
      <c r="AM100" s="185" t="e">
        <f t="shared" si="54"/>
        <v>#N/A</v>
      </c>
      <c r="AN100" s="494"/>
      <c r="AO100" s="185"/>
      <c r="AP100" s="185"/>
      <c r="AQ100" s="185"/>
      <c r="AR100" s="185" t="e">
        <f t="shared" si="55"/>
        <v>#N/A</v>
      </c>
      <c r="AS100" s="494"/>
      <c r="AT100" s="185"/>
      <c r="AU100" s="185"/>
      <c r="AV100" s="185"/>
      <c r="AW100" s="185" t="e">
        <f t="shared" si="56"/>
        <v>#N/A</v>
      </c>
      <c r="AX100" s="494"/>
    </row>
    <row r="101" spans="2:50">
      <c r="B101" s="471"/>
      <c r="C101" s="185">
        <v>15</v>
      </c>
      <c r="D101" s="185"/>
      <c r="E101" s="185"/>
      <c r="F101" s="185"/>
      <c r="G101" s="185"/>
      <c r="H101" s="453"/>
      <c r="I101" s="185"/>
      <c r="J101" s="185"/>
      <c r="K101" s="185"/>
      <c r="L101" s="453"/>
      <c r="M101" s="169" t="e">
        <f>RANK(K101, K$87:$K$101)</f>
        <v>#DIV/0!</v>
      </c>
      <c r="N101" s="454"/>
      <c r="O101" s="454"/>
      <c r="P101" s="185"/>
      <c r="Q101" s="185"/>
      <c r="R101" s="185"/>
      <c r="S101" s="185" t="e">
        <f t="shared" si="50"/>
        <v>#N/A</v>
      </c>
      <c r="T101" s="494"/>
      <c r="U101" s="185"/>
      <c r="V101" s="185"/>
      <c r="W101" s="185"/>
      <c r="X101" s="185" t="e">
        <f t="shared" si="51"/>
        <v>#N/A</v>
      </c>
      <c r="Y101" s="494"/>
      <c r="Z101" s="185"/>
      <c r="AA101" s="185"/>
      <c r="AB101" s="185"/>
      <c r="AC101" s="185" t="e">
        <f t="shared" si="52"/>
        <v>#N/A</v>
      </c>
      <c r="AD101" s="494"/>
      <c r="AE101" s="185"/>
      <c r="AF101" s="185"/>
      <c r="AG101" s="185"/>
      <c r="AH101" s="185" t="e">
        <f t="shared" si="53"/>
        <v>#N/A</v>
      </c>
      <c r="AI101" s="494"/>
      <c r="AJ101" s="185"/>
      <c r="AK101" s="185"/>
      <c r="AL101" s="185"/>
      <c r="AM101" s="185" t="e">
        <f t="shared" si="54"/>
        <v>#N/A</v>
      </c>
      <c r="AN101" s="494"/>
      <c r="AO101" s="185"/>
      <c r="AP101" s="185"/>
      <c r="AQ101" s="185"/>
      <c r="AR101" s="185" t="e">
        <f t="shared" si="55"/>
        <v>#N/A</v>
      </c>
      <c r="AS101" s="494"/>
      <c r="AT101" s="185"/>
      <c r="AU101" s="185"/>
      <c r="AV101" s="185"/>
      <c r="AW101" s="185" t="e">
        <f t="shared" si="56"/>
        <v>#N/A</v>
      </c>
      <c r="AX101" s="494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96" t="s">
        <v>250</v>
      </c>
      <c r="C107" s="185">
        <v>1</v>
      </c>
      <c r="D107" s="185"/>
      <c r="E107" s="185"/>
      <c r="F107" s="185"/>
      <c r="G107" s="185"/>
      <c r="H107" s="451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51" t="str">
        <f>IFERROR(AVERAGE(K107:K121),"-")</f>
        <v>-</v>
      </c>
      <c r="M107" s="184" t="e">
        <f>RANK(K107, K$87:$K$101)</f>
        <v>#DIV/0!</v>
      </c>
      <c r="N107" s="454"/>
      <c r="O107" s="454"/>
      <c r="P107" s="169"/>
      <c r="Q107" s="169"/>
      <c r="R107" s="183"/>
      <c r="S107" s="185" t="e">
        <f>RANK(R107, R$87:R$101)</f>
        <v>#N/A</v>
      </c>
      <c r="T107" s="494" t="e">
        <f>AVERAGE(R107:R121)</f>
        <v>#DIV/0!</v>
      </c>
      <c r="U107" s="169"/>
      <c r="V107" s="169"/>
      <c r="W107" s="183"/>
      <c r="X107" s="185" t="e">
        <f>RANK(W107, W$87:W$101)</f>
        <v>#N/A</v>
      </c>
      <c r="Y107" s="494" t="e">
        <f>AVERAGE(W107:W121)</f>
        <v>#DIV/0!</v>
      </c>
      <c r="Z107" s="169"/>
      <c r="AA107" s="169"/>
      <c r="AB107" s="183"/>
      <c r="AC107" s="185" t="e">
        <f>RANK(AB107, AB$87:AB$101)</f>
        <v>#N/A</v>
      </c>
      <c r="AD107" s="494" t="e">
        <f>AVERAGE(AB107:AB121)</f>
        <v>#DIV/0!</v>
      </c>
      <c r="AE107" s="169"/>
      <c r="AF107" s="169"/>
      <c r="AG107" s="183"/>
      <c r="AH107" s="185" t="e">
        <f>RANK(AG107, AG$87:AG$101)</f>
        <v>#N/A</v>
      </c>
      <c r="AI107" s="494" t="e">
        <f>AVERAGE(AG107:AG121)</f>
        <v>#DIV/0!</v>
      </c>
      <c r="AJ107" s="169"/>
      <c r="AK107" s="169"/>
      <c r="AL107" s="183"/>
      <c r="AM107" s="185" t="e">
        <f>RANK(AL107, AL$87:AL$101)</f>
        <v>#N/A</v>
      </c>
      <c r="AN107" s="494" t="e">
        <f>AVERAGE(AL107:AL121)</f>
        <v>#DIV/0!</v>
      </c>
      <c r="AO107" s="169"/>
      <c r="AP107" s="169"/>
      <c r="AQ107" s="183"/>
      <c r="AR107" s="185" t="e">
        <f>RANK(AQ107, AQ$87:AQ$101)</f>
        <v>#N/A</v>
      </c>
      <c r="AS107" s="494" t="e">
        <f>AVERAGE(AQ107:AQ121)</f>
        <v>#DIV/0!</v>
      </c>
      <c r="AT107" s="169"/>
      <c r="AU107" s="169"/>
      <c r="AV107" s="183"/>
      <c r="AW107" s="185" t="e">
        <f>RANK(AV107, AV$87:AV$101)</f>
        <v>#N/A</v>
      </c>
      <c r="AX107" s="494" t="e">
        <f>AVERAGE(AV107:AV121)</f>
        <v>#DIV/0!</v>
      </c>
    </row>
    <row r="108" spans="2:50">
      <c r="B108" s="471"/>
      <c r="C108" s="185">
        <v>2</v>
      </c>
      <c r="D108" s="185"/>
      <c r="E108" s="185"/>
      <c r="F108" s="185"/>
      <c r="G108" s="185"/>
      <c r="H108" s="452"/>
      <c r="I108" s="169" t="e">
        <f t="shared" ref="I108:I113" si="60">AVERAGE(P108,U108,Z108,AE108,AJ108,AO108,AT108)</f>
        <v>#DIV/0!</v>
      </c>
      <c r="J108" s="169" t="e">
        <f t="shared" ref="J108:J113" si="61">AVERAGE(Q108,V108,AA108,AF108,AK108,AP108,AU108)</f>
        <v>#DIV/0!</v>
      </c>
      <c r="K108" s="183" t="e">
        <f t="shared" ref="K108:K113" si="62">AVERAGE(R108,W108,AB108,AG108,AL108,AQ108,AV108)</f>
        <v>#DIV/0!</v>
      </c>
      <c r="L108" s="452"/>
      <c r="M108" s="184" t="e">
        <f>RANK(K108, K$87:$K$101)</f>
        <v>#DIV/0!</v>
      </c>
      <c r="N108" s="454"/>
      <c r="O108" s="454"/>
      <c r="P108" s="185"/>
      <c r="Q108" s="169"/>
      <c r="R108" s="183"/>
      <c r="S108" s="185" t="e">
        <f t="shared" ref="S108:S121" si="63">RANK(R108, R$87:R$101)</f>
        <v>#N/A</v>
      </c>
      <c r="T108" s="494"/>
      <c r="U108" s="185"/>
      <c r="V108" s="169"/>
      <c r="W108" s="183"/>
      <c r="X108" s="185" t="e">
        <f t="shared" ref="X108:X121" si="64">RANK(W108, W$87:W$101)</f>
        <v>#N/A</v>
      </c>
      <c r="Y108" s="494"/>
      <c r="Z108" s="185"/>
      <c r="AA108" s="169"/>
      <c r="AB108" s="183"/>
      <c r="AC108" s="185" t="e">
        <f t="shared" ref="AC108:AC121" si="65">RANK(AB108, AB$87:AB$101)</f>
        <v>#N/A</v>
      </c>
      <c r="AD108" s="494"/>
      <c r="AE108" s="185"/>
      <c r="AF108" s="169"/>
      <c r="AG108" s="183"/>
      <c r="AH108" s="185" t="e">
        <f t="shared" ref="AH108:AH121" si="66">RANK(AG108, AG$87:AG$101)</f>
        <v>#N/A</v>
      </c>
      <c r="AI108" s="494"/>
      <c r="AJ108" s="185"/>
      <c r="AK108" s="169"/>
      <c r="AL108" s="183"/>
      <c r="AM108" s="185" t="e">
        <f t="shared" ref="AM108:AM121" si="67">RANK(AL108, AL$87:AL$101)</f>
        <v>#N/A</v>
      </c>
      <c r="AN108" s="494"/>
      <c r="AO108" s="185"/>
      <c r="AP108" s="169"/>
      <c r="AQ108" s="183"/>
      <c r="AR108" s="185" t="e">
        <f t="shared" ref="AR108:AR121" si="68">RANK(AQ108, AQ$87:AQ$101)</f>
        <v>#N/A</v>
      </c>
      <c r="AS108" s="494"/>
      <c r="AT108" s="185"/>
      <c r="AU108" s="169"/>
      <c r="AV108" s="183"/>
      <c r="AW108" s="185" t="e">
        <f t="shared" ref="AW108:AW121" si="69">RANK(AV108, AV$87:AV$101)</f>
        <v>#N/A</v>
      </c>
      <c r="AX108" s="494"/>
    </row>
    <row r="109" spans="2:50">
      <c r="B109" s="471"/>
      <c r="C109" s="185">
        <v>3</v>
      </c>
      <c r="D109" s="185"/>
      <c r="E109" s="185"/>
      <c r="F109" s="185"/>
      <c r="G109" s="185"/>
      <c r="H109" s="452"/>
      <c r="I109" s="169" t="e">
        <f t="shared" si="60"/>
        <v>#DIV/0!</v>
      </c>
      <c r="J109" s="169" t="e">
        <f t="shared" si="61"/>
        <v>#DIV/0!</v>
      </c>
      <c r="K109" s="183" t="e">
        <f t="shared" si="62"/>
        <v>#DIV/0!</v>
      </c>
      <c r="L109" s="452"/>
      <c r="M109" s="184" t="e">
        <f>RANK(K109, K$87:$K$101)</f>
        <v>#DIV/0!</v>
      </c>
      <c r="N109" s="454"/>
      <c r="O109" s="454"/>
      <c r="P109" s="185"/>
      <c r="Q109" s="169"/>
      <c r="R109" s="183"/>
      <c r="S109" s="185" t="e">
        <f t="shared" si="63"/>
        <v>#N/A</v>
      </c>
      <c r="T109" s="494"/>
      <c r="U109" s="185"/>
      <c r="V109" s="169"/>
      <c r="W109" s="183"/>
      <c r="X109" s="185" t="e">
        <f t="shared" si="64"/>
        <v>#N/A</v>
      </c>
      <c r="Y109" s="494"/>
      <c r="Z109" s="185"/>
      <c r="AA109" s="169"/>
      <c r="AB109" s="183"/>
      <c r="AC109" s="185" t="e">
        <f t="shared" si="65"/>
        <v>#N/A</v>
      </c>
      <c r="AD109" s="494"/>
      <c r="AE109" s="185"/>
      <c r="AF109" s="169"/>
      <c r="AG109" s="183"/>
      <c r="AH109" s="185" t="e">
        <f t="shared" si="66"/>
        <v>#N/A</v>
      </c>
      <c r="AI109" s="494"/>
      <c r="AJ109" s="185"/>
      <c r="AK109" s="169"/>
      <c r="AL109" s="183"/>
      <c r="AM109" s="185" t="e">
        <f t="shared" si="67"/>
        <v>#N/A</v>
      </c>
      <c r="AN109" s="494"/>
      <c r="AO109" s="185"/>
      <c r="AP109" s="169"/>
      <c r="AQ109" s="183"/>
      <c r="AR109" s="185" t="e">
        <f t="shared" si="68"/>
        <v>#N/A</v>
      </c>
      <c r="AS109" s="494"/>
      <c r="AT109" s="185"/>
      <c r="AU109" s="169"/>
      <c r="AV109" s="183"/>
      <c r="AW109" s="185" t="e">
        <f t="shared" si="69"/>
        <v>#N/A</v>
      </c>
      <c r="AX109" s="494"/>
    </row>
    <row r="110" spans="2:50">
      <c r="B110" s="471"/>
      <c r="C110" s="185">
        <v>4</v>
      </c>
      <c r="D110" s="185"/>
      <c r="E110" s="185"/>
      <c r="F110" s="185"/>
      <c r="G110" s="185"/>
      <c r="H110" s="452"/>
      <c r="I110" s="169" t="e">
        <f t="shared" si="60"/>
        <v>#DIV/0!</v>
      </c>
      <c r="J110" s="169" t="e">
        <f t="shared" si="61"/>
        <v>#DIV/0!</v>
      </c>
      <c r="K110" s="183" t="e">
        <f t="shared" si="62"/>
        <v>#DIV/0!</v>
      </c>
      <c r="L110" s="452"/>
      <c r="M110" s="184" t="e">
        <f>RANK(K110, K$87:$K$101)</f>
        <v>#DIV/0!</v>
      </c>
      <c r="N110" s="454"/>
      <c r="O110" s="454"/>
      <c r="P110" s="185"/>
      <c r="Q110" s="169"/>
      <c r="R110" s="183"/>
      <c r="S110" s="185" t="e">
        <f t="shared" si="63"/>
        <v>#N/A</v>
      </c>
      <c r="T110" s="494"/>
      <c r="U110" s="185"/>
      <c r="V110" s="169"/>
      <c r="W110" s="183"/>
      <c r="X110" s="185" t="e">
        <f t="shared" si="64"/>
        <v>#N/A</v>
      </c>
      <c r="Y110" s="494"/>
      <c r="Z110" s="185"/>
      <c r="AA110" s="169"/>
      <c r="AB110" s="183"/>
      <c r="AC110" s="185" t="e">
        <f t="shared" si="65"/>
        <v>#N/A</v>
      </c>
      <c r="AD110" s="494"/>
      <c r="AE110" s="185"/>
      <c r="AF110" s="169"/>
      <c r="AG110" s="183"/>
      <c r="AH110" s="185" t="e">
        <f t="shared" si="66"/>
        <v>#N/A</v>
      </c>
      <c r="AI110" s="494"/>
      <c r="AJ110" s="185"/>
      <c r="AK110" s="169"/>
      <c r="AL110" s="183"/>
      <c r="AM110" s="185" t="e">
        <f t="shared" si="67"/>
        <v>#N/A</v>
      </c>
      <c r="AN110" s="494"/>
      <c r="AO110" s="185"/>
      <c r="AP110" s="169"/>
      <c r="AQ110" s="183"/>
      <c r="AR110" s="185" t="e">
        <f t="shared" si="68"/>
        <v>#N/A</v>
      </c>
      <c r="AS110" s="494"/>
      <c r="AT110" s="185"/>
      <c r="AU110" s="169"/>
      <c r="AV110" s="183"/>
      <c r="AW110" s="185" t="e">
        <f t="shared" si="69"/>
        <v>#N/A</v>
      </c>
      <c r="AX110" s="494"/>
    </row>
    <row r="111" spans="2:50">
      <c r="B111" s="471"/>
      <c r="C111" s="185">
        <v>5</v>
      </c>
      <c r="D111" s="185"/>
      <c r="E111" s="185"/>
      <c r="F111" s="185"/>
      <c r="G111" s="185"/>
      <c r="H111" s="452"/>
      <c r="I111" s="169" t="e">
        <f t="shared" si="60"/>
        <v>#DIV/0!</v>
      </c>
      <c r="J111" s="169" t="e">
        <f t="shared" si="61"/>
        <v>#DIV/0!</v>
      </c>
      <c r="K111" s="183" t="e">
        <f t="shared" si="62"/>
        <v>#DIV/0!</v>
      </c>
      <c r="L111" s="452"/>
      <c r="M111" s="184" t="e">
        <f>RANK(K111, K$87:$K$101)</f>
        <v>#DIV/0!</v>
      </c>
      <c r="N111" s="454"/>
      <c r="O111" s="454"/>
      <c r="P111" s="185"/>
      <c r="Q111" s="169"/>
      <c r="R111" s="183"/>
      <c r="S111" s="185" t="e">
        <f t="shared" si="63"/>
        <v>#N/A</v>
      </c>
      <c r="T111" s="494"/>
      <c r="U111" s="185"/>
      <c r="V111" s="169"/>
      <c r="W111" s="183"/>
      <c r="X111" s="185" t="e">
        <f t="shared" si="64"/>
        <v>#N/A</v>
      </c>
      <c r="Y111" s="494"/>
      <c r="Z111" s="185"/>
      <c r="AA111" s="169"/>
      <c r="AB111" s="183"/>
      <c r="AC111" s="185" t="e">
        <f t="shared" si="65"/>
        <v>#N/A</v>
      </c>
      <c r="AD111" s="494"/>
      <c r="AE111" s="185"/>
      <c r="AF111" s="169"/>
      <c r="AG111" s="183"/>
      <c r="AH111" s="185" t="e">
        <f t="shared" si="66"/>
        <v>#N/A</v>
      </c>
      <c r="AI111" s="494"/>
      <c r="AJ111" s="185"/>
      <c r="AK111" s="169"/>
      <c r="AL111" s="183"/>
      <c r="AM111" s="185" t="e">
        <f t="shared" si="67"/>
        <v>#N/A</v>
      </c>
      <c r="AN111" s="494"/>
      <c r="AO111" s="185"/>
      <c r="AP111" s="169"/>
      <c r="AQ111" s="183"/>
      <c r="AR111" s="185" t="e">
        <f t="shared" si="68"/>
        <v>#N/A</v>
      </c>
      <c r="AS111" s="494"/>
      <c r="AT111" s="185"/>
      <c r="AU111" s="169"/>
      <c r="AV111" s="183"/>
      <c r="AW111" s="185" t="e">
        <f t="shared" si="69"/>
        <v>#N/A</v>
      </c>
      <c r="AX111" s="494"/>
    </row>
    <row r="112" spans="2:50">
      <c r="B112" s="471"/>
      <c r="C112" s="185">
        <v>6</v>
      </c>
      <c r="D112" s="185"/>
      <c r="E112" s="185"/>
      <c r="F112" s="185"/>
      <c r="G112" s="185"/>
      <c r="H112" s="452"/>
      <c r="I112" s="169" t="e">
        <f t="shared" si="60"/>
        <v>#DIV/0!</v>
      </c>
      <c r="J112" s="169" t="e">
        <f t="shared" si="61"/>
        <v>#DIV/0!</v>
      </c>
      <c r="K112" s="183" t="e">
        <f t="shared" si="62"/>
        <v>#DIV/0!</v>
      </c>
      <c r="L112" s="452"/>
      <c r="M112" s="184" t="e">
        <f>RANK(K112, K$87:$K$101)</f>
        <v>#DIV/0!</v>
      </c>
      <c r="N112" s="454"/>
      <c r="O112" s="454"/>
      <c r="P112" s="185"/>
      <c r="Q112" s="169"/>
      <c r="R112" s="183"/>
      <c r="S112" s="185" t="e">
        <f t="shared" si="63"/>
        <v>#N/A</v>
      </c>
      <c r="T112" s="494"/>
      <c r="U112" s="185"/>
      <c r="V112" s="169"/>
      <c r="W112" s="183"/>
      <c r="X112" s="185" t="e">
        <f t="shared" si="64"/>
        <v>#N/A</v>
      </c>
      <c r="Y112" s="494"/>
      <c r="Z112" s="185"/>
      <c r="AA112" s="169"/>
      <c r="AB112" s="183"/>
      <c r="AC112" s="185" t="e">
        <f t="shared" si="65"/>
        <v>#N/A</v>
      </c>
      <c r="AD112" s="494"/>
      <c r="AE112" s="185"/>
      <c r="AF112" s="169"/>
      <c r="AG112" s="183"/>
      <c r="AH112" s="185" t="e">
        <f t="shared" si="66"/>
        <v>#N/A</v>
      </c>
      <c r="AI112" s="494"/>
      <c r="AJ112" s="185"/>
      <c r="AK112" s="169"/>
      <c r="AL112" s="183"/>
      <c r="AM112" s="185" t="e">
        <f t="shared" si="67"/>
        <v>#N/A</v>
      </c>
      <c r="AN112" s="494"/>
      <c r="AO112" s="185"/>
      <c r="AP112" s="169"/>
      <c r="AQ112" s="183"/>
      <c r="AR112" s="185" t="e">
        <f t="shared" si="68"/>
        <v>#N/A</v>
      </c>
      <c r="AS112" s="494"/>
      <c r="AT112" s="185"/>
      <c r="AU112" s="169"/>
      <c r="AV112" s="183"/>
      <c r="AW112" s="185" t="e">
        <f t="shared" si="69"/>
        <v>#N/A</v>
      </c>
      <c r="AX112" s="494"/>
    </row>
    <row r="113" spans="2:50">
      <c r="B113" s="471"/>
      <c r="C113" s="185">
        <v>7</v>
      </c>
      <c r="D113" s="185"/>
      <c r="E113" s="185"/>
      <c r="F113" s="185"/>
      <c r="G113" s="185"/>
      <c r="H113" s="452"/>
      <c r="I113" s="169" t="e">
        <f t="shared" si="60"/>
        <v>#DIV/0!</v>
      </c>
      <c r="J113" s="169" t="e">
        <f t="shared" si="61"/>
        <v>#DIV/0!</v>
      </c>
      <c r="K113" s="183" t="e">
        <f t="shared" si="62"/>
        <v>#DIV/0!</v>
      </c>
      <c r="L113" s="452"/>
      <c r="M113" s="184" t="e">
        <f>RANK(K113, K$87:$K$101)</f>
        <v>#DIV/0!</v>
      </c>
      <c r="N113" s="454"/>
      <c r="O113" s="454"/>
      <c r="P113" s="185"/>
      <c r="Q113" s="169"/>
      <c r="R113" s="183"/>
      <c r="S113" s="185" t="e">
        <f t="shared" si="63"/>
        <v>#N/A</v>
      </c>
      <c r="T113" s="494"/>
      <c r="U113" s="185"/>
      <c r="V113" s="169"/>
      <c r="W113" s="183"/>
      <c r="X113" s="185" t="e">
        <f t="shared" si="64"/>
        <v>#N/A</v>
      </c>
      <c r="Y113" s="494"/>
      <c r="Z113" s="185"/>
      <c r="AA113" s="169"/>
      <c r="AB113" s="183"/>
      <c r="AC113" s="185" t="e">
        <f t="shared" si="65"/>
        <v>#N/A</v>
      </c>
      <c r="AD113" s="494"/>
      <c r="AE113" s="185"/>
      <c r="AF113" s="169"/>
      <c r="AG113" s="183"/>
      <c r="AH113" s="185" t="e">
        <f t="shared" si="66"/>
        <v>#N/A</v>
      </c>
      <c r="AI113" s="494"/>
      <c r="AJ113" s="185"/>
      <c r="AK113" s="169"/>
      <c r="AL113" s="183"/>
      <c r="AM113" s="185" t="e">
        <f t="shared" si="67"/>
        <v>#N/A</v>
      </c>
      <c r="AN113" s="494"/>
      <c r="AO113" s="185"/>
      <c r="AP113" s="169"/>
      <c r="AQ113" s="183"/>
      <c r="AR113" s="185" t="e">
        <f t="shared" si="68"/>
        <v>#N/A</v>
      </c>
      <c r="AS113" s="494"/>
      <c r="AT113" s="185"/>
      <c r="AU113" s="169"/>
      <c r="AV113" s="183"/>
      <c r="AW113" s="185" t="e">
        <f t="shared" si="69"/>
        <v>#N/A</v>
      </c>
      <c r="AX113" s="494"/>
    </row>
    <row r="114" spans="2:50">
      <c r="B114" s="471"/>
      <c r="C114" s="185">
        <v>8</v>
      </c>
      <c r="D114" s="185"/>
      <c r="E114" s="185"/>
      <c r="F114" s="185"/>
      <c r="G114" s="185"/>
      <c r="H114" s="452"/>
      <c r="I114" s="169"/>
      <c r="J114" s="169"/>
      <c r="K114" s="183"/>
      <c r="L114" s="452"/>
      <c r="M114" s="184" t="e">
        <f>RANK(K114, K$87:$K$101)</f>
        <v>#DIV/0!</v>
      </c>
      <c r="N114" s="454"/>
      <c r="O114" s="454"/>
      <c r="P114" s="185"/>
      <c r="Q114" s="169"/>
      <c r="R114" s="183"/>
      <c r="S114" s="185" t="e">
        <f t="shared" si="63"/>
        <v>#N/A</v>
      </c>
      <c r="T114" s="494"/>
      <c r="U114" s="185"/>
      <c r="V114" s="169"/>
      <c r="W114" s="183"/>
      <c r="X114" s="185" t="e">
        <f t="shared" si="64"/>
        <v>#N/A</v>
      </c>
      <c r="Y114" s="494"/>
      <c r="Z114" s="185"/>
      <c r="AA114" s="169"/>
      <c r="AB114" s="183"/>
      <c r="AC114" s="185" t="e">
        <f t="shared" si="65"/>
        <v>#N/A</v>
      </c>
      <c r="AD114" s="494"/>
      <c r="AE114" s="185"/>
      <c r="AF114" s="169"/>
      <c r="AG114" s="183"/>
      <c r="AH114" s="185" t="e">
        <f t="shared" si="66"/>
        <v>#N/A</v>
      </c>
      <c r="AI114" s="494"/>
      <c r="AJ114" s="185"/>
      <c r="AK114" s="169"/>
      <c r="AL114" s="183"/>
      <c r="AM114" s="185" t="e">
        <f t="shared" si="67"/>
        <v>#N/A</v>
      </c>
      <c r="AN114" s="494"/>
      <c r="AO114" s="185"/>
      <c r="AP114" s="169"/>
      <c r="AQ114" s="183"/>
      <c r="AR114" s="185" t="e">
        <f t="shared" si="68"/>
        <v>#N/A</v>
      </c>
      <c r="AS114" s="494"/>
      <c r="AT114" s="185"/>
      <c r="AU114" s="169"/>
      <c r="AV114" s="183"/>
      <c r="AW114" s="185" t="e">
        <f t="shared" si="69"/>
        <v>#N/A</v>
      </c>
      <c r="AX114" s="494"/>
    </row>
    <row r="115" spans="2:50">
      <c r="B115" s="471"/>
      <c r="C115" s="185">
        <v>9</v>
      </c>
      <c r="D115" s="185"/>
      <c r="E115" s="185"/>
      <c r="F115" s="185"/>
      <c r="G115" s="185"/>
      <c r="H115" s="452"/>
      <c r="I115" s="169"/>
      <c r="J115" s="169"/>
      <c r="K115" s="183"/>
      <c r="L115" s="452"/>
      <c r="M115" s="184" t="e">
        <f>RANK(K115, K$87:$K$101)</f>
        <v>#DIV/0!</v>
      </c>
      <c r="N115" s="454"/>
      <c r="O115" s="454"/>
      <c r="P115" s="185"/>
      <c r="Q115" s="169"/>
      <c r="R115" s="183"/>
      <c r="S115" s="185" t="e">
        <f t="shared" si="63"/>
        <v>#N/A</v>
      </c>
      <c r="T115" s="494"/>
      <c r="U115" s="185"/>
      <c r="V115" s="169"/>
      <c r="W115" s="183"/>
      <c r="X115" s="185" t="e">
        <f t="shared" si="64"/>
        <v>#N/A</v>
      </c>
      <c r="Y115" s="494"/>
      <c r="Z115" s="185"/>
      <c r="AA115" s="169"/>
      <c r="AB115" s="183"/>
      <c r="AC115" s="185" t="e">
        <f t="shared" si="65"/>
        <v>#N/A</v>
      </c>
      <c r="AD115" s="494"/>
      <c r="AE115" s="185"/>
      <c r="AF115" s="169"/>
      <c r="AG115" s="183"/>
      <c r="AH115" s="185" t="e">
        <f t="shared" si="66"/>
        <v>#N/A</v>
      </c>
      <c r="AI115" s="494"/>
      <c r="AJ115" s="185"/>
      <c r="AK115" s="169"/>
      <c r="AL115" s="183"/>
      <c r="AM115" s="185" t="e">
        <f t="shared" si="67"/>
        <v>#N/A</v>
      </c>
      <c r="AN115" s="494"/>
      <c r="AO115" s="185"/>
      <c r="AP115" s="169"/>
      <c r="AQ115" s="183"/>
      <c r="AR115" s="185" t="e">
        <f t="shared" si="68"/>
        <v>#N/A</v>
      </c>
      <c r="AS115" s="494"/>
      <c r="AT115" s="185"/>
      <c r="AU115" s="169"/>
      <c r="AV115" s="183"/>
      <c r="AW115" s="185" t="e">
        <f t="shared" si="69"/>
        <v>#N/A</v>
      </c>
      <c r="AX115" s="494"/>
    </row>
    <row r="116" spans="2:50">
      <c r="B116" s="471"/>
      <c r="C116" s="185">
        <v>10</v>
      </c>
      <c r="D116" s="185"/>
      <c r="E116" s="185"/>
      <c r="F116" s="185"/>
      <c r="G116" s="185"/>
      <c r="H116" s="452"/>
      <c r="I116" s="169"/>
      <c r="J116" s="169"/>
      <c r="K116" s="183"/>
      <c r="L116" s="452"/>
      <c r="M116" s="184" t="e">
        <f>RANK(K116, K$87:$K$101)</f>
        <v>#DIV/0!</v>
      </c>
      <c r="N116" s="454"/>
      <c r="O116" s="454"/>
      <c r="P116" s="185"/>
      <c r="Q116" s="169"/>
      <c r="R116" s="183"/>
      <c r="S116" s="185" t="e">
        <f t="shared" si="63"/>
        <v>#N/A</v>
      </c>
      <c r="T116" s="494"/>
      <c r="U116" s="185"/>
      <c r="V116" s="169"/>
      <c r="W116" s="183"/>
      <c r="X116" s="185" t="e">
        <f t="shared" si="64"/>
        <v>#N/A</v>
      </c>
      <c r="Y116" s="494"/>
      <c r="Z116" s="185"/>
      <c r="AA116" s="169"/>
      <c r="AB116" s="183"/>
      <c r="AC116" s="185" t="e">
        <f t="shared" si="65"/>
        <v>#N/A</v>
      </c>
      <c r="AD116" s="494"/>
      <c r="AE116" s="185"/>
      <c r="AF116" s="169"/>
      <c r="AG116" s="183"/>
      <c r="AH116" s="185" t="e">
        <f t="shared" si="66"/>
        <v>#N/A</v>
      </c>
      <c r="AI116" s="494"/>
      <c r="AJ116" s="185"/>
      <c r="AK116" s="169"/>
      <c r="AL116" s="183"/>
      <c r="AM116" s="185" t="e">
        <f t="shared" si="67"/>
        <v>#N/A</v>
      </c>
      <c r="AN116" s="494"/>
      <c r="AO116" s="185"/>
      <c r="AP116" s="169"/>
      <c r="AQ116" s="183"/>
      <c r="AR116" s="185" t="e">
        <f t="shared" si="68"/>
        <v>#N/A</v>
      </c>
      <c r="AS116" s="494"/>
      <c r="AT116" s="185"/>
      <c r="AU116" s="169"/>
      <c r="AV116" s="183"/>
      <c r="AW116" s="185" t="e">
        <f t="shared" si="69"/>
        <v>#N/A</v>
      </c>
      <c r="AX116" s="494"/>
    </row>
    <row r="117" spans="2:50">
      <c r="B117" s="471"/>
      <c r="C117" s="185">
        <v>11</v>
      </c>
      <c r="D117" s="185"/>
      <c r="E117" s="185"/>
      <c r="F117" s="185"/>
      <c r="G117" s="185"/>
      <c r="H117" s="452"/>
      <c r="I117" s="185"/>
      <c r="J117" s="185"/>
      <c r="K117" s="185"/>
      <c r="L117" s="452"/>
      <c r="M117" s="184" t="e">
        <f>RANK(K117, K$87:$K$101)</f>
        <v>#DIV/0!</v>
      </c>
      <c r="N117" s="454"/>
      <c r="O117" s="454"/>
      <c r="P117" s="185"/>
      <c r="Q117" s="185"/>
      <c r="R117" s="185"/>
      <c r="S117" s="185" t="e">
        <f t="shared" si="63"/>
        <v>#N/A</v>
      </c>
      <c r="T117" s="494"/>
      <c r="U117" s="185"/>
      <c r="V117" s="185"/>
      <c r="W117" s="185"/>
      <c r="X117" s="185" t="e">
        <f t="shared" si="64"/>
        <v>#N/A</v>
      </c>
      <c r="Y117" s="494"/>
      <c r="Z117" s="185"/>
      <c r="AA117" s="185"/>
      <c r="AB117" s="185"/>
      <c r="AC117" s="185" t="e">
        <f t="shared" si="65"/>
        <v>#N/A</v>
      </c>
      <c r="AD117" s="494"/>
      <c r="AE117" s="185"/>
      <c r="AF117" s="185"/>
      <c r="AG117" s="185"/>
      <c r="AH117" s="185" t="e">
        <f t="shared" si="66"/>
        <v>#N/A</v>
      </c>
      <c r="AI117" s="494"/>
      <c r="AJ117" s="185"/>
      <c r="AK117" s="185"/>
      <c r="AL117" s="185"/>
      <c r="AM117" s="185" t="e">
        <f t="shared" si="67"/>
        <v>#N/A</v>
      </c>
      <c r="AN117" s="494"/>
      <c r="AO117" s="185"/>
      <c r="AP117" s="185"/>
      <c r="AQ117" s="185"/>
      <c r="AR117" s="185" t="e">
        <f t="shared" si="68"/>
        <v>#N/A</v>
      </c>
      <c r="AS117" s="494"/>
      <c r="AT117" s="185"/>
      <c r="AU117" s="185"/>
      <c r="AV117" s="185"/>
      <c r="AW117" s="185" t="e">
        <f t="shared" si="69"/>
        <v>#N/A</v>
      </c>
      <c r="AX117" s="494"/>
    </row>
    <row r="118" spans="2:50">
      <c r="B118" s="471"/>
      <c r="C118" s="185">
        <v>12</v>
      </c>
      <c r="D118" s="185"/>
      <c r="E118" s="185"/>
      <c r="F118" s="185"/>
      <c r="G118" s="185"/>
      <c r="H118" s="452"/>
      <c r="I118" s="185"/>
      <c r="J118" s="185"/>
      <c r="K118" s="185"/>
      <c r="L118" s="452"/>
      <c r="M118" s="184" t="e">
        <f>RANK(K118, K$87:$K$101)</f>
        <v>#DIV/0!</v>
      </c>
      <c r="N118" s="454"/>
      <c r="O118" s="454"/>
      <c r="P118" s="185"/>
      <c r="Q118" s="185"/>
      <c r="R118" s="185"/>
      <c r="S118" s="185" t="e">
        <f t="shared" si="63"/>
        <v>#N/A</v>
      </c>
      <c r="T118" s="494"/>
      <c r="U118" s="185"/>
      <c r="V118" s="185"/>
      <c r="W118" s="185"/>
      <c r="X118" s="185" t="e">
        <f t="shared" si="64"/>
        <v>#N/A</v>
      </c>
      <c r="Y118" s="494"/>
      <c r="Z118" s="185"/>
      <c r="AA118" s="185"/>
      <c r="AB118" s="185"/>
      <c r="AC118" s="185" t="e">
        <f t="shared" si="65"/>
        <v>#N/A</v>
      </c>
      <c r="AD118" s="494"/>
      <c r="AE118" s="185"/>
      <c r="AF118" s="185"/>
      <c r="AG118" s="185"/>
      <c r="AH118" s="185" t="e">
        <f t="shared" si="66"/>
        <v>#N/A</v>
      </c>
      <c r="AI118" s="494"/>
      <c r="AJ118" s="185"/>
      <c r="AK118" s="185"/>
      <c r="AL118" s="185"/>
      <c r="AM118" s="185" t="e">
        <f t="shared" si="67"/>
        <v>#N/A</v>
      </c>
      <c r="AN118" s="494"/>
      <c r="AO118" s="185"/>
      <c r="AP118" s="185"/>
      <c r="AQ118" s="185"/>
      <c r="AR118" s="185" t="e">
        <f t="shared" si="68"/>
        <v>#N/A</v>
      </c>
      <c r="AS118" s="494"/>
      <c r="AT118" s="185"/>
      <c r="AU118" s="185"/>
      <c r="AV118" s="185"/>
      <c r="AW118" s="185" t="e">
        <f t="shared" si="69"/>
        <v>#N/A</v>
      </c>
      <c r="AX118" s="494"/>
    </row>
    <row r="119" spans="2:50">
      <c r="B119" s="471"/>
      <c r="C119" s="185">
        <v>13</v>
      </c>
      <c r="D119" s="185"/>
      <c r="E119" s="185"/>
      <c r="F119" s="185"/>
      <c r="G119" s="185"/>
      <c r="H119" s="452"/>
      <c r="I119" s="185"/>
      <c r="J119" s="185"/>
      <c r="K119" s="185"/>
      <c r="L119" s="452"/>
      <c r="M119" s="184" t="e">
        <f>RANK(K119, K$87:$K$101)</f>
        <v>#DIV/0!</v>
      </c>
      <c r="N119" s="454"/>
      <c r="O119" s="454"/>
      <c r="P119" s="185"/>
      <c r="Q119" s="185"/>
      <c r="R119" s="185"/>
      <c r="S119" s="185" t="e">
        <f t="shared" si="63"/>
        <v>#N/A</v>
      </c>
      <c r="T119" s="494"/>
      <c r="U119" s="185"/>
      <c r="V119" s="185"/>
      <c r="W119" s="185"/>
      <c r="X119" s="185" t="e">
        <f t="shared" si="64"/>
        <v>#N/A</v>
      </c>
      <c r="Y119" s="494"/>
      <c r="Z119" s="185"/>
      <c r="AA119" s="185"/>
      <c r="AB119" s="185"/>
      <c r="AC119" s="185" t="e">
        <f t="shared" si="65"/>
        <v>#N/A</v>
      </c>
      <c r="AD119" s="494"/>
      <c r="AE119" s="185"/>
      <c r="AF119" s="185"/>
      <c r="AG119" s="185"/>
      <c r="AH119" s="185" t="e">
        <f t="shared" si="66"/>
        <v>#N/A</v>
      </c>
      <c r="AI119" s="494"/>
      <c r="AJ119" s="185"/>
      <c r="AK119" s="185"/>
      <c r="AL119" s="185"/>
      <c r="AM119" s="185" t="e">
        <f t="shared" si="67"/>
        <v>#N/A</v>
      </c>
      <c r="AN119" s="494"/>
      <c r="AO119" s="185"/>
      <c r="AP119" s="185"/>
      <c r="AQ119" s="185"/>
      <c r="AR119" s="185" t="e">
        <f t="shared" si="68"/>
        <v>#N/A</v>
      </c>
      <c r="AS119" s="494"/>
      <c r="AT119" s="185"/>
      <c r="AU119" s="185"/>
      <c r="AV119" s="185"/>
      <c r="AW119" s="185" t="e">
        <f t="shared" si="69"/>
        <v>#N/A</v>
      </c>
      <c r="AX119" s="494"/>
    </row>
    <row r="120" spans="2:50">
      <c r="B120" s="471"/>
      <c r="C120" s="185">
        <v>14</v>
      </c>
      <c r="D120" s="185"/>
      <c r="E120" s="185"/>
      <c r="F120" s="185"/>
      <c r="G120" s="185"/>
      <c r="H120" s="452"/>
      <c r="I120" s="185"/>
      <c r="J120" s="185"/>
      <c r="K120" s="185"/>
      <c r="L120" s="452"/>
      <c r="M120" s="184" t="e">
        <f>RANK(K120, K$87:$K$101)</f>
        <v>#DIV/0!</v>
      </c>
      <c r="N120" s="454"/>
      <c r="O120" s="454"/>
      <c r="P120" s="185"/>
      <c r="Q120" s="185"/>
      <c r="R120" s="185"/>
      <c r="S120" s="185" t="e">
        <f t="shared" si="63"/>
        <v>#N/A</v>
      </c>
      <c r="T120" s="494"/>
      <c r="U120" s="185"/>
      <c r="V120" s="185"/>
      <c r="W120" s="185"/>
      <c r="X120" s="185" t="e">
        <f t="shared" si="64"/>
        <v>#N/A</v>
      </c>
      <c r="Y120" s="494"/>
      <c r="Z120" s="185"/>
      <c r="AA120" s="185"/>
      <c r="AB120" s="185"/>
      <c r="AC120" s="185" t="e">
        <f t="shared" si="65"/>
        <v>#N/A</v>
      </c>
      <c r="AD120" s="494"/>
      <c r="AE120" s="185"/>
      <c r="AF120" s="185"/>
      <c r="AG120" s="185"/>
      <c r="AH120" s="185" t="e">
        <f t="shared" si="66"/>
        <v>#N/A</v>
      </c>
      <c r="AI120" s="494"/>
      <c r="AJ120" s="185"/>
      <c r="AK120" s="185"/>
      <c r="AL120" s="185"/>
      <c r="AM120" s="185" t="e">
        <f t="shared" si="67"/>
        <v>#N/A</v>
      </c>
      <c r="AN120" s="494"/>
      <c r="AO120" s="185"/>
      <c r="AP120" s="185"/>
      <c r="AQ120" s="185"/>
      <c r="AR120" s="185" t="e">
        <f t="shared" si="68"/>
        <v>#N/A</v>
      </c>
      <c r="AS120" s="494"/>
      <c r="AT120" s="185"/>
      <c r="AU120" s="185"/>
      <c r="AV120" s="185"/>
      <c r="AW120" s="185" t="e">
        <f t="shared" si="69"/>
        <v>#N/A</v>
      </c>
      <c r="AX120" s="494"/>
    </row>
    <row r="121" spans="2:50">
      <c r="B121" s="471"/>
      <c r="C121" s="185">
        <v>15</v>
      </c>
      <c r="D121" s="185"/>
      <c r="E121" s="185"/>
      <c r="F121" s="185"/>
      <c r="G121" s="185"/>
      <c r="H121" s="453"/>
      <c r="I121" s="185"/>
      <c r="J121" s="185"/>
      <c r="K121" s="185"/>
      <c r="L121" s="453"/>
      <c r="M121" s="169" t="e">
        <f>RANK(K121, K$87:$K$101)</f>
        <v>#DIV/0!</v>
      </c>
      <c r="N121" s="454"/>
      <c r="O121" s="454"/>
      <c r="P121" s="185"/>
      <c r="Q121" s="185"/>
      <c r="R121" s="185"/>
      <c r="S121" s="185" t="e">
        <f t="shared" si="63"/>
        <v>#N/A</v>
      </c>
      <c r="T121" s="494"/>
      <c r="U121" s="185"/>
      <c r="V121" s="185"/>
      <c r="W121" s="185"/>
      <c r="X121" s="185" t="e">
        <f t="shared" si="64"/>
        <v>#N/A</v>
      </c>
      <c r="Y121" s="494"/>
      <c r="Z121" s="185"/>
      <c r="AA121" s="185"/>
      <c r="AB121" s="185"/>
      <c r="AC121" s="185" t="e">
        <f t="shared" si="65"/>
        <v>#N/A</v>
      </c>
      <c r="AD121" s="494"/>
      <c r="AE121" s="185"/>
      <c r="AF121" s="185"/>
      <c r="AG121" s="185"/>
      <c r="AH121" s="185" t="e">
        <f t="shared" si="66"/>
        <v>#N/A</v>
      </c>
      <c r="AI121" s="494"/>
      <c r="AJ121" s="185"/>
      <c r="AK121" s="185"/>
      <c r="AL121" s="185"/>
      <c r="AM121" s="185" t="e">
        <f t="shared" si="67"/>
        <v>#N/A</v>
      </c>
      <c r="AN121" s="494"/>
      <c r="AO121" s="185"/>
      <c r="AP121" s="185"/>
      <c r="AQ121" s="185"/>
      <c r="AR121" s="185" t="e">
        <f t="shared" si="68"/>
        <v>#N/A</v>
      </c>
      <c r="AS121" s="494"/>
      <c r="AT121" s="185"/>
      <c r="AU121" s="185"/>
      <c r="AV121" s="185"/>
      <c r="AW121" s="185" t="e">
        <f t="shared" si="69"/>
        <v>#N/A</v>
      </c>
      <c r="AX121" s="494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96" t="s">
        <v>250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K134" si="70">AVERAGEIF($D$7:$D$121,$D128,I$7:I$121)</f>
        <v>#DIV/0!</v>
      </c>
      <c r="J128" s="169" t="e">
        <f t="shared" si="70"/>
        <v>#DIV/0!</v>
      </c>
      <c r="K128" s="169" t="e">
        <f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 t="e">
        <f t="shared" si="70"/>
        <v>#DIV/0!</v>
      </c>
      <c r="J129" s="169" t="e">
        <f t="shared" si="70"/>
        <v>#DIV/0!</v>
      </c>
      <c r="K129" s="169" t="e">
        <f t="shared" si="70"/>
        <v>#DIV/0!</v>
      </c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 t="e">
        <f t="shared" si="70"/>
        <v>#DIV/0!</v>
      </c>
      <c r="J130" s="169" t="e">
        <f t="shared" si="70"/>
        <v>#DIV/0!</v>
      </c>
      <c r="K130" s="169" t="e">
        <f t="shared" si="70"/>
        <v>#DIV/0!</v>
      </c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 t="e">
        <f t="shared" si="70"/>
        <v>#DIV/0!</v>
      </c>
      <c r="J131" s="169" t="e">
        <f t="shared" si="70"/>
        <v>#DIV/0!</v>
      </c>
      <c r="K131" s="169" t="e">
        <f t="shared" si="70"/>
        <v>#DIV/0!</v>
      </c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 t="e">
        <f t="shared" si="70"/>
        <v>#DIV/0!</v>
      </c>
      <c r="J132" s="169" t="e">
        <f t="shared" si="70"/>
        <v>#DIV/0!</v>
      </c>
      <c r="K132" s="169" t="e">
        <f t="shared" si="70"/>
        <v>#DIV/0!</v>
      </c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 t="e">
        <f t="shared" si="70"/>
        <v>#DIV/0!</v>
      </c>
      <c r="J133" s="169" t="e">
        <f t="shared" si="70"/>
        <v>#DIV/0!</v>
      </c>
      <c r="K133" s="169" t="e">
        <f t="shared" si="70"/>
        <v>#DIV/0!</v>
      </c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 t="e">
        <f t="shared" si="70"/>
        <v>#DIV/0!</v>
      </c>
      <c r="J134" s="169" t="e">
        <f t="shared" si="70"/>
        <v>#DIV/0!</v>
      </c>
      <c r="K134" s="169" t="e">
        <f t="shared" si="70"/>
        <v>#DIV/0!</v>
      </c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/>
      <c r="J135" s="169"/>
      <c r="K135" s="169"/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/>
      <c r="J136" s="169"/>
      <c r="K136" s="169"/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/>
      <c r="J137" s="169"/>
      <c r="K137" s="169"/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/>
      <c r="J138" s="169"/>
      <c r="K138" s="169"/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zoomScale="70" zoomScaleNormal="70" workbookViewId="0">
      <pane xSplit="15" topLeftCell="P1" activePane="topRight" state="frozen"/>
      <selection pane="topRight" activeCell="AL33" sqref="AL33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273.59420902756301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96" t="s">
        <v>259</v>
      </c>
      <c r="C7" s="185">
        <v>1</v>
      </c>
      <c r="D7" s="206" t="s">
        <v>260</v>
      </c>
      <c r="E7" s="169">
        <v>4</v>
      </c>
      <c r="F7" s="185">
        <v>2000</v>
      </c>
      <c r="G7" s="183">
        <v>500</v>
      </c>
      <c r="H7" s="451">
        <f>AVERAGE(G7:G21)</f>
        <v>291.16789432789432</v>
      </c>
      <c r="I7" s="169">
        <f>AVERAGE(P7,U7,Z7,AE7,AJ7,AO7,AT7)</f>
        <v>4</v>
      </c>
      <c r="J7" s="169">
        <f>AVERAGE(Q7,V7,AA7,AF7,AK7,AP7,AU7)</f>
        <v>2059.2624470840974</v>
      </c>
      <c r="K7" s="183">
        <f>AVERAGE(R7,W7,AB7,AG7,AL7,AQ7,AV7)</f>
        <v>514.81561177102435</v>
      </c>
      <c r="L7" s="451">
        <f>IFERROR(AVERAGE(K7:K21),"-")</f>
        <v>279.25964861384966</v>
      </c>
      <c r="M7" s="184">
        <f>RANK(K7, $K$7:K$21)</f>
        <v>2</v>
      </c>
      <c r="N7" s="454"/>
      <c r="O7" s="454"/>
      <c r="P7" s="169">
        <v>4</v>
      </c>
      <c r="Q7" s="169">
        <v>2118.0000000000073</v>
      </c>
      <c r="R7" s="169">
        <v>529.50000000000182</v>
      </c>
      <c r="S7" s="185">
        <f>RANK(R7, R$7:R$21)</f>
        <v>2</v>
      </c>
      <c r="T7" s="494">
        <f>AVERAGE(R7:R21)</f>
        <v>283.57522390104077</v>
      </c>
      <c r="U7" s="169">
        <v>4</v>
      </c>
      <c r="V7" s="169">
        <v>2097.1428571428646</v>
      </c>
      <c r="W7" s="169">
        <v>524.28571428571615</v>
      </c>
      <c r="X7" s="185">
        <f>RANK(W7, W$7:W$21)</f>
        <v>1</v>
      </c>
      <c r="Y7" s="494">
        <f>AVERAGE(W7:W21)</f>
        <v>279.19311466919754</v>
      </c>
      <c r="Z7" s="169">
        <v>4</v>
      </c>
      <c r="AA7" s="169">
        <v>2229.4736842105244</v>
      </c>
      <c r="AB7" s="169">
        <v>557.36842105263111</v>
      </c>
      <c r="AC7" s="185">
        <f>RANK(AB7, AB$7:AB$21)</f>
        <v>1</v>
      </c>
      <c r="AD7" s="494">
        <f>AVERAGE(AB7:AB21)</f>
        <v>286.32190177362611</v>
      </c>
      <c r="AE7" s="169">
        <v>4</v>
      </c>
      <c r="AF7" s="169">
        <v>1893.7499999999975</v>
      </c>
      <c r="AG7" s="169">
        <v>473.43749999999937</v>
      </c>
      <c r="AH7" s="185">
        <f>RANK(AG7, AG$7:AG$21)</f>
        <v>2</v>
      </c>
      <c r="AI7" s="494">
        <f>AVERAGE(AG7:AG21)</f>
        <v>272.13816367828508</v>
      </c>
      <c r="AJ7" s="169">
        <v>4</v>
      </c>
      <c r="AK7" s="169">
        <v>1799.9999999999977</v>
      </c>
      <c r="AL7" s="169">
        <v>449.99999999999943</v>
      </c>
      <c r="AM7" s="185">
        <f>RANK(AL7, AL$7:AL$21)</f>
        <v>2</v>
      </c>
      <c r="AN7" s="494">
        <f>AVERAGE(AL7:AL21)</f>
        <v>273.6092129451755</v>
      </c>
      <c r="AO7" s="169">
        <v>4</v>
      </c>
      <c r="AP7" s="169">
        <v>2216.4705882352914</v>
      </c>
      <c r="AQ7" s="169">
        <v>554.11764705882285</v>
      </c>
      <c r="AR7" s="185">
        <f>RANK(AQ7, AQ$7:AQ$21)</f>
        <v>1</v>
      </c>
      <c r="AS7" s="494">
        <f>AVERAGE(AQ7:AQ21)</f>
        <v>280.97607573721473</v>
      </c>
      <c r="AT7" s="169">
        <v>4</v>
      </c>
      <c r="AU7" s="169">
        <v>2059.9999999999986</v>
      </c>
      <c r="AV7" s="169">
        <v>514.99999999999966</v>
      </c>
      <c r="AW7" s="185">
        <f>RANK(AV7, AV$7:AV$21)</f>
        <v>1</v>
      </c>
      <c r="AX7" s="494">
        <f>AVERAGE(AV7:AV21)</f>
        <v>279.00384759240836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206" t="s">
        <v>261</v>
      </c>
      <c r="E8" s="169">
        <v>4</v>
      </c>
      <c r="F8" s="185">
        <v>2000</v>
      </c>
      <c r="G8" s="183">
        <v>500</v>
      </c>
      <c r="H8" s="452"/>
      <c r="I8" s="169">
        <f t="shared" ref="I8:I16" si="0">AVERAGE(P8,U8,Z8,AE8,AJ8,AO8,AT8)</f>
        <v>4</v>
      </c>
      <c r="J8" s="169">
        <f t="shared" ref="J8:J16" si="1">AVERAGE(Q8,V8,AA8,AF8,AK8,AP8,AU8)</f>
        <v>2138.3552903999084</v>
      </c>
      <c r="K8" s="183">
        <f t="shared" ref="K8:K16" si="2">AVERAGE(R8,W8,AB8,AG8,AL8,AQ8,AV8)</f>
        <v>534.58882259997711</v>
      </c>
      <c r="L8" s="452"/>
      <c r="M8" s="184">
        <f>RANK(K8, $K$7:K$21)</f>
        <v>1</v>
      </c>
      <c r="N8" s="454"/>
      <c r="O8" s="454"/>
      <c r="P8" s="169">
        <v>4</v>
      </c>
      <c r="Q8" s="169">
        <v>2212.1739130434707</v>
      </c>
      <c r="R8" s="169">
        <v>553.04347826086769</v>
      </c>
      <c r="S8" s="185">
        <f t="shared" ref="S8:S21" si="3">RANK(R8, R$7:R$21)</f>
        <v>1</v>
      </c>
      <c r="T8" s="494"/>
      <c r="U8" s="169">
        <v>4</v>
      </c>
      <c r="V8" s="169">
        <v>2082.4999999999932</v>
      </c>
      <c r="W8" s="169">
        <v>520.62499999999829</v>
      </c>
      <c r="X8" s="185">
        <f t="shared" ref="X8:X21" si="4">RANK(W8, W$7:W$21)</f>
        <v>2</v>
      </c>
      <c r="Y8" s="494"/>
      <c r="Z8" s="169">
        <v>4</v>
      </c>
      <c r="AA8" s="169">
        <v>2126.0869565217322</v>
      </c>
      <c r="AB8" s="169">
        <v>531.52173913043305</v>
      </c>
      <c r="AC8" s="185">
        <f t="shared" ref="AC8:AC21" si="5">RANK(AB8, AB$7:AB$21)</f>
        <v>2</v>
      </c>
      <c r="AD8" s="494"/>
      <c r="AE8" s="169">
        <v>4</v>
      </c>
      <c r="AF8" s="169">
        <v>2096.8421052631566</v>
      </c>
      <c r="AG8" s="169">
        <v>524.21052631578914</v>
      </c>
      <c r="AH8" s="185">
        <f t="shared" ref="AH8:AH21" si="6">RANK(AG8, AG$7:AG$21)</f>
        <v>1</v>
      </c>
      <c r="AI8" s="494"/>
      <c r="AJ8" s="169">
        <v>4</v>
      </c>
      <c r="AK8" s="169">
        <v>2206.6666666666652</v>
      </c>
      <c r="AL8" s="169">
        <v>551.66666666666629</v>
      </c>
      <c r="AM8" s="185">
        <f t="shared" ref="AM8:AM21" si="7">RANK(AL8, AL$7:AL$21)</f>
        <v>1</v>
      </c>
      <c r="AN8" s="494"/>
      <c r="AO8" s="169">
        <v>4</v>
      </c>
      <c r="AP8" s="169">
        <v>2198.9999999999991</v>
      </c>
      <c r="AQ8" s="169">
        <v>549.74999999999977</v>
      </c>
      <c r="AR8" s="185">
        <f t="shared" ref="AR8:AR21" si="8">RANK(AQ8, AQ$7:AQ$21)</f>
        <v>2</v>
      </c>
      <c r="AS8" s="494"/>
      <c r="AT8" s="169">
        <v>4</v>
      </c>
      <c r="AU8" s="169">
        <v>2045.2173913043407</v>
      </c>
      <c r="AV8" s="169">
        <v>511.30434782608518</v>
      </c>
      <c r="AW8" s="185">
        <f t="shared" ref="AW8:AW21" si="9">RANK(AV8, AV$7:AV$21)</f>
        <v>2</v>
      </c>
      <c r="AX8" s="494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206" t="s">
        <v>262</v>
      </c>
      <c r="E9" s="169">
        <v>12</v>
      </c>
      <c r="F9" s="185">
        <v>2250</v>
      </c>
      <c r="G9" s="183">
        <v>187.5</v>
      </c>
      <c r="H9" s="452"/>
      <c r="I9" s="169">
        <f t="shared" si="0"/>
        <v>12</v>
      </c>
      <c r="J9" s="169">
        <f t="shared" si="1"/>
        <v>2163.6330998189433</v>
      </c>
      <c r="K9" s="183">
        <f t="shared" si="2"/>
        <v>180.30275831824525</v>
      </c>
      <c r="L9" s="452"/>
      <c r="M9" s="184">
        <f>RANK(K9, $K$7:K$21)</f>
        <v>8</v>
      </c>
      <c r="N9" s="454"/>
      <c r="O9" s="454"/>
      <c r="P9" s="169">
        <v>12</v>
      </c>
      <c r="Q9" s="169">
        <v>2177.0149253731342</v>
      </c>
      <c r="R9" s="169">
        <v>181.41791044776119</v>
      </c>
      <c r="S9" s="185">
        <f t="shared" si="3"/>
        <v>8</v>
      </c>
      <c r="T9" s="494"/>
      <c r="U9" s="169">
        <v>12</v>
      </c>
      <c r="V9" s="169">
        <v>2145.8823529411766</v>
      </c>
      <c r="W9" s="169">
        <v>178.82352941176472</v>
      </c>
      <c r="X9" s="185">
        <f t="shared" si="4"/>
        <v>8</v>
      </c>
      <c r="Y9" s="494"/>
      <c r="Z9" s="169">
        <v>12</v>
      </c>
      <c r="AA9" s="169">
        <v>2143.5483870967732</v>
      </c>
      <c r="AB9" s="169">
        <v>178.62903225806443</v>
      </c>
      <c r="AC9" s="185">
        <f t="shared" si="5"/>
        <v>8</v>
      </c>
      <c r="AD9" s="494"/>
      <c r="AE9" s="169">
        <v>12</v>
      </c>
      <c r="AF9" s="169">
        <v>2157.6000000000004</v>
      </c>
      <c r="AG9" s="169">
        <v>179.80000000000004</v>
      </c>
      <c r="AH9" s="185">
        <f t="shared" si="6"/>
        <v>8</v>
      </c>
      <c r="AI9" s="494"/>
      <c r="AJ9" s="169">
        <v>12</v>
      </c>
      <c r="AK9" s="169">
        <v>2132.3076923076937</v>
      </c>
      <c r="AL9" s="169">
        <v>177.69230769230782</v>
      </c>
      <c r="AM9" s="185">
        <f t="shared" si="7"/>
        <v>8</v>
      </c>
      <c r="AN9" s="494"/>
      <c r="AO9" s="169">
        <v>12</v>
      </c>
      <c r="AP9" s="169">
        <v>2197.1428571428569</v>
      </c>
      <c r="AQ9" s="169">
        <v>183.09523809523807</v>
      </c>
      <c r="AR9" s="185">
        <f t="shared" si="8"/>
        <v>8</v>
      </c>
      <c r="AS9" s="494"/>
      <c r="AT9" s="169">
        <v>12</v>
      </c>
      <c r="AU9" s="169">
        <v>2191.9354838709669</v>
      </c>
      <c r="AV9" s="169">
        <v>182.66129032258058</v>
      </c>
      <c r="AW9" s="185">
        <f t="shared" si="9"/>
        <v>8</v>
      </c>
      <c r="AX9" s="494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206" t="s">
        <v>263</v>
      </c>
      <c r="E10" s="169">
        <v>11</v>
      </c>
      <c r="F10" s="185">
        <v>2118</v>
      </c>
      <c r="G10" s="183">
        <v>192.54545454545453</v>
      </c>
      <c r="H10" s="452"/>
      <c r="I10" s="169">
        <f t="shared" si="0"/>
        <v>11</v>
      </c>
      <c r="J10" s="169">
        <f t="shared" si="1"/>
        <v>2079.5306891543573</v>
      </c>
      <c r="K10" s="183">
        <f t="shared" si="2"/>
        <v>189.04824446857791</v>
      </c>
      <c r="L10" s="452"/>
      <c r="M10" s="184">
        <f>RANK(K10, $K$7:K$21)</f>
        <v>7</v>
      </c>
      <c r="N10" s="454"/>
      <c r="O10" s="454"/>
      <c r="P10" s="169">
        <v>11</v>
      </c>
      <c r="Q10" s="169">
        <v>2057.9999999999991</v>
      </c>
      <c r="R10" s="169">
        <v>187.09090909090901</v>
      </c>
      <c r="S10" s="185">
        <f t="shared" si="3"/>
        <v>7</v>
      </c>
      <c r="T10" s="494"/>
      <c r="U10" s="169">
        <v>11</v>
      </c>
      <c r="V10" s="169">
        <v>2035.1515151515141</v>
      </c>
      <c r="W10" s="169">
        <v>185.01377410468311</v>
      </c>
      <c r="X10" s="185">
        <f t="shared" si="4"/>
        <v>7</v>
      </c>
      <c r="Y10" s="494"/>
      <c r="Z10" s="169">
        <v>11</v>
      </c>
      <c r="AA10" s="169">
        <v>2029.7872340425533</v>
      </c>
      <c r="AB10" s="169">
        <v>184.52611218568666</v>
      </c>
      <c r="AC10" s="185">
        <f t="shared" si="5"/>
        <v>7</v>
      </c>
      <c r="AD10" s="494"/>
      <c r="AE10" s="169">
        <v>11</v>
      </c>
      <c r="AF10" s="169">
        <v>2107.297297297298</v>
      </c>
      <c r="AG10" s="169">
        <v>191.57248157248162</v>
      </c>
      <c r="AH10" s="185">
        <f t="shared" si="6"/>
        <v>7</v>
      </c>
      <c r="AI10" s="494"/>
      <c r="AJ10" s="169">
        <v>11</v>
      </c>
      <c r="AK10" s="169">
        <v>2136.0000000000009</v>
      </c>
      <c r="AL10" s="169">
        <v>194.18181818181827</v>
      </c>
      <c r="AM10" s="185">
        <f t="shared" si="7"/>
        <v>7</v>
      </c>
      <c r="AN10" s="494"/>
      <c r="AO10" s="169">
        <v>11</v>
      </c>
      <c r="AP10" s="169">
        <v>2062.7368421052633</v>
      </c>
      <c r="AQ10" s="169">
        <v>187.52153110047848</v>
      </c>
      <c r="AR10" s="185">
        <f t="shared" si="8"/>
        <v>7</v>
      </c>
      <c r="AS10" s="494"/>
      <c r="AT10" s="169">
        <v>11</v>
      </c>
      <c r="AU10" s="169">
        <v>2127.7419354838712</v>
      </c>
      <c r="AV10" s="169">
        <v>193.4310850439883</v>
      </c>
      <c r="AW10" s="185">
        <f t="shared" si="9"/>
        <v>7</v>
      </c>
      <c r="AX10" s="494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206" t="s">
        <v>264</v>
      </c>
      <c r="E11" s="169">
        <v>11</v>
      </c>
      <c r="F11" s="185">
        <v>2250</v>
      </c>
      <c r="G11" s="183">
        <v>204.54545454545453</v>
      </c>
      <c r="H11" s="452"/>
      <c r="I11" s="169">
        <f t="shared" si="0"/>
        <v>11</v>
      </c>
      <c r="J11" s="169">
        <f t="shared" si="1"/>
        <v>2163.5704051741059</v>
      </c>
      <c r="K11" s="183">
        <f t="shared" si="2"/>
        <v>196.68821865219144</v>
      </c>
      <c r="L11" s="452"/>
      <c r="M11" s="184">
        <f>RANK(K11, $K$7:K$21)</f>
        <v>6</v>
      </c>
      <c r="N11" s="454"/>
      <c r="O11" s="454"/>
      <c r="P11" s="169">
        <v>11</v>
      </c>
      <c r="Q11" s="169">
        <v>2166.3829787234044</v>
      </c>
      <c r="R11" s="169">
        <v>196.94390715667313</v>
      </c>
      <c r="S11" s="185">
        <f t="shared" si="3"/>
        <v>6</v>
      </c>
      <c r="T11" s="494"/>
      <c r="U11" s="169">
        <v>11</v>
      </c>
      <c r="V11" s="169">
        <v>2125.6250000000005</v>
      </c>
      <c r="W11" s="169">
        <v>193.2386363636364</v>
      </c>
      <c r="X11" s="185">
        <f t="shared" si="4"/>
        <v>6</v>
      </c>
      <c r="Y11" s="494"/>
      <c r="Z11" s="169">
        <v>11</v>
      </c>
      <c r="AA11" s="169">
        <v>2196.9767441860463</v>
      </c>
      <c r="AB11" s="169">
        <v>199.72515856236785</v>
      </c>
      <c r="AC11" s="185">
        <f t="shared" si="5"/>
        <v>6</v>
      </c>
      <c r="AD11" s="494"/>
      <c r="AE11" s="169">
        <v>11</v>
      </c>
      <c r="AF11" s="169">
        <v>2209.0140845070428</v>
      </c>
      <c r="AG11" s="169">
        <v>200.81946222791296</v>
      </c>
      <c r="AH11" s="185">
        <f t="shared" si="6"/>
        <v>6</v>
      </c>
      <c r="AI11" s="494"/>
      <c r="AJ11" s="169">
        <v>11</v>
      </c>
      <c r="AK11" s="169">
        <v>2171.5068493150688</v>
      </c>
      <c r="AL11" s="169">
        <v>197.40971357409717</v>
      </c>
      <c r="AM11" s="185">
        <f t="shared" si="7"/>
        <v>6</v>
      </c>
      <c r="AN11" s="494"/>
      <c r="AO11" s="169">
        <v>11</v>
      </c>
      <c r="AP11" s="169">
        <v>2129.333333333333</v>
      </c>
      <c r="AQ11" s="169">
        <v>193.57575757575754</v>
      </c>
      <c r="AR11" s="185">
        <f t="shared" si="8"/>
        <v>6</v>
      </c>
      <c r="AS11" s="494"/>
      <c r="AT11" s="169">
        <v>11</v>
      </c>
      <c r="AU11" s="169">
        <v>2146.1538461538462</v>
      </c>
      <c r="AV11" s="169">
        <v>195.10489510489512</v>
      </c>
      <c r="AW11" s="185">
        <f t="shared" si="9"/>
        <v>6</v>
      </c>
      <c r="AX11" s="494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206" t="s">
        <v>265</v>
      </c>
      <c r="E12" s="169">
        <v>13</v>
      </c>
      <c r="F12" s="185">
        <v>2250</v>
      </c>
      <c r="G12" s="183">
        <v>173.07692307692307</v>
      </c>
      <c r="H12" s="452"/>
      <c r="I12" s="169">
        <f t="shared" si="0"/>
        <v>13</v>
      </c>
      <c r="J12" s="169">
        <f t="shared" si="1"/>
        <v>2166.5034183229905</v>
      </c>
      <c r="K12" s="183">
        <f t="shared" si="2"/>
        <v>166.65410910176848</v>
      </c>
      <c r="L12" s="452"/>
      <c r="M12" s="184">
        <f>RANK(K12, $K$7:K$21)</f>
        <v>9</v>
      </c>
      <c r="N12" s="454"/>
      <c r="O12" s="454"/>
      <c r="P12" s="169">
        <v>13</v>
      </c>
      <c r="Q12" s="169">
        <v>2157.391304347826</v>
      </c>
      <c r="R12" s="169">
        <v>165.95317725752508</v>
      </c>
      <c r="S12" s="185">
        <f t="shared" si="3"/>
        <v>9</v>
      </c>
      <c r="T12" s="494"/>
      <c r="U12" s="169">
        <v>13</v>
      </c>
      <c r="V12" s="169">
        <v>2174.666666666667</v>
      </c>
      <c r="W12" s="169">
        <v>167.2820512820513</v>
      </c>
      <c r="X12" s="185">
        <f t="shared" si="4"/>
        <v>9</v>
      </c>
      <c r="Y12" s="494"/>
      <c r="Z12" s="169">
        <v>13</v>
      </c>
      <c r="AA12" s="169">
        <v>2169.9999999999995</v>
      </c>
      <c r="AB12" s="169">
        <v>166.92307692307688</v>
      </c>
      <c r="AC12" s="185">
        <f t="shared" si="5"/>
        <v>9</v>
      </c>
      <c r="AD12" s="494"/>
      <c r="AE12" s="169">
        <v>13</v>
      </c>
      <c r="AF12" s="169">
        <v>2144.9999999999982</v>
      </c>
      <c r="AG12" s="169">
        <v>164.99999999999986</v>
      </c>
      <c r="AH12" s="185">
        <f t="shared" si="6"/>
        <v>9</v>
      </c>
      <c r="AI12" s="494"/>
      <c r="AJ12" s="169">
        <v>13</v>
      </c>
      <c r="AK12" s="169">
        <v>2138.9189189189174</v>
      </c>
      <c r="AL12" s="169">
        <v>164.5322245322244</v>
      </c>
      <c r="AM12" s="185">
        <f t="shared" si="7"/>
        <v>9</v>
      </c>
      <c r="AN12" s="494"/>
      <c r="AO12" s="169">
        <v>13</v>
      </c>
      <c r="AP12" s="169">
        <v>2178.5714285714275</v>
      </c>
      <c r="AQ12" s="169">
        <v>167.58241758241749</v>
      </c>
      <c r="AR12" s="185">
        <f t="shared" si="8"/>
        <v>9</v>
      </c>
      <c r="AS12" s="494"/>
      <c r="AT12" s="169">
        <v>13</v>
      </c>
      <c r="AU12" s="169">
        <v>2200.9756097560971</v>
      </c>
      <c r="AV12" s="169">
        <v>169.3058161350844</v>
      </c>
      <c r="AW12" s="185">
        <f t="shared" si="9"/>
        <v>9</v>
      </c>
      <c r="AX12" s="494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206" t="s">
        <v>266</v>
      </c>
      <c r="E13" s="169">
        <v>9</v>
      </c>
      <c r="F13" s="185">
        <v>2769</v>
      </c>
      <c r="G13" s="183">
        <v>307.66666666666669</v>
      </c>
      <c r="H13" s="452"/>
      <c r="I13" s="169">
        <f t="shared" si="0"/>
        <v>9</v>
      </c>
      <c r="J13" s="169">
        <f t="shared" si="1"/>
        <v>2353.3186710216273</v>
      </c>
      <c r="K13" s="183">
        <f t="shared" si="2"/>
        <v>261.47985233573633</v>
      </c>
      <c r="L13" s="452"/>
      <c r="M13" s="184">
        <f>RANK(K13, $K$7:K$21)</f>
        <v>4</v>
      </c>
      <c r="N13" s="454"/>
      <c r="O13" s="454"/>
      <c r="P13" s="169">
        <v>9</v>
      </c>
      <c r="Q13" s="169">
        <v>2383.1249999999968</v>
      </c>
      <c r="R13" s="169">
        <v>264.79166666666629</v>
      </c>
      <c r="S13" s="185">
        <f t="shared" si="3"/>
        <v>4</v>
      </c>
      <c r="T13" s="494"/>
      <c r="U13" s="169">
        <v>9</v>
      </c>
      <c r="V13" s="169">
        <v>2383.9999999999959</v>
      </c>
      <c r="W13" s="169">
        <v>264.88888888888846</v>
      </c>
      <c r="X13" s="185">
        <f t="shared" si="4"/>
        <v>4</v>
      </c>
      <c r="Y13" s="494"/>
      <c r="Z13" s="169">
        <v>9</v>
      </c>
      <c r="AA13" s="169">
        <v>2373.1034482758573</v>
      </c>
      <c r="AB13" s="169">
        <v>263.67816091953972</v>
      </c>
      <c r="AC13" s="185">
        <f t="shared" si="5"/>
        <v>4</v>
      </c>
      <c r="AD13" s="494"/>
      <c r="AE13" s="169">
        <v>9</v>
      </c>
      <c r="AF13" s="169">
        <v>2317.4999999999927</v>
      </c>
      <c r="AG13" s="169">
        <v>257.4999999999992</v>
      </c>
      <c r="AH13" s="185">
        <f t="shared" si="6"/>
        <v>4</v>
      </c>
      <c r="AI13" s="494"/>
      <c r="AJ13" s="169">
        <v>9</v>
      </c>
      <c r="AK13" s="169">
        <v>2358.2608695652098</v>
      </c>
      <c r="AL13" s="169">
        <v>262.02898550724552</v>
      </c>
      <c r="AM13" s="185">
        <f t="shared" si="7"/>
        <v>4</v>
      </c>
      <c r="AN13" s="494"/>
      <c r="AO13" s="169">
        <v>9</v>
      </c>
      <c r="AP13" s="169">
        <v>2333.7931034482713</v>
      </c>
      <c r="AQ13" s="169">
        <v>259.31034482758571</v>
      </c>
      <c r="AR13" s="185">
        <f t="shared" si="8"/>
        <v>4</v>
      </c>
      <c r="AS13" s="494"/>
      <c r="AT13" s="169">
        <v>9</v>
      </c>
      <c r="AU13" s="169">
        <v>2323.4482758620643</v>
      </c>
      <c r="AV13" s="169">
        <v>258.16091954022937</v>
      </c>
      <c r="AW13" s="185">
        <f t="shared" si="9"/>
        <v>4</v>
      </c>
      <c r="AX13" s="494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206" t="s">
        <v>267</v>
      </c>
      <c r="E14" s="169">
        <v>10</v>
      </c>
      <c r="F14" s="185">
        <v>2769</v>
      </c>
      <c r="G14" s="183">
        <v>276.89999999999998</v>
      </c>
      <c r="H14" s="452"/>
      <c r="I14" s="169">
        <f t="shared" si="0"/>
        <v>10</v>
      </c>
      <c r="J14" s="169">
        <f t="shared" si="1"/>
        <v>2350.9110018987635</v>
      </c>
      <c r="K14" s="183">
        <f t="shared" si="2"/>
        <v>235.09110018987636</v>
      </c>
      <c r="L14" s="452"/>
      <c r="M14" s="184">
        <f>RANK(K14, $K$7:K$21)</f>
        <v>5</v>
      </c>
      <c r="N14" s="454"/>
      <c r="O14" s="454"/>
      <c r="P14" s="169">
        <v>10</v>
      </c>
      <c r="Q14" s="169">
        <v>2363.7362637362635</v>
      </c>
      <c r="R14" s="169">
        <v>236.37362637362634</v>
      </c>
      <c r="S14" s="185">
        <f t="shared" si="3"/>
        <v>5</v>
      </c>
      <c r="T14" s="494"/>
      <c r="U14" s="169">
        <v>10</v>
      </c>
      <c r="V14" s="169">
        <v>2381.590909090909</v>
      </c>
      <c r="W14" s="169">
        <v>238.15909090909091</v>
      </c>
      <c r="X14" s="185">
        <f t="shared" si="4"/>
        <v>5</v>
      </c>
      <c r="Y14" s="494"/>
      <c r="Z14" s="169">
        <v>10</v>
      </c>
      <c r="AA14" s="169">
        <v>2362.9629629629621</v>
      </c>
      <c r="AB14" s="169">
        <v>236.29629629629622</v>
      </c>
      <c r="AC14" s="185">
        <f t="shared" si="5"/>
        <v>5</v>
      </c>
      <c r="AD14" s="494"/>
      <c r="AE14" s="169">
        <v>10</v>
      </c>
      <c r="AF14" s="169">
        <v>2320.0000000000023</v>
      </c>
      <c r="AG14" s="169">
        <v>232.00000000000023</v>
      </c>
      <c r="AH14" s="185">
        <f t="shared" si="6"/>
        <v>5</v>
      </c>
      <c r="AI14" s="494"/>
      <c r="AJ14" s="169">
        <v>10</v>
      </c>
      <c r="AK14" s="169">
        <v>2370.5660377358504</v>
      </c>
      <c r="AL14" s="169">
        <v>237.05660377358504</v>
      </c>
      <c r="AM14" s="185">
        <f t="shared" si="7"/>
        <v>5</v>
      </c>
      <c r="AN14" s="494"/>
      <c r="AO14" s="169">
        <v>10</v>
      </c>
      <c r="AP14" s="169">
        <v>2325.5696202531631</v>
      </c>
      <c r="AQ14" s="169">
        <v>232.5569620253163</v>
      </c>
      <c r="AR14" s="185">
        <f t="shared" si="8"/>
        <v>5</v>
      </c>
      <c r="AS14" s="494"/>
      <c r="AT14" s="169">
        <v>10</v>
      </c>
      <c r="AU14" s="169">
        <v>2331.9512195121943</v>
      </c>
      <c r="AV14" s="169">
        <v>233.19512195121942</v>
      </c>
      <c r="AW14" s="185">
        <f t="shared" si="9"/>
        <v>5</v>
      </c>
      <c r="AX14" s="494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206" t="s">
        <v>268</v>
      </c>
      <c r="E15" s="169">
        <v>18</v>
      </c>
      <c r="F15" s="185">
        <v>1250</v>
      </c>
      <c r="G15" s="183">
        <v>69.444444444444443</v>
      </c>
      <c r="H15" s="452"/>
      <c r="I15" s="169">
        <f t="shared" si="0"/>
        <v>18</v>
      </c>
      <c r="J15" s="169">
        <f t="shared" si="1"/>
        <v>1232.508278178213</v>
      </c>
      <c r="K15" s="183">
        <f t="shared" si="2"/>
        <v>68.472682121011829</v>
      </c>
      <c r="L15" s="452"/>
      <c r="M15" s="184">
        <f>RANK(K15, $K$7:K$21)</f>
        <v>10</v>
      </c>
      <c r="N15" s="454"/>
      <c r="O15" s="454"/>
      <c r="P15" s="169">
        <v>18</v>
      </c>
      <c r="Q15" s="169">
        <v>1246.9306930693069</v>
      </c>
      <c r="R15" s="169">
        <v>69.273927392739267</v>
      </c>
      <c r="S15" s="185">
        <f t="shared" si="3"/>
        <v>10</v>
      </c>
      <c r="T15" s="494"/>
      <c r="U15" s="169">
        <v>18</v>
      </c>
      <c r="V15" s="169">
        <v>1228.5148514851485</v>
      </c>
      <c r="W15" s="169">
        <v>68.250825082508243</v>
      </c>
      <c r="X15" s="185">
        <f t="shared" si="4"/>
        <v>10</v>
      </c>
      <c r="Y15" s="494"/>
      <c r="Z15" s="169">
        <v>18</v>
      </c>
      <c r="AA15" s="169">
        <v>1215.9183673469386</v>
      </c>
      <c r="AB15" s="169">
        <v>67.551020408163254</v>
      </c>
      <c r="AC15" s="185">
        <f t="shared" si="5"/>
        <v>10</v>
      </c>
      <c r="AD15" s="494"/>
      <c r="AE15" s="169">
        <v>18</v>
      </c>
      <c r="AF15" s="169">
        <v>1236.75</v>
      </c>
      <c r="AG15" s="169">
        <v>68.708333333333329</v>
      </c>
      <c r="AH15" s="185">
        <f t="shared" si="6"/>
        <v>10</v>
      </c>
      <c r="AI15" s="494"/>
      <c r="AJ15" s="169">
        <v>18</v>
      </c>
      <c r="AK15" s="169">
        <v>1251.4285714285716</v>
      </c>
      <c r="AL15" s="169">
        <v>69.523809523809533</v>
      </c>
      <c r="AM15" s="185">
        <f t="shared" si="7"/>
        <v>10</v>
      </c>
      <c r="AN15" s="494"/>
      <c r="AO15" s="169">
        <v>18</v>
      </c>
      <c r="AP15" s="169">
        <v>1210.5154639175255</v>
      </c>
      <c r="AQ15" s="169">
        <v>67.250859106529191</v>
      </c>
      <c r="AR15" s="185">
        <f t="shared" si="8"/>
        <v>10</v>
      </c>
      <c r="AS15" s="494"/>
      <c r="AT15" s="169">
        <v>18</v>
      </c>
      <c r="AU15" s="169">
        <v>1237.4999999999998</v>
      </c>
      <c r="AV15" s="169">
        <v>68.749999999999986</v>
      </c>
      <c r="AW15" s="185">
        <f t="shared" si="9"/>
        <v>10</v>
      </c>
      <c r="AX15" s="494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206" t="s">
        <v>269</v>
      </c>
      <c r="E16" s="169">
        <v>4</v>
      </c>
      <c r="F16" s="185">
        <v>2000</v>
      </c>
      <c r="G16" s="183">
        <v>500</v>
      </c>
      <c r="H16" s="452"/>
      <c r="I16" s="169">
        <f t="shared" si="0"/>
        <v>4</v>
      </c>
      <c r="J16" s="169">
        <f t="shared" si="1"/>
        <v>1781.8203463203524</v>
      </c>
      <c r="K16" s="183">
        <f t="shared" si="2"/>
        <v>445.45508658008811</v>
      </c>
      <c r="L16" s="452"/>
      <c r="M16" s="184">
        <f>RANK(K16, $K$7:K$21)</f>
        <v>3</v>
      </c>
      <c r="N16" s="454"/>
      <c r="O16" s="454"/>
      <c r="P16" s="169">
        <v>4</v>
      </c>
      <c r="Q16" s="169">
        <v>1805.4545454545519</v>
      </c>
      <c r="R16" s="169">
        <v>451.36363636363797</v>
      </c>
      <c r="S16" s="185">
        <f t="shared" si="3"/>
        <v>3</v>
      </c>
      <c r="T16" s="494"/>
      <c r="U16" s="169">
        <v>4</v>
      </c>
      <c r="V16" s="169">
        <v>1805.4545454545519</v>
      </c>
      <c r="W16" s="169">
        <v>451.36363636363797</v>
      </c>
      <c r="X16" s="185">
        <f t="shared" si="4"/>
        <v>3</v>
      </c>
      <c r="Y16" s="494"/>
      <c r="Z16" s="169">
        <v>4</v>
      </c>
      <c r="AA16" s="169">
        <v>1908.0000000000068</v>
      </c>
      <c r="AB16" s="169">
        <v>477.00000000000171</v>
      </c>
      <c r="AC16" s="185">
        <f t="shared" si="5"/>
        <v>3</v>
      </c>
      <c r="AD16" s="494"/>
      <c r="AE16" s="169">
        <v>4</v>
      </c>
      <c r="AF16" s="169">
        <v>1713.3333333333394</v>
      </c>
      <c r="AG16" s="169">
        <v>428.33333333333485</v>
      </c>
      <c r="AH16" s="185">
        <f t="shared" si="6"/>
        <v>3</v>
      </c>
      <c r="AI16" s="494"/>
      <c r="AJ16" s="169">
        <v>4</v>
      </c>
      <c r="AK16" s="169">
        <v>1728.0000000000061</v>
      </c>
      <c r="AL16" s="169">
        <v>432.00000000000153</v>
      </c>
      <c r="AM16" s="185">
        <f t="shared" si="7"/>
        <v>3</v>
      </c>
      <c r="AN16" s="494"/>
      <c r="AO16" s="169">
        <v>4</v>
      </c>
      <c r="AP16" s="169">
        <v>1660.0000000000059</v>
      </c>
      <c r="AQ16" s="169">
        <v>415.00000000000148</v>
      </c>
      <c r="AR16" s="185">
        <f t="shared" si="8"/>
        <v>3</v>
      </c>
      <c r="AS16" s="494"/>
      <c r="AT16" s="169">
        <v>4</v>
      </c>
      <c r="AU16" s="169">
        <v>1852.5000000000066</v>
      </c>
      <c r="AV16" s="169">
        <v>463.12500000000165</v>
      </c>
      <c r="AW16" s="185">
        <f t="shared" si="9"/>
        <v>3</v>
      </c>
      <c r="AX16" s="494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206"/>
      <c r="E17" s="169"/>
      <c r="F17" s="185"/>
      <c r="G17" s="183"/>
      <c r="H17" s="452"/>
      <c r="I17" s="169"/>
      <c r="J17" s="169"/>
      <c r="K17" s="183"/>
      <c r="L17" s="452"/>
      <c r="M17" s="184" t="e">
        <f>RANK(K17, $K$7:K$21)</f>
        <v>#N/A</v>
      </c>
      <c r="N17" s="454"/>
      <c r="O17" s="454"/>
      <c r="P17" s="169"/>
      <c r="Q17" s="169"/>
      <c r="R17" s="169"/>
      <c r="S17" s="185" t="e">
        <f t="shared" si="3"/>
        <v>#N/A</v>
      </c>
      <c r="T17" s="494"/>
      <c r="U17" s="169" t="s">
        <v>270</v>
      </c>
      <c r="V17" s="169" t="s">
        <v>270</v>
      </c>
      <c r="W17" s="169" t="s">
        <v>270</v>
      </c>
      <c r="X17" s="185" t="e">
        <f t="shared" si="4"/>
        <v>#VALUE!</v>
      </c>
      <c r="Y17" s="494"/>
      <c r="Z17" s="169" t="s">
        <v>270</v>
      </c>
      <c r="AA17" s="169" t="s">
        <v>270</v>
      </c>
      <c r="AB17" s="169" t="s">
        <v>270</v>
      </c>
      <c r="AC17" s="185" t="e">
        <f t="shared" si="5"/>
        <v>#VALUE!</v>
      </c>
      <c r="AD17" s="494"/>
      <c r="AE17" s="169" t="s">
        <v>270</v>
      </c>
      <c r="AF17" s="169" t="s">
        <v>270</v>
      </c>
      <c r="AG17" s="169" t="s">
        <v>270</v>
      </c>
      <c r="AH17" s="185" t="e">
        <f t="shared" si="6"/>
        <v>#VALUE!</v>
      </c>
      <c r="AI17" s="494"/>
      <c r="AJ17" s="169" t="s">
        <v>270</v>
      </c>
      <c r="AK17" s="169" t="s">
        <v>270</v>
      </c>
      <c r="AL17" s="169" t="s">
        <v>270</v>
      </c>
      <c r="AM17" s="185" t="e">
        <f t="shared" si="7"/>
        <v>#VALUE!</v>
      </c>
      <c r="AN17" s="494"/>
      <c r="AO17" s="169" t="s">
        <v>270</v>
      </c>
      <c r="AP17" s="169" t="s">
        <v>270</v>
      </c>
      <c r="AQ17" s="169" t="s">
        <v>270</v>
      </c>
      <c r="AR17" s="185" t="e">
        <f t="shared" si="8"/>
        <v>#VALUE!</v>
      </c>
      <c r="AS17" s="494"/>
      <c r="AT17" s="169" t="s">
        <v>270</v>
      </c>
      <c r="AU17" s="169" t="s">
        <v>270</v>
      </c>
      <c r="AV17" s="169" t="s">
        <v>270</v>
      </c>
      <c r="AW17" s="185" t="e">
        <f t="shared" si="9"/>
        <v>#VALUE!</v>
      </c>
      <c r="AX17" s="494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206"/>
      <c r="E18" s="169"/>
      <c r="F18" s="185"/>
      <c r="G18" s="183"/>
      <c r="H18" s="452"/>
      <c r="I18" s="185"/>
      <c r="J18" s="185"/>
      <c r="K18" s="185"/>
      <c r="L18" s="452"/>
      <c r="M18" s="184" t="e">
        <f>RANK(K18, $K$7:K$21)</f>
        <v>#N/A</v>
      </c>
      <c r="N18" s="454"/>
      <c r="O18" s="454"/>
      <c r="P18" s="169"/>
      <c r="Q18" s="169"/>
      <c r="R18" s="169"/>
      <c r="S18" s="185" t="e">
        <f t="shared" si="3"/>
        <v>#N/A</v>
      </c>
      <c r="T18" s="494"/>
      <c r="U18" s="169"/>
      <c r="V18" s="169"/>
      <c r="W18" s="169"/>
      <c r="X18" s="185" t="e">
        <f t="shared" si="4"/>
        <v>#N/A</v>
      </c>
      <c r="Y18" s="494"/>
      <c r="Z18" s="169"/>
      <c r="AA18" s="169"/>
      <c r="AB18" s="169"/>
      <c r="AC18" s="185" t="e">
        <f t="shared" si="5"/>
        <v>#N/A</v>
      </c>
      <c r="AD18" s="494"/>
      <c r="AE18" s="169"/>
      <c r="AF18" s="169"/>
      <c r="AG18" s="169"/>
      <c r="AH18" s="185" t="e">
        <f t="shared" si="6"/>
        <v>#N/A</v>
      </c>
      <c r="AI18" s="494"/>
      <c r="AJ18" s="169"/>
      <c r="AK18" s="169"/>
      <c r="AL18" s="169"/>
      <c r="AM18" s="185" t="e">
        <f t="shared" si="7"/>
        <v>#N/A</v>
      </c>
      <c r="AN18" s="494"/>
      <c r="AO18" s="169"/>
      <c r="AP18" s="169"/>
      <c r="AQ18" s="169"/>
      <c r="AR18" s="185" t="e">
        <f t="shared" si="8"/>
        <v>#N/A</v>
      </c>
      <c r="AS18" s="494"/>
      <c r="AT18" s="169"/>
      <c r="AU18" s="169"/>
      <c r="AV18" s="169"/>
      <c r="AW18" s="185" t="e">
        <f t="shared" si="9"/>
        <v>#N/A</v>
      </c>
      <c r="AX18" s="494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206"/>
      <c r="E19" s="169"/>
      <c r="F19" s="185"/>
      <c r="G19" s="183"/>
      <c r="H19" s="452"/>
      <c r="I19" s="185"/>
      <c r="J19" s="185"/>
      <c r="K19" s="185"/>
      <c r="L19" s="452"/>
      <c r="M19" s="184" t="e">
        <f>RANK(K19, $K$7:K$21)</f>
        <v>#N/A</v>
      </c>
      <c r="N19" s="454"/>
      <c r="O19" s="454"/>
      <c r="P19" s="169"/>
      <c r="Q19" s="169"/>
      <c r="R19" s="169"/>
      <c r="S19" s="185" t="e">
        <f t="shared" si="3"/>
        <v>#N/A</v>
      </c>
      <c r="T19" s="494"/>
      <c r="U19" s="169"/>
      <c r="V19" s="169"/>
      <c r="W19" s="169"/>
      <c r="X19" s="185" t="e">
        <f t="shared" si="4"/>
        <v>#N/A</v>
      </c>
      <c r="Y19" s="494"/>
      <c r="Z19" s="169"/>
      <c r="AA19" s="169"/>
      <c r="AB19" s="169"/>
      <c r="AC19" s="185" t="e">
        <f t="shared" si="5"/>
        <v>#N/A</v>
      </c>
      <c r="AD19" s="494"/>
      <c r="AE19" s="169"/>
      <c r="AF19" s="169"/>
      <c r="AG19" s="169"/>
      <c r="AH19" s="185" t="e">
        <f t="shared" si="6"/>
        <v>#N/A</v>
      </c>
      <c r="AI19" s="494"/>
      <c r="AJ19" s="169"/>
      <c r="AK19" s="169"/>
      <c r="AL19" s="169"/>
      <c r="AM19" s="185" t="e">
        <f t="shared" si="7"/>
        <v>#N/A</v>
      </c>
      <c r="AN19" s="494"/>
      <c r="AO19" s="169"/>
      <c r="AP19" s="169"/>
      <c r="AQ19" s="169"/>
      <c r="AR19" s="185" t="e">
        <f t="shared" si="8"/>
        <v>#N/A</v>
      </c>
      <c r="AS19" s="494"/>
      <c r="AT19" s="169"/>
      <c r="AU19" s="169"/>
      <c r="AV19" s="169"/>
      <c r="AW19" s="185" t="e">
        <f t="shared" si="9"/>
        <v>#N/A</v>
      </c>
      <c r="AX19" s="494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206"/>
      <c r="E20" s="169"/>
      <c r="F20" s="185"/>
      <c r="G20" s="183"/>
      <c r="H20" s="452"/>
      <c r="I20" s="185"/>
      <c r="J20" s="185"/>
      <c r="K20" s="185"/>
      <c r="L20" s="452"/>
      <c r="M20" s="184" t="e">
        <f>RANK(K20, $K$7:K$21)</f>
        <v>#N/A</v>
      </c>
      <c r="N20" s="454"/>
      <c r="O20" s="454"/>
      <c r="P20" s="169"/>
      <c r="Q20" s="169"/>
      <c r="R20" s="169"/>
      <c r="S20" s="185" t="e">
        <f t="shared" si="3"/>
        <v>#N/A</v>
      </c>
      <c r="T20" s="494"/>
      <c r="U20" s="169"/>
      <c r="V20" s="169"/>
      <c r="W20" s="169"/>
      <c r="X20" s="185" t="e">
        <f t="shared" si="4"/>
        <v>#N/A</v>
      </c>
      <c r="Y20" s="494"/>
      <c r="Z20" s="169"/>
      <c r="AA20" s="169"/>
      <c r="AB20" s="169"/>
      <c r="AC20" s="185" t="e">
        <f t="shared" si="5"/>
        <v>#N/A</v>
      </c>
      <c r="AD20" s="494"/>
      <c r="AE20" s="169"/>
      <c r="AF20" s="169"/>
      <c r="AG20" s="169"/>
      <c r="AH20" s="185" t="e">
        <f t="shared" si="6"/>
        <v>#N/A</v>
      </c>
      <c r="AI20" s="494"/>
      <c r="AJ20" s="169"/>
      <c r="AK20" s="169"/>
      <c r="AL20" s="169"/>
      <c r="AM20" s="185" t="e">
        <f t="shared" si="7"/>
        <v>#N/A</v>
      </c>
      <c r="AN20" s="494"/>
      <c r="AO20" s="169"/>
      <c r="AP20" s="169"/>
      <c r="AQ20" s="169"/>
      <c r="AR20" s="185" t="e">
        <f t="shared" si="8"/>
        <v>#N/A</v>
      </c>
      <c r="AS20" s="494"/>
      <c r="AT20" s="169"/>
      <c r="AU20" s="169"/>
      <c r="AV20" s="169"/>
      <c r="AW20" s="185" t="e">
        <f t="shared" si="9"/>
        <v>#N/A</v>
      </c>
      <c r="AX20" s="494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206"/>
      <c r="E21" s="169"/>
      <c r="F21" s="185"/>
      <c r="G21" s="183"/>
      <c r="H21" s="453"/>
      <c r="I21" s="185"/>
      <c r="J21" s="185"/>
      <c r="K21" s="185"/>
      <c r="L21" s="453"/>
      <c r="M21" s="169" t="e">
        <f>RANK(K21, $K$7:K$21)</f>
        <v>#N/A</v>
      </c>
      <c r="N21" s="454"/>
      <c r="O21" s="454"/>
      <c r="P21" s="169"/>
      <c r="Q21" s="169"/>
      <c r="R21" s="169"/>
      <c r="S21" s="185" t="e">
        <f t="shared" si="3"/>
        <v>#N/A</v>
      </c>
      <c r="T21" s="494"/>
      <c r="U21" s="169"/>
      <c r="V21" s="169"/>
      <c r="W21" s="169"/>
      <c r="X21" s="185" t="e">
        <f t="shared" si="4"/>
        <v>#N/A</v>
      </c>
      <c r="Y21" s="494"/>
      <c r="Z21" s="169"/>
      <c r="AA21" s="169"/>
      <c r="AB21" s="169"/>
      <c r="AC21" s="185" t="e">
        <f t="shared" si="5"/>
        <v>#N/A</v>
      </c>
      <c r="AD21" s="494"/>
      <c r="AE21" s="169"/>
      <c r="AF21" s="169"/>
      <c r="AG21" s="169"/>
      <c r="AH21" s="185" t="e">
        <f t="shared" si="6"/>
        <v>#N/A</v>
      </c>
      <c r="AI21" s="494"/>
      <c r="AJ21" s="169"/>
      <c r="AK21" s="169"/>
      <c r="AL21" s="169"/>
      <c r="AM21" s="185" t="e">
        <f t="shared" si="7"/>
        <v>#N/A</v>
      </c>
      <c r="AN21" s="494"/>
      <c r="AO21" s="169"/>
      <c r="AP21" s="169"/>
      <c r="AQ21" s="169"/>
      <c r="AR21" s="185" t="e">
        <f t="shared" si="8"/>
        <v>#N/A</v>
      </c>
      <c r="AS21" s="494"/>
      <c r="AT21" s="169"/>
      <c r="AU21" s="169"/>
      <c r="AV21" s="169"/>
      <c r="AW21" s="185" t="e">
        <f t="shared" si="9"/>
        <v>#N/A</v>
      </c>
      <c r="AX21" s="494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97">
        <f>AT2+1</f>
        <v>45965</v>
      </c>
      <c r="Q22" s="498"/>
      <c r="R22" s="498"/>
      <c r="S22" s="498"/>
      <c r="T22" s="498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96" t="s">
        <v>259</v>
      </c>
      <c r="C27" s="185">
        <v>1</v>
      </c>
      <c r="D27" s="206" t="s">
        <v>260</v>
      </c>
      <c r="E27" s="169">
        <v>4</v>
      </c>
      <c r="F27" s="185">
        <v>2000</v>
      </c>
      <c r="G27" s="183">
        <v>500</v>
      </c>
      <c r="H27" s="451">
        <f>AVERAGE(G27:G41)</f>
        <v>291.16789432789432</v>
      </c>
      <c r="I27" s="169">
        <f>AVERAGE(P27,U27,Z27,AE27,AJ27,AO27,AT27)</f>
        <v>4</v>
      </c>
      <c r="J27" s="169">
        <f>AVERAGE(Q27,V27,AA27,AF27,AK27,AP27,AU27)</f>
        <v>2033.8080495356085</v>
      </c>
      <c r="K27" s="183">
        <f>AVERAGE(R27,W27,AB27,AG27,AL27,AQ27,AV27)</f>
        <v>508.45201238390212</v>
      </c>
      <c r="L27" s="451">
        <f>IFERROR(AVERAGE(K27:K41),"-")</f>
        <v>267.92876944127636</v>
      </c>
      <c r="M27" s="184">
        <f>RANK(K27, K$27:$K$41)</f>
        <v>2</v>
      </c>
      <c r="N27" s="454"/>
      <c r="O27" s="454"/>
      <c r="P27" s="169">
        <v>4</v>
      </c>
      <c r="Q27" s="169">
        <v>2086.6666666666738</v>
      </c>
      <c r="R27" s="169">
        <v>521.66666666666845</v>
      </c>
      <c r="S27" s="185">
        <f t="shared" ref="S27:S41" si="11">RANK(R27, R$27:R$41)</f>
        <v>2</v>
      </c>
      <c r="T27" s="494">
        <f>AVERAGE(R27:R41)</f>
        <v>272.53772403574948</v>
      </c>
      <c r="U27" s="169">
        <v>4</v>
      </c>
      <c r="V27" s="169">
        <v>2216.6666666666747</v>
      </c>
      <c r="W27" s="169">
        <v>554.16666666666868</v>
      </c>
      <c r="X27" s="185">
        <f t="shared" ref="X27:X41" si="12">RANK(W27, W$27:W$41)</f>
        <v>1</v>
      </c>
      <c r="Y27" s="494">
        <f>AVERAGE(W27:W41)</f>
        <v>273.75535311998146</v>
      </c>
      <c r="Z27" s="169">
        <v>4</v>
      </c>
      <c r="AA27" s="169">
        <v>2156.4705882353014</v>
      </c>
      <c r="AB27" s="169">
        <v>539.11764705882536</v>
      </c>
      <c r="AC27" s="185">
        <f t="shared" ref="AC27:AC41" si="13">RANK(AB27, AB$27:AB$41)</f>
        <v>1</v>
      </c>
      <c r="AD27" s="494">
        <f>AVERAGE(AB27:AB41)</f>
        <v>268.78665904245202</v>
      </c>
      <c r="AE27" s="169">
        <v>4</v>
      </c>
      <c r="AF27" s="169">
        <v>1831.7647058823507</v>
      </c>
      <c r="AG27" s="169">
        <v>457.94117647058766</v>
      </c>
      <c r="AH27" s="185">
        <f t="shared" ref="AH27:AH41" si="14">RANK(AG27, AG$27:AG$41)</f>
        <v>2</v>
      </c>
      <c r="AI27" s="494">
        <f>AVERAGE(AG27:AG41)</f>
        <v>258.68214436117722</v>
      </c>
      <c r="AJ27" s="169">
        <v>4</v>
      </c>
      <c r="AK27" s="169">
        <v>1833.3333333333319</v>
      </c>
      <c r="AL27" s="169">
        <v>458.33333333333297</v>
      </c>
      <c r="AM27" s="185">
        <f t="shared" ref="AM27:AM41" si="15">RANK(AL27, AL$27:AL$41)</f>
        <v>3</v>
      </c>
      <c r="AN27" s="494">
        <f>AVERAGE(AL27:AL41)</f>
        <v>263.67092000002782</v>
      </c>
      <c r="AO27" s="169">
        <v>4</v>
      </c>
      <c r="AP27" s="169">
        <v>2223.3333333333412</v>
      </c>
      <c r="AQ27" s="169">
        <v>555.8333333333353</v>
      </c>
      <c r="AR27" s="185">
        <f t="shared" ref="AR27:AR41" si="16">RANK(AQ27, AQ$27:AQ$41)</f>
        <v>1</v>
      </c>
      <c r="AS27" s="494">
        <f>AVERAGE(AQ27:AQ41)</f>
        <v>279.31790128278874</v>
      </c>
      <c r="AT27" s="169">
        <v>4</v>
      </c>
      <c r="AU27" s="169">
        <v>1888.4210526315858</v>
      </c>
      <c r="AV27" s="169">
        <v>472.10526315789645</v>
      </c>
      <c r="AW27" s="185">
        <f t="shared" ref="AW27:AW41" si="17">RANK(AV27, AV$27:AV$41)</f>
        <v>2</v>
      </c>
      <c r="AX27" s="494">
        <f>AVERAGE(AV27:AV41)</f>
        <v>269.13303252999776</v>
      </c>
    </row>
    <row r="28" spans="2:54">
      <c r="B28" s="471"/>
      <c r="C28" s="185">
        <v>2</v>
      </c>
      <c r="D28" s="206" t="s">
        <v>261</v>
      </c>
      <c r="E28" s="169">
        <v>4</v>
      </c>
      <c r="F28" s="185">
        <v>2000</v>
      </c>
      <c r="G28" s="183">
        <v>500</v>
      </c>
      <c r="H28" s="452"/>
      <c r="I28" s="169">
        <f t="shared" ref="I28:I36" si="18">AVERAGE(P28,U28,Z28,AE28,AJ28,AO28,AT28)</f>
        <v>4</v>
      </c>
      <c r="J28" s="169">
        <f t="shared" ref="J28:J36" si="19">AVERAGE(Q28,V28,AA28,AF28,AK28,AP28,AU28)</f>
        <v>2127.8218923933273</v>
      </c>
      <c r="K28" s="183">
        <f t="shared" ref="K28:K36" si="20">AVERAGE(R28,W28,AB28,AG28,AL28,AQ28,AV28)</f>
        <v>531.95547309833182</v>
      </c>
      <c r="L28" s="452"/>
      <c r="M28" s="184">
        <f>RANK(K28, K$27:$K$41)</f>
        <v>1</v>
      </c>
      <c r="N28" s="454"/>
      <c r="O28" s="454"/>
      <c r="P28" s="169">
        <v>4</v>
      </c>
      <c r="Q28" s="169">
        <v>2162.7272727272803</v>
      </c>
      <c r="R28" s="169">
        <v>540.68181818182006</v>
      </c>
      <c r="S28" s="185">
        <f t="shared" si="11"/>
        <v>1</v>
      </c>
      <c r="T28" s="494"/>
      <c r="U28" s="169">
        <v>4</v>
      </c>
      <c r="V28" s="169">
        <v>2131.4285714285793</v>
      </c>
      <c r="W28" s="169">
        <v>532.85714285714482</v>
      </c>
      <c r="X28" s="185">
        <f t="shared" si="12"/>
        <v>2</v>
      </c>
      <c r="Y28" s="494"/>
      <c r="Z28" s="169">
        <v>4</v>
      </c>
      <c r="AA28" s="169">
        <v>2057.1428571428642</v>
      </c>
      <c r="AB28" s="169">
        <v>514.28571428571604</v>
      </c>
      <c r="AC28" s="185">
        <f t="shared" si="13"/>
        <v>2</v>
      </c>
      <c r="AD28" s="494"/>
      <c r="AE28" s="169">
        <v>4</v>
      </c>
      <c r="AF28" s="169">
        <v>2051.9999999999991</v>
      </c>
      <c r="AG28" s="169">
        <v>512.99999999999977</v>
      </c>
      <c r="AH28" s="185">
        <f t="shared" si="14"/>
        <v>1</v>
      </c>
      <c r="AI28" s="494"/>
      <c r="AJ28" s="169">
        <v>4</v>
      </c>
      <c r="AK28" s="169">
        <v>2166.0000000000077</v>
      </c>
      <c r="AL28" s="169">
        <v>541.50000000000193</v>
      </c>
      <c r="AM28" s="185">
        <f t="shared" si="15"/>
        <v>1</v>
      </c>
      <c r="AN28" s="494"/>
      <c r="AO28" s="169">
        <v>4</v>
      </c>
      <c r="AP28" s="169">
        <v>2198.1818181818262</v>
      </c>
      <c r="AQ28" s="169">
        <v>549.54545454545655</v>
      </c>
      <c r="AR28" s="185">
        <f t="shared" si="16"/>
        <v>2</v>
      </c>
      <c r="AS28" s="494"/>
      <c r="AT28" s="169">
        <v>4</v>
      </c>
      <c r="AU28" s="169">
        <v>2127.2727272727348</v>
      </c>
      <c r="AV28" s="169">
        <v>531.81818181818369</v>
      </c>
      <c r="AW28" s="185">
        <f t="shared" si="17"/>
        <v>1</v>
      </c>
      <c r="AX28" s="494"/>
    </row>
    <row r="29" spans="2:54">
      <c r="B29" s="471"/>
      <c r="C29" s="185">
        <v>3</v>
      </c>
      <c r="D29" s="206" t="s">
        <v>262</v>
      </c>
      <c r="E29" s="169">
        <v>12</v>
      </c>
      <c r="F29" s="185">
        <v>2250</v>
      </c>
      <c r="G29" s="183">
        <v>187.5</v>
      </c>
      <c r="H29" s="452"/>
      <c r="I29" s="169">
        <f t="shared" si="18"/>
        <v>12</v>
      </c>
      <c r="J29" s="169">
        <f t="shared" si="19"/>
        <v>1974.5452006889707</v>
      </c>
      <c r="K29" s="183">
        <f t="shared" si="20"/>
        <v>164.54543339074758</v>
      </c>
      <c r="L29" s="452"/>
      <c r="M29" s="184">
        <f>RANK(K29, K$27:$K$41)</f>
        <v>8</v>
      </c>
      <c r="N29" s="454"/>
      <c r="O29" s="454"/>
      <c r="P29" s="169">
        <v>12</v>
      </c>
      <c r="Q29" s="169">
        <v>1953.913043478261</v>
      </c>
      <c r="R29" s="169">
        <v>162.82608695652175</v>
      </c>
      <c r="S29" s="185">
        <f t="shared" si="11"/>
        <v>8</v>
      </c>
      <c r="T29" s="494"/>
      <c r="U29" s="169">
        <v>12</v>
      </c>
      <c r="V29" s="169">
        <v>2010</v>
      </c>
      <c r="W29" s="169">
        <v>167.5</v>
      </c>
      <c r="X29" s="185">
        <f t="shared" si="12"/>
        <v>8</v>
      </c>
      <c r="Y29" s="494"/>
      <c r="Z29" s="169">
        <v>12</v>
      </c>
      <c r="AA29" s="169">
        <v>1979.9999999999995</v>
      </c>
      <c r="AB29" s="169">
        <v>164.99999999999997</v>
      </c>
      <c r="AC29" s="185">
        <f t="shared" si="13"/>
        <v>8</v>
      </c>
      <c r="AD29" s="494"/>
      <c r="AE29" s="169">
        <v>12</v>
      </c>
      <c r="AF29" s="169">
        <v>1933.92857142857</v>
      </c>
      <c r="AG29" s="169">
        <v>161.16071428571416</v>
      </c>
      <c r="AH29" s="185">
        <f t="shared" si="14"/>
        <v>8</v>
      </c>
      <c r="AI29" s="494"/>
      <c r="AJ29" s="169">
        <v>12</v>
      </c>
      <c r="AK29" s="169">
        <v>1944.9999999999991</v>
      </c>
      <c r="AL29" s="169">
        <v>162.08333333333326</v>
      </c>
      <c r="AM29" s="185">
        <f t="shared" si="15"/>
        <v>8</v>
      </c>
      <c r="AN29" s="494"/>
      <c r="AO29" s="169">
        <v>12</v>
      </c>
      <c r="AP29" s="169">
        <v>2004.8571428571431</v>
      </c>
      <c r="AQ29" s="169">
        <v>167.07142857142858</v>
      </c>
      <c r="AR29" s="185">
        <f t="shared" si="16"/>
        <v>7</v>
      </c>
      <c r="AS29" s="494"/>
      <c r="AT29" s="169">
        <v>12</v>
      </c>
      <c r="AU29" s="169">
        <v>1994.1176470588234</v>
      </c>
      <c r="AV29" s="169">
        <v>166.17647058823528</v>
      </c>
      <c r="AW29" s="185">
        <f t="shared" si="17"/>
        <v>7</v>
      </c>
      <c r="AX29" s="494"/>
    </row>
    <row r="30" spans="2:54">
      <c r="B30" s="471"/>
      <c r="C30" s="185">
        <v>4</v>
      </c>
      <c r="D30" s="206" t="s">
        <v>263</v>
      </c>
      <c r="E30" s="169">
        <v>11</v>
      </c>
      <c r="F30" s="185">
        <v>2118</v>
      </c>
      <c r="G30" s="183">
        <v>192.54545454545453</v>
      </c>
      <c r="H30" s="452"/>
      <c r="I30" s="169">
        <f t="shared" si="18"/>
        <v>11</v>
      </c>
      <c r="J30" s="169">
        <f t="shared" si="19"/>
        <v>2081.7061412463959</v>
      </c>
      <c r="K30" s="183">
        <f t="shared" si="20"/>
        <v>189.24601284058144</v>
      </c>
      <c r="L30" s="452"/>
      <c r="M30" s="184">
        <f>RANK(K30, K$27:$K$41)</f>
        <v>6</v>
      </c>
      <c r="N30" s="454"/>
      <c r="O30" s="454"/>
      <c r="P30" s="169">
        <v>11</v>
      </c>
      <c r="Q30" s="169">
        <v>2061.0638297872342</v>
      </c>
      <c r="R30" s="169">
        <v>187.36943907156675</v>
      </c>
      <c r="S30" s="185">
        <f t="shared" si="11"/>
        <v>6</v>
      </c>
      <c r="T30" s="494"/>
      <c r="U30" s="169">
        <v>11</v>
      </c>
      <c r="V30" s="169">
        <v>2088.260869565217</v>
      </c>
      <c r="W30" s="169">
        <v>189.84189723320154</v>
      </c>
      <c r="X30" s="185">
        <f t="shared" si="12"/>
        <v>6</v>
      </c>
      <c r="Y30" s="494"/>
      <c r="Z30" s="169">
        <v>11</v>
      </c>
      <c r="AA30" s="169">
        <v>2126.4285714285706</v>
      </c>
      <c r="AB30" s="169">
        <v>193.31168831168824</v>
      </c>
      <c r="AC30" s="185">
        <f t="shared" si="13"/>
        <v>6</v>
      </c>
      <c r="AD30" s="494"/>
      <c r="AE30" s="169">
        <v>11</v>
      </c>
      <c r="AF30" s="169">
        <v>2118.6486486486492</v>
      </c>
      <c r="AG30" s="169">
        <v>192.60442260442267</v>
      </c>
      <c r="AH30" s="185">
        <f t="shared" si="14"/>
        <v>6</v>
      </c>
      <c r="AI30" s="494"/>
      <c r="AJ30" s="169">
        <v>11</v>
      </c>
      <c r="AK30" s="169">
        <v>2037.0370370370365</v>
      </c>
      <c r="AL30" s="169">
        <v>185.18518518518513</v>
      </c>
      <c r="AM30" s="185">
        <f t="shared" si="15"/>
        <v>6</v>
      </c>
      <c r="AN30" s="494"/>
      <c r="AO30" s="169">
        <v>11</v>
      </c>
      <c r="AP30" s="169">
        <v>2064.3750000000005</v>
      </c>
      <c r="AQ30" s="169">
        <v>187.67045454545459</v>
      </c>
      <c r="AR30" s="185">
        <f t="shared" si="16"/>
        <v>5</v>
      </c>
      <c r="AS30" s="494"/>
      <c r="AT30" s="169">
        <v>11</v>
      </c>
      <c r="AU30" s="169">
        <v>2076.1290322580649</v>
      </c>
      <c r="AV30" s="169">
        <v>188.73900293255136</v>
      </c>
      <c r="AW30" s="185">
        <f t="shared" si="17"/>
        <v>5</v>
      </c>
      <c r="AX30" s="494"/>
    </row>
    <row r="31" spans="2:54">
      <c r="B31" s="471"/>
      <c r="C31" s="185">
        <v>5</v>
      </c>
      <c r="D31" s="206" t="s">
        <v>264</v>
      </c>
      <c r="E31" s="169">
        <v>11</v>
      </c>
      <c r="F31" s="185">
        <v>2250</v>
      </c>
      <c r="G31" s="183">
        <v>204.54545454545453</v>
      </c>
      <c r="H31" s="452"/>
      <c r="I31" s="169">
        <f t="shared" si="18"/>
        <v>11</v>
      </c>
      <c r="J31" s="169">
        <f t="shared" si="19"/>
        <v>1976.4496977014664</v>
      </c>
      <c r="K31" s="183">
        <f t="shared" si="20"/>
        <v>179.67724524558784</v>
      </c>
      <c r="L31" s="452"/>
      <c r="M31" s="184">
        <f>RANK(K31, K$27:$K$41)</f>
        <v>7</v>
      </c>
      <c r="N31" s="454"/>
      <c r="O31" s="454"/>
      <c r="P31" s="169">
        <v>11</v>
      </c>
      <c r="Q31" s="169">
        <v>2012.2580645161295</v>
      </c>
      <c r="R31" s="169">
        <v>182.93255131964813</v>
      </c>
      <c r="S31" s="185">
        <f t="shared" si="11"/>
        <v>7</v>
      </c>
      <c r="T31" s="494"/>
      <c r="U31" s="169">
        <v>11</v>
      </c>
      <c r="V31" s="169">
        <v>1996.304347826087</v>
      </c>
      <c r="W31" s="169">
        <v>181.48221343873519</v>
      </c>
      <c r="X31" s="185">
        <f t="shared" si="12"/>
        <v>7</v>
      </c>
      <c r="Y31" s="494"/>
      <c r="Z31" s="169">
        <v>11</v>
      </c>
      <c r="AA31" s="169">
        <v>1939.7802197802198</v>
      </c>
      <c r="AB31" s="169">
        <v>176.34365634365633</v>
      </c>
      <c r="AC31" s="185">
        <f t="shared" si="13"/>
        <v>7</v>
      </c>
      <c r="AD31" s="494"/>
      <c r="AE31" s="169">
        <v>11</v>
      </c>
      <c r="AF31" s="169">
        <v>1974.8148148148141</v>
      </c>
      <c r="AG31" s="169">
        <v>179.52861952861946</v>
      </c>
      <c r="AH31" s="185">
        <f t="shared" si="14"/>
        <v>7</v>
      </c>
      <c r="AI31" s="494"/>
      <c r="AJ31" s="169">
        <v>11</v>
      </c>
      <c r="AK31" s="169">
        <v>1986.5853658536575</v>
      </c>
      <c r="AL31" s="169">
        <v>180.59866962305978</v>
      </c>
      <c r="AM31" s="185">
        <f t="shared" si="15"/>
        <v>7</v>
      </c>
      <c r="AN31" s="494"/>
      <c r="AO31" s="169">
        <v>11</v>
      </c>
      <c r="AP31" s="169">
        <v>1975.1020408163272</v>
      </c>
      <c r="AQ31" s="169">
        <v>179.55473098330248</v>
      </c>
      <c r="AR31" s="185">
        <f t="shared" si="16"/>
        <v>6</v>
      </c>
      <c r="AS31" s="494"/>
      <c r="AT31" s="169">
        <v>11</v>
      </c>
      <c r="AU31" s="169">
        <v>1950.3030303030296</v>
      </c>
      <c r="AV31" s="169">
        <v>177.30027548209361</v>
      </c>
      <c r="AW31" s="185">
        <f t="shared" si="17"/>
        <v>6</v>
      </c>
      <c r="AX31" s="494"/>
    </row>
    <row r="32" spans="2:54">
      <c r="B32" s="471"/>
      <c r="C32" s="185">
        <v>6</v>
      </c>
      <c r="D32" s="206" t="s">
        <v>265</v>
      </c>
      <c r="E32" s="169">
        <v>13</v>
      </c>
      <c r="F32" s="185">
        <v>2250</v>
      </c>
      <c r="G32" s="183">
        <v>173.07692307692307</v>
      </c>
      <c r="H32" s="452"/>
      <c r="I32" s="169">
        <f t="shared" si="18"/>
        <v>13</v>
      </c>
      <c r="J32" s="169">
        <f t="shared" si="19"/>
        <v>1995.2534037702651</v>
      </c>
      <c r="K32" s="183">
        <f t="shared" si="20"/>
        <v>153.48103105925117</v>
      </c>
      <c r="L32" s="452"/>
      <c r="M32" s="184">
        <f>RANK(K32, K$27:$K$41)</f>
        <v>9</v>
      </c>
      <c r="N32" s="454"/>
      <c r="O32" s="454"/>
      <c r="P32" s="169">
        <v>13</v>
      </c>
      <c r="Q32" s="169">
        <v>2116.3636363636283</v>
      </c>
      <c r="R32" s="169">
        <v>162.79720279720217</v>
      </c>
      <c r="S32" s="185">
        <f t="shared" si="11"/>
        <v>9</v>
      </c>
      <c r="T32" s="494"/>
      <c r="U32" s="169">
        <v>13</v>
      </c>
      <c r="V32" s="169">
        <v>1973.181818181818</v>
      </c>
      <c r="W32" s="169">
        <v>151.78321678321677</v>
      </c>
      <c r="X32" s="185">
        <f t="shared" si="12"/>
        <v>9</v>
      </c>
      <c r="Y32" s="494"/>
      <c r="Z32" s="169">
        <v>13</v>
      </c>
      <c r="AA32" s="169">
        <v>1960.4651162790728</v>
      </c>
      <c r="AB32" s="169">
        <v>150.80500894454406</v>
      </c>
      <c r="AC32" s="185">
        <f t="shared" si="13"/>
        <v>9</v>
      </c>
      <c r="AD32" s="494"/>
      <c r="AE32" s="169">
        <v>13</v>
      </c>
      <c r="AF32" s="169">
        <v>1955.1219512195114</v>
      </c>
      <c r="AG32" s="169">
        <v>150.39399624765471</v>
      </c>
      <c r="AH32" s="185">
        <f t="shared" si="14"/>
        <v>9</v>
      </c>
      <c r="AI32" s="494"/>
      <c r="AJ32" s="169">
        <v>13</v>
      </c>
      <c r="AK32" s="169">
        <v>2035.4999999999993</v>
      </c>
      <c r="AL32" s="169">
        <v>156.57692307692304</v>
      </c>
      <c r="AM32" s="185">
        <f t="shared" si="15"/>
        <v>9</v>
      </c>
      <c r="AN32" s="494"/>
      <c r="AO32" s="169">
        <v>13</v>
      </c>
      <c r="AP32" s="169">
        <v>1948.7500000000007</v>
      </c>
      <c r="AQ32" s="169">
        <v>149.90384615384622</v>
      </c>
      <c r="AR32" s="185">
        <f t="shared" si="16"/>
        <v>8</v>
      </c>
      <c r="AS32" s="494"/>
      <c r="AT32" s="169">
        <v>13</v>
      </c>
      <c r="AU32" s="169">
        <v>1977.3913043478262</v>
      </c>
      <c r="AV32" s="169">
        <v>152.10702341137124</v>
      </c>
      <c r="AW32" s="185">
        <f t="shared" si="17"/>
        <v>8</v>
      </c>
      <c r="AX32" s="494"/>
    </row>
    <row r="33" spans="2:50">
      <c r="B33" s="471"/>
      <c r="C33" s="185">
        <v>7</v>
      </c>
      <c r="D33" s="206" t="s">
        <v>266</v>
      </c>
      <c r="E33" s="169">
        <v>9</v>
      </c>
      <c r="F33" s="185">
        <v>2769</v>
      </c>
      <c r="G33" s="183">
        <v>307.66666666666669</v>
      </c>
      <c r="H33" s="452"/>
      <c r="I33" s="169">
        <f t="shared" si="18"/>
        <v>9</v>
      </c>
      <c r="J33" s="169">
        <f t="shared" si="19"/>
        <v>2000.8235294117651</v>
      </c>
      <c r="K33" s="183">
        <f t="shared" si="20"/>
        <v>222.31372549019611</v>
      </c>
      <c r="L33" s="452"/>
      <c r="M33" s="184">
        <f>RANK(K33, K$27:$K$41)</f>
        <v>4</v>
      </c>
      <c r="N33" s="454"/>
      <c r="O33" s="454"/>
      <c r="P33" s="169">
        <v>9</v>
      </c>
      <c r="Q33" s="169">
        <v>2148.3870967742009</v>
      </c>
      <c r="R33" s="169">
        <v>238.70967741935567</v>
      </c>
      <c r="S33" s="185">
        <f t="shared" si="11"/>
        <v>4</v>
      </c>
      <c r="T33" s="494"/>
      <c r="U33" s="169">
        <v>9</v>
      </c>
      <c r="V33" s="169">
        <v>1981.7647058823504</v>
      </c>
      <c r="W33" s="169">
        <v>220.19607843137226</v>
      </c>
      <c r="X33" s="185">
        <f t="shared" si="12"/>
        <v>4</v>
      </c>
      <c r="Y33" s="494"/>
      <c r="Z33" s="169">
        <v>9</v>
      </c>
      <c r="AA33" s="169">
        <v>1962.3529411764682</v>
      </c>
      <c r="AB33" s="169">
        <v>218.03921568627425</v>
      </c>
      <c r="AC33" s="185">
        <f t="shared" si="13"/>
        <v>4</v>
      </c>
      <c r="AD33" s="494"/>
      <c r="AE33" s="169">
        <v>9</v>
      </c>
      <c r="AF33" s="169">
        <v>1941.2903225806472</v>
      </c>
      <c r="AG33" s="169">
        <v>215.69892473118301</v>
      </c>
      <c r="AH33" s="185">
        <f t="shared" si="14"/>
        <v>4</v>
      </c>
      <c r="AI33" s="494"/>
      <c r="AJ33" s="169">
        <v>9</v>
      </c>
      <c r="AK33" s="169">
        <v>1970.3225806451583</v>
      </c>
      <c r="AL33" s="169">
        <v>218.92473118279537</v>
      </c>
      <c r="AM33" s="185">
        <f t="shared" si="15"/>
        <v>4</v>
      </c>
      <c r="AN33" s="494"/>
      <c r="AO33" s="169"/>
      <c r="AP33" s="169"/>
      <c r="AQ33" s="169"/>
      <c r="AR33" s="185" t="e">
        <f t="shared" si="16"/>
        <v>#N/A</v>
      </c>
      <c r="AS33" s="494"/>
      <c r="AT33" s="169"/>
      <c r="AU33" s="169"/>
      <c r="AV33" s="169"/>
      <c r="AW33" s="185" t="e">
        <f t="shared" si="17"/>
        <v>#N/A</v>
      </c>
      <c r="AX33" s="494"/>
    </row>
    <row r="34" spans="2:50">
      <c r="B34" s="471"/>
      <c r="C34" s="185">
        <v>8</v>
      </c>
      <c r="D34" s="206" t="s">
        <v>267</v>
      </c>
      <c r="E34" s="169">
        <v>10</v>
      </c>
      <c r="F34" s="185">
        <v>2769</v>
      </c>
      <c r="G34" s="183">
        <v>276.89999999999998</v>
      </c>
      <c r="H34" s="452"/>
      <c r="I34" s="169">
        <f t="shared" si="18"/>
        <v>9.7142857142857135</v>
      </c>
      <c r="J34" s="169">
        <f t="shared" si="19"/>
        <v>1985.042697696583</v>
      </c>
      <c r="K34" s="183">
        <f t="shared" si="20"/>
        <v>204.81878114959022</v>
      </c>
      <c r="L34" s="452"/>
      <c r="M34" s="184">
        <f>RANK(K34, K$27:$K$41)</f>
        <v>5</v>
      </c>
      <c r="N34" s="454"/>
      <c r="O34" s="454"/>
      <c r="P34" s="169">
        <v>10</v>
      </c>
      <c r="Q34" s="169">
        <v>2061.0638297872342</v>
      </c>
      <c r="R34" s="169">
        <v>206.10638297872342</v>
      </c>
      <c r="S34" s="185">
        <f t="shared" si="11"/>
        <v>5</v>
      </c>
      <c r="T34" s="494"/>
      <c r="U34" s="169">
        <v>10</v>
      </c>
      <c r="V34" s="169">
        <v>1954.105263157895</v>
      </c>
      <c r="W34" s="169">
        <v>195.4105263157895</v>
      </c>
      <c r="X34" s="185">
        <f t="shared" si="12"/>
        <v>5</v>
      </c>
      <c r="Y34" s="494"/>
      <c r="Z34" s="169">
        <v>10</v>
      </c>
      <c r="AA34" s="169">
        <v>1944.6666666666667</v>
      </c>
      <c r="AB34" s="169">
        <v>194.46666666666667</v>
      </c>
      <c r="AC34" s="185">
        <f t="shared" si="13"/>
        <v>5</v>
      </c>
      <c r="AD34" s="494"/>
      <c r="AE34" s="169">
        <v>10</v>
      </c>
      <c r="AF34" s="169">
        <v>1940.7692307692296</v>
      </c>
      <c r="AG34" s="169">
        <v>194.07692307692295</v>
      </c>
      <c r="AH34" s="185">
        <f t="shared" si="14"/>
        <v>5</v>
      </c>
      <c r="AI34" s="494"/>
      <c r="AJ34" s="169">
        <v>10</v>
      </c>
      <c r="AK34" s="169">
        <v>2016.5517241379307</v>
      </c>
      <c r="AL34" s="169">
        <v>201.65517241379308</v>
      </c>
      <c r="AM34" s="185">
        <f t="shared" si="15"/>
        <v>5</v>
      </c>
      <c r="AN34" s="494"/>
      <c r="AO34" s="169">
        <v>9</v>
      </c>
      <c r="AP34" s="169">
        <v>1942.9906542056083</v>
      </c>
      <c r="AQ34" s="169">
        <v>215.88785046728981</v>
      </c>
      <c r="AR34" s="185">
        <f t="shared" si="16"/>
        <v>4</v>
      </c>
      <c r="AS34" s="494"/>
      <c r="AT34" s="169">
        <v>9</v>
      </c>
      <c r="AU34" s="169">
        <v>2035.1515151515159</v>
      </c>
      <c r="AV34" s="169">
        <v>226.12794612794622</v>
      </c>
      <c r="AW34" s="185">
        <f t="shared" si="17"/>
        <v>4</v>
      </c>
      <c r="AX34" s="494"/>
    </row>
    <row r="35" spans="2:50">
      <c r="B35" s="471"/>
      <c r="C35" s="185">
        <v>9</v>
      </c>
      <c r="D35" s="206" t="s">
        <v>268</v>
      </c>
      <c r="E35" s="169">
        <v>18</v>
      </c>
      <c r="F35" s="185">
        <v>1250</v>
      </c>
      <c r="G35" s="183">
        <v>69.444444444444443</v>
      </c>
      <c r="H35" s="452"/>
      <c r="I35" s="169">
        <f t="shared" si="18"/>
        <v>18</v>
      </c>
      <c r="J35" s="169">
        <f t="shared" si="19"/>
        <v>1239.7564927251981</v>
      </c>
      <c r="K35" s="183">
        <f t="shared" si="20"/>
        <v>68.875360706955448</v>
      </c>
      <c r="L35" s="452"/>
      <c r="M35" s="184">
        <f>RANK(K35, K$27:$K$41)</f>
        <v>10</v>
      </c>
      <c r="N35" s="454"/>
      <c r="O35" s="454"/>
      <c r="P35" s="169">
        <v>18</v>
      </c>
      <c r="Q35" s="169">
        <v>1233.6734693877556</v>
      </c>
      <c r="R35" s="169">
        <v>68.537414965986429</v>
      </c>
      <c r="S35" s="185">
        <f t="shared" si="11"/>
        <v>10</v>
      </c>
      <c r="T35" s="494"/>
      <c r="U35" s="169">
        <v>18</v>
      </c>
      <c r="V35" s="169">
        <v>1217.6842105263156</v>
      </c>
      <c r="W35" s="169">
        <v>67.649122807017534</v>
      </c>
      <c r="X35" s="185">
        <f t="shared" si="12"/>
        <v>10</v>
      </c>
      <c r="Y35" s="494"/>
      <c r="Z35" s="169">
        <v>18</v>
      </c>
      <c r="AA35" s="169">
        <v>1253.1958762886595</v>
      </c>
      <c r="AB35" s="169">
        <v>69.621993127147746</v>
      </c>
      <c r="AC35" s="185">
        <f t="shared" si="13"/>
        <v>10</v>
      </c>
      <c r="AD35" s="494"/>
      <c r="AE35" s="169">
        <v>18</v>
      </c>
      <c r="AF35" s="169">
        <v>1236</v>
      </c>
      <c r="AG35" s="169">
        <v>68.666666666666671</v>
      </c>
      <c r="AH35" s="185">
        <f t="shared" si="14"/>
        <v>10</v>
      </c>
      <c r="AI35" s="494"/>
      <c r="AJ35" s="169">
        <v>18</v>
      </c>
      <c r="AK35" s="169">
        <v>1233.3333333333337</v>
      </c>
      <c r="AL35" s="169">
        <v>68.518518518518533</v>
      </c>
      <c r="AM35" s="185">
        <f t="shared" si="15"/>
        <v>10</v>
      </c>
      <c r="AN35" s="494"/>
      <c r="AO35" s="169">
        <v>18</v>
      </c>
      <c r="AP35" s="169">
        <v>1253.5922330097087</v>
      </c>
      <c r="AQ35" s="169">
        <v>69.644012944983814</v>
      </c>
      <c r="AR35" s="185">
        <f t="shared" si="16"/>
        <v>9</v>
      </c>
      <c r="AS35" s="494"/>
      <c r="AT35" s="169">
        <v>18</v>
      </c>
      <c r="AU35" s="169">
        <v>1250.8163265306121</v>
      </c>
      <c r="AV35" s="169">
        <v>69.489795918367335</v>
      </c>
      <c r="AW35" s="185">
        <f t="shared" si="17"/>
        <v>9</v>
      </c>
      <c r="AX35" s="494"/>
    </row>
    <row r="36" spans="2:50">
      <c r="B36" s="471"/>
      <c r="C36" s="185">
        <v>10</v>
      </c>
      <c r="D36" s="206" t="s">
        <v>269</v>
      </c>
      <c r="E36" s="169">
        <v>4</v>
      </c>
      <c r="F36" s="185">
        <v>2000</v>
      </c>
      <c r="G36" s="183">
        <v>500</v>
      </c>
      <c r="H36" s="452"/>
      <c r="I36" s="169">
        <f t="shared" si="18"/>
        <v>4</v>
      </c>
      <c r="J36" s="169">
        <f t="shared" si="19"/>
        <v>1823.6904761904825</v>
      </c>
      <c r="K36" s="183">
        <f t="shared" si="20"/>
        <v>455.92261904762063</v>
      </c>
      <c r="L36" s="452"/>
      <c r="M36" s="184">
        <f>RANK(K36, K$27:$K$41)</f>
        <v>3</v>
      </c>
      <c r="N36" s="454"/>
      <c r="O36" s="454"/>
      <c r="P36" s="169">
        <v>4</v>
      </c>
      <c r="Q36" s="169">
        <v>1815.0000000000064</v>
      </c>
      <c r="R36" s="169">
        <v>453.75000000000159</v>
      </c>
      <c r="S36" s="185">
        <f t="shared" si="11"/>
        <v>3</v>
      </c>
      <c r="T36" s="494"/>
      <c r="U36" s="169">
        <v>4</v>
      </c>
      <c r="V36" s="169">
        <v>1906.6666666666736</v>
      </c>
      <c r="W36" s="169">
        <v>476.66666666666839</v>
      </c>
      <c r="X36" s="185">
        <f t="shared" si="12"/>
        <v>3</v>
      </c>
      <c r="Y36" s="494"/>
      <c r="Z36" s="169">
        <v>4</v>
      </c>
      <c r="AA36" s="169">
        <v>1867.5000000000066</v>
      </c>
      <c r="AB36" s="169">
        <v>466.87500000000165</v>
      </c>
      <c r="AC36" s="185">
        <f t="shared" si="13"/>
        <v>3</v>
      </c>
      <c r="AD36" s="494"/>
      <c r="AE36" s="169">
        <v>4</v>
      </c>
      <c r="AF36" s="169">
        <v>1815.0000000000064</v>
      </c>
      <c r="AG36" s="169">
        <v>453.75000000000159</v>
      </c>
      <c r="AH36" s="185">
        <f t="shared" si="14"/>
        <v>3</v>
      </c>
      <c r="AI36" s="494"/>
      <c r="AJ36" s="169">
        <v>4</v>
      </c>
      <c r="AK36" s="169">
        <v>1853.3333333333399</v>
      </c>
      <c r="AL36" s="169">
        <v>463.33333333333496</v>
      </c>
      <c r="AM36" s="185">
        <f t="shared" si="15"/>
        <v>2</v>
      </c>
      <c r="AN36" s="494"/>
      <c r="AO36" s="169">
        <v>4</v>
      </c>
      <c r="AP36" s="169">
        <v>1755.0000000000061</v>
      </c>
      <c r="AQ36" s="169">
        <v>438.75000000000153</v>
      </c>
      <c r="AR36" s="185">
        <f t="shared" si="16"/>
        <v>3</v>
      </c>
      <c r="AS36" s="494"/>
      <c r="AT36" s="169">
        <v>4</v>
      </c>
      <c r="AU36" s="169">
        <v>1753.3333333333394</v>
      </c>
      <c r="AV36" s="169">
        <v>438.33333333333485</v>
      </c>
      <c r="AW36" s="185">
        <f t="shared" si="17"/>
        <v>3</v>
      </c>
      <c r="AX36" s="494"/>
    </row>
    <row r="37" spans="2:50">
      <c r="B37" s="471"/>
      <c r="C37" s="185">
        <v>11</v>
      </c>
      <c r="D37" s="206"/>
      <c r="E37" s="169"/>
      <c r="F37" s="185"/>
      <c r="G37" s="183"/>
      <c r="H37" s="452"/>
      <c r="I37" s="169"/>
      <c r="J37" s="169"/>
      <c r="K37" s="183"/>
      <c r="L37" s="452"/>
      <c r="M37" s="184" t="e">
        <f>RANK(K37, K$27:$K$41)</f>
        <v>#N/A</v>
      </c>
      <c r="N37" s="454"/>
      <c r="O37" s="454"/>
      <c r="P37" s="169"/>
      <c r="Q37" s="169"/>
      <c r="R37" s="169"/>
      <c r="S37" s="185" t="e">
        <f t="shared" si="11"/>
        <v>#N/A</v>
      </c>
      <c r="T37" s="494"/>
      <c r="U37" s="169"/>
      <c r="V37" s="169"/>
      <c r="W37" s="169"/>
      <c r="X37" s="185" t="e">
        <f t="shared" si="12"/>
        <v>#N/A</v>
      </c>
      <c r="Y37" s="494"/>
      <c r="Z37" s="169"/>
      <c r="AA37" s="169"/>
      <c r="AB37" s="169"/>
      <c r="AC37" s="185" t="e">
        <f t="shared" si="13"/>
        <v>#N/A</v>
      </c>
      <c r="AD37" s="494"/>
      <c r="AE37" s="169"/>
      <c r="AF37" s="169"/>
      <c r="AG37" s="169"/>
      <c r="AH37" s="185" t="e">
        <f t="shared" si="14"/>
        <v>#N/A</v>
      </c>
      <c r="AI37" s="494"/>
      <c r="AJ37" s="169"/>
      <c r="AK37" s="169"/>
      <c r="AL37" s="169"/>
      <c r="AM37" s="185" t="e">
        <f t="shared" si="15"/>
        <v>#N/A</v>
      </c>
      <c r="AN37" s="494"/>
      <c r="AO37" s="169"/>
      <c r="AP37" s="169"/>
      <c r="AQ37" s="169"/>
      <c r="AR37" s="185" t="e">
        <f t="shared" si="16"/>
        <v>#N/A</v>
      </c>
      <c r="AS37" s="494"/>
      <c r="AT37" s="169"/>
      <c r="AU37" s="169"/>
      <c r="AV37" s="169"/>
      <c r="AW37" s="185" t="e">
        <f t="shared" si="17"/>
        <v>#N/A</v>
      </c>
      <c r="AX37" s="494"/>
    </row>
    <row r="38" spans="2:50">
      <c r="B38" s="471"/>
      <c r="C38" s="185">
        <v>12</v>
      </c>
      <c r="D38" s="206"/>
      <c r="E38" s="169"/>
      <c r="F38" s="185"/>
      <c r="G38" s="183"/>
      <c r="H38" s="452"/>
      <c r="I38" s="169"/>
      <c r="J38" s="169"/>
      <c r="K38" s="183"/>
      <c r="L38" s="452"/>
      <c r="M38" s="184" t="e">
        <f>RANK(K38, K$27:$K$41)</f>
        <v>#N/A</v>
      </c>
      <c r="N38" s="454"/>
      <c r="O38" s="454"/>
      <c r="P38" s="169"/>
      <c r="Q38" s="169"/>
      <c r="R38" s="169"/>
      <c r="S38" s="185" t="e">
        <f t="shared" si="11"/>
        <v>#N/A</v>
      </c>
      <c r="T38" s="494"/>
      <c r="U38" s="169"/>
      <c r="V38" s="169"/>
      <c r="W38" s="169"/>
      <c r="X38" s="185" t="e">
        <f t="shared" si="12"/>
        <v>#N/A</v>
      </c>
      <c r="Y38" s="494"/>
      <c r="Z38" s="169"/>
      <c r="AA38" s="169"/>
      <c r="AB38" s="169"/>
      <c r="AC38" s="185" t="e">
        <f t="shared" si="13"/>
        <v>#N/A</v>
      </c>
      <c r="AD38" s="494"/>
      <c r="AE38" s="169"/>
      <c r="AF38" s="169"/>
      <c r="AG38" s="169"/>
      <c r="AH38" s="185" t="e">
        <f t="shared" si="14"/>
        <v>#N/A</v>
      </c>
      <c r="AI38" s="494"/>
      <c r="AJ38" s="169"/>
      <c r="AK38" s="169"/>
      <c r="AL38" s="169"/>
      <c r="AM38" s="185" t="e">
        <f t="shared" si="15"/>
        <v>#N/A</v>
      </c>
      <c r="AN38" s="494"/>
      <c r="AO38" s="169"/>
      <c r="AP38" s="169"/>
      <c r="AQ38" s="169"/>
      <c r="AR38" s="185" t="e">
        <f t="shared" si="16"/>
        <v>#N/A</v>
      </c>
      <c r="AS38" s="494"/>
      <c r="AT38" s="169"/>
      <c r="AU38" s="169"/>
      <c r="AV38" s="169"/>
      <c r="AW38" s="185" t="e">
        <f t="shared" si="17"/>
        <v>#N/A</v>
      </c>
      <c r="AX38" s="494"/>
    </row>
    <row r="39" spans="2:50">
      <c r="B39" s="471"/>
      <c r="C39" s="185">
        <v>13</v>
      </c>
      <c r="D39" s="206"/>
      <c r="E39" s="169"/>
      <c r="F39" s="185"/>
      <c r="G39" s="183"/>
      <c r="H39" s="452"/>
      <c r="I39" s="185"/>
      <c r="J39" s="185"/>
      <c r="K39" s="185"/>
      <c r="L39" s="452"/>
      <c r="M39" s="184" t="e">
        <f>RANK(K39, K$27:$K$41)</f>
        <v>#N/A</v>
      </c>
      <c r="N39" s="454"/>
      <c r="O39" s="454"/>
      <c r="P39" s="169"/>
      <c r="Q39" s="169"/>
      <c r="R39" s="169"/>
      <c r="S39" s="185" t="e">
        <f t="shared" si="11"/>
        <v>#N/A</v>
      </c>
      <c r="T39" s="494"/>
      <c r="U39" s="169"/>
      <c r="V39" s="169"/>
      <c r="W39" s="169"/>
      <c r="X39" s="185" t="e">
        <f t="shared" si="12"/>
        <v>#N/A</v>
      </c>
      <c r="Y39" s="494"/>
      <c r="Z39" s="169"/>
      <c r="AA39" s="169"/>
      <c r="AB39" s="169"/>
      <c r="AC39" s="185" t="e">
        <f t="shared" si="13"/>
        <v>#N/A</v>
      </c>
      <c r="AD39" s="494"/>
      <c r="AE39" s="169"/>
      <c r="AF39" s="169"/>
      <c r="AG39" s="169"/>
      <c r="AH39" s="185" t="e">
        <f t="shared" si="14"/>
        <v>#N/A</v>
      </c>
      <c r="AI39" s="494"/>
      <c r="AJ39" s="169"/>
      <c r="AK39" s="169"/>
      <c r="AL39" s="169"/>
      <c r="AM39" s="185" t="e">
        <f t="shared" si="15"/>
        <v>#N/A</v>
      </c>
      <c r="AN39" s="494"/>
      <c r="AO39" s="169"/>
      <c r="AP39" s="169"/>
      <c r="AQ39" s="169"/>
      <c r="AR39" s="185" t="e">
        <f t="shared" si="16"/>
        <v>#N/A</v>
      </c>
      <c r="AS39" s="494"/>
      <c r="AT39" s="169"/>
      <c r="AU39" s="169"/>
      <c r="AV39" s="169"/>
      <c r="AW39" s="185" t="e">
        <f t="shared" si="17"/>
        <v>#N/A</v>
      </c>
      <c r="AX39" s="494"/>
    </row>
    <row r="40" spans="2:50">
      <c r="B40" s="471"/>
      <c r="C40" s="185">
        <v>14</v>
      </c>
      <c r="D40" s="206"/>
      <c r="E40" s="169"/>
      <c r="F40" s="185"/>
      <c r="G40" s="183"/>
      <c r="H40" s="452"/>
      <c r="I40" s="185"/>
      <c r="J40" s="185"/>
      <c r="K40" s="185"/>
      <c r="L40" s="452"/>
      <c r="M40" s="184" t="e">
        <f>RANK(K40, K$27:$K$41)</f>
        <v>#N/A</v>
      </c>
      <c r="N40" s="454"/>
      <c r="O40" s="454"/>
      <c r="P40" s="169"/>
      <c r="Q40" s="169"/>
      <c r="R40" s="169"/>
      <c r="S40" s="185" t="e">
        <f t="shared" si="11"/>
        <v>#N/A</v>
      </c>
      <c r="T40" s="494"/>
      <c r="U40" s="169"/>
      <c r="V40" s="169"/>
      <c r="W40" s="169"/>
      <c r="X40" s="185" t="e">
        <f t="shared" si="12"/>
        <v>#N/A</v>
      </c>
      <c r="Y40" s="494"/>
      <c r="Z40" s="169"/>
      <c r="AA40" s="169"/>
      <c r="AB40" s="169"/>
      <c r="AC40" s="185" t="e">
        <f t="shared" si="13"/>
        <v>#N/A</v>
      </c>
      <c r="AD40" s="494"/>
      <c r="AE40" s="169"/>
      <c r="AF40" s="169"/>
      <c r="AG40" s="169"/>
      <c r="AH40" s="185" t="e">
        <f t="shared" si="14"/>
        <v>#N/A</v>
      </c>
      <c r="AI40" s="494"/>
      <c r="AJ40" s="169"/>
      <c r="AK40" s="169"/>
      <c r="AL40" s="169"/>
      <c r="AM40" s="185" t="e">
        <f t="shared" si="15"/>
        <v>#N/A</v>
      </c>
      <c r="AN40" s="494"/>
      <c r="AO40" s="169"/>
      <c r="AP40" s="169"/>
      <c r="AQ40" s="169"/>
      <c r="AR40" s="185" t="e">
        <f t="shared" si="16"/>
        <v>#N/A</v>
      </c>
      <c r="AS40" s="494"/>
      <c r="AT40" s="169"/>
      <c r="AU40" s="169"/>
      <c r="AV40" s="169"/>
      <c r="AW40" s="185" t="e">
        <f t="shared" si="17"/>
        <v>#N/A</v>
      </c>
      <c r="AX40" s="494"/>
    </row>
    <row r="41" spans="2:50">
      <c r="B41" s="471"/>
      <c r="C41" s="185">
        <v>15</v>
      </c>
      <c r="D41" s="206"/>
      <c r="E41" s="169"/>
      <c r="F41" s="185"/>
      <c r="G41" s="183"/>
      <c r="H41" s="453"/>
      <c r="I41" s="185"/>
      <c r="J41" s="185"/>
      <c r="K41" s="185"/>
      <c r="L41" s="453"/>
      <c r="M41" s="169" t="e">
        <f>RANK(K41, K$27:$K$41)</f>
        <v>#N/A</v>
      </c>
      <c r="N41" s="454"/>
      <c r="O41" s="454"/>
      <c r="P41" s="169"/>
      <c r="Q41" s="169"/>
      <c r="R41" s="169"/>
      <c r="S41" s="185" t="e">
        <f t="shared" si="11"/>
        <v>#N/A</v>
      </c>
      <c r="T41" s="494"/>
      <c r="U41" s="169"/>
      <c r="V41" s="169"/>
      <c r="W41" s="169"/>
      <c r="X41" s="185" t="e">
        <f t="shared" si="12"/>
        <v>#N/A</v>
      </c>
      <c r="Y41" s="494"/>
      <c r="Z41" s="169"/>
      <c r="AA41" s="169"/>
      <c r="AB41" s="169"/>
      <c r="AC41" s="185" t="e">
        <f t="shared" si="13"/>
        <v>#N/A</v>
      </c>
      <c r="AD41" s="494"/>
      <c r="AE41" s="169"/>
      <c r="AF41" s="169"/>
      <c r="AG41" s="169"/>
      <c r="AH41" s="185" t="e">
        <f t="shared" si="14"/>
        <v>#N/A</v>
      </c>
      <c r="AI41" s="494"/>
      <c r="AJ41" s="169"/>
      <c r="AK41" s="169"/>
      <c r="AL41" s="169"/>
      <c r="AM41" s="185" t="e">
        <f t="shared" si="15"/>
        <v>#N/A</v>
      </c>
      <c r="AN41" s="494"/>
      <c r="AO41" s="169"/>
      <c r="AP41" s="169"/>
      <c r="AQ41" s="169"/>
      <c r="AR41" s="185" t="e">
        <f t="shared" si="16"/>
        <v>#N/A</v>
      </c>
      <c r="AS41" s="494"/>
      <c r="AT41" s="169"/>
      <c r="AU41" s="169"/>
      <c r="AV41" s="169"/>
      <c r="AW41" s="185" t="e">
        <f t="shared" si="17"/>
        <v>#N/A</v>
      </c>
      <c r="AX41" s="494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96" t="s">
        <v>259</v>
      </c>
      <c r="C47" s="185">
        <v>1</v>
      </c>
      <c r="D47" s="206"/>
      <c r="E47" s="169"/>
      <c r="F47" s="185"/>
      <c r="G47" s="183"/>
      <c r="H47" s="451" t="e">
        <f>AVERAGE(G47:G61)</f>
        <v>#DIV/0!</v>
      </c>
      <c r="I47" s="169" t="e">
        <f>AVERAGE(P47,U47,Z47,AE47,AJ47,AO47,AT47)</f>
        <v>#DIV/0!</v>
      </c>
      <c r="J47" s="169" t="e">
        <f>AVERAGE(Q47,V47,AA47,AF47,AK47,AP47,AU47)</f>
        <v>#DIV/0!</v>
      </c>
      <c r="K47" s="183" t="e">
        <f>AVERAGE(R47,W47,AB47,AG47,AL47,AQ47,AV47)</f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69"/>
      <c r="R47" s="169"/>
      <c r="S47" s="185" t="e">
        <f>RANK(R47, R$47:R$61)</f>
        <v>#N/A</v>
      </c>
      <c r="T47" s="494" t="e">
        <f>AVERAGE(R47:R61)</f>
        <v>#DIV/0!</v>
      </c>
      <c r="U47" s="169"/>
      <c r="V47" s="169"/>
      <c r="W47" s="169"/>
      <c r="X47" s="185" t="e">
        <f>RANK(W47, W$47:W$61)</f>
        <v>#N/A</v>
      </c>
      <c r="Y47" s="494" t="e">
        <f>AVERAGE(W47:W61)</f>
        <v>#DIV/0!</v>
      </c>
      <c r="Z47" s="169"/>
      <c r="AA47" s="169"/>
      <c r="AB47" s="169"/>
      <c r="AC47" s="185" t="e">
        <f>RANK(AB47, AB$47:AB$61)</f>
        <v>#N/A</v>
      </c>
      <c r="AD47" s="494" t="e">
        <f>AVERAGE(AB47:AB61)</f>
        <v>#DIV/0!</v>
      </c>
      <c r="AE47" s="169"/>
      <c r="AF47" s="169"/>
      <c r="AG47" s="169"/>
      <c r="AH47" s="185" t="e">
        <f>RANK(AG47, AG$47:AG$61)</f>
        <v>#N/A</v>
      </c>
      <c r="AI47" s="494" t="e">
        <f>AVERAGE(AG47:AG61)</f>
        <v>#DIV/0!</v>
      </c>
      <c r="AJ47" s="169"/>
      <c r="AK47" s="169"/>
      <c r="AL47" s="169"/>
      <c r="AM47" s="185" t="e">
        <f>RANK(AL47, AL$47:AL$61)</f>
        <v>#N/A</v>
      </c>
      <c r="AN47" s="494" t="e">
        <f>AVERAGE(AL47:AL61)</f>
        <v>#DIV/0!</v>
      </c>
      <c r="AO47" s="169"/>
      <c r="AP47" s="169"/>
      <c r="AQ47" s="169"/>
      <c r="AR47" s="185" t="e">
        <f>RANK(AQ47, AQ$47:AQ$61)</f>
        <v>#N/A</v>
      </c>
      <c r="AS47" s="494" t="e">
        <f>AVERAGE(AQ47:AQ61)</f>
        <v>#DIV/0!</v>
      </c>
      <c r="AT47" s="169"/>
      <c r="AU47" s="169"/>
      <c r="AV47" s="169"/>
      <c r="AW47" s="185" t="e">
        <f>RANK(AV47, AV$47:AV$61)</f>
        <v>#N/A</v>
      </c>
      <c r="AX47" s="494" t="e">
        <f>AVERAGE(AV47:AV61)</f>
        <v>#DIV/0!</v>
      </c>
    </row>
    <row r="48" spans="2:50">
      <c r="B48" s="471"/>
      <c r="C48" s="185">
        <v>2</v>
      </c>
      <c r="D48" s="206"/>
      <c r="E48" s="169"/>
      <c r="F48" s="185"/>
      <c r="G48" s="183"/>
      <c r="H48" s="452"/>
      <c r="I48" s="169" t="e">
        <f t="shared" ref="I48:I56" si="21">AVERAGE(P48,U48,Z48,AE48,AJ48,AO48,AT48)</f>
        <v>#DIV/0!</v>
      </c>
      <c r="J48" s="169" t="e">
        <f t="shared" ref="J48:J56" si="22">AVERAGE(Q48,V48,AA48,AF48,AK48,AP48,AU48)</f>
        <v>#DIV/0!</v>
      </c>
      <c r="K48" s="183" t="e">
        <f t="shared" ref="K48:K56" si="23">AVERAGE(R48,W48,AB48,AG48,AL48,AQ48,AV48)</f>
        <v>#DIV/0!</v>
      </c>
      <c r="L48" s="452"/>
      <c r="M48" s="184" t="e">
        <f>RANK(K48, K$47:$K$61)</f>
        <v>#DIV/0!</v>
      </c>
      <c r="N48" s="454"/>
      <c r="O48" s="454"/>
      <c r="P48" s="169"/>
      <c r="Q48" s="169"/>
      <c r="R48" s="169"/>
      <c r="S48" s="185" t="e">
        <f t="shared" ref="S48:S61" si="24">RANK(R48, R$47:R$61)</f>
        <v>#N/A</v>
      </c>
      <c r="T48" s="494"/>
      <c r="U48" s="169"/>
      <c r="V48" s="169"/>
      <c r="W48" s="169"/>
      <c r="X48" s="185" t="e">
        <f t="shared" ref="X48:X61" si="25">RANK(W48, W$47:W$61)</f>
        <v>#N/A</v>
      </c>
      <c r="Y48" s="494"/>
      <c r="Z48" s="169"/>
      <c r="AA48" s="169"/>
      <c r="AB48" s="169"/>
      <c r="AC48" s="185" t="e">
        <f t="shared" ref="AC48:AC61" si="26">RANK(AB48, AB$47:AB$61)</f>
        <v>#N/A</v>
      </c>
      <c r="AD48" s="494"/>
      <c r="AE48" s="169"/>
      <c r="AF48" s="169"/>
      <c r="AG48" s="169"/>
      <c r="AH48" s="185" t="e">
        <f t="shared" ref="AH48:AH61" si="27">RANK(AG48, AG$47:AG$61)</f>
        <v>#N/A</v>
      </c>
      <c r="AI48" s="494"/>
      <c r="AJ48" s="169"/>
      <c r="AK48" s="169"/>
      <c r="AL48" s="169"/>
      <c r="AM48" s="185" t="e">
        <f t="shared" ref="AM48:AM61" si="28">RANK(AL48, AL$47:AL$61)</f>
        <v>#N/A</v>
      </c>
      <c r="AN48" s="494"/>
      <c r="AO48" s="169"/>
      <c r="AP48" s="169"/>
      <c r="AQ48" s="169"/>
      <c r="AR48" s="185" t="e">
        <f t="shared" ref="AR48:AR61" si="29">RANK(AQ48, AQ$47:AQ$61)</f>
        <v>#N/A</v>
      </c>
      <c r="AS48" s="494"/>
      <c r="AT48" s="169"/>
      <c r="AU48" s="169"/>
      <c r="AV48" s="169"/>
      <c r="AW48" s="185" t="e">
        <f t="shared" ref="AW48:AW61" si="30">RANK(AV48, AV$47:AV$61)</f>
        <v>#N/A</v>
      </c>
      <c r="AX48" s="494"/>
    </row>
    <row r="49" spans="2:50">
      <c r="B49" s="471"/>
      <c r="C49" s="185">
        <v>3</v>
      </c>
      <c r="D49" s="206"/>
      <c r="E49" s="169"/>
      <c r="F49" s="185"/>
      <c r="G49" s="183"/>
      <c r="H49" s="452"/>
      <c r="I49" s="169" t="e">
        <f t="shared" si="21"/>
        <v>#DIV/0!</v>
      </c>
      <c r="J49" s="169" t="e">
        <f t="shared" si="22"/>
        <v>#DIV/0!</v>
      </c>
      <c r="K49" s="183" t="e">
        <f t="shared" si="23"/>
        <v>#DIV/0!</v>
      </c>
      <c r="L49" s="452"/>
      <c r="M49" s="184" t="e">
        <f>RANK(K49, K$47:$K$61)</f>
        <v>#DIV/0!</v>
      </c>
      <c r="N49" s="454"/>
      <c r="O49" s="454"/>
      <c r="P49" s="169"/>
      <c r="Q49" s="169"/>
      <c r="R49" s="169"/>
      <c r="S49" s="185" t="e">
        <f t="shared" si="24"/>
        <v>#N/A</v>
      </c>
      <c r="T49" s="494"/>
      <c r="U49" s="169"/>
      <c r="V49" s="169"/>
      <c r="W49" s="169"/>
      <c r="X49" s="185" t="e">
        <f t="shared" si="25"/>
        <v>#N/A</v>
      </c>
      <c r="Y49" s="494"/>
      <c r="Z49" s="169"/>
      <c r="AA49" s="169"/>
      <c r="AB49" s="169"/>
      <c r="AC49" s="185" t="e">
        <f t="shared" si="26"/>
        <v>#N/A</v>
      </c>
      <c r="AD49" s="494"/>
      <c r="AE49" s="169"/>
      <c r="AF49" s="169"/>
      <c r="AG49" s="169"/>
      <c r="AH49" s="185" t="e">
        <f t="shared" si="27"/>
        <v>#N/A</v>
      </c>
      <c r="AI49" s="494"/>
      <c r="AJ49" s="169"/>
      <c r="AK49" s="169"/>
      <c r="AL49" s="169"/>
      <c r="AM49" s="185" t="e">
        <f t="shared" si="28"/>
        <v>#N/A</v>
      </c>
      <c r="AN49" s="494"/>
      <c r="AO49" s="169"/>
      <c r="AP49" s="169"/>
      <c r="AQ49" s="169"/>
      <c r="AR49" s="185" t="e">
        <f t="shared" si="29"/>
        <v>#N/A</v>
      </c>
      <c r="AS49" s="494"/>
      <c r="AT49" s="169"/>
      <c r="AU49" s="169"/>
      <c r="AV49" s="169"/>
      <c r="AW49" s="185" t="e">
        <f t="shared" si="30"/>
        <v>#N/A</v>
      </c>
      <c r="AX49" s="494"/>
    </row>
    <row r="50" spans="2:50">
      <c r="B50" s="471"/>
      <c r="C50" s="185">
        <v>4</v>
      </c>
      <c r="D50" s="206"/>
      <c r="E50" s="169"/>
      <c r="F50" s="185"/>
      <c r="G50" s="183"/>
      <c r="H50" s="452"/>
      <c r="I50" s="169" t="e">
        <f t="shared" si="21"/>
        <v>#DIV/0!</v>
      </c>
      <c r="J50" s="169" t="e">
        <f t="shared" si="22"/>
        <v>#DIV/0!</v>
      </c>
      <c r="K50" s="183" t="e">
        <f t="shared" si="23"/>
        <v>#DIV/0!</v>
      </c>
      <c r="L50" s="452"/>
      <c r="M50" s="184" t="e">
        <f>RANK(K50, K$47:$K$61)</f>
        <v>#DIV/0!</v>
      </c>
      <c r="N50" s="454"/>
      <c r="O50" s="454"/>
      <c r="P50" s="169"/>
      <c r="Q50" s="169"/>
      <c r="R50" s="169"/>
      <c r="S50" s="185" t="e">
        <f t="shared" si="24"/>
        <v>#N/A</v>
      </c>
      <c r="T50" s="494"/>
      <c r="U50" s="169"/>
      <c r="V50" s="169"/>
      <c r="W50" s="169"/>
      <c r="X50" s="185" t="e">
        <f t="shared" si="25"/>
        <v>#N/A</v>
      </c>
      <c r="Y50" s="494"/>
      <c r="Z50" s="169"/>
      <c r="AA50" s="169"/>
      <c r="AB50" s="169"/>
      <c r="AC50" s="185" t="e">
        <f t="shared" si="26"/>
        <v>#N/A</v>
      </c>
      <c r="AD50" s="494"/>
      <c r="AE50" s="169"/>
      <c r="AF50" s="169"/>
      <c r="AG50" s="169"/>
      <c r="AH50" s="185" t="e">
        <f t="shared" si="27"/>
        <v>#N/A</v>
      </c>
      <c r="AI50" s="494"/>
      <c r="AJ50" s="169"/>
      <c r="AK50" s="169"/>
      <c r="AL50" s="169"/>
      <c r="AM50" s="185" t="e">
        <f t="shared" si="28"/>
        <v>#N/A</v>
      </c>
      <c r="AN50" s="494"/>
      <c r="AO50" s="169"/>
      <c r="AP50" s="169"/>
      <c r="AQ50" s="169"/>
      <c r="AR50" s="185" t="e">
        <f t="shared" si="29"/>
        <v>#N/A</v>
      </c>
      <c r="AS50" s="494"/>
      <c r="AT50" s="169"/>
      <c r="AU50" s="169"/>
      <c r="AV50" s="169"/>
      <c r="AW50" s="185" t="e">
        <f t="shared" si="30"/>
        <v>#N/A</v>
      </c>
      <c r="AX50" s="494"/>
    </row>
    <row r="51" spans="2:50">
      <c r="B51" s="471"/>
      <c r="C51" s="185">
        <v>5</v>
      </c>
      <c r="D51" s="206"/>
      <c r="E51" s="169"/>
      <c r="F51" s="185"/>
      <c r="G51" s="183"/>
      <c r="H51" s="452"/>
      <c r="I51" s="169" t="e">
        <f t="shared" si="21"/>
        <v>#DIV/0!</v>
      </c>
      <c r="J51" s="169" t="e">
        <f t="shared" si="22"/>
        <v>#DIV/0!</v>
      </c>
      <c r="K51" s="183" t="e">
        <f t="shared" si="23"/>
        <v>#DIV/0!</v>
      </c>
      <c r="L51" s="452"/>
      <c r="M51" s="184" t="e">
        <f>RANK(K51, K$47:$K$61)</f>
        <v>#DIV/0!</v>
      </c>
      <c r="N51" s="454"/>
      <c r="O51" s="454"/>
      <c r="P51" s="169"/>
      <c r="Q51" s="169"/>
      <c r="R51" s="169"/>
      <c r="S51" s="185" t="e">
        <f t="shared" si="24"/>
        <v>#N/A</v>
      </c>
      <c r="T51" s="494"/>
      <c r="U51" s="169"/>
      <c r="V51" s="169"/>
      <c r="W51" s="169"/>
      <c r="X51" s="185" t="e">
        <f t="shared" si="25"/>
        <v>#N/A</v>
      </c>
      <c r="Y51" s="494"/>
      <c r="Z51" s="169"/>
      <c r="AA51" s="169"/>
      <c r="AB51" s="169"/>
      <c r="AC51" s="185" t="e">
        <f t="shared" si="26"/>
        <v>#N/A</v>
      </c>
      <c r="AD51" s="494"/>
      <c r="AE51" s="169"/>
      <c r="AF51" s="169"/>
      <c r="AG51" s="169"/>
      <c r="AH51" s="185" t="e">
        <f t="shared" si="27"/>
        <v>#N/A</v>
      </c>
      <c r="AI51" s="494"/>
      <c r="AJ51" s="169"/>
      <c r="AK51" s="169"/>
      <c r="AL51" s="169"/>
      <c r="AM51" s="185" t="e">
        <f t="shared" si="28"/>
        <v>#N/A</v>
      </c>
      <c r="AN51" s="494"/>
      <c r="AO51" s="169"/>
      <c r="AP51" s="169"/>
      <c r="AQ51" s="169"/>
      <c r="AR51" s="185" t="e">
        <f t="shared" si="29"/>
        <v>#N/A</v>
      </c>
      <c r="AS51" s="494"/>
      <c r="AT51" s="169"/>
      <c r="AU51" s="169"/>
      <c r="AV51" s="169"/>
      <c r="AW51" s="185" t="e">
        <f t="shared" si="30"/>
        <v>#N/A</v>
      </c>
      <c r="AX51" s="494"/>
    </row>
    <row r="52" spans="2:50">
      <c r="B52" s="471"/>
      <c r="C52" s="185">
        <v>6</v>
      </c>
      <c r="D52" s="206"/>
      <c r="E52" s="169"/>
      <c r="F52" s="185"/>
      <c r="G52" s="183"/>
      <c r="H52" s="452"/>
      <c r="I52" s="169" t="e">
        <f t="shared" si="21"/>
        <v>#DIV/0!</v>
      </c>
      <c r="J52" s="169" t="e">
        <f t="shared" si="22"/>
        <v>#DIV/0!</v>
      </c>
      <c r="K52" s="183" t="e">
        <f t="shared" si="23"/>
        <v>#DIV/0!</v>
      </c>
      <c r="L52" s="452"/>
      <c r="M52" s="184" t="e">
        <f>RANK(K52, K$47:$K$61)</f>
        <v>#DIV/0!</v>
      </c>
      <c r="N52" s="454"/>
      <c r="O52" s="454"/>
      <c r="P52" s="169"/>
      <c r="Q52" s="169"/>
      <c r="R52" s="169"/>
      <c r="S52" s="185" t="e">
        <f t="shared" si="24"/>
        <v>#N/A</v>
      </c>
      <c r="T52" s="494"/>
      <c r="U52" s="169"/>
      <c r="V52" s="169"/>
      <c r="W52" s="169"/>
      <c r="X52" s="185" t="e">
        <f t="shared" si="25"/>
        <v>#N/A</v>
      </c>
      <c r="Y52" s="494"/>
      <c r="Z52" s="169"/>
      <c r="AA52" s="169"/>
      <c r="AB52" s="169"/>
      <c r="AC52" s="185" t="e">
        <f t="shared" si="26"/>
        <v>#N/A</v>
      </c>
      <c r="AD52" s="494"/>
      <c r="AE52" s="169"/>
      <c r="AF52" s="169"/>
      <c r="AG52" s="169"/>
      <c r="AH52" s="185" t="e">
        <f t="shared" si="27"/>
        <v>#N/A</v>
      </c>
      <c r="AI52" s="494"/>
      <c r="AJ52" s="169"/>
      <c r="AK52" s="169"/>
      <c r="AL52" s="169"/>
      <c r="AM52" s="185" t="e">
        <f t="shared" si="28"/>
        <v>#N/A</v>
      </c>
      <c r="AN52" s="494"/>
      <c r="AO52" s="169"/>
      <c r="AP52" s="169"/>
      <c r="AQ52" s="169"/>
      <c r="AR52" s="185" t="e">
        <f t="shared" si="29"/>
        <v>#N/A</v>
      </c>
      <c r="AS52" s="494"/>
      <c r="AT52" s="169"/>
      <c r="AU52" s="169"/>
      <c r="AV52" s="169"/>
      <c r="AW52" s="185" t="e">
        <f t="shared" si="30"/>
        <v>#N/A</v>
      </c>
      <c r="AX52" s="494"/>
    </row>
    <row r="53" spans="2:50">
      <c r="B53" s="471"/>
      <c r="C53" s="185">
        <v>7</v>
      </c>
      <c r="D53" s="206"/>
      <c r="E53" s="169"/>
      <c r="F53" s="185"/>
      <c r="G53" s="183"/>
      <c r="H53" s="452"/>
      <c r="I53" s="169" t="e">
        <f t="shared" si="21"/>
        <v>#DIV/0!</v>
      </c>
      <c r="J53" s="169" t="e">
        <f t="shared" si="22"/>
        <v>#DIV/0!</v>
      </c>
      <c r="K53" s="183" t="e">
        <f t="shared" si="23"/>
        <v>#DIV/0!</v>
      </c>
      <c r="L53" s="452"/>
      <c r="M53" s="184" t="e">
        <f>RANK(K53, K$47:$K$61)</f>
        <v>#DIV/0!</v>
      </c>
      <c r="N53" s="454"/>
      <c r="O53" s="454"/>
      <c r="P53" s="169"/>
      <c r="Q53" s="169"/>
      <c r="R53" s="169"/>
      <c r="S53" s="185" t="e">
        <f t="shared" si="24"/>
        <v>#N/A</v>
      </c>
      <c r="T53" s="494"/>
      <c r="U53" s="169"/>
      <c r="V53" s="169"/>
      <c r="W53" s="169"/>
      <c r="X53" s="185" t="e">
        <f t="shared" si="25"/>
        <v>#N/A</v>
      </c>
      <c r="Y53" s="494"/>
      <c r="Z53" s="169"/>
      <c r="AA53" s="169"/>
      <c r="AB53" s="169"/>
      <c r="AC53" s="185" t="e">
        <f t="shared" si="26"/>
        <v>#N/A</v>
      </c>
      <c r="AD53" s="494"/>
      <c r="AE53" s="169"/>
      <c r="AF53" s="169"/>
      <c r="AG53" s="169"/>
      <c r="AH53" s="185" t="e">
        <f t="shared" si="27"/>
        <v>#N/A</v>
      </c>
      <c r="AI53" s="494"/>
      <c r="AJ53" s="169"/>
      <c r="AK53" s="169"/>
      <c r="AL53" s="169"/>
      <c r="AM53" s="185" t="e">
        <f t="shared" si="28"/>
        <v>#N/A</v>
      </c>
      <c r="AN53" s="494"/>
      <c r="AO53" s="169"/>
      <c r="AP53" s="169"/>
      <c r="AQ53" s="169"/>
      <c r="AR53" s="185" t="e">
        <f t="shared" si="29"/>
        <v>#N/A</v>
      </c>
      <c r="AS53" s="494"/>
      <c r="AT53" s="169"/>
      <c r="AU53" s="169"/>
      <c r="AV53" s="169"/>
      <c r="AW53" s="185" t="e">
        <f t="shared" si="30"/>
        <v>#N/A</v>
      </c>
      <c r="AX53" s="494"/>
    </row>
    <row r="54" spans="2:50">
      <c r="B54" s="471"/>
      <c r="C54" s="185">
        <v>8</v>
      </c>
      <c r="D54" s="206"/>
      <c r="E54" s="169"/>
      <c r="F54" s="185"/>
      <c r="G54" s="183"/>
      <c r="H54" s="452"/>
      <c r="I54" s="169" t="e">
        <f t="shared" si="21"/>
        <v>#DIV/0!</v>
      </c>
      <c r="J54" s="169" t="e">
        <f t="shared" si="22"/>
        <v>#DIV/0!</v>
      </c>
      <c r="K54" s="183" t="e">
        <f t="shared" si="23"/>
        <v>#DIV/0!</v>
      </c>
      <c r="L54" s="452"/>
      <c r="M54" s="184" t="e">
        <f>RANK(K54, K$47:$K$61)</f>
        <v>#DIV/0!</v>
      </c>
      <c r="N54" s="454"/>
      <c r="O54" s="454"/>
      <c r="P54" s="169"/>
      <c r="Q54" s="169"/>
      <c r="R54" s="169"/>
      <c r="S54" s="185" t="e">
        <f t="shared" si="24"/>
        <v>#N/A</v>
      </c>
      <c r="T54" s="494"/>
      <c r="U54" s="169"/>
      <c r="V54" s="169"/>
      <c r="W54" s="169"/>
      <c r="X54" s="185" t="e">
        <f t="shared" si="25"/>
        <v>#N/A</v>
      </c>
      <c r="Y54" s="494"/>
      <c r="Z54" s="169"/>
      <c r="AA54" s="169"/>
      <c r="AB54" s="169"/>
      <c r="AC54" s="185" t="e">
        <f t="shared" si="26"/>
        <v>#N/A</v>
      </c>
      <c r="AD54" s="494"/>
      <c r="AE54" s="169"/>
      <c r="AF54" s="169"/>
      <c r="AG54" s="169"/>
      <c r="AH54" s="185" t="e">
        <f t="shared" si="27"/>
        <v>#N/A</v>
      </c>
      <c r="AI54" s="494"/>
      <c r="AJ54" s="169"/>
      <c r="AK54" s="169"/>
      <c r="AL54" s="169"/>
      <c r="AM54" s="185" t="e">
        <f t="shared" si="28"/>
        <v>#N/A</v>
      </c>
      <c r="AN54" s="494"/>
      <c r="AO54" s="169"/>
      <c r="AP54" s="169"/>
      <c r="AQ54" s="169"/>
      <c r="AR54" s="185" t="e">
        <f t="shared" si="29"/>
        <v>#N/A</v>
      </c>
      <c r="AS54" s="494"/>
      <c r="AT54" s="169"/>
      <c r="AU54" s="169"/>
      <c r="AV54" s="169"/>
      <c r="AW54" s="185" t="e">
        <f t="shared" si="30"/>
        <v>#N/A</v>
      </c>
      <c r="AX54" s="494"/>
    </row>
    <row r="55" spans="2:50">
      <c r="B55" s="471"/>
      <c r="C55" s="185">
        <v>9</v>
      </c>
      <c r="D55" s="206"/>
      <c r="E55" s="169"/>
      <c r="F55" s="185"/>
      <c r="G55" s="183"/>
      <c r="H55" s="452"/>
      <c r="I55" s="169" t="e">
        <f t="shared" si="21"/>
        <v>#DIV/0!</v>
      </c>
      <c r="J55" s="169" t="e">
        <f t="shared" si="22"/>
        <v>#DIV/0!</v>
      </c>
      <c r="K55" s="183" t="e">
        <f t="shared" si="23"/>
        <v>#DIV/0!</v>
      </c>
      <c r="L55" s="452"/>
      <c r="M55" s="184" t="e">
        <f>RANK(K55, K$47:$K$61)</f>
        <v>#DIV/0!</v>
      </c>
      <c r="N55" s="454"/>
      <c r="O55" s="454"/>
      <c r="P55" s="169"/>
      <c r="Q55" s="169"/>
      <c r="R55" s="169"/>
      <c r="S55" s="185" t="e">
        <f t="shared" si="24"/>
        <v>#N/A</v>
      </c>
      <c r="T55" s="494"/>
      <c r="U55" s="169"/>
      <c r="V55" s="169"/>
      <c r="W55" s="169"/>
      <c r="X55" s="185" t="e">
        <f t="shared" si="25"/>
        <v>#N/A</v>
      </c>
      <c r="Y55" s="494"/>
      <c r="Z55" s="169"/>
      <c r="AA55" s="169"/>
      <c r="AB55" s="169"/>
      <c r="AC55" s="185" t="e">
        <f t="shared" si="26"/>
        <v>#N/A</v>
      </c>
      <c r="AD55" s="494"/>
      <c r="AE55" s="169"/>
      <c r="AF55" s="169"/>
      <c r="AG55" s="169"/>
      <c r="AH55" s="185" t="e">
        <f t="shared" si="27"/>
        <v>#N/A</v>
      </c>
      <c r="AI55" s="494"/>
      <c r="AJ55" s="169"/>
      <c r="AK55" s="169"/>
      <c r="AL55" s="169"/>
      <c r="AM55" s="185" t="e">
        <f t="shared" si="28"/>
        <v>#N/A</v>
      </c>
      <c r="AN55" s="494"/>
      <c r="AO55" s="169"/>
      <c r="AP55" s="169"/>
      <c r="AQ55" s="169"/>
      <c r="AR55" s="185" t="e">
        <f t="shared" si="29"/>
        <v>#N/A</v>
      </c>
      <c r="AS55" s="494"/>
      <c r="AT55" s="169"/>
      <c r="AU55" s="169"/>
      <c r="AV55" s="169"/>
      <c r="AW55" s="185" t="e">
        <f t="shared" si="30"/>
        <v>#N/A</v>
      </c>
      <c r="AX55" s="494"/>
    </row>
    <row r="56" spans="2:50">
      <c r="B56" s="471"/>
      <c r="C56" s="185">
        <v>10</v>
      </c>
      <c r="D56" s="206"/>
      <c r="E56" s="169"/>
      <c r="F56" s="185"/>
      <c r="G56" s="183"/>
      <c r="H56" s="452"/>
      <c r="I56" s="169" t="e">
        <f t="shared" si="21"/>
        <v>#DIV/0!</v>
      </c>
      <c r="J56" s="169" t="e">
        <f t="shared" si="22"/>
        <v>#DIV/0!</v>
      </c>
      <c r="K56" s="183" t="e">
        <f t="shared" si="23"/>
        <v>#DIV/0!</v>
      </c>
      <c r="L56" s="452"/>
      <c r="M56" s="184" t="e">
        <f>RANK(K56, K$47:$K$61)</f>
        <v>#DIV/0!</v>
      </c>
      <c r="N56" s="454"/>
      <c r="O56" s="454"/>
      <c r="P56" s="169"/>
      <c r="Q56" s="169"/>
      <c r="R56" s="169"/>
      <c r="S56" s="185" t="e">
        <f t="shared" si="24"/>
        <v>#N/A</v>
      </c>
      <c r="T56" s="494"/>
      <c r="U56" s="169"/>
      <c r="V56" s="169"/>
      <c r="W56" s="169"/>
      <c r="X56" s="185" t="e">
        <f t="shared" si="25"/>
        <v>#N/A</v>
      </c>
      <c r="Y56" s="494"/>
      <c r="Z56" s="169"/>
      <c r="AA56" s="169"/>
      <c r="AB56" s="169"/>
      <c r="AC56" s="185" t="e">
        <f t="shared" si="26"/>
        <v>#N/A</v>
      </c>
      <c r="AD56" s="494"/>
      <c r="AE56" s="169"/>
      <c r="AF56" s="169"/>
      <c r="AG56" s="169"/>
      <c r="AH56" s="185" t="e">
        <f t="shared" si="27"/>
        <v>#N/A</v>
      </c>
      <c r="AI56" s="494"/>
      <c r="AJ56" s="169"/>
      <c r="AK56" s="169"/>
      <c r="AL56" s="169"/>
      <c r="AM56" s="185" t="e">
        <f t="shared" si="28"/>
        <v>#N/A</v>
      </c>
      <c r="AN56" s="494"/>
      <c r="AO56" s="169"/>
      <c r="AP56" s="169"/>
      <c r="AQ56" s="169"/>
      <c r="AR56" s="185" t="e">
        <f t="shared" si="29"/>
        <v>#N/A</v>
      </c>
      <c r="AS56" s="494"/>
      <c r="AT56" s="169"/>
      <c r="AU56" s="169"/>
      <c r="AV56" s="169"/>
      <c r="AW56" s="185" t="e">
        <f t="shared" si="30"/>
        <v>#N/A</v>
      </c>
      <c r="AX56" s="494"/>
    </row>
    <row r="57" spans="2:50">
      <c r="B57" s="471"/>
      <c r="C57" s="185">
        <v>11</v>
      </c>
      <c r="D57" s="206"/>
      <c r="E57" s="169"/>
      <c r="F57" s="185"/>
      <c r="G57" s="183"/>
      <c r="H57" s="452"/>
      <c r="I57" s="169" t="e">
        <f t="shared" ref="I57" si="31">AVERAGE(P57,U57,Z57,AE57,AJ57,AO57,AT57)</f>
        <v>#DIV/0!</v>
      </c>
      <c r="J57" s="169" t="e">
        <f t="shared" ref="J57" si="32">AVERAGE(Q57,V57,AA57,AF57,AK57,AP57,AU57)</f>
        <v>#DIV/0!</v>
      </c>
      <c r="K57" s="183" t="e">
        <f t="shared" ref="K57" si="33">AVERAGE(R57,W57,AB57,AG57,AL57,AQ57,AV57)</f>
        <v>#DIV/0!</v>
      </c>
      <c r="L57" s="452"/>
      <c r="M57" s="184" t="e">
        <f>RANK(K57, K$47:$K$61)</f>
        <v>#DIV/0!</v>
      </c>
      <c r="N57" s="454"/>
      <c r="O57" s="454"/>
      <c r="P57" s="169"/>
      <c r="Q57" s="169"/>
      <c r="R57" s="169"/>
      <c r="S57" s="185" t="e">
        <f t="shared" si="24"/>
        <v>#N/A</v>
      </c>
      <c r="T57" s="494"/>
      <c r="U57" s="169"/>
      <c r="V57" s="169"/>
      <c r="W57" s="169"/>
      <c r="X57" s="185" t="e">
        <f t="shared" si="25"/>
        <v>#N/A</v>
      </c>
      <c r="Y57" s="494"/>
      <c r="Z57" s="169"/>
      <c r="AA57" s="169"/>
      <c r="AB57" s="169"/>
      <c r="AC57" s="185" t="e">
        <f t="shared" si="26"/>
        <v>#N/A</v>
      </c>
      <c r="AD57" s="494"/>
      <c r="AE57" s="169"/>
      <c r="AF57" s="169"/>
      <c r="AG57" s="169"/>
      <c r="AH57" s="185" t="e">
        <f t="shared" si="27"/>
        <v>#N/A</v>
      </c>
      <c r="AI57" s="494"/>
      <c r="AJ57" s="169"/>
      <c r="AK57" s="169"/>
      <c r="AL57" s="169"/>
      <c r="AM57" s="185" t="e">
        <f t="shared" si="28"/>
        <v>#N/A</v>
      </c>
      <c r="AN57" s="494"/>
      <c r="AO57" s="169"/>
      <c r="AP57" s="169"/>
      <c r="AQ57" s="169"/>
      <c r="AR57" s="185" t="e">
        <f t="shared" si="29"/>
        <v>#N/A</v>
      </c>
      <c r="AS57" s="494"/>
      <c r="AT57" s="169"/>
      <c r="AU57" s="169"/>
      <c r="AV57" s="169"/>
      <c r="AW57" s="185" t="e">
        <f t="shared" si="30"/>
        <v>#N/A</v>
      </c>
      <c r="AX57" s="494"/>
    </row>
    <row r="58" spans="2:50">
      <c r="B58" s="471"/>
      <c r="C58" s="185">
        <v>12</v>
      </c>
      <c r="D58" s="206"/>
      <c r="E58" s="169"/>
      <c r="F58" s="185"/>
      <c r="G58" s="183"/>
      <c r="H58" s="452"/>
      <c r="I58" s="185"/>
      <c r="J58" s="185"/>
      <c r="K58" s="185"/>
      <c r="L58" s="452"/>
      <c r="M58" s="184" t="e">
        <f>RANK(K58, K$47:$K$61)</f>
        <v>#DIV/0!</v>
      </c>
      <c r="N58" s="454"/>
      <c r="O58" s="454"/>
      <c r="P58" s="169"/>
      <c r="Q58" s="169"/>
      <c r="R58" s="169"/>
      <c r="S58" s="185" t="e">
        <f t="shared" si="24"/>
        <v>#N/A</v>
      </c>
      <c r="T58" s="494"/>
      <c r="U58" s="169"/>
      <c r="V58" s="169"/>
      <c r="W58" s="169"/>
      <c r="X58" s="185" t="e">
        <f t="shared" si="25"/>
        <v>#N/A</v>
      </c>
      <c r="Y58" s="494"/>
      <c r="Z58" s="169"/>
      <c r="AA58" s="169"/>
      <c r="AB58" s="169"/>
      <c r="AC58" s="185" t="e">
        <f t="shared" si="26"/>
        <v>#N/A</v>
      </c>
      <c r="AD58" s="494"/>
      <c r="AE58" s="169"/>
      <c r="AF58" s="169"/>
      <c r="AG58" s="169"/>
      <c r="AH58" s="185" t="e">
        <f t="shared" si="27"/>
        <v>#N/A</v>
      </c>
      <c r="AI58" s="494"/>
      <c r="AJ58" s="169"/>
      <c r="AK58" s="169"/>
      <c r="AL58" s="169"/>
      <c r="AM58" s="185" t="e">
        <f t="shared" si="28"/>
        <v>#N/A</v>
      </c>
      <c r="AN58" s="494"/>
      <c r="AO58" s="169"/>
      <c r="AP58" s="169"/>
      <c r="AQ58" s="169"/>
      <c r="AR58" s="185" t="e">
        <f t="shared" si="29"/>
        <v>#N/A</v>
      </c>
      <c r="AS58" s="494"/>
      <c r="AT58" s="169"/>
      <c r="AU58" s="169"/>
      <c r="AV58" s="169"/>
      <c r="AW58" s="185" t="e">
        <f t="shared" si="30"/>
        <v>#N/A</v>
      </c>
      <c r="AX58" s="494"/>
    </row>
    <row r="59" spans="2:50">
      <c r="B59" s="471"/>
      <c r="C59" s="185">
        <v>13</v>
      </c>
      <c r="D59" s="206"/>
      <c r="E59" s="169"/>
      <c r="F59" s="185"/>
      <c r="G59" s="183"/>
      <c r="H59" s="452"/>
      <c r="I59" s="185"/>
      <c r="J59" s="185"/>
      <c r="K59" s="185"/>
      <c r="L59" s="452"/>
      <c r="M59" s="184" t="e">
        <f>RANK(K59, K$47:$K$61)</f>
        <v>#DIV/0!</v>
      </c>
      <c r="N59" s="454"/>
      <c r="O59" s="454"/>
      <c r="P59" s="169"/>
      <c r="Q59" s="169"/>
      <c r="R59" s="169"/>
      <c r="S59" s="185" t="e">
        <f t="shared" si="24"/>
        <v>#N/A</v>
      </c>
      <c r="T59" s="494"/>
      <c r="U59" s="169"/>
      <c r="V59" s="169"/>
      <c r="W59" s="169"/>
      <c r="X59" s="185" t="e">
        <f t="shared" si="25"/>
        <v>#N/A</v>
      </c>
      <c r="Y59" s="494"/>
      <c r="Z59" s="169"/>
      <c r="AA59" s="169"/>
      <c r="AB59" s="169"/>
      <c r="AC59" s="185" t="e">
        <f t="shared" si="26"/>
        <v>#N/A</v>
      </c>
      <c r="AD59" s="494"/>
      <c r="AE59" s="169"/>
      <c r="AF59" s="169"/>
      <c r="AG59" s="169"/>
      <c r="AH59" s="185" t="e">
        <f t="shared" si="27"/>
        <v>#N/A</v>
      </c>
      <c r="AI59" s="494"/>
      <c r="AJ59" s="169"/>
      <c r="AK59" s="169"/>
      <c r="AL59" s="169"/>
      <c r="AM59" s="185" t="e">
        <f t="shared" si="28"/>
        <v>#N/A</v>
      </c>
      <c r="AN59" s="494"/>
      <c r="AO59" s="169"/>
      <c r="AP59" s="169"/>
      <c r="AQ59" s="169"/>
      <c r="AR59" s="185" t="e">
        <f t="shared" si="29"/>
        <v>#N/A</v>
      </c>
      <c r="AS59" s="494"/>
      <c r="AT59" s="169"/>
      <c r="AU59" s="169"/>
      <c r="AV59" s="169"/>
      <c r="AW59" s="185" t="e">
        <f t="shared" si="30"/>
        <v>#N/A</v>
      </c>
      <c r="AX59" s="494"/>
    </row>
    <row r="60" spans="2:50">
      <c r="B60" s="471"/>
      <c r="C60" s="185">
        <v>14</v>
      </c>
      <c r="D60" s="206"/>
      <c r="E60" s="169"/>
      <c r="F60" s="185"/>
      <c r="G60" s="183"/>
      <c r="H60" s="452"/>
      <c r="I60" s="185"/>
      <c r="J60" s="185"/>
      <c r="K60" s="185"/>
      <c r="L60" s="452"/>
      <c r="M60" s="184" t="e">
        <f>RANK(K60, K$47:$K$61)</f>
        <v>#DIV/0!</v>
      </c>
      <c r="N60" s="454"/>
      <c r="O60" s="454"/>
      <c r="P60" s="169"/>
      <c r="Q60" s="169"/>
      <c r="R60" s="169"/>
      <c r="S60" s="185" t="e">
        <f t="shared" si="24"/>
        <v>#N/A</v>
      </c>
      <c r="T60" s="494"/>
      <c r="U60" s="169"/>
      <c r="V60" s="169"/>
      <c r="W60" s="169"/>
      <c r="X60" s="185" t="e">
        <f t="shared" si="25"/>
        <v>#N/A</v>
      </c>
      <c r="Y60" s="494"/>
      <c r="Z60" s="169"/>
      <c r="AA60" s="169"/>
      <c r="AB60" s="169"/>
      <c r="AC60" s="185" t="e">
        <f t="shared" si="26"/>
        <v>#N/A</v>
      </c>
      <c r="AD60" s="494"/>
      <c r="AE60" s="169"/>
      <c r="AF60" s="169"/>
      <c r="AG60" s="169"/>
      <c r="AH60" s="185" t="e">
        <f t="shared" si="27"/>
        <v>#N/A</v>
      </c>
      <c r="AI60" s="494"/>
      <c r="AJ60" s="169"/>
      <c r="AK60" s="169"/>
      <c r="AL60" s="169"/>
      <c r="AM60" s="185" t="e">
        <f t="shared" si="28"/>
        <v>#N/A</v>
      </c>
      <c r="AN60" s="494"/>
      <c r="AO60" s="169"/>
      <c r="AP60" s="169"/>
      <c r="AQ60" s="169"/>
      <c r="AR60" s="185" t="e">
        <f t="shared" si="29"/>
        <v>#N/A</v>
      </c>
      <c r="AS60" s="494"/>
      <c r="AT60" s="169"/>
      <c r="AU60" s="169"/>
      <c r="AV60" s="169"/>
      <c r="AW60" s="185" t="e">
        <f t="shared" si="30"/>
        <v>#N/A</v>
      </c>
      <c r="AX60" s="494"/>
    </row>
    <row r="61" spans="2:50">
      <c r="B61" s="471"/>
      <c r="C61" s="185">
        <v>15</v>
      </c>
      <c r="D61" s="206"/>
      <c r="E61" s="169"/>
      <c r="F61" s="185"/>
      <c r="G61" s="183"/>
      <c r="H61" s="453"/>
      <c r="I61" s="185"/>
      <c r="J61" s="185"/>
      <c r="K61" s="185"/>
      <c r="L61" s="453"/>
      <c r="M61" s="184" t="e">
        <f>RANK(K61, K$47:$K$61)</f>
        <v>#DIV/0!</v>
      </c>
      <c r="N61" s="454"/>
      <c r="O61" s="454"/>
      <c r="P61" s="169"/>
      <c r="Q61" s="169"/>
      <c r="R61" s="169"/>
      <c r="S61" s="185" t="e">
        <f t="shared" si="24"/>
        <v>#N/A</v>
      </c>
      <c r="T61" s="494"/>
      <c r="U61" s="169"/>
      <c r="V61" s="169"/>
      <c r="W61" s="169"/>
      <c r="X61" s="185" t="e">
        <f t="shared" si="25"/>
        <v>#N/A</v>
      </c>
      <c r="Y61" s="494"/>
      <c r="Z61" s="169"/>
      <c r="AA61" s="169"/>
      <c r="AB61" s="169"/>
      <c r="AC61" s="185" t="e">
        <f t="shared" si="26"/>
        <v>#N/A</v>
      </c>
      <c r="AD61" s="494"/>
      <c r="AE61" s="169"/>
      <c r="AF61" s="169"/>
      <c r="AG61" s="169"/>
      <c r="AH61" s="185" t="e">
        <f t="shared" si="27"/>
        <v>#N/A</v>
      </c>
      <c r="AI61" s="494"/>
      <c r="AJ61" s="169"/>
      <c r="AK61" s="169"/>
      <c r="AL61" s="169"/>
      <c r="AM61" s="185" t="e">
        <f t="shared" si="28"/>
        <v>#N/A</v>
      </c>
      <c r="AN61" s="494"/>
      <c r="AO61" s="169"/>
      <c r="AP61" s="169"/>
      <c r="AQ61" s="169"/>
      <c r="AR61" s="185" t="e">
        <f t="shared" si="29"/>
        <v>#N/A</v>
      </c>
      <c r="AS61" s="494"/>
      <c r="AT61" s="169"/>
      <c r="AU61" s="169"/>
      <c r="AV61" s="169"/>
      <c r="AW61" s="185" t="e">
        <f t="shared" si="30"/>
        <v>#N/A</v>
      </c>
      <c r="AX61" s="494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96" t="s">
        <v>259</v>
      </c>
      <c r="C67" s="185">
        <v>1</v>
      </c>
      <c r="D67" s="206"/>
      <c r="E67" s="169"/>
      <c r="F67" s="185"/>
      <c r="G67" s="183"/>
      <c r="H67" s="451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69"/>
      <c r="R67" s="169"/>
      <c r="S67" s="185" t="e">
        <f>RANK(R67, R$67:R$81)</f>
        <v>#N/A</v>
      </c>
      <c r="T67" s="494" t="e">
        <f>AVERAGE(R67:R81)</f>
        <v>#DIV/0!</v>
      </c>
      <c r="U67" s="169"/>
      <c r="V67" s="169"/>
      <c r="W67" s="169"/>
      <c r="X67" s="185" t="e">
        <f>RANK(W67, W$67:W$81)</f>
        <v>#N/A</v>
      </c>
      <c r="Y67" s="494" t="e">
        <f>AVERAGE(W67:W81)</f>
        <v>#DIV/0!</v>
      </c>
      <c r="Z67" s="169"/>
      <c r="AA67" s="169"/>
      <c r="AB67" s="169"/>
      <c r="AC67" s="185" t="e">
        <f>RANK(AB67, AB$67:AB$81)</f>
        <v>#N/A</v>
      </c>
      <c r="AD67" s="494" t="e">
        <f>AVERAGE(AB67:AB81)</f>
        <v>#DIV/0!</v>
      </c>
      <c r="AE67" s="169"/>
      <c r="AF67" s="169"/>
      <c r="AG67" s="169"/>
      <c r="AH67" s="185" t="e">
        <f>RANK(AG67, AG$67:AG$81)</f>
        <v>#N/A</v>
      </c>
      <c r="AI67" s="494" t="e">
        <f>AVERAGE(AG67:AG81)</f>
        <v>#DIV/0!</v>
      </c>
      <c r="AJ67" s="169"/>
      <c r="AK67" s="169"/>
      <c r="AL67" s="169"/>
      <c r="AM67" s="185" t="e">
        <f>RANK(AL67, AL$67:AL$81)</f>
        <v>#N/A</v>
      </c>
      <c r="AN67" s="494" t="e">
        <f>AVERAGE(AL67:AL81)</f>
        <v>#DIV/0!</v>
      </c>
      <c r="AO67" s="169"/>
      <c r="AP67" s="169"/>
      <c r="AQ67" s="169"/>
      <c r="AR67" s="185" t="e">
        <f>RANK(AQ67, AQ$67:AQ$81)</f>
        <v>#N/A</v>
      </c>
      <c r="AS67" s="494" t="e">
        <f>AVERAGE(AQ67:AQ81)</f>
        <v>#DIV/0!</v>
      </c>
      <c r="AT67" s="169"/>
      <c r="AU67" s="169"/>
      <c r="AV67" s="169"/>
      <c r="AW67" s="185" t="e">
        <f>RANK(AV67, AV$67:AV$81)</f>
        <v>#N/A</v>
      </c>
      <c r="AX67" s="494" t="e">
        <f>AVERAGE(AV67:AV81)</f>
        <v>#DIV/0!</v>
      </c>
    </row>
    <row r="68" spans="2:50">
      <c r="B68" s="471"/>
      <c r="C68" s="185">
        <v>2</v>
      </c>
      <c r="D68" s="206"/>
      <c r="E68" s="169"/>
      <c r="F68" s="185"/>
      <c r="G68" s="183"/>
      <c r="H68" s="452"/>
      <c r="I68" s="169" t="e">
        <f t="shared" ref="I68:I76" si="34">AVERAGE(P68,U68,Z68,AE68,AJ68,AO68,AT68)</f>
        <v>#DIV/0!</v>
      </c>
      <c r="J68" s="169" t="e">
        <f t="shared" ref="J68:J76" si="35">AVERAGE(Q68,V68,AA68,AF68,AK68,AP68,AU68)</f>
        <v>#DIV/0!</v>
      </c>
      <c r="K68" s="183" t="e">
        <f t="shared" ref="K68:K76" si="36">AVERAGE(R68,W68,AB68,AG68,AL68,AQ68,AV68)</f>
        <v>#DIV/0!</v>
      </c>
      <c r="L68" s="452"/>
      <c r="M68" s="184" t="e">
        <f>RANK(K68, K$67:$K$81)</f>
        <v>#DIV/0!</v>
      </c>
      <c r="N68" s="454"/>
      <c r="O68" s="454"/>
      <c r="P68" s="169"/>
      <c r="Q68" s="169"/>
      <c r="R68" s="169"/>
      <c r="S68" s="185" t="e">
        <f t="shared" ref="S68:S81" si="37">RANK(R68, R$67:R$81)</f>
        <v>#N/A</v>
      </c>
      <c r="T68" s="494"/>
      <c r="U68" s="169"/>
      <c r="V68" s="169"/>
      <c r="W68" s="169"/>
      <c r="X68" s="185" t="e">
        <f t="shared" ref="X68:X81" si="38">RANK(W68, W$67:W$81)</f>
        <v>#N/A</v>
      </c>
      <c r="Y68" s="494"/>
      <c r="Z68" s="169"/>
      <c r="AA68" s="169"/>
      <c r="AB68" s="169"/>
      <c r="AC68" s="185" t="e">
        <f t="shared" ref="AC68:AC81" si="39">RANK(AB68, AB$67:AB$81)</f>
        <v>#N/A</v>
      </c>
      <c r="AD68" s="494"/>
      <c r="AE68" s="169"/>
      <c r="AF68" s="169"/>
      <c r="AG68" s="169"/>
      <c r="AH68" s="185" t="e">
        <f t="shared" ref="AH68:AH81" si="40">RANK(AG68, AG$67:AG$81)</f>
        <v>#N/A</v>
      </c>
      <c r="AI68" s="494"/>
      <c r="AJ68" s="169"/>
      <c r="AK68" s="169"/>
      <c r="AL68" s="169"/>
      <c r="AM68" s="185" t="e">
        <f t="shared" ref="AM68:AM81" si="41">RANK(AL68, AL$67:AL$81)</f>
        <v>#N/A</v>
      </c>
      <c r="AN68" s="494"/>
      <c r="AO68" s="169"/>
      <c r="AP68" s="169"/>
      <c r="AQ68" s="169"/>
      <c r="AR68" s="185" t="e">
        <f t="shared" ref="AR68:AR81" si="42">RANK(AQ68, AQ$67:AQ$81)</f>
        <v>#N/A</v>
      </c>
      <c r="AS68" s="494"/>
      <c r="AT68" s="169"/>
      <c r="AU68" s="169"/>
      <c r="AV68" s="169"/>
      <c r="AW68" s="185" t="e">
        <f t="shared" ref="AW68:AW81" si="43">RANK(AV68, AV$67:AV$81)</f>
        <v>#N/A</v>
      </c>
      <c r="AX68" s="494"/>
    </row>
    <row r="69" spans="2:50">
      <c r="B69" s="471"/>
      <c r="C69" s="185">
        <v>3</v>
      </c>
      <c r="D69" s="206"/>
      <c r="E69" s="169"/>
      <c r="F69" s="185"/>
      <c r="G69" s="183"/>
      <c r="H69" s="452"/>
      <c r="I69" s="169" t="e">
        <f t="shared" si="34"/>
        <v>#DIV/0!</v>
      </c>
      <c r="J69" s="169" t="e">
        <f t="shared" si="35"/>
        <v>#DIV/0!</v>
      </c>
      <c r="K69" s="183" t="e">
        <f t="shared" si="36"/>
        <v>#DIV/0!</v>
      </c>
      <c r="L69" s="452"/>
      <c r="M69" s="184" t="e">
        <f>RANK(K69, K$67:$K$81)</f>
        <v>#DIV/0!</v>
      </c>
      <c r="N69" s="454"/>
      <c r="O69" s="454"/>
      <c r="P69" s="169"/>
      <c r="Q69" s="169"/>
      <c r="R69" s="169"/>
      <c r="S69" s="185" t="e">
        <f t="shared" si="37"/>
        <v>#N/A</v>
      </c>
      <c r="T69" s="494"/>
      <c r="U69" s="169"/>
      <c r="V69" s="169"/>
      <c r="W69" s="169"/>
      <c r="X69" s="185" t="e">
        <f t="shared" si="38"/>
        <v>#N/A</v>
      </c>
      <c r="Y69" s="494"/>
      <c r="Z69" s="169"/>
      <c r="AA69" s="169"/>
      <c r="AB69" s="169"/>
      <c r="AC69" s="185" t="e">
        <f t="shared" si="39"/>
        <v>#N/A</v>
      </c>
      <c r="AD69" s="494"/>
      <c r="AE69" s="169"/>
      <c r="AF69" s="169"/>
      <c r="AG69" s="169"/>
      <c r="AH69" s="185" t="e">
        <f t="shared" si="40"/>
        <v>#N/A</v>
      </c>
      <c r="AI69" s="494"/>
      <c r="AJ69" s="169"/>
      <c r="AK69" s="169"/>
      <c r="AL69" s="169"/>
      <c r="AM69" s="185" t="e">
        <f t="shared" si="41"/>
        <v>#N/A</v>
      </c>
      <c r="AN69" s="494"/>
      <c r="AO69" s="169"/>
      <c r="AP69" s="169"/>
      <c r="AQ69" s="169"/>
      <c r="AR69" s="185" t="e">
        <f t="shared" si="42"/>
        <v>#N/A</v>
      </c>
      <c r="AS69" s="494"/>
      <c r="AT69" s="169"/>
      <c r="AU69" s="169"/>
      <c r="AV69" s="169"/>
      <c r="AW69" s="185" t="e">
        <f t="shared" si="43"/>
        <v>#N/A</v>
      </c>
      <c r="AX69" s="494"/>
    </row>
    <row r="70" spans="2:50">
      <c r="B70" s="471"/>
      <c r="C70" s="185">
        <v>4</v>
      </c>
      <c r="D70" s="206"/>
      <c r="E70" s="169"/>
      <c r="F70" s="185"/>
      <c r="G70" s="183"/>
      <c r="H70" s="452"/>
      <c r="I70" s="169" t="e">
        <f t="shared" si="34"/>
        <v>#DIV/0!</v>
      </c>
      <c r="J70" s="169" t="e">
        <f t="shared" si="35"/>
        <v>#DIV/0!</v>
      </c>
      <c r="K70" s="183" t="e">
        <f t="shared" si="36"/>
        <v>#DIV/0!</v>
      </c>
      <c r="L70" s="452"/>
      <c r="M70" s="184" t="e">
        <f>RANK(K70, K$67:$K$81)</f>
        <v>#DIV/0!</v>
      </c>
      <c r="N70" s="454"/>
      <c r="O70" s="454"/>
      <c r="P70" s="169"/>
      <c r="Q70" s="169"/>
      <c r="R70" s="169"/>
      <c r="S70" s="185" t="e">
        <f t="shared" si="37"/>
        <v>#N/A</v>
      </c>
      <c r="T70" s="494"/>
      <c r="U70" s="169"/>
      <c r="V70" s="169"/>
      <c r="W70" s="169"/>
      <c r="X70" s="185" t="e">
        <f t="shared" si="38"/>
        <v>#N/A</v>
      </c>
      <c r="Y70" s="494"/>
      <c r="Z70" s="169"/>
      <c r="AA70" s="169"/>
      <c r="AB70" s="169"/>
      <c r="AC70" s="185" t="e">
        <f t="shared" si="39"/>
        <v>#N/A</v>
      </c>
      <c r="AD70" s="494"/>
      <c r="AE70" s="169"/>
      <c r="AF70" s="169"/>
      <c r="AG70" s="169"/>
      <c r="AH70" s="185" t="e">
        <f t="shared" si="40"/>
        <v>#N/A</v>
      </c>
      <c r="AI70" s="494"/>
      <c r="AJ70" s="169"/>
      <c r="AK70" s="169"/>
      <c r="AL70" s="169"/>
      <c r="AM70" s="185" t="e">
        <f t="shared" si="41"/>
        <v>#N/A</v>
      </c>
      <c r="AN70" s="494"/>
      <c r="AO70" s="169"/>
      <c r="AP70" s="169"/>
      <c r="AQ70" s="169"/>
      <c r="AR70" s="185" t="e">
        <f t="shared" si="42"/>
        <v>#N/A</v>
      </c>
      <c r="AS70" s="494"/>
      <c r="AT70" s="169"/>
      <c r="AU70" s="169"/>
      <c r="AV70" s="169"/>
      <c r="AW70" s="185" t="e">
        <f t="shared" si="43"/>
        <v>#N/A</v>
      </c>
      <c r="AX70" s="494"/>
    </row>
    <row r="71" spans="2:50">
      <c r="B71" s="471"/>
      <c r="C71" s="185">
        <v>5</v>
      </c>
      <c r="D71" s="206"/>
      <c r="E71" s="169"/>
      <c r="F71" s="185"/>
      <c r="G71" s="183"/>
      <c r="H71" s="452"/>
      <c r="I71" s="169" t="e">
        <f t="shared" si="34"/>
        <v>#DIV/0!</v>
      </c>
      <c r="J71" s="169" t="e">
        <f t="shared" si="35"/>
        <v>#DIV/0!</v>
      </c>
      <c r="K71" s="183" t="e">
        <f t="shared" si="36"/>
        <v>#DIV/0!</v>
      </c>
      <c r="L71" s="452"/>
      <c r="M71" s="184" t="e">
        <f>RANK(K71, K$67:$K$81)</f>
        <v>#DIV/0!</v>
      </c>
      <c r="N71" s="454"/>
      <c r="O71" s="454"/>
      <c r="P71" s="169"/>
      <c r="Q71" s="169"/>
      <c r="R71" s="169"/>
      <c r="S71" s="185" t="e">
        <f t="shared" si="37"/>
        <v>#N/A</v>
      </c>
      <c r="T71" s="494"/>
      <c r="U71" s="169"/>
      <c r="V71" s="169"/>
      <c r="W71" s="169"/>
      <c r="X71" s="185" t="e">
        <f t="shared" si="38"/>
        <v>#N/A</v>
      </c>
      <c r="Y71" s="494"/>
      <c r="Z71" s="169"/>
      <c r="AA71" s="169"/>
      <c r="AB71" s="169"/>
      <c r="AC71" s="185" t="e">
        <f t="shared" si="39"/>
        <v>#N/A</v>
      </c>
      <c r="AD71" s="494"/>
      <c r="AE71" s="169"/>
      <c r="AF71" s="169"/>
      <c r="AG71" s="169"/>
      <c r="AH71" s="185" t="e">
        <f t="shared" si="40"/>
        <v>#N/A</v>
      </c>
      <c r="AI71" s="494"/>
      <c r="AJ71" s="169"/>
      <c r="AK71" s="169"/>
      <c r="AL71" s="169"/>
      <c r="AM71" s="185" t="e">
        <f t="shared" si="41"/>
        <v>#N/A</v>
      </c>
      <c r="AN71" s="494"/>
      <c r="AO71" s="169"/>
      <c r="AP71" s="169"/>
      <c r="AQ71" s="169"/>
      <c r="AR71" s="185" t="e">
        <f t="shared" si="42"/>
        <v>#N/A</v>
      </c>
      <c r="AS71" s="494"/>
      <c r="AT71" s="169"/>
      <c r="AU71" s="169"/>
      <c r="AV71" s="169"/>
      <c r="AW71" s="185" t="e">
        <f t="shared" si="43"/>
        <v>#N/A</v>
      </c>
      <c r="AX71" s="494"/>
    </row>
    <row r="72" spans="2:50">
      <c r="B72" s="471"/>
      <c r="C72" s="185">
        <v>6</v>
      </c>
      <c r="D72" s="206"/>
      <c r="E72" s="169"/>
      <c r="F72" s="185"/>
      <c r="G72" s="183"/>
      <c r="H72" s="452"/>
      <c r="I72" s="169" t="e">
        <f t="shared" si="34"/>
        <v>#DIV/0!</v>
      </c>
      <c r="J72" s="169" t="e">
        <f t="shared" si="35"/>
        <v>#DIV/0!</v>
      </c>
      <c r="K72" s="183" t="e">
        <f t="shared" si="36"/>
        <v>#DIV/0!</v>
      </c>
      <c r="L72" s="452"/>
      <c r="M72" s="184" t="e">
        <f>RANK(K72, K$67:$K$81)</f>
        <v>#DIV/0!</v>
      </c>
      <c r="N72" s="454"/>
      <c r="O72" s="454"/>
      <c r="P72" s="169"/>
      <c r="Q72" s="169"/>
      <c r="R72" s="169"/>
      <c r="S72" s="185" t="e">
        <f t="shared" si="37"/>
        <v>#N/A</v>
      </c>
      <c r="T72" s="494"/>
      <c r="U72" s="169"/>
      <c r="V72" s="169"/>
      <c r="W72" s="169"/>
      <c r="X72" s="185" t="e">
        <f t="shared" si="38"/>
        <v>#N/A</v>
      </c>
      <c r="Y72" s="494"/>
      <c r="Z72" s="169"/>
      <c r="AA72" s="169"/>
      <c r="AB72" s="169"/>
      <c r="AC72" s="185" t="e">
        <f t="shared" si="39"/>
        <v>#N/A</v>
      </c>
      <c r="AD72" s="494"/>
      <c r="AE72" s="169"/>
      <c r="AF72" s="169"/>
      <c r="AG72" s="169"/>
      <c r="AH72" s="185" t="e">
        <f t="shared" si="40"/>
        <v>#N/A</v>
      </c>
      <c r="AI72" s="494"/>
      <c r="AJ72" s="169"/>
      <c r="AK72" s="169"/>
      <c r="AL72" s="169"/>
      <c r="AM72" s="185" t="e">
        <f t="shared" si="41"/>
        <v>#N/A</v>
      </c>
      <c r="AN72" s="494"/>
      <c r="AO72" s="169"/>
      <c r="AP72" s="169"/>
      <c r="AQ72" s="169"/>
      <c r="AR72" s="185" t="e">
        <f t="shared" si="42"/>
        <v>#N/A</v>
      </c>
      <c r="AS72" s="494"/>
      <c r="AT72" s="169"/>
      <c r="AU72" s="169"/>
      <c r="AV72" s="169"/>
      <c r="AW72" s="185" t="e">
        <f t="shared" si="43"/>
        <v>#N/A</v>
      </c>
      <c r="AX72" s="494"/>
    </row>
    <row r="73" spans="2:50">
      <c r="B73" s="471"/>
      <c r="C73" s="185">
        <v>7</v>
      </c>
      <c r="D73" s="206"/>
      <c r="E73" s="169"/>
      <c r="F73" s="185"/>
      <c r="G73" s="183"/>
      <c r="H73" s="452"/>
      <c r="I73" s="169" t="e">
        <f t="shared" si="34"/>
        <v>#DIV/0!</v>
      </c>
      <c r="J73" s="169" t="e">
        <f t="shared" si="35"/>
        <v>#DIV/0!</v>
      </c>
      <c r="K73" s="183" t="e">
        <f t="shared" si="36"/>
        <v>#DIV/0!</v>
      </c>
      <c r="L73" s="452"/>
      <c r="M73" s="184" t="e">
        <f>RANK(K73, K$67:$K$81)</f>
        <v>#DIV/0!</v>
      </c>
      <c r="N73" s="454"/>
      <c r="O73" s="454"/>
      <c r="P73" s="169"/>
      <c r="Q73" s="169"/>
      <c r="R73" s="169"/>
      <c r="S73" s="185" t="e">
        <f t="shared" si="37"/>
        <v>#N/A</v>
      </c>
      <c r="T73" s="494"/>
      <c r="U73" s="169"/>
      <c r="V73" s="169"/>
      <c r="W73" s="169"/>
      <c r="X73" s="185" t="e">
        <f t="shared" si="38"/>
        <v>#N/A</v>
      </c>
      <c r="Y73" s="494"/>
      <c r="Z73" s="169"/>
      <c r="AA73" s="169"/>
      <c r="AB73" s="169"/>
      <c r="AC73" s="185" t="e">
        <f t="shared" si="39"/>
        <v>#N/A</v>
      </c>
      <c r="AD73" s="494"/>
      <c r="AE73" s="169"/>
      <c r="AF73" s="169"/>
      <c r="AG73" s="169"/>
      <c r="AH73" s="185" t="e">
        <f t="shared" si="40"/>
        <v>#N/A</v>
      </c>
      <c r="AI73" s="494"/>
      <c r="AJ73" s="169"/>
      <c r="AK73" s="169"/>
      <c r="AL73" s="169"/>
      <c r="AM73" s="185" t="e">
        <f t="shared" si="41"/>
        <v>#N/A</v>
      </c>
      <c r="AN73" s="494"/>
      <c r="AO73" s="169"/>
      <c r="AP73" s="169"/>
      <c r="AQ73" s="169"/>
      <c r="AR73" s="185" t="e">
        <f t="shared" si="42"/>
        <v>#N/A</v>
      </c>
      <c r="AS73" s="494"/>
      <c r="AT73" s="169"/>
      <c r="AU73" s="169"/>
      <c r="AV73" s="169"/>
      <c r="AW73" s="185" t="e">
        <f t="shared" si="43"/>
        <v>#N/A</v>
      </c>
      <c r="AX73" s="494"/>
    </row>
    <row r="74" spans="2:50">
      <c r="B74" s="471"/>
      <c r="C74" s="185">
        <v>8</v>
      </c>
      <c r="D74" s="206"/>
      <c r="E74" s="169"/>
      <c r="F74" s="185"/>
      <c r="G74" s="183"/>
      <c r="H74" s="452"/>
      <c r="I74" s="169" t="e">
        <f t="shared" si="34"/>
        <v>#DIV/0!</v>
      </c>
      <c r="J74" s="169" t="e">
        <f t="shared" si="35"/>
        <v>#DIV/0!</v>
      </c>
      <c r="K74" s="183" t="e">
        <f t="shared" si="36"/>
        <v>#DIV/0!</v>
      </c>
      <c r="L74" s="452"/>
      <c r="M74" s="184" t="e">
        <f>RANK(K74, K$67:$K$81)</f>
        <v>#DIV/0!</v>
      </c>
      <c r="N74" s="454"/>
      <c r="O74" s="454"/>
      <c r="P74" s="169"/>
      <c r="Q74" s="169"/>
      <c r="R74" s="169"/>
      <c r="S74" s="185" t="e">
        <f t="shared" si="37"/>
        <v>#N/A</v>
      </c>
      <c r="T74" s="494"/>
      <c r="U74" s="169"/>
      <c r="V74" s="169"/>
      <c r="W74" s="169"/>
      <c r="X74" s="185" t="e">
        <f t="shared" si="38"/>
        <v>#N/A</v>
      </c>
      <c r="Y74" s="494"/>
      <c r="Z74" s="169"/>
      <c r="AA74" s="169"/>
      <c r="AB74" s="169"/>
      <c r="AC74" s="185" t="e">
        <f t="shared" si="39"/>
        <v>#N/A</v>
      </c>
      <c r="AD74" s="494"/>
      <c r="AE74" s="169"/>
      <c r="AF74" s="169"/>
      <c r="AG74" s="169"/>
      <c r="AH74" s="185" t="e">
        <f t="shared" si="40"/>
        <v>#N/A</v>
      </c>
      <c r="AI74" s="494"/>
      <c r="AJ74" s="169"/>
      <c r="AK74" s="169"/>
      <c r="AL74" s="169"/>
      <c r="AM74" s="185" t="e">
        <f t="shared" si="41"/>
        <v>#N/A</v>
      </c>
      <c r="AN74" s="494"/>
      <c r="AO74" s="169"/>
      <c r="AP74" s="169"/>
      <c r="AQ74" s="169"/>
      <c r="AR74" s="185" t="e">
        <f t="shared" si="42"/>
        <v>#N/A</v>
      </c>
      <c r="AS74" s="494"/>
      <c r="AT74" s="169"/>
      <c r="AU74" s="169"/>
      <c r="AV74" s="169"/>
      <c r="AW74" s="185" t="e">
        <f t="shared" si="43"/>
        <v>#N/A</v>
      </c>
      <c r="AX74" s="494"/>
    </row>
    <row r="75" spans="2:50">
      <c r="B75" s="471"/>
      <c r="C75" s="185">
        <v>9</v>
      </c>
      <c r="D75" s="206"/>
      <c r="E75" s="169"/>
      <c r="F75" s="185"/>
      <c r="G75" s="183"/>
      <c r="H75" s="452"/>
      <c r="I75" s="169" t="e">
        <f t="shared" si="34"/>
        <v>#DIV/0!</v>
      </c>
      <c r="J75" s="169" t="e">
        <f t="shared" si="35"/>
        <v>#DIV/0!</v>
      </c>
      <c r="K75" s="183" t="e">
        <f t="shared" si="36"/>
        <v>#DIV/0!</v>
      </c>
      <c r="L75" s="452"/>
      <c r="M75" s="184" t="e">
        <f>RANK(K75, K$67:$K$81)</f>
        <v>#DIV/0!</v>
      </c>
      <c r="N75" s="454"/>
      <c r="O75" s="454"/>
      <c r="P75" s="169"/>
      <c r="Q75" s="169"/>
      <c r="R75" s="169"/>
      <c r="S75" s="185" t="e">
        <f t="shared" si="37"/>
        <v>#N/A</v>
      </c>
      <c r="T75" s="494"/>
      <c r="U75" s="169"/>
      <c r="V75" s="169"/>
      <c r="W75" s="169"/>
      <c r="X75" s="185" t="e">
        <f t="shared" si="38"/>
        <v>#N/A</v>
      </c>
      <c r="Y75" s="494"/>
      <c r="Z75" s="169"/>
      <c r="AA75" s="169"/>
      <c r="AB75" s="169"/>
      <c r="AC75" s="185" t="e">
        <f t="shared" si="39"/>
        <v>#N/A</v>
      </c>
      <c r="AD75" s="494"/>
      <c r="AE75" s="169"/>
      <c r="AF75" s="169"/>
      <c r="AG75" s="169"/>
      <c r="AH75" s="185" t="e">
        <f t="shared" si="40"/>
        <v>#N/A</v>
      </c>
      <c r="AI75" s="494"/>
      <c r="AJ75" s="169"/>
      <c r="AK75" s="169"/>
      <c r="AL75" s="169"/>
      <c r="AM75" s="185" t="e">
        <f t="shared" si="41"/>
        <v>#N/A</v>
      </c>
      <c r="AN75" s="494"/>
      <c r="AO75" s="169"/>
      <c r="AP75" s="169"/>
      <c r="AQ75" s="169"/>
      <c r="AR75" s="185" t="e">
        <f t="shared" si="42"/>
        <v>#N/A</v>
      </c>
      <c r="AS75" s="494"/>
      <c r="AT75" s="169"/>
      <c r="AU75" s="169"/>
      <c r="AV75" s="169"/>
      <c r="AW75" s="185" t="e">
        <f t="shared" si="43"/>
        <v>#N/A</v>
      </c>
      <c r="AX75" s="494"/>
    </row>
    <row r="76" spans="2:50">
      <c r="B76" s="471"/>
      <c r="C76" s="185">
        <v>10</v>
      </c>
      <c r="D76" s="206"/>
      <c r="E76" s="169"/>
      <c r="F76" s="185"/>
      <c r="G76" s="183"/>
      <c r="H76" s="452"/>
      <c r="I76" s="169" t="e">
        <f t="shared" si="34"/>
        <v>#DIV/0!</v>
      </c>
      <c r="J76" s="169" t="e">
        <f t="shared" si="35"/>
        <v>#DIV/0!</v>
      </c>
      <c r="K76" s="183" t="e">
        <f t="shared" si="36"/>
        <v>#DIV/0!</v>
      </c>
      <c r="L76" s="452"/>
      <c r="M76" s="184" t="e">
        <f>RANK(K76, K$67:$K$81)</f>
        <v>#DIV/0!</v>
      </c>
      <c r="N76" s="454"/>
      <c r="O76" s="454"/>
      <c r="P76" s="169"/>
      <c r="Q76" s="169"/>
      <c r="R76" s="169"/>
      <c r="S76" s="185" t="e">
        <f t="shared" si="37"/>
        <v>#N/A</v>
      </c>
      <c r="T76" s="494"/>
      <c r="U76" s="169"/>
      <c r="V76" s="169"/>
      <c r="W76" s="169"/>
      <c r="X76" s="185" t="e">
        <f t="shared" si="38"/>
        <v>#N/A</v>
      </c>
      <c r="Y76" s="494"/>
      <c r="Z76" s="169"/>
      <c r="AA76" s="169"/>
      <c r="AB76" s="169"/>
      <c r="AC76" s="185" t="e">
        <f t="shared" si="39"/>
        <v>#N/A</v>
      </c>
      <c r="AD76" s="494"/>
      <c r="AE76" s="169"/>
      <c r="AF76" s="169"/>
      <c r="AG76" s="169"/>
      <c r="AH76" s="185" t="e">
        <f t="shared" si="40"/>
        <v>#N/A</v>
      </c>
      <c r="AI76" s="494"/>
      <c r="AJ76" s="169"/>
      <c r="AK76" s="169"/>
      <c r="AL76" s="169"/>
      <c r="AM76" s="185" t="e">
        <f t="shared" si="41"/>
        <v>#N/A</v>
      </c>
      <c r="AN76" s="494"/>
      <c r="AO76" s="169"/>
      <c r="AP76" s="169"/>
      <c r="AQ76" s="169"/>
      <c r="AR76" s="185" t="e">
        <f t="shared" si="42"/>
        <v>#N/A</v>
      </c>
      <c r="AS76" s="494"/>
      <c r="AT76" s="169"/>
      <c r="AU76" s="169"/>
      <c r="AV76" s="169"/>
      <c r="AW76" s="185" t="e">
        <f t="shared" si="43"/>
        <v>#N/A</v>
      </c>
      <c r="AX76" s="494"/>
    </row>
    <row r="77" spans="2:50">
      <c r="B77" s="471"/>
      <c r="C77" s="185">
        <v>11</v>
      </c>
      <c r="D77" s="206"/>
      <c r="E77" s="169"/>
      <c r="F77" s="185"/>
      <c r="G77" s="183"/>
      <c r="H77" s="452"/>
      <c r="I77" s="169" t="e">
        <f t="shared" ref="I77" si="44">AVERAGE(P77,U77,Z77,AE77,AJ77,AO77,AT77)</f>
        <v>#DIV/0!</v>
      </c>
      <c r="J77" s="169" t="e">
        <f t="shared" ref="J77" si="45">AVERAGE(Q77,V77,AA77,AF77,AK77,AP77,AU77)</f>
        <v>#DIV/0!</v>
      </c>
      <c r="K77" s="183" t="e">
        <f t="shared" ref="K77" si="46">AVERAGE(R77,W77,AB77,AG77,AL77,AQ77,AV77)</f>
        <v>#DIV/0!</v>
      </c>
      <c r="L77" s="452"/>
      <c r="M77" s="184" t="e">
        <f>RANK(K77, K$67:$K$81)</f>
        <v>#DIV/0!</v>
      </c>
      <c r="N77" s="454"/>
      <c r="O77" s="454"/>
      <c r="P77" s="169"/>
      <c r="Q77" s="169"/>
      <c r="R77" s="169"/>
      <c r="S77" s="185" t="e">
        <f t="shared" si="37"/>
        <v>#N/A</v>
      </c>
      <c r="T77" s="494"/>
      <c r="U77" s="169"/>
      <c r="V77" s="169"/>
      <c r="W77" s="169"/>
      <c r="X77" s="185" t="e">
        <f t="shared" si="38"/>
        <v>#N/A</v>
      </c>
      <c r="Y77" s="494"/>
      <c r="Z77" s="169"/>
      <c r="AA77" s="169"/>
      <c r="AB77" s="169"/>
      <c r="AC77" s="185" t="e">
        <f t="shared" si="39"/>
        <v>#N/A</v>
      </c>
      <c r="AD77" s="494"/>
      <c r="AE77" s="169"/>
      <c r="AF77" s="169"/>
      <c r="AG77" s="169"/>
      <c r="AH77" s="185" t="e">
        <f t="shared" si="40"/>
        <v>#N/A</v>
      </c>
      <c r="AI77" s="494"/>
      <c r="AJ77" s="169"/>
      <c r="AK77" s="169"/>
      <c r="AL77" s="169"/>
      <c r="AM77" s="185" t="e">
        <f t="shared" si="41"/>
        <v>#N/A</v>
      </c>
      <c r="AN77" s="494"/>
      <c r="AO77" s="169"/>
      <c r="AP77" s="169"/>
      <c r="AQ77" s="169"/>
      <c r="AR77" s="185" t="e">
        <f t="shared" si="42"/>
        <v>#N/A</v>
      </c>
      <c r="AS77" s="494"/>
      <c r="AT77" s="169"/>
      <c r="AU77" s="169"/>
      <c r="AV77" s="169"/>
      <c r="AW77" s="185" t="e">
        <f t="shared" si="43"/>
        <v>#N/A</v>
      </c>
      <c r="AX77" s="494"/>
    </row>
    <row r="78" spans="2:50">
      <c r="B78" s="471"/>
      <c r="C78" s="185">
        <v>12</v>
      </c>
      <c r="D78" s="206"/>
      <c r="E78" s="169"/>
      <c r="F78" s="185"/>
      <c r="G78" s="183"/>
      <c r="H78" s="452"/>
      <c r="I78" s="185"/>
      <c r="J78" s="185"/>
      <c r="K78" s="185"/>
      <c r="L78" s="452"/>
      <c r="M78" s="184" t="e">
        <f>RANK(K78, K$67:$K$81)</f>
        <v>#DIV/0!</v>
      </c>
      <c r="N78" s="454"/>
      <c r="O78" s="454"/>
      <c r="P78" s="169"/>
      <c r="Q78" s="169"/>
      <c r="R78" s="169"/>
      <c r="S78" s="185" t="e">
        <f t="shared" si="37"/>
        <v>#N/A</v>
      </c>
      <c r="T78" s="494"/>
      <c r="U78" s="169"/>
      <c r="V78" s="169"/>
      <c r="W78" s="169"/>
      <c r="X78" s="185" t="e">
        <f t="shared" si="38"/>
        <v>#N/A</v>
      </c>
      <c r="Y78" s="494"/>
      <c r="Z78" s="169"/>
      <c r="AA78" s="169"/>
      <c r="AB78" s="169"/>
      <c r="AC78" s="185" t="e">
        <f t="shared" si="39"/>
        <v>#N/A</v>
      </c>
      <c r="AD78" s="494"/>
      <c r="AE78" s="169"/>
      <c r="AF78" s="169"/>
      <c r="AG78" s="169"/>
      <c r="AH78" s="185" t="e">
        <f t="shared" si="40"/>
        <v>#N/A</v>
      </c>
      <c r="AI78" s="494"/>
      <c r="AJ78" s="169"/>
      <c r="AK78" s="169"/>
      <c r="AL78" s="169"/>
      <c r="AM78" s="185" t="e">
        <f t="shared" si="41"/>
        <v>#N/A</v>
      </c>
      <c r="AN78" s="494"/>
      <c r="AO78" s="169"/>
      <c r="AP78" s="169"/>
      <c r="AQ78" s="169"/>
      <c r="AR78" s="185" t="e">
        <f t="shared" si="42"/>
        <v>#N/A</v>
      </c>
      <c r="AS78" s="494"/>
      <c r="AT78" s="169"/>
      <c r="AU78" s="169"/>
      <c r="AV78" s="169"/>
      <c r="AW78" s="185" t="e">
        <f t="shared" si="43"/>
        <v>#N/A</v>
      </c>
      <c r="AX78" s="494"/>
    </row>
    <row r="79" spans="2:50">
      <c r="B79" s="471"/>
      <c r="C79" s="185">
        <v>13</v>
      </c>
      <c r="D79" s="206"/>
      <c r="E79" s="169"/>
      <c r="F79" s="185"/>
      <c r="G79" s="183"/>
      <c r="H79" s="452"/>
      <c r="I79" s="185"/>
      <c r="J79" s="185"/>
      <c r="K79" s="185"/>
      <c r="L79" s="452"/>
      <c r="M79" s="184" t="e">
        <f>RANK(K79, K$67:$K$81)</f>
        <v>#DIV/0!</v>
      </c>
      <c r="N79" s="454"/>
      <c r="O79" s="454"/>
      <c r="P79" s="169"/>
      <c r="Q79" s="169"/>
      <c r="R79" s="169"/>
      <c r="S79" s="185" t="e">
        <f t="shared" si="37"/>
        <v>#N/A</v>
      </c>
      <c r="T79" s="494"/>
      <c r="U79" s="169"/>
      <c r="V79" s="169"/>
      <c r="W79" s="169"/>
      <c r="X79" s="185" t="e">
        <f t="shared" si="38"/>
        <v>#N/A</v>
      </c>
      <c r="Y79" s="494"/>
      <c r="Z79" s="169"/>
      <c r="AA79" s="169"/>
      <c r="AB79" s="169"/>
      <c r="AC79" s="185" t="e">
        <f t="shared" si="39"/>
        <v>#N/A</v>
      </c>
      <c r="AD79" s="494"/>
      <c r="AE79" s="169"/>
      <c r="AF79" s="169"/>
      <c r="AG79" s="169"/>
      <c r="AH79" s="185" t="e">
        <f t="shared" si="40"/>
        <v>#N/A</v>
      </c>
      <c r="AI79" s="494"/>
      <c r="AJ79" s="169"/>
      <c r="AK79" s="169"/>
      <c r="AL79" s="169"/>
      <c r="AM79" s="185" t="e">
        <f t="shared" si="41"/>
        <v>#N/A</v>
      </c>
      <c r="AN79" s="494"/>
      <c r="AO79" s="169"/>
      <c r="AP79" s="169"/>
      <c r="AQ79" s="169"/>
      <c r="AR79" s="185" t="e">
        <f t="shared" si="42"/>
        <v>#N/A</v>
      </c>
      <c r="AS79" s="494"/>
      <c r="AT79" s="169"/>
      <c r="AU79" s="169"/>
      <c r="AV79" s="169"/>
      <c r="AW79" s="185" t="e">
        <f t="shared" si="43"/>
        <v>#N/A</v>
      </c>
      <c r="AX79" s="494"/>
    </row>
    <row r="80" spans="2:50">
      <c r="B80" s="471"/>
      <c r="C80" s="185">
        <v>14</v>
      </c>
      <c r="D80" s="206"/>
      <c r="E80" s="169"/>
      <c r="F80" s="185"/>
      <c r="G80" s="183"/>
      <c r="H80" s="452"/>
      <c r="I80" s="185"/>
      <c r="J80" s="185"/>
      <c r="K80" s="185"/>
      <c r="L80" s="452"/>
      <c r="M80" s="184" t="e">
        <f>RANK(K80, K$67:$K$81)</f>
        <v>#DIV/0!</v>
      </c>
      <c r="N80" s="454"/>
      <c r="O80" s="454"/>
      <c r="P80" s="169"/>
      <c r="Q80" s="169"/>
      <c r="R80" s="169"/>
      <c r="S80" s="185" t="e">
        <f t="shared" si="37"/>
        <v>#N/A</v>
      </c>
      <c r="T80" s="494"/>
      <c r="U80" s="169"/>
      <c r="V80" s="169"/>
      <c r="W80" s="169"/>
      <c r="X80" s="185" t="e">
        <f t="shared" si="38"/>
        <v>#N/A</v>
      </c>
      <c r="Y80" s="494"/>
      <c r="Z80" s="169"/>
      <c r="AA80" s="169"/>
      <c r="AB80" s="169"/>
      <c r="AC80" s="185" t="e">
        <f t="shared" si="39"/>
        <v>#N/A</v>
      </c>
      <c r="AD80" s="494"/>
      <c r="AE80" s="169"/>
      <c r="AF80" s="169"/>
      <c r="AG80" s="169"/>
      <c r="AH80" s="185" t="e">
        <f t="shared" si="40"/>
        <v>#N/A</v>
      </c>
      <c r="AI80" s="494"/>
      <c r="AJ80" s="169"/>
      <c r="AK80" s="169"/>
      <c r="AL80" s="169"/>
      <c r="AM80" s="185" t="e">
        <f t="shared" si="41"/>
        <v>#N/A</v>
      </c>
      <c r="AN80" s="494"/>
      <c r="AO80" s="169"/>
      <c r="AP80" s="169"/>
      <c r="AQ80" s="169"/>
      <c r="AR80" s="185" t="e">
        <f t="shared" si="42"/>
        <v>#N/A</v>
      </c>
      <c r="AS80" s="494"/>
      <c r="AT80" s="169"/>
      <c r="AU80" s="169"/>
      <c r="AV80" s="169"/>
      <c r="AW80" s="185" t="e">
        <f t="shared" si="43"/>
        <v>#N/A</v>
      </c>
      <c r="AX80" s="494"/>
    </row>
    <row r="81" spans="2:50">
      <c r="B81" s="471"/>
      <c r="C81" s="185">
        <v>15</v>
      </c>
      <c r="D81" s="206"/>
      <c r="E81" s="169"/>
      <c r="F81" s="185"/>
      <c r="G81" s="183"/>
      <c r="H81" s="453"/>
      <c r="I81" s="185"/>
      <c r="J81" s="185"/>
      <c r="K81" s="185"/>
      <c r="L81" s="453"/>
      <c r="M81" s="184" t="e">
        <f>RANK(K81, K$67:$K$81)</f>
        <v>#DIV/0!</v>
      </c>
      <c r="N81" s="454"/>
      <c r="O81" s="454"/>
      <c r="P81" s="169"/>
      <c r="Q81" s="169"/>
      <c r="R81" s="169"/>
      <c r="S81" s="185" t="e">
        <f t="shared" si="37"/>
        <v>#N/A</v>
      </c>
      <c r="T81" s="494"/>
      <c r="U81" s="169"/>
      <c r="V81" s="169"/>
      <c r="W81" s="169"/>
      <c r="X81" s="185" t="e">
        <f t="shared" si="38"/>
        <v>#N/A</v>
      </c>
      <c r="Y81" s="494"/>
      <c r="Z81" s="169"/>
      <c r="AA81" s="169"/>
      <c r="AB81" s="169"/>
      <c r="AC81" s="185" t="e">
        <f t="shared" si="39"/>
        <v>#N/A</v>
      </c>
      <c r="AD81" s="494"/>
      <c r="AE81" s="169"/>
      <c r="AF81" s="169"/>
      <c r="AG81" s="169"/>
      <c r="AH81" s="185" t="e">
        <f t="shared" si="40"/>
        <v>#N/A</v>
      </c>
      <c r="AI81" s="494"/>
      <c r="AJ81" s="169"/>
      <c r="AK81" s="169"/>
      <c r="AL81" s="169"/>
      <c r="AM81" s="185" t="e">
        <f t="shared" si="41"/>
        <v>#N/A</v>
      </c>
      <c r="AN81" s="494"/>
      <c r="AO81" s="169"/>
      <c r="AP81" s="169"/>
      <c r="AQ81" s="169"/>
      <c r="AR81" s="185" t="e">
        <f t="shared" si="42"/>
        <v>#N/A</v>
      </c>
      <c r="AS81" s="494"/>
      <c r="AT81" s="169"/>
      <c r="AU81" s="169"/>
      <c r="AV81" s="169"/>
      <c r="AW81" s="185" t="e">
        <f t="shared" si="43"/>
        <v>#N/A</v>
      </c>
      <c r="AX81" s="494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96" t="s">
        <v>259</v>
      </c>
      <c r="C87" s="185">
        <v>1</v>
      </c>
      <c r="D87" s="206"/>
      <c r="E87" s="169"/>
      <c r="F87" s="185"/>
      <c r="G87" s="183"/>
      <c r="H87" s="451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69"/>
      <c r="R87" s="169"/>
      <c r="S87" s="185" t="e">
        <f>RANK(R87, R$87:R$101)</f>
        <v>#N/A</v>
      </c>
      <c r="T87" s="494" t="e">
        <f>AVERAGE(R87:R101)</f>
        <v>#DIV/0!</v>
      </c>
      <c r="U87" s="169"/>
      <c r="V87" s="169"/>
      <c r="W87" s="169"/>
      <c r="X87" s="185" t="e">
        <f>RANK(W87, W$87:W$101)</f>
        <v>#N/A</v>
      </c>
      <c r="Y87" s="494" t="e">
        <f>AVERAGE(W87:W101)</f>
        <v>#DIV/0!</v>
      </c>
      <c r="Z87" s="169"/>
      <c r="AA87" s="169"/>
      <c r="AB87" s="169"/>
      <c r="AC87" s="185" t="e">
        <f>RANK(AB87, AB$87:AB$101)</f>
        <v>#N/A</v>
      </c>
      <c r="AD87" s="494" t="e">
        <f>AVERAGE(AB87:AB101)</f>
        <v>#DIV/0!</v>
      </c>
      <c r="AE87" s="169"/>
      <c r="AF87" s="169"/>
      <c r="AG87" s="169"/>
      <c r="AH87" s="185" t="e">
        <f>RANK(AG87, AG$87:AG$101)</f>
        <v>#N/A</v>
      </c>
      <c r="AI87" s="494" t="e">
        <f>AVERAGE(AG87:AG101)</f>
        <v>#DIV/0!</v>
      </c>
      <c r="AJ87" s="169"/>
      <c r="AK87" s="169"/>
      <c r="AL87" s="169"/>
      <c r="AM87" s="185" t="e">
        <f>RANK(AL87, AL$87:AL$101)</f>
        <v>#N/A</v>
      </c>
      <c r="AN87" s="494" t="e">
        <f>AVERAGE(AL87:AL101)</f>
        <v>#DIV/0!</v>
      </c>
      <c r="AO87" s="169"/>
      <c r="AP87" s="169"/>
      <c r="AQ87" s="169"/>
      <c r="AR87" s="185" t="e">
        <f>RANK(AQ87, AQ$87:AQ$101)</f>
        <v>#N/A</v>
      </c>
      <c r="AS87" s="494" t="e">
        <f>AVERAGE(AQ87:AQ101)</f>
        <v>#DIV/0!</v>
      </c>
      <c r="AT87" s="169"/>
      <c r="AU87" s="169"/>
      <c r="AV87" s="169"/>
      <c r="AW87" s="185" t="e">
        <f>RANK(AV87, AV$87:AV$101)</f>
        <v>#N/A</v>
      </c>
      <c r="AX87" s="494" t="e">
        <f>AVERAGE(AV87:AV101)</f>
        <v>#DIV/0!</v>
      </c>
    </row>
    <row r="88" spans="2:50">
      <c r="B88" s="471"/>
      <c r="C88" s="185">
        <v>2</v>
      </c>
      <c r="D88" s="206"/>
      <c r="E88" s="169"/>
      <c r="F88" s="185"/>
      <c r="G88" s="183"/>
      <c r="H88" s="452"/>
      <c r="I88" s="169" t="e">
        <f t="shared" ref="I88:K96" si="47">AVERAGE(P88,U88,Z88,AE88,AJ88,AO88,AT88)</f>
        <v>#DIV/0!</v>
      </c>
      <c r="J88" s="169" t="e">
        <f t="shared" si="47"/>
        <v>#DIV/0!</v>
      </c>
      <c r="K88" s="183" t="e">
        <f t="shared" si="47"/>
        <v>#DIV/0!</v>
      </c>
      <c r="L88" s="452"/>
      <c r="M88" s="184" t="e">
        <f>RANK(K88, K$87:$K$101)</f>
        <v>#DIV/0!</v>
      </c>
      <c r="N88" s="454"/>
      <c r="O88" s="454"/>
      <c r="P88" s="169"/>
      <c r="Q88" s="169"/>
      <c r="R88" s="169"/>
      <c r="S88" s="185" t="e">
        <f t="shared" ref="S88:S101" si="48">RANK(R88, R$87:R$101)</f>
        <v>#N/A</v>
      </c>
      <c r="T88" s="494"/>
      <c r="U88" s="169"/>
      <c r="V88" s="169"/>
      <c r="W88" s="169"/>
      <c r="X88" s="185" t="e">
        <f t="shared" ref="X88:X101" si="49">RANK(W88, W$87:W$101)</f>
        <v>#N/A</v>
      </c>
      <c r="Y88" s="494"/>
      <c r="Z88" s="169"/>
      <c r="AA88" s="169"/>
      <c r="AB88" s="169"/>
      <c r="AC88" s="185" t="e">
        <f t="shared" ref="AC88:AC101" si="50">RANK(AB88, AB$87:AB$101)</f>
        <v>#N/A</v>
      </c>
      <c r="AD88" s="494"/>
      <c r="AE88" s="169"/>
      <c r="AF88" s="169"/>
      <c r="AG88" s="169"/>
      <c r="AH88" s="185" t="e">
        <f t="shared" ref="AH88:AH101" si="51">RANK(AG88, AG$87:AG$101)</f>
        <v>#N/A</v>
      </c>
      <c r="AI88" s="494"/>
      <c r="AJ88" s="169"/>
      <c r="AK88" s="169"/>
      <c r="AL88" s="169"/>
      <c r="AM88" s="185" t="e">
        <f t="shared" ref="AM88:AM101" si="52">RANK(AL88, AL$87:AL$101)</f>
        <v>#N/A</v>
      </c>
      <c r="AN88" s="494"/>
      <c r="AO88" s="169"/>
      <c r="AP88" s="169"/>
      <c r="AQ88" s="169"/>
      <c r="AR88" s="185" t="e">
        <f t="shared" ref="AR88:AR101" si="53">RANK(AQ88, AQ$87:AQ$101)</f>
        <v>#N/A</v>
      </c>
      <c r="AS88" s="494"/>
      <c r="AT88" s="169"/>
      <c r="AU88" s="169"/>
      <c r="AV88" s="169"/>
      <c r="AW88" s="185" t="e">
        <f t="shared" ref="AW88:AW101" si="54">RANK(AV88, AV$87:AV$101)</f>
        <v>#N/A</v>
      </c>
      <c r="AX88" s="494"/>
    </row>
    <row r="89" spans="2:50">
      <c r="B89" s="471"/>
      <c r="C89" s="185">
        <v>3</v>
      </c>
      <c r="D89" s="206"/>
      <c r="E89" s="169"/>
      <c r="F89" s="185"/>
      <c r="G89" s="183"/>
      <c r="H89" s="452"/>
      <c r="I89" s="169" t="e">
        <f t="shared" si="47"/>
        <v>#DIV/0!</v>
      </c>
      <c r="J89" s="169" t="e">
        <f t="shared" si="47"/>
        <v>#DIV/0!</v>
      </c>
      <c r="K89" s="183" t="e">
        <f t="shared" si="47"/>
        <v>#DIV/0!</v>
      </c>
      <c r="L89" s="452"/>
      <c r="M89" s="184" t="e">
        <f>RANK(K89, K$87:$K$101)</f>
        <v>#DIV/0!</v>
      </c>
      <c r="N89" s="454"/>
      <c r="O89" s="454"/>
      <c r="P89" s="169"/>
      <c r="Q89" s="169"/>
      <c r="R89" s="169"/>
      <c r="S89" s="185" t="e">
        <f t="shared" si="48"/>
        <v>#N/A</v>
      </c>
      <c r="T89" s="494"/>
      <c r="U89" s="169"/>
      <c r="V89" s="169"/>
      <c r="W89" s="169"/>
      <c r="X89" s="185" t="e">
        <f t="shared" si="49"/>
        <v>#N/A</v>
      </c>
      <c r="Y89" s="494"/>
      <c r="Z89" s="169"/>
      <c r="AA89" s="169"/>
      <c r="AB89" s="169"/>
      <c r="AC89" s="185" t="e">
        <f t="shared" si="50"/>
        <v>#N/A</v>
      </c>
      <c r="AD89" s="494"/>
      <c r="AE89" s="169"/>
      <c r="AF89" s="169"/>
      <c r="AG89" s="169"/>
      <c r="AH89" s="185" t="e">
        <f t="shared" si="51"/>
        <v>#N/A</v>
      </c>
      <c r="AI89" s="494"/>
      <c r="AJ89" s="169"/>
      <c r="AK89" s="169"/>
      <c r="AL89" s="169"/>
      <c r="AM89" s="185" t="e">
        <f t="shared" si="52"/>
        <v>#N/A</v>
      </c>
      <c r="AN89" s="494"/>
      <c r="AO89" s="169"/>
      <c r="AP89" s="169"/>
      <c r="AQ89" s="169"/>
      <c r="AR89" s="185" t="e">
        <f t="shared" si="53"/>
        <v>#N/A</v>
      </c>
      <c r="AS89" s="494"/>
      <c r="AT89" s="169"/>
      <c r="AU89" s="169"/>
      <c r="AV89" s="169"/>
      <c r="AW89" s="185" t="e">
        <f t="shared" si="54"/>
        <v>#N/A</v>
      </c>
      <c r="AX89" s="494"/>
    </row>
    <row r="90" spans="2:50">
      <c r="B90" s="471"/>
      <c r="C90" s="185">
        <v>4</v>
      </c>
      <c r="D90" s="206"/>
      <c r="E90" s="169"/>
      <c r="F90" s="185"/>
      <c r="G90" s="183"/>
      <c r="H90" s="452"/>
      <c r="I90" s="169" t="e">
        <f t="shared" si="47"/>
        <v>#DIV/0!</v>
      </c>
      <c r="J90" s="169" t="e">
        <f t="shared" si="47"/>
        <v>#DIV/0!</v>
      </c>
      <c r="K90" s="183" t="e">
        <f t="shared" si="47"/>
        <v>#DIV/0!</v>
      </c>
      <c r="L90" s="452"/>
      <c r="M90" s="184" t="e">
        <f>RANK(K90, K$87:$K$101)</f>
        <v>#DIV/0!</v>
      </c>
      <c r="N90" s="454"/>
      <c r="O90" s="454"/>
      <c r="P90" s="169"/>
      <c r="Q90" s="169"/>
      <c r="R90" s="169"/>
      <c r="S90" s="185" t="e">
        <f t="shared" si="48"/>
        <v>#N/A</v>
      </c>
      <c r="T90" s="494"/>
      <c r="U90" s="169"/>
      <c r="V90" s="169"/>
      <c r="W90" s="169"/>
      <c r="X90" s="185" t="e">
        <f t="shared" si="49"/>
        <v>#N/A</v>
      </c>
      <c r="Y90" s="494"/>
      <c r="Z90" s="169"/>
      <c r="AA90" s="169"/>
      <c r="AB90" s="169"/>
      <c r="AC90" s="185" t="e">
        <f t="shared" si="50"/>
        <v>#N/A</v>
      </c>
      <c r="AD90" s="494"/>
      <c r="AE90" s="169"/>
      <c r="AF90" s="169"/>
      <c r="AG90" s="169"/>
      <c r="AH90" s="185" t="e">
        <f t="shared" si="51"/>
        <v>#N/A</v>
      </c>
      <c r="AI90" s="494"/>
      <c r="AJ90" s="169"/>
      <c r="AK90" s="169"/>
      <c r="AL90" s="169"/>
      <c r="AM90" s="185" t="e">
        <f t="shared" si="52"/>
        <v>#N/A</v>
      </c>
      <c r="AN90" s="494"/>
      <c r="AO90" s="169"/>
      <c r="AP90" s="169"/>
      <c r="AQ90" s="169"/>
      <c r="AR90" s="185" t="e">
        <f t="shared" si="53"/>
        <v>#N/A</v>
      </c>
      <c r="AS90" s="494"/>
      <c r="AT90" s="169"/>
      <c r="AU90" s="169"/>
      <c r="AV90" s="169"/>
      <c r="AW90" s="185" t="e">
        <f t="shared" si="54"/>
        <v>#N/A</v>
      </c>
      <c r="AX90" s="494"/>
    </row>
    <row r="91" spans="2:50">
      <c r="B91" s="471"/>
      <c r="C91" s="185">
        <v>5</v>
      </c>
      <c r="D91" s="206"/>
      <c r="E91" s="169"/>
      <c r="F91" s="185"/>
      <c r="G91" s="183"/>
      <c r="H91" s="452"/>
      <c r="I91" s="169" t="e">
        <f t="shared" si="47"/>
        <v>#DIV/0!</v>
      </c>
      <c r="J91" s="169" t="e">
        <f t="shared" si="47"/>
        <v>#DIV/0!</v>
      </c>
      <c r="K91" s="183" t="e">
        <f t="shared" si="47"/>
        <v>#DIV/0!</v>
      </c>
      <c r="L91" s="452"/>
      <c r="M91" s="184" t="e">
        <f>RANK(K91, K$87:$K$101)</f>
        <v>#DIV/0!</v>
      </c>
      <c r="N91" s="454"/>
      <c r="O91" s="454"/>
      <c r="P91" s="169"/>
      <c r="Q91" s="169"/>
      <c r="R91" s="169"/>
      <c r="S91" s="185" t="e">
        <f t="shared" si="48"/>
        <v>#N/A</v>
      </c>
      <c r="T91" s="494"/>
      <c r="U91" s="169"/>
      <c r="V91" s="169"/>
      <c r="W91" s="169"/>
      <c r="X91" s="185" t="e">
        <f t="shared" si="49"/>
        <v>#N/A</v>
      </c>
      <c r="Y91" s="494"/>
      <c r="Z91" s="169"/>
      <c r="AA91" s="169"/>
      <c r="AB91" s="169"/>
      <c r="AC91" s="185" t="e">
        <f t="shared" si="50"/>
        <v>#N/A</v>
      </c>
      <c r="AD91" s="494"/>
      <c r="AE91" s="169"/>
      <c r="AF91" s="169"/>
      <c r="AG91" s="169"/>
      <c r="AH91" s="185" t="e">
        <f t="shared" si="51"/>
        <v>#N/A</v>
      </c>
      <c r="AI91" s="494"/>
      <c r="AJ91" s="169"/>
      <c r="AK91" s="169"/>
      <c r="AL91" s="169"/>
      <c r="AM91" s="185" t="e">
        <f t="shared" si="52"/>
        <v>#N/A</v>
      </c>
      <c r="AN91" s="494"/>
      <c r="AO91" s="169"/>
      <c r="AP91" s="169"/>
      <c r="AQ91" s="169"/>
      <c r="AR91" s="185" t="e">
        <f t="shared" si="53"/>
        <v>#N/A</v>
      </c>
      <c r="AS91" s="494"/>
      <c r="AT91" s="169"/>
      <c r="AU91" s="169"/>
      <c r="AV91" s="169"/>
      <c r="AW91" s="185" t="e">
        <f t="shared" si="54"/>
        <v>#N/A</v>
      </c>
      <c r="AX91" s="494"/>
    </row>
    <row r="92" spans="2:50">
      <c r="B92" s="471"/>
      <c r="C92" s="185">
        <v>6</v>
      </c>
      <c r="D92" s="206"/>
      <c r="E92" s="169"/>
      <c r="F92" s="185"/>
      <c r="G92" s="183"/>
      <c r="H92" s="452"/>
      <c r="I92" s="169" t="e">
        <f t="shared" si="47"/>
        <v>#DIV/0!</v>
      </c>
      <c r="J92" s="169" t="e">
        <f t="shared" si="47"/>
        <v>#DIV/0!</v>
      </c>
      <c r="K92" s="183" t="e">
        <f t="shared" si="47"/>
        <v>#DIV/0!</v>
      </c>
      <c r="L92" s="452"/>
      <c r="M92" s="184" t="e">
        <f>RANK(K92, K$87:$K$101)</f>
        <v>#DIV/0!</v>
      </c>
      <c r="N92" s="454"/>
      <c r="O92" s="454"/>
      <c r="P92" s="169"/>
      <c r="Q92" s="169"/>
      <c r="R92" s="169"/>
      <c r="S92" s="185" t="e">
        <f t="shared" si="48"/>
        <v>#N/A</v>
      </c>
      <c r="T92" s="494"/>
      <c r="U92" s="169"/>
      <c r="V92" s="169"/>
      <c r="W92" s="169"/>
      <c r="X92" s="185" t="e">
        <f t="shared" si="49"/>
        <v>#N/A</v>
      </c>
      <c r="Y92" s="494"/>
      <c r="Z92" s="169"/>
      <c r="AA92" s="169"/>
      <c r="AB92" s="169"/>
      <c r="AC92" s="185" t="e">
        <f t="shared" si="50"/>
        <v>#N/A</v>
      </c>
      <c r="AD92" s="494"/>
      <c r="AE92" s="169"/>
      <c r="AF92" s="169"/>
      <c r="AG92" s="169"/>
      <c r="AH92" s="185" t="e">
        <f t="shared" si="51"/>
        <v>#N/A</v>
      </c>
      <c r="AI92" s="494"/>
      <c r="AJ92" s="169"/>
      <c r="AK92" s="169"/>
      <c r="AL92" s="169"/>
      <c r="AM92" s="185" t="e">
        <f t="shared" si="52"/>
        <v>#N/A</v>
      </c>
      <c r="AN92" s="494"/>
      <c r="AO92" s="169"/>
      <c r="AP92" s="169"/>
      <c r="AQ92" s="169"/>
      <c r="AR92" s="185" t="e">
        <f t="shared" si="53"/>
        <v>#N/A</v>
      </c>
      <c r="AS92" s="494"/>
      <c r="AT92" s="169"/>
      <c r="AU92" s="169"/>
      <c r="AV92" s="169"/>
      <c r="AW92" s="185" t="e">
        <f t="shared" si="54"/>
        <v>#N/A</v>
      </c>
      <c r="AX92" s="494"/>
    </row>
    <row r="93" spans="2:50">
      <c r="B93" s="471"/>
      <c r="C93" s="185">
        <v>7</v>
      </c>
      <c r="D93" s="206"/>
      <c r="E93" s="169"/>
      <c r="F93" s="185"/>
      <c r="G93" s="183"/>
      <c r="H93" s="452"/>
      <c r="I93" s="169" t="e">
        <f t="shared" si="47"/>
        <v>#DIV/0!</v>
      </c>
      <c r="J93" s="169" t="e">
        <f t="shared" si="47"/>
        <v>#DIV/0!</v>
      </c>
      <c r="K93" s="183" t="e">
        <f t="shared" si="47"/>
        <v>#DIV/0!</v>
      </c>
      <c r="L93" s="452"/>
      <c r="M93" s="184" t="e">
        <f>RANK(K93, K$87:$K$101)</f>
        <v>#DIV/0!</v>
      </c>
      <c r="N93" s="454"/>
      <c r="O93" s="454"/>
      <c r="P93" s="169"/>
      <c r="Q93" s="169"/>
      <c r="R93" s="169"/>
      <c r="S93" s="185" t="e">
        <f t="shared" si="48"/>
        <v>#N/A</v>
      </c>
      <c r="T93" s="494"/>
      <c r="U93" s="169"/>
      <c r="V93" s="169"/>
      <c r="W93" s="169"/>
      <c r="X93" s="185" t="e">
        <f t="shared" si="49"/>
        <v>#N/A</v>
      </c>
      <c r="Y93" s="494"/>
      <c r="Z93" s="169"/>
      <c r="AA93" s="169"/>
      <c r="AB93" s="169"/>
      <c r="AC93" s="185" t="e">
        <f t="shared" si="50"/>
        <v>#N/A</v>
      </c>
      <c r="AD93" s="494"/>
      <c r="AE93" s="169"/>
      <c r="AF93" s="169"/>
      <c r="AG93" s="169"/>
      <c r="AH93" s="185" t="e">
        <f t="shared" si="51"/>
        <v>#N/A</v>
      </c>
      <c r="AI93" s="494"/>
      <c r="AJ93" s="169"/>
      <c r="AK93" s="169"/>
      <c r="AL93" s="169"/>
      <c r="AM93" s="185" t="e">
        <f t="shared" si="52"/>
        <v>#N/A</v>
      </c>
      <c r="AN93" s="494"/>
      <c r="AO93" s="169"/>
      <c r="AP93" s="169"/>
      <c r="AQ93" s="169"/>
      <c r="AR93" s="185" t="e">
        <f t="shared" si="53"/>
        <v>#N/A</v>
      </c>
      <c r="AS93" s="494"/>
      <c r="AT93" s="169"/>
      <c r="AU93" s="169"/>
      <c r="AV93" s="169"/>
      <c r="AW93" s="185" t="e">
        <f t="shared" si="54"/>
        <v>#N/A</v>
      </c>
      <c r="AX93" s="494"/>
    </row>
    <row r="94" spans="2:50">
      <c r="B94" s="471"/>
      <c r="C94" s="185">
        <v>8</v>
      </c>
      <c r="D94" s="206"/>
      <c r="E94" s="169"/>
      <c r="F94" s="185"/>
      <c r="G94" s="183"/>
      <c r="H94" s="452"/>
      <c r="I94" s="169" t="e">
        <f t="shared" si="47"/>
        <v>#DIV/0!</v>
      </c>
      <c r="J94" s="169" t="e">
        <f t="shared" si="47"/>
        <v>#DIV/0!</v>
      </c>
      <c r="K94" s="183" t="e">
        <f t="shared" si="47"/>
        <v>#DIV/0!</v>
      </c>
      <c r="L94" s="452"/>
      <c r="M94" s="184" t="e">
        <f>RANK(K94, K$87:$K$101)</f>
        <v>#DIV/0!</v>
      </c>
      <c r="N94" s="454"/>
      <c r="O94" s="454"/>
      <c r="P94" s="169"/>
      <c r="Q94" s="169"/>
      <c r="R94" s="169"/>
      <c r="S94" s="185" t="e">
        <f t="shared" si="48"/>
        <v>#N/A</v>
      </c>
      <c r="T94" s="494"/>
      <c r="U94" s="169"/>
      <c r="V94" s="169"/>
      <c r="W94" s="169"/>
      <c r="X94" s="185" t="e">
        <f t="shared" si="49"/>
        <v>#N/A</v>
      </c>
      <c r="Y94" s="494"/>
      <c r="Z94" s="169"/>
      <c r="AA94" s="169"/>
      <c r="AB94" s="169"/>
      <c r="AC94" s="185" t="e">
        <f t="shared" si="50"/>
        <v>#N/A</v>
      </c>
      <c r="AD94" s="494"/>
      <c r="AE94" s="169"/>
      <c r="AF94" s="169"/>
      <c r="AG94" s="169"/>
      <c r="AH94" s="185" t="e">
        <f t="shared" si="51"/>
        <v>#N/A</v>
      </c>
      <c r="AI94" s="494"/>
      <c r="AJ94" s="169"/>
      <c r="AK94" s="169"/>
      <c r="AL94" s="169"/>
      <c r="AM94" s="185" t="e">
        <f t="shared" si="52"/>
        <v>#N/A</v>
      </c>
      <c r="AN94" s="494"/>
      <c r="AO94" s="169"/>
      <c r="AP94" s="169"/>
      <c r="AQ94" s="169"/>
      <c r="AR94" s="185" t="e">
        <f t="shared" si="53"/>
        <v>#N/A</v>
      </c>
      <c r="AS94" s="494"/>
      <c r="AT94" s="169"/>
      <c r="AU94" s="169"/>
      <c r="AV94" s="169"/>
      <c r="AW94" s="185" t="e">
        <f t="shared" si="54"/>
        <v>#N/A</v>
      </c>
      <c r="AX94" s="494"/>
    </row>
    <row r="95" spans="2:50">
      <c r="B95" s="471"/>
      <c r="C95" s="185">
        <v>9</v>
      </c>
      <c r="D95" s="206"/>
      <c r="E95" s="169"/>
      <c r="F95" s="185"/>
      <c r="G95" s="183"/>
      <c r="H95" s="452"/>
      <c r="I95" s="169" t="e">
        <f t="shared" si="47"/>
        <v>#DIV/0!</v>
      </c>
      <c r="J95" s="169" t="e">
        <f t="shared" si="47"/>
        <v>#DIV/0!</v>
      </c>
      <c r="K95" s="183" t="e">
        <f t="shared" si="47"/>
        <v>#DIV/0!</v>
      </c>
      <c r="L95" s="452"/>
      <c r="M95" s="184" t="e">
        <f>RANK(K95, K$87:$K$101)</f>
        <v>#DIV/0!</v>
      </c>
      <c r="N95" s="454"/>
      <c r="O95" s="454"/>
      <c r="P95" s="169"/>
      <c r="Q95" s="169"/>
      <c r="R95" s="169"/>
      <c r="S95" s="185" t="e">
        <f t="shared" si="48"/>
        <v>#N/A</v>
      </c>
      <c r="T95" s="494"/>
      <c r="U95" s="169"/>
      <c r="V95" s="169"/>
      <c r="W95" s="169"/>
      <c r="X95" s="185" t="e">
        <f t="shared" si="49"/>
        <v>#N/A</v>
      </c>
      <c r="Y95" s="494"/>
      <c r="Z95" s="169"/>
      <c r="AA95" s="169"/>
      <c r="AB95" s="169"/>
      <c r="AC95" s="185" t="e">
        <f t="shared" si="50"/>
        <v>#N/A</v>
      </c>
      <c r="AD95" s="494"/>
      <c r="AE95" s="169"/>
      <c r="AF95" s="169"/>
      <c r="AG95" s="169"/>
      <c r="AH95" s="185" t="e">
        <f t="shared" si="51"/>
        <v>#N/A</v>
      </c>
      <c r="AI95" s="494"/>
      <c r="AJ95" s="169"/>
      <c r="AK95" s="169"/>
      <c r="AL95" s="169"/>
      <c r="AM95" s="185" t="e">
        <f t="shared" si="52"/>
        <v>#N/A</v>
      </c>
      <c r="AN95" s="494"/>
      <c r="AO95" s="169"/>
      <c r="AP95" s="169"/>
      <c r="AQ95" s="169"/>
      <c r="AR95" s="185" t="e">
        <f t="shared" si="53"/>
        <v>#N/A</v>
      </c>
      <c r="AS95" s="494"/>
      <c r="AT95" s="169"/>
      <c r="AU95" s="169"/>
      <c r="AV95" s="169"/>
      <c r="AW95" s="185" t="e">
        <f t="shared" si="54"/>
        <v>#N/A</v>
      </c>
      <c r="AX95" s="494"/>
    </row>
    <row r="96" spans="2:50">
      <c r="B96" s="471"/>
      <c r="C96" s="185">
        <v>10</v>
      </c>
      <c r="D96" s="206"/>
      <c r="E96" s="169"/>
      <c r="F96" s="185"/>
      <c r="G96" s="183"/>
      <c r="H96" s="452"/>
      <c r="I96" s="169" t="e">
        <f t="shared" si="47"/>
        <v>#DIV/0!</v>
      </c>
      <c r="J96" s="169" t="e">
        <f t="shared" si="47"/>
        <v>#DIV/0!</v>
      </c>
      <c r="K96" s="183" t="e">
        <f t="shared" si="47"/>
        <v>#DIV/0!</v>
      </c>
      <c r="L96" s="452"/>
      <c r="M96" s="184" t="e">
        <f>RANK(K96, K$87:$K$101)</f>
        <v>#DIV/0!</v>
      </c>
      <c r="N96" s="454"/>
      <c r="O96" s="454"/>
      <c r="P96" s="169"/>
      <c r="Q96" s="169"/>
      <c r="R96" s="169"/>
      <c r="S96" s="185" t="e">
        <f t="shared" si="48"/>
        <v>#N/A</v>
      </c>
      <c r="T96" s="494"/>
      <c r="U96" s="169"/>
      <c r="V96" s="169"/>
      <c r="W96" s="169"/>
      <c r="X96" s="185" t="e">
        <f t="shared" si="49"/>
        <v>#N/A</v>
      </c>
      <c r="Y96" s="494"/>
      <c r="Z96" s="169"/>
      <c r="AA96" s="169"/>
      <c r="AB96" s="169"/>
      <c r="AC96" s="185" t="e">
        <f t="shared" si="50"/>
        <v>#N/A</v>
      </c>
      <c r="AD96" s="494"/>
      <c r="AE96" s="169"/>
      <c r="AF96" s="169"/>
      <c r="AG96" s="169"/>
      <c r="AH96" s="185" t="e">
        <f t="shared" si="51"/>
        <v>#N/A</v>
      </c>
      <c r="AI96" s="494"/>
      <c r="AJ96" s="169"/>
      <c r="AK96" s="169"/>
      <c r="AL96" s="169"/>
      <c r="AM96" s="185" t="e">
        <f t="shared" si="52"/>
        <v>#N/A</v>
      </c>
      <c r="AN96" s="494"/>
      <c r="AO96" s="169"/>
      <c r="AP96" s="169"/>
      <c r="AQ96" s="169"/>
      <c r="AR96" s="185" t="e">
        <f t="shared" si="53"/>
        <v>#N/A</v>
      </c>
      <c r="AS96" s="494"/>
      <c r="AT96" s="169"/>
      <c r="AU96" s="169"/>
      <c r="AV96" s="169"/>
      <c r="AW96" s="185" t="e">
        <f t="shared" si="54"/>
        <v>#N/A</v>
      </c>
      <c r="AX96" s="494"/>
    </row>
    <row r="97" spans="2:50">
      <c r="B97" s="471"/>
      <c r="C97" s="185">
        <v>11</v>
      </c>
      <c r="D97" s="206"/>
      <c r="E97" s="169"/>
      <c r="F97" s="185"/>
      <c r="G97" s="183"/>
      <c r="H97" s="452"/>
      <c r="I97" s="169"/>
      <c r="J97" s="169"/>
      <c r="K97" s="183"/>
      <c r="L97" s="452"/>
      <c r="M97" s="184" t="e">
        <f>RANK(K97, K$87:$K$101)</f>
        <v>#DIV/0!</v>
      </c>
      <c r="N97" s="454"/>
      <c r="O97" s="454"/>
      <c r="P97" s="169"/>
      <c r="Q97" s="169"/>
      <c r="R97" s="169"/>
      <c r="S97" s="185" t="e">
        <f t="shared" si="48"/>
        <v>#N/A</v>
      </c>
      <c r="T97" s="494"/>
      <c r="U97" s="169"/>
      <c r="V97" s="169"/>
      <c r="W97" s="169"/>
      <c r="X97" s="185" t="e">
        <f t="shared" si="49"/>
        <v>#N/A</v>
      </c>
      <c r="Y97" s="494"/>
      <c r="Z97" s="169"/>
      <c r="AA97" s="169"/>
      <c r="AB97" s="169"/>
      <c r="AC97" s="185" t="e">
        <f t="shared" si="50"/>
        <v>#N/A</v>
      </c>
      <c r="AD97" s="494"/>
      <c r="AE97" s="169"/>
      <c r="AF97" s="169"/>
      <c r="AG97" s="169"/>
      <c r="AH97" s="185" t="e">
        <f t="shared" si="51"/>
        <v>#N/A</v>
      </c>
      <c r="AI97" s="494"/>
      <c r="AJ97" s="169"/>
      <c r="AK97" s="169"/>
      <c r="AL97" s="169"/>
      <c r="AM97" s="185" t="e">
        <f t="shared" si="52"/>
        <v>#N/A</v>
      </c>
      <c r="AN97" s="494"/>
      <c r="AO97" s="169"/>
      <c r="AP97" s="169"/>
      <c r="AQ97" s="169"/>
      <c r="AR97" s="185" t="e">
        <f t="shared" si="53"/>
        <v>#N/A</v>
      </c>
      <c r="AS97" s="494"/>
      <c r="AT97" s="169"/>
      <c r="AU97" s="169"/>
      <c r="AV97" s="169"/>
      <c r="AW97" s="185" t="e">
        <f t="shared" si="54"/>
        <v>#N/A</v>
      </c>
      <c r="AX97" s="494"/>
    </row>
    <row r="98" spans="2:50">
      <c r="B98" s="471"/>
      <c r="C98" s="185">
        <v>12</v>
      </c>
      <c r="D98" s="206"/>
      <c r="E98" s="169"/>
      <c r="F98" s="185"/>
      <c r="G98" s="183"/>
      <c r="H98" s="452"/>
      <c r="I98" s="185"/>
      <c r="J98" s="185"/>
      <c r="K98" s="185"/>
      <c r="L98" s="452"/>
      <c r="M98" s="184" t="e">
        <f>RANK(K98, K$87:$K$101)</f>
        <v>#DIV/0!</v>
      </c>
      <c r="N98" s="454"/>
      <c r="O98" s="454"/>
      <c r="P98" s="169"/>
      <c r="Q98" s="169"/>
      <c r="R98" s="169"/>
      <c r="S98" s="185" t="e">
        <f t="shared" si="48"/>
        <v>#N/A</v>
      </c>
      <c r="T98" s="494"/>
      <c r="U98" s="169"/>
      <c r="V98" s="169"/>
      <c r="W98" s="169"/>
      <c r="X98" s="185" t="e">
        <f t="shared" si="49"/>
        <v>#N/A</v>
      </c>
      <c r="Y98" s="494"/>
      <c r="Z98" s="169"/>
      <c r="AA98" s="169"/>
      <c r="AB98" s="169"/>
      <c r="AC98" s="185" t="e">
        <f t="shared" si="50"/>
        <v>#N/A</v>
      </c>
      <c r="AD98" s="494"/>
      <c r="AE98" s="169"/>
      <c r="AF98" s="169"/>
      <c r="AG98" s="169"/>
      <c r="AH98" s="185" t="e">
        <f t="shared" si="51"/>
        <v>#N/A</v>
      </c>
      <c r="AI98" s="494"/>
      <c r="AJ98" s="169"/>
      <c r="AK98" s="169"/>
      <c r="AL98" s="169"/>
      <c r="AM98" s="185" t="e">
        <f t="shared" si="52"/>
        <v>#N/A</v>
      </c>
      <c r="AN98" s="494"/>
      <c r="AO98" s="169"/>
      <c r="AP98" s="169"/>
      <c r="AQ98" s="169"/>
      <c r="AR98" s="185" t="e">
        <f t="shared" si="53"/>
        <v>#N/A</v>
      </c>
      <c r="AS98" s="494"/>
      <c r="AT98" s="169"/>
      <c r="AU98" s="169"/>
      <c r="AV98" s="169"/>
      <c r="AW98" s="185" t="e">
        <f t="shared" si="54"/>
        <v>#N/A</v>
      </c>
      <c r="AX98" s="494"/>
    </row>
    <row r="99" spans="2:50">
      <c r="B99" s="471"/>
      <c r="C99" s="185">
        <v>13</v>
      </c>
      <c r="D99" s="206"/>
      <c r="E99" s="169"/>
      <c r="F99" s="185"/>
      <c r="G99" s="183"/>
      <c r="H99" s="452"/>
      <c r="I99" s="185"/>
      <c r="J99" s="185"/>
      <c r="K99" s="185"/>
      <c r="L99" s="452"/>
      <c r="M99" s="184" t="e">
        <f>RANK(K99, K$87:$K$101)</f>
        <v>#DIV/0!</v>
      </c>
      <c r="N99" s="454"/>
      <c r="O99" s="454"/>
      <c r="P99" s="169"/>
      <c r="Q99" s="169"/>
      <c r="R99" s="169"/>
      <c r="S99" s="185" t="e">
        <f t="shared" si="48"/>
        <v>#N/A</v>
      </c>
      <c r="T99" s="494"/>
      <c r="U99" s="169"/>
      <c r="V99" s="169"/>
      <c r="W99" s="169"/>
      <c r="X99" s="185" t="e">
        <f t="shared" si="49"/>
        <v>#N/A</v>
      </c>
      <c r="Y99" s="494"/>
      <c r="Z99" s="169"/>
      <c r="AA99" s="169"/>
      <c r="AB99" s="169"/>
      <c r="AC99" s="185" t="e">
        <f t="shared" si="50"/>
        <v>#N/A</v>
      </c>
      <c r="AD99" s="494"/>
      <c r="AE99" s="169"/>
      <c r="AF99" s="169"/>
      <c r="AG99" s="169"/>
      <c r="AH99" s="185" t="e">
        <f t="shared" si="51"/>
        <v>#N/A</v>
      </c>
      <c r="AI99" s="494"/>
      <c r="AJ99" s="169"/>
      <c r="AK99" s="169"/>
      <c r="AL99" s="169"/>
      <c r="AM99" s="185" t="e">
        <f t="shared" si="52"/>
        <v>#N/A</v>
      </c>
      <c r="AN99" s="494"/>
      <c r="AO99" s="169"/>
      <c r="AP99" s="169"/>
      <c r="AQ99" s="169"/>
      <c r="AR99" s="185" t="e">
        <f t="shared" si="53"/>
        <v>#N/A</v>
      </c>
      <c r="AS99" s="494"/>
      <c r="AT99" s="169"/>
      <c r="AU99" s="169"/>
      <c r="AV99" s="169"/>
      <c r="AW99" s="185" t="e">
        <f t="shared" si="54"/>
        <v>#N/A</v>
      </c>
      <c r="AX99" s="494"/>
    </row>
    <row r="100" spans="2:50">
      <c r="B100" s="471"/>
      <c r="C100" s="185">
        <v>14</v>
      </c>
      <c r="D100" s="206"/>
      <c r="E100" s="169"/>
      <c r="F100" s="185"/>
      <c r="G100" s="183"/>
      <c r="H100" s="452"/>
      <c r="I100" s="185"/>
      <c r="J100" s="185"/>
      <c r="K100" s="185"/>
      <c r="L100" s="452"/>
      <c r="M100" s="184" t="e">
        <f>RANK(K100, K$87:$K$101)</f>
        <v>#DIV/0!</v>
      </c>
      <c r="N100" s="454"/>
      <c r="O100" s="454"/>
      <c r="P100" s="169"/>
      <c r="Q100" s="169"/>
      <c r="R100" s="169"/>
      <c r="S100" s="185" t="e">
        <f t="shared" si="48"/>
        <v>#N/A</v>
      </c>
      <c r="T100" s="494"/>
      <c r="U100" s="169"/>
      <c r="V100" s="169"/>
      <c r="W100" s="169"/>
      <c r="X100" s="185" t="e">
        <f t="shared" si="49"/>
        <v>#N/A</v>
      </c>
      <c r="Y100" s="494"/>
      <c r="Z100" s="169"/>
      <c r="AA100" s="169"/>
      <c r="AB100" s="169"/>
      <c r="AC100" s="185" t="e">
        <f t="shared" si="50"/>
        <v>#N/A</v>
      </c>
      <c r="AD100" s="494"/>
      <c r="AE100" s="169"/>
      <c r="AF100" s="169"/>
      <c r="AG100" s="169"/>
      <c r="AH100" s="185" t="e">
        <f t="shared" si="51"/>
        <v>#N/A</v>
      </c>
      <c r="AI100" s="494"/>
      <c r="AJ100" s="169"/>
      <c r="AK100" s="169"/>
      <c r="AL100" s="169"/>
      <c r="AM100" s="185" t="e">
        <f t="shared" si="52"/>
        <v>#N/A</v>
      </c>
      <c r="AN100" s="494"/>
      <c r="AO100" s="169"/>
      <c r="AP100" s="169"/>
      <c r="AQ100" s="169"/>
      <c r="AR100" s="185" t="e">
        <f t="shared" si="53"/>
        <v>#N/A</v>
      </c>
      <c r="AS100" s="494"/>
      <c r="AT100" s="169"/>
      <c r="AU100" s="169"/>
      <c r="AV100" s="169"/>
      <c r="AW100" s="185" t="e">
        <f t="shared" si="54"/>
        <v>#N/A</v>
      </c>
      <c r="AX100" s="494"/>
    </row>
    <row r="101" spans="2:50">
      <c r="B101" s="471"/>
      <c r="C101" s="185">
        <v>15</v>
      </c>
      <c r="D101" s="206"/>
      <c r="E101" s="169"/>
      <c r="F101" s="185"/>
      <c r="G101" s="183"/>
      <c r="H101" s="453"/>
      <c r="I101" s="185"/>
      <c r="J101" s="185"/>
      <c r="K101" s="185"/>
      <c r="L101" s="453"/>
      <c r="M101" s="169" t="e">
        <f>RANK(K101, K$87:$K$101)</f>
        <v>#DIV/0!</v>
      </c>
      <c r="N101" s="454"/>
      <c r="O101" s="454"/>
      <c r="P101" s="169"/>
      <c r="Q101" s="169"/>
      <c r="R101" s="169"/>
      <c r="S101" s="185" t="e">
        <f t="shared" si="48"/>
        <v>#N/A</v>
      </c>
      <c r="T101" s="494"/>
      <c r="U101" s="169"/>
      <c r="V101" s="169"/>
      <c r="W101" s="169"/>
      <c r="X101" s="185" t="e">
        <f t="shared" si="49"/>
        <v>#N/A</v>
      </c>
      <c r="Y101" s="494"/>
      <c r="Z101" s="169"/>
      <c r="AA101" s="169"/>
      <c r="AB101" s="169"/>
      <c r="AC101" s="185" t="e">
        <f t="shared" si="50"/>
        <v>#N/A</v>
      </c>
      <c r="AD101" s="494"/>
      <c r="AE101" s="169"/>
      <c r="AF101" s="169"/>
      <c r="AG101" s="169"/>
      <c r="AH101" s="185" t="e">
        <f t="shared" si="51"/>
        <v>#N/A</v>
      </c>
      <c r="AI101" s="494"/>
      <c r="AJ101" s="169"/>
      <c r="AK101" s="169"/>
      <c r="AL101" s="169"/>
      <c r="AM101" s="185" t="e">
        <f t="shared" si="52"/>
        <v>#N/A</v>
      </c>
      <c r="AN101" s="494"/>
      <c r="AO101" s="169"/>
      <c r="AP101" s="169"/>
      <c r="AQ101" s="169"/>
      <c r="AR101" s="185" t="e">
        <f t="shared" si="53"/>
        <v>#N/A</v>
      </c>
      <c r="AS101" s="494"/>
      <c r="AT101" s="169"/>
      <c r="AU101" s="169"/>
      <c r="AV101" s="169"/>
      <c r="AW101" s="185" t="e">
        <f t="shared" si="54"/>
        <v>#N/A</v>
      </c>
      <c r="AX101" s="494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96" t="s">
        <v>259</v>
      </c>
      <c r="C107" s="185">
        <v>1</v>
      </c>
      <c r="D107" s="206"/>
      <c r="E107" s="169"/>
      <c r="F107" s="185"/>
      <c r="G107" s="183"/>
      <c r="H107" s="451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51" t="str">
        <f>IFERROR(AVERAGE(K107:K121),"-")</f>
        <v>-</v>
      </c>
      <c r="M107" s="184" t="e">
        <f>RANK(K107, K$87:$K$101)</f>
        <v>#DIV/0!</v>
      </c>
      <c r="N107" s="454"/>
      <c r="O107" s="454"/>
      <c r="P107" s="169"/>
      <c r="Q107" s="169"/>
      <c r="R107" s="169"/>
      <c r="S107" s="185" t="e">
        <f>RANK(R107, R$107:R$121)</f>
        <v>#N/A</v>
      </c>
      <c r="T107" s="494" t="e">
        <f>AVERAGE(R107:R121)</f>
        <v>#DIV/0!</v>
      </c>
      <c r="U107" s="169"/>
      <c r="V107" s="169"/>
      <c r="W107" s="169"/>
      <c r="X107" s="185" t="e">
        <f>RANK(W107, W$107:W$121)</f>
        <v>#N/A</v>
      </c>
      <c r="Y107" s="494" t="e">
        <f>AVERAGE(W107:W121)</f>
        <v>#DIV/0!</v>
      </c>
      <c r="Z107" s="169"/>
      <c r="AA107" s="169"/>
      <c r="AB107" s="169"/>
      <c r="AC107" s="185" t="e">
        <f>RANK(AB107, AB$107:AB$121)</f>
        <v>#N/A</v>
      </c>
      <c r="AD107" s="494" t="e">
        <f>AVERAGE(AB107:AB121)</f>
        <v>#DIV/0!</v>
      </c>
      <c r="AE107" s="169"/>
      <c r="AF107" s="169"/>
      <c r="AG107" s="169"/>
      <c r="AH107" s="185" t="e">
        <f>RANK(AG107, AG$107:AG$121)</f>
        <v>#N/A</v>
      </c>
      <c r="AI107" s="494" t="e">
        <f>AVERAGE(AG107:AG121)</f>
        <v>#DIV/0!</v>
      </c>
      <c r="AJ107" s="169"/>
      <c r="AK107" s="169"/>
      <c r="AL107" s="169"/>
      <c r="AM107" s="185" t="e">
        <f>RANK(AL107, AL$107:AL$121)</f>
        <v>#N/A</v>
      </c>
      <c r="AN107" s="494" t="e">
        <f>AVERAGE(AL107:AL121)</f>
        <v>#DIV/0!</v>
      </c>
      <c r="AO107" s="169"/>
      <c r="AP107" s="169"/>
      <c r="AQ107" s="169"/>
      <c r="AR107" s="185" t="e">
        <f>RANK(AQ107, AQ$107:AQ$121)</f>
        <v>#N/A</v>
      </c>
      <c r="AS107" s="494" t="e">
        <f>AVERAGE(AQ107:AQ121)</f>
        <v>#DIV/0!</v>
      </c>
      <c r="AT107" s="169"/>
      <c r="AU107" s="169"/>
      <c r="AV107" s="169"/>
      <c r="AW107" s="185" t="e">
        <f>RANK(AV107, AV$107:AV$121)</f>
        <v>#N/A</v>
      </c>
      <c r="AX107" s="494" t="e">
        <f>AVERAGE(AV107:AV121)</f>
        <v>#DIV/0!</v>
      </c>
    </row>
    <row r="108" spans="2:50">
      <c r="B108" s="471"/>
      <c r="C108" s="185">
        <v>2</v>
      </c>
      <c r="D108" s="206"/>
      <c r="E108" s="169"/>
      <c r="F108" s="185"/>
      <c r="G108" s="183"/>
      <c r="H108" s="452"/>
      <c r="I108" s="169" t="e">
        <f t="shared" ref="I108:I117" si="55">AVERAGE(P108,U108,Z108,AE108,AJ108,AO108,AT108)</f>
        <v>#DIV/0!</v>
      </c>
      <c r="J108" s="169" t="e">
        <f t="shared" ref="J108:J117" si="56">AVERAGE(Q108,V108,AA108,AF108,AK108,AP108,AU108)</f>
        <v>#DIV/0!</v>
      </c>
      <c r="K108" s="183" t="e">
        <f t="shared" ref="K108:K117" si="57">AVERAGE(R108,W108,AB108,AG108,AL108,AQ108,AV108)</f>
        <v>#DIV/0!</v>
      </c>
      <c r="L108" s="452"/>
      <c r="M108" s="184" t="e">
        <f>RANK(K108, K$87:$K$101)</f>
        <v>#DIV/0!</v>
      </c>
      <c r="N108" s="454"/>
      <c r="O108" s="454"/>
      <c r="P108" s="169"/>
      <c r="Q108" s="169"/>
      <c r="R108" s="169"/>
      <c r="S108" s="185" t="e">
        <f t="shared" ref="S108:S121" si="58">RANK(R108, R$107:R$121)</f>
        <v>#N/A</v>
      </c>
      <c r="T108" s="494"/>
      <c r="U108" s="169"/>
      <c r="V108" s="169"/>
      <c r="W108" s="169"/>
      <c r="X108" s="185" t="e">
        <f t="shared" ref="X108:X121" si="59">RANK(W108, W$107:W$121)</f>
        <v>#N/A</v>
      </c>
      <c r="Y108" s="494"/>
      <c r="Z108" s="169"/>
      <c r="AA108" s="169"/>
      <c r="AB108" s="169"/>
      <c r="AC108" s="185" t="e">
        <f t="shared" ref="AC108:AC121" si="60">RANK(AB108, AB$107:AB$121)</f>
        <v>#N/A</v>
      </c>
      <c r="AD108" s="494"/>
      <c r="AE108" s="169"/>
      <c r="AF108" s="169"/>
      <c r="AG108" s="169"/>
      <c r="AH108" s="185" t="e">
        <f t="shared" ref="AH108:AH121" si="61">RANK(AG108, AG$107:AG$121)</f>
        <v>#N/A</v>
      </c>
      <c r="AI108" s="494"/>
      <c r="AJ108" s="169"/>
      <c r="AK108" s="169"/>
      <c r="AL108" s="169"/>
      <c r="AM108" s="185" t="e">
        <f t="shared" ref="AM108:AM121" si="62">RANK(AL108, AL$107:AL$121)</f>
        <v>#N/A</v>
      </c>
      <c r="AN108" s="494"/>
      <c r="AO108" s="169"/>
      <c r="AP108" s="169"/>
      <c r="AQ108" s="169"/>
      <c r="AR108" s="185" t="e">
        <f t="shared" ref="AR108:AR121" si="63">RANK(AQ108, AQ$107:AQ$121)</f>
        <v>#N/A</v>
      </c>
      <c r="AS108" s="494"/>
      <c r="AT108" s="169"/>
      <c r="AU108" s="169"/>
      <c r="AV108" s="169"/>
      <c r="AW108" s="185" t="e">
        <f t="shared" ref="AW108:AW121" si="64">RANK(AV108, AV$107:AV$121)</f>
        <v>#N/A</v>
      </c>
      <c r="AX108" s="494"/>
    </row>
    <row r="109" spans="2:50">
      <c r="B109" s="471"/>
      <c r="C109" s="185">
        <v>3</v>
      </c>
      <c r="D109" s="206"/>
      <c r="E109" s="169"/>
      <c r="F109" s="185"/>
      <c r="G109" s="183"/>
      <c r="H109" s="452"/>
      <c r="I109" s="169" t="e">
        <f t="shared" si="55"/>
        <v>#DIV/0!</v>
      </c>
      <c r="J109" s="169" t="e">
        <f t="shared" si="56"/>
        <v>#DIV/0!</v>
      </c>
      <c r="K109" s="183" t="e">
        <f t="shared" si="57"/>
        <v>#DIV/0!</v>
      </c>
      <c r="L109" s="452"/>
      <c r="M109" s="184" t="e">
        <f>RANK(K109, K$87:$K$101)</f>
        <v>#DIV/0!</v>
      </c>
      <c r="N109" s="454"/>
      <c r="O109" s="454"/>
      <c r="P109" s="169"/>
      <c r="Q109" s="169"/>
      <c r="R109" s="169"/>
      <c r="S109" s="185" t="e">
        <f t="shared" si="58"/>
        <v>#N/A</v>
      </c>
      <c r="T109" s="494"/>
      <c r="U109" s="169"/>
      <c r="V109" s="169"/>
      <c r="W109" s="169"/>
      <c r="X109" s="185" t="e">
        <f t="shared" si="59"/>
        <v>#N/A</v>
      </c>
      <c r="Y109" s="494"/>
      <c r="Z109" s="169"/>
      <c r="AA109" s="169"/>
      <c r="AB109" s="169"/>
      <c r="AC109" s="185" t="e">
        <f t="shared" si="60"/>
        <v>#N/A</v>
      </c>
      <c r="AD109" s="494"/>
      <c r="AE109" s="169"/>
      <c r="AF109" s="169"/>
      <c r="AG109" s="169"/>
      <c r="AH109" s="185" t="e">
        <f t="shared" si="61"/>
        <v>#N/A</v>
      </c>
      <c r="AI109" s="494"/>
      <c r="AJ109" s="169"/>
      <c r="AK109" s="169"/>
      <c r="AL109" s="169"/>
      <c r="AM109" s="185" t="e">
        <f t="shared" si="62"/>
        <v>#N/A</v>
      </c>
      <c r="AN109" s="494"/>
      <c r="AO109" s="169"/>
      <c r="AP109" s="169"/>
      <c r="AQ109" s="169"/>
      <c r="AR109" s="185" t="e">
        <f t="shared" si="63"/>
        <v>#N/A</v>
      </c>
      <c r="AS109" s="494"/>
      <c r="AT109" s="169"/>
      <c r="AU109" s="169"/>
      <c r="AV109" s="169"/>
      <c r="AW109" s="185" t="e">
        <f t="shared" si="64"/>
        <v>#N/A</v>
      </c>
      <c r="AX109" s="494"/>
    </row>
    <row r="110" spans="2:50">
      <c r="B110" s="471"/>
      <c r="C110" s="185">
        <v>4</v>
      </c>
      <c r="D110" s="206"/>
      <c r="E110" s="169"/>
      <c r="F110" s="185"/>
      <c r="G110" s="183"/>
      <c r="H110" s="452"/>
      <c r="I110" s="169" t="e">
        <f t="shared" si="55"/>
        <v>#DIV/0!</v>
      </c>
      <c r="J110" s="169" t="e">
        <f t="shared" si="56"/>
        <v>#DIV/0!</v>
      </c>
      <c r="K110" s="183" t="e">
        <f t="shared" si="57"/>
        <v>#DIV/0!</v>
      </c>
      <c r="L110" s="452"/>
      <c r="M110" s="184" t="e">
        <f>RANK(K110, K$87:$K$101)</f>
        <v>#DIV/0!</v>
      </c>
      <c r="N110" s="454"/>
      <c r="O110" s="454"/>
      <c r="P110" s="169"/>
      <c r="Q110" s="169"/>
      <c r="R110" s="169"/>
      <c r="S110" s="185" t="e">
        <f t="shared" si="58"/>
        <v>#N/A</v>
      </c>
      <c r="T110" s="494"/>
      <c r="U110" s="169"/>
      <c r="V110" s="169"/>
      <c r="W110" s="169"/>
      <c r="X110" s="185" t="e">
        <f t="shared" si="59"/>
        <v>#N/A</v>
      </c>
      <c r="Y110" s="494"/>
      <c r="Z110" s="169"/>
      <c r="AA110" s="169"/>
      <c r="AB110" s="169"/>
      <c r="AC110" s="185" t="e">
        <f t="shared" si="60"/>
        <v>#N/A</v>
      </c>
      <c r="AD110" s="494"/>
      <c r="AE110" s="169"/>
      <c r="AF110" s="169"/>
      <c r="AG110" s="169"/>
      <c r="AH110" s="185" t="e">
        <f t="shared" si="61"/>
        <v>#N/A</v>
      </c>
      <c r="AI110" s="494"/>
      <c r="AJ110" s="169"/>
      <c r="AK110" s="169"/>
      <c r="AL110" s="169"/>
      <c r="AM110" s="185" t="e">
        <f t="shared" si="62"/>
        <v>#N/A</v>
      </c>
      <c r="AN110" s="494"/>
      <c r="AO110" s="169"/>
      <c r="AP110" s="169"/>
      <c r="AQ110" s="169"/>
      <c r="AR110" s="185" t="e">
        <f t="shared" si="63"/>
        <v>#N/A</v>
      </c>
      <c r="AS110" s="494"/>
      <c r="AT110" s="169"/>
      <c r="AU110" s="169"/>
      <c r="AV110" s="169"/>
      <c r="AW110" s="185" t="e">
        <f t="shared" si="64"/>
        <v>#N/A</v>
      </c>
      <c r="AX110" s="494"/>
    </row>
    <row r="111" spans="2:50">
      <c r="B111" s="471"/>
      <c r="C111" s="185">
        <v>5</v>
      </c>
      <c r="D111" s="206"/>
      <c r="E111" s="169"/>
      <c r="F111" s="185"/>
      <c r="G111" s="183"/>
      <c r="H111" s="452"/>
      <c r="I111" s="169" t="e">
        <f t="shared" si="55"/>
        <v>#DIV/0!</v>
      </c>
      <c r="J111" s="169" t="e">
        <f t="shared" si="56"/>
        <v>#DIV/0!</v>
      </c>
      <c r="K111" s="183" t="e">
        <f t="shared" si="57"/>
        <v>#DIV/0!</v>
      </c>
      <c r="L111" s="452"/>
      <c r="M111" s="184" t="e">
        <f>RANK(K111, K$87:$K$101)</f>
        <v>#DIV/0!</v>
      </c>
      <c r="N111" s="454"/>
      <c r="O111" s="454"/>
      <c r="P111" s="169"/>
      <c r="Q111" s="169"/>
      <c r="R111" s="169"/>
      <c r="S111" s="185" t="e">
        <f t="shared" si="58"/>
        <v>#N/A</v>
      </c>
      <c r="T111" s="494"/>
      <c r="U111" s="169"/>
      <c r="V111" s="169"/>
      <c r="W111" s="169"/>
      <c r="X111" s="185" t="e">
        <f t="shared" si="59"/>
        <v>#N/A</v>
      </c>
      <c r="Y111" s="494"/>
      <c r="Z111" s="169"/>
      <c r="AA111" s="169"/>
      <c r="AB111" s="169"/>
      <c r="AC111" s="185" t="e">
        <f t="shared" si="60"/>
        <v>#N/A</v>
      </c>
      <c r="AD111" s="494"/>
      <c r="AE111" s="169"/>
      <c r="AF111" s="169"/>
      <c r="AG111" s="169"/>
      <c r="AH111" s="185" t="e">
        <f t="shared" si="61"/>
        <v>#N/A</v>
      </c>
      <c r="AI111" s="494"/>
      <c r="AJ111" s="169"/>
      <c r="AK111" s="169"/>
      <c r="AL111" s="169"/>
      <c r="AM111" s="185" t="e">
        <f t="shared" si="62"/>
        <v>#N/A</v>
      </c>
      <c r="AN111" s="494"/>
      <c r="AO111" s="169"/>
      <c r="AP111" s="169"/>
      <c r="AQ111" s="169"/>
      <c r="AR111" s="185" t="e">
        <f t="shared" si="63"/>
        <v>#N/A</v>
      </c>
      <c r="AS111" s="494"/>
      <c r="AT111" s="169"/>
      <c r="AU111" s="169"/>
      <c r="AV111" s="169"/>
      <c r="AW111" s="185" t="e">
        <f t="shared" si="64"/>
        <v>#N/A</v>
      </c>
      <c r="AX111" s="494"/>
    </row>
    <row r="112" spans="2:50">
      <c r="B112" s="471"/>
      <c r="C112" s="185">
        <v>6</v>
      </c>
      <c r="D112" s="206"/>
      <c r="E112" s="169"/>
      <c r="F112" s="185"/>
      <c r="G112" s="183"/>
      <c r="H112" s="452"/>
      <c r="I112" s="169" t="e">
        <f t="shared" si="55"/>
        <v>#DIV/0!</v>
      </c>
      <c r="J112" s="169" t="e">
        <f t="shared" si="56"/>
        <v>#DIV/0!</v>
      </c>
      <c r="K112" s="183" t="e">
        <f t="shared" si="57"/>
        <v>#DIV/0!</v>
      </c>
      <c r="L112" s="452"/>
      <c r="M112" s="184" t="e">
        <f>RANK(K112, K$87:$K$101)</f>
        <v>#DIV/0!</v>
      </c>
      <c r="N112" s="454"/>
      <c r="O112" s="454"/>
      <c r="P112" s="169"/>
      <c r="Q112" s="169"/>
      <c r="R112" s="169"/>
      <c r="S112" s="185" t="e">
        <f t="shared" si="58"/>
        <v>#N/A</v>
      </c>
      <c r="T112" s="494"/>
      <c r="U112" s="169"/>
      <c r="V112" s="169"/>
      <c r="W112" s="169"/>
      <c r="X112" s="185" t="e">
        <f t="shared" si="59"/>
        <v>#N/A</v>
      </c>
      <c r="Y112" s="494"/>
      <c r="Z112" s="169"/>
      <c r="AA112" s="169"/>
      <c r="AB112" s="169"/>
      <c r="AC112" s="185" t="e">
        <f t="shared" si="60"/>
        <v>#N/A</v>
      </c>
      <c r="AD112" s="494"/>
      <c r="AE112" s="169"/>
      <c r="AF112" s="169"/>
      <c r="AG112" s="169"/>
      <c r="AH112" s="185" t="e">
        <f t="shared" si="61"/>
        <v>#N/A</v>
      </c>
      <c r="AI112" s="494"/>
      <c r="AJ112" s="169"/>
      <c r="AK112" s="169"/>
      <c r="AL112" s="169"/>
      <c r="AM112" s="185" t="e">
        <f t="shared" si="62"/>
        <v>#N/A</v>
      </c>
      <c r="AN112" s="494"/>
      <c r="AO112" s="169"/>
      <c r="AP112" s="169"/>
      <c r="AQ112" s="169"/>
      <c r="AR112" s="185" t="e">
        <f t="shared" si="63"/>
        <v>#N/A</v>
      </c>
      <c r="AS112" s="494"/>
      <c r="AT112" s="169"/>
      <c r="AU112" s="169"/>
      <c r="AV112" s="169"/>
      <c r="AW112" s="185" t="e">
        <f t="shared" si="64"/>
        <v>#N/A</v>
      </c>
      <c r="AX112" s="494"/>
    </row>
    <row r="113" spans="2:50">
      <c r="B113" s="471"/>
      <c r="C113" s="185">
        <v>7</v>
      </c>
      <c r="D113" s="206"/>
      <c r="E113" s="169"/>
      <c r="F113" s="185"/>
      <c r="G113" s="183"/>
      <c r="H113" s="452"/>
      <c r="I113" s="169" t="e">
        <f t="shared" si="55"/>
        <v>#DIV/0!</v>
      </c>
      <c r="J113" s="169" t="e">
        <f t="shared" si="56"/>
        <v>#DIV/0!</v>
      </c>
      <c r="K113" s="183" t="e">
        <f t="shared" si="57"/>
        <v>#DIV/0!</v>
      </c>
      <c r="L113" s="452"/>
      <c r="M113" s="184" t="e">
        <f>RANK(K113, K$87:$K$101)</f>
        <v>#DIV/0!</v>
      </c>
      <c r="N113" s="454"/>
      <c r="O113" s="454"/>
      <c r="P113" s="169"/>
      <c r="Q113" s="169"/>
      <c r="R113" s="169"/>
      <c r="S113" s="185" t="e">
        <f t="shared" si="58"/>
        <v>#N/A</v>
      </c>
      <c r="T113" s="494"/>
      <c r="U113" s="169"/>
      <c r="V113" s="169"/>
      <c r="W113" s="169"/>
      <c r="X113" s="185" t="e">
        <f t="shared" si="59"/>
        <v>#N/A</v>
      </c>
      <c r="Y113" s="494"/>
      <c r="Z113" s="169"/>
      <c r="AA113" s="169"/>
      <c r="AB113" s="169"/>
      <c r="AC113" s="185" t="e">
        <f t="shared" si="60"/>
        <v>#N/A</v>
      </c>
      <c r="AD113" s="494"/>
      <c r="AE113" s="169"/>
      <c r="AF113" s="169"/>
      <c r="AG113" s="169"/>
      <c r="AH113" s="185" t="e">
        <f t="shared" si="61"/>
        <v>#N/A</v>
      </c>
      <c r="AI113" s="494"/>
      <c r="AJ113" s="169"/>
      <c r="AK113" s="169"/>
      <c r="AL113" s="169"/>
      <c r="AM113" s="185" t="e">
        <f t="shared" si="62"/>
        <v>#N/A</v>
      </c>
      <c r="AN113" s="494"/>
      <c r="AO113" s="169"/>
      <c r="AP113" s="169"/>
      <c r="AQ113" s="169"/>
      <c r="AR113" s="185" t="e">
        <f t="shared" si="63"/>
        <v>#N/A</v>
      </c>
      <c r="AS113" s="494"/>
      <c r="AT113" s="169"/>
      <c r="AU113" s="169"/>
      <c r="AV113" s="169"/>
      <c r="AW113" s="185" t="e">
        <f t="shared" si="64"/>
        <v>#N/A</v>
      </c>
      <c r="AX113" s="494"/>
    </row>
    <row r="114" spans="2:50">
      <c r="B114" s="471"/>
      <c r="C114" s="185">
        <v>8</v>
      </c>
      <c r="D114" s="206"/>
      <c r="E114" s="169"/>
      <c r="F114" s="185"/>
      <c r="G114" s="183"/>
      <c r="H114" s="452"/>
      <c r="I114" s="169" t="e">
        <f t="shared" si="55"/>
        <v>#DIV/0!</v>
      </c>
      <c r="J114" s="169" t="e">
        <f t="shared" si="56"/>
        <v>#DIV/0!</v>
      </c>
      <c r="K114" s="183" t="e">
        <f t="shared" si="57"/>
        <v>#DIV/0!</v>
      </c>
      <c r="L114" s="452"/>
      <c r="M114" s="184" t="e">
        <f>RANK(K114, K$87:$K$101)</f>
        <v>#DIV/0!</v>
      </c>
      <c r="N114" s="454"/>
      <c r="O114" s="454"/>
      <c r="P114" s="169"/>
      <c r="Q114" s="169"/>
      <c r="R114" s="169"/>
      <c r="S114" s="185" t="e">
        <f t="shared" si="58"/>
        <v>#N/A</v>
      </c>
      <c r="T114" s="494"/>
      <c r="U114" s="169"/>
      <c r="V114" s="169"/>
      <c r="W114" s="169"/>
      <c r="X114" s="185" t="e">
        <f t="shared" si="59"/>
        <v>#N/A</v>
      </c>
      <c r="Y114" s="494"/>
      <c r="Z114" s="169"/>
      <c r="AA114" s="169"/>
      <c r="AB114" s="169"/>
      <c r="AC114" s="185" t="e">
        <f t="shared" si="60"/>
        <v>#N/A</v>
      </c>
      <c r="AD114" s="494"/>
      <c r="AE114" s="169"/>
      <c r="AF114" s="169"/>
      <c r="AG114" s="169"/>
      <c r="AH114" s="185" t="e">
        <f t="shared" si="61"/>
        <v>#N/A</v>
      </c>
      <c r="AI114" s="494"/>
      <c r="AJ114" s="169"/>
      <c r="AK114" s="169"/>
      <c r="AL114" s="169"/>
      <c r="AM114" s="185" t="e">
        <f t="shared" si="62"/>
        <v>#N/A</v>
      </c>
      <c r="AN114" s="494"/>
      <c r="AO114" s="169"/>
      <c r="AP114" s="169"/>
      <c r="AQ114" s="169"/>
      <c r="AR114" s="185" t="e">
        <f t="shared" si="63"/>
        <v>#N/A</v>
      </c>
      <c r="AS114" s="494"/>
      <c r="AT114" s="169"/>
      <c r="AU114" s="169"/>
      <c r="AV114" s="169"/>
      <c r="AW114" s="185" t="e">
        <f t="shared" si="64"/>
        <v>#N/A</v>
      </c>
      <c r="AX114" s="494"/>
    </row>
    <row r="115" spans="2:50">
      <c r="B115" s="471"/>
      <c r="C115" s="185">
        <v>9</v>
      </c>
      <c r="D115" s="206"/>
      <c r="E115" s="169"/>
      <c r="F115" s="185"/>
      <c r="G115" s="183"/>
      <c r="H115" s="452"/>
      <c r="I115" s="169" t="e">
        <f t="shared" si="55"/>
        <v>#DIV/0!</v>
      </c>
      <c r="J115" s="169" t="e">
        <f t="shared" si="56"/>
        <v>#DIV/0!</v>
      </c>
      <c r="K115" s="183" t="e">
        <f t="shared" si="57"/>
        <v>#DIV/0!</v>
      </c>
      <c r="L115" s="452"/>
      <c r="M115" s="184" t="e">
        <f>RANK(K115, K$87:$K$101)</f>
        <v>#DIV/0!</v>
      </c>
      <c r="N115" s="454"/>
      <c r="O115" s="454"/>
      <c r="P115" s="169"/>
      <c r="Q115" s="169"/>
      <c r="R115" s="169"/>
      <c r="S115" s="185" t="e">
        <f t="shared" si="58"/>
        <v>#N/A</v>
      </c>
      <c r="T115" s="494"/>
      <c r="U115" s="169"/>
      <c r="V115" s="169"/>
      <c r="W115" s="169"/>
      <c r="X115" s="185" t="e">
        <f t="shared" si="59"/>
        <v>#N/A</v>
      </c>
      <c r="Y115" s="494"/>
      <c r="Z115" s="169"/>
      <c r="AA115" s="169"/>
      <c r="AB115" s="169"/>
      <c r="AC115" s="185" t="e">
        <f t="shared" si="60"/>
        <v>#N/A</v>
      </c>
      <c r="AD115" s="494"/>
      <c r="AE115" s="169"/>
      <c r="AF115" s="169"/>
      <c r="AG115" s="169"/>
      <c r="AH115" s="185" t="e">
        <f t="shared" si="61"/>
        <v>#N/A</v>
      </c>
      <c r="AI115" s="494"/>
      <c r="AJ115" s="169"/>
      <c r="AK115" s="169"/>
      <c r="AL115" s="169"/>
      <c r="AM115" s="185" t="e">
        <f t="shared" si="62"/>
        <v>#N/A</v>
      </c>
      <c r="AN115" s="494"/>
      <c r="AO115" s="169"/>
      <c r="AP115" s="169"/>
      <c r="AQ115" s="169"/>
      <c r="AR115" s="185" t="e">
        <f t="shared" si="63"/>
        <v>#N/A</v>
      </c>
      <c r="AS115" s="494"/>
      <c r="AT115" s="169"/>
      <c r="AU115" s="169"/>
      <c r="AV115" s="169"/>
      <c r="AW115" s="185" t="e">
        <f t="shared" si="64"/>
        <v>#N/A</v>
      </c>
      <c r="AX115" s="494"/>
    </row>
    <row r="116" spans="2:50">
      <c r="B116" s="471"/>
      <c r="C116" s="185">
        <v>10</v>
      </c>
      <c r="D116" s="206"/>
      <c r="E116" s="169"/>
      <c r="F116" s="185"/>
      <c r="G116" s="183"/>
      <c r="H116" s="452"/>
      <c r="I116" s="169" t="e">
        <f t="shared" si="55"/>
        <v>#DIV/0!</v>
      </c>
      <c r="J116" s="169" t="e">
        <f t="shared" si="56"/>
        <v>#DIV/0!</v>
      </c>
      <c r="K116" s="183" t="e">
        <f t="shared" si="57"/>
        <v>#DIV/0!</v>
      </c>
      <c r="L116" s="452"/>
      <c r="M116" s="184" t="e">
        <f>RANK(K116, K$87:$K$101)</f>
        <v>#DIV/0!</v>
      </c>
      <c r="N116" s="454"/>
      <c r="O116" s="454"/>
      <c r="P116" s="169"/>
      <c r="Q116" s="169"/>
      <c r="R116" s="169"/>
      <c r="S116" s="185" t="e">
        <f t="shared" si="58"/>
        <v>#N/A</v>
      </c>
      <c r="T116" s="494"/>
      <c r="U116" s="169"/>
      <c r="V116" s="169"/>
      <c r="W116" s="169"/>
      <c r="X116" s="185" t="e">
        <f t="shared" si="59"/>
        <v>#N/A</v>
      </c>
      <c r="Y116" s="494"/>
      <c r="Z116" s="169"/>
      <c r="AA116" s="169"/>
      <c r="AB116" s="169"/>
      <c r="AC116" s="185" t="e">
        <f t="shared" si="60"/>
        <v>#N/A</v>
      </c>
      <c r="AD116" s="494"/>
      <c r="AE116" s="169"/>
      <c r="AF116" s="169"/>
      <c r="AG116" s="169"/>
      <c r="AH116" s="185" t="e">
        <f t="shared" si="61"/>
        <v>#N/A</v>
      </c>
      <c r="AI116" s="494"/>
      <c r="AJ116" s="169"/>
      <c r="AK116" s="169"/>
      <c r="AL116" s="169"/>
      <c r="AM116" s="185" t="e">
        <f t="shared" si="62"/>
        <v>#N/A</v>
      </c>
      <c r="AN116" s="494"/>
      <c r="AO116" s="169"/>
      <c r="AP116" s="169"/>
      <c r="AQ116" s="169"/>
      <c r="AR116" s="185" t="e">
        <f t="shared" si="63"/>
        <v>#N/A</v>
      </c>
      <c r="AS116" s="494"/>
      <c r="AT116" s="169"/>
      <c r="AU116" s="169"/>
      <c r="AV116" s="169"/>
      <c r="AW116" s="185" t="e">
        <f t="shared" si="64"/>
        <v>#N/A</v>
      </c>
      <c r="AX116" s="494"/>
    </row>
    <row r="117" spans="2:50">
      <c r="B117" s="471"/>
      <c r="C117" s="185">
        <v>11</v>
      </c>
      <c r="D117" s="206"/>
      <c r="E117" s="169"/>
      <c r="F117" s="185"/>
      <c r="G117" s="183"/>
      <c r="H117" s="452"/>
      <c r="I117" s="169" t="e">
        <f t="shared" si="55"/>
        <v>#DIV/0!</v>
      </c>
      <c r="J117" s="169" t="e">
        <f t="shared" si="56"/>
        <v>#DIV/0!</v>
      </c>
      <c r="K117" s="183" t="e">
        <f t="shared" si="57"/>
        <v>#DIV/0!</v>
      </c>
      <c r="L117" s="452"/>
      <c r="M117" s="184" t="e">
        <f>RANK(K117, K$87:$K$101)</f>
        <v>#DIV/0!</v>
      </c>
      <c r="N117" s="454"/>
      <c r="O117" s="454"/>
      <c r="P117" s="169"/>
      <c r="Q117" s="169"/>
      <c r="R117" s="169"/>
      <c r="S117" s="185" t="e">
        <f t="shared" si="58"/>
        <v>#N/A</v>
      </c>
      <c r="T117" s="494"/>
      <c r="U117" s="169"/>
      <c r="V117" s="169"/>
      <c r="W117" s="169"/>
      <c r="X117" s="185" t="e">
        <f t="shared" si="59"/>
        <v>#N/A</v>
      </c>
      <c r="Y117" s="494"/>
      <c r="Z117" s="169"/>
      <c r="AA117" s="169"/>
      <c r="AB117" s="169"/>
      <c r="AC117" s="185" t="e">
        <f t="shared" si="60"/>
        <v>#N/A</v>
      </c>
      <c r="AD117" s="494"/>
      <c r="AE117" s="169"/>
      <c r="AF117" s="169"/>
      <c r="AG117" s="169"/>
      <c r="AH117" s="185" t="e">
        <f t="shared" si="61"/>
        <v>#N/A</v>
      </c>
      <c r="AI117" s="494"/>
      <c r="AJ117" s="169"/>
      <c r="AK117" s="169"/>
      <c r="AL117" s="169"/>
      <c r="AM117" s="185" t="e">
        <f t="shared" si="62"/>
        <v>#N/A</v>
      </c>
      <c r="AN117" s="494"/>
      <c r="AO117" s="169"/>
      <c r="AP117" s="169"/>
      <c r="AQ117" s="169"/>
      <c r="AR117" s="185" t="e">
        <f t="shared" si="63"/>
        <v>#N/A</v>
      </c>
      <c r="AS117" s="494"/>
      <c r="AT117" s="169"/>
      <c r="AU117" s="169"/>
      <c r="AV117" s="169"/>
      <c r="AW117" s="185" t="e">
        <f t="shared" si="64"/>
        <v>#N/A</v>
      </c>
      <c r="AX117" s="494"/>
    </row>
    <row r="118" spans="2:50">
      <c r="B118" s="471"/>
      <c r="C118" s="185">
        <v>12</v>
      </c>
      <c r="D118" s="206"/>
      <c r="E118" s="169"/>
      <c r="F118" s="185"/>
      <c r="G118" s="183"/>
      <c r="H118" s="452"/>
      <c r="I118" s="169" t="e">
        <f t="shared" ref="I118" si="65">AVERAGE(P118,U118,Z118,AE118,AJ118,AO118,AT118)</f>
        <v>#DIV/0!</v>
      </c>
      <c r="J118" s="169" t="e">
        <f t="shared" ref="J118" si="66">AVERAGE(Q118,V118,AA118,AF118,AK118,AP118,AU118)</f>
        <v>#DIV/0!</v>
      </c>
      <c r="K118" s="183" t="e">
        <f t="shared" ref="K118" si="67">AVERAGE(R118,W118,AB118,AG118,AL118,AQ118,AV118)</f>
        <v>#DIV/0!</v>
      </c>
      <c r="L118" s="452"/>
      <c r="M118" s="184" t="e">
        <f>RANK(K118, K$87:$K$101)</f>
        <v>#DIV/0!</v>
      </c>
      <c r="N118" s="454"/>
      <c r="O118" s="454"/>
      <c r="P118" s="169"/>
      <c r="Q118" s="169"/>
      <c r="R118" s="169"/>
      <c r="S118" s="185" t="e">
        <f t="shared" si="58"/>
        <v>#N/A</v>
      </c>
      <c r="T118" s="494"/>
      <c r="U118" s="169"/>
      <c r="V118" s="169"/>
      <c r="W118" s="169"/>
      <c r="X118" s="185" t="e">
        <f t="shared" si="59"/>
        <v>#N/A</v>
      </c>
      <c r="Y118" s="494"/>
      <c r="Z118" s="169"/>
      <c r="AA118" s="169"/>
      <c r="AB118" s="169"/>
      <c r="AC118" s="185" t="e">
        <f t="shared" si="60"/>
        <v>#N/A</v>
      </c>
      <c r="AD118" s="494"/>
      <c r="AE118" s="169"/>
      <c r="AF118" s="169"/>
      <c r="AG118" s="169"/>
      <c r="AH118" s="185" t="e">
        <f t="shared" si="61"/>
        <v>#N/A</v>
      </c>
      <c r="AI118" s="494"/>
      <c r="AJ118" s="169"/>
      <c r="AK118" s="169"/>
      <c r="AL118" s="169"/>
      <c r="AM118" s="185" t="e">
        <f t="shared" si="62"/>
        <v>#N/A</v>
      </c>
      <c r="AN118" s="494"/>
      <c r="AO118" s="169"/>
      <c r="AP118" s="169"/>
      <c r="AQ118" s="169"/>
      <c r="AR118" s="185" t="e">
        <f t="shared" si="63"/>
        <v>#N/A</v>
      </c>
      <c r="AS118" s="494"/>
      <c r="AT118" s="169"/>
      <c r="AU118" s="169"/>
      <c r="AV118" s="169"/>
      <c r="AW118" s="185" t="e">
        <f t="shared" si="64"/>
        <v>#N/A</v>
      </c>
      <c r="AX118" s="494"/>
    </row>
    <row r="119" spans="2:50">
      <c r="B119" s="471"/>
      <c r="C119" s="185">
        <v>13</v>
      </c>
      <c r="D119" s="206"/>
      <c r="E119" s="169"/>
      <c r="F119" s="185"/>
      <c r="G119" s="183"/>
      <c r="H119" s="452"/>
      <c r="I119" s="185"/>
      <c r="J119" s="185"/>
      <c r="K119" s="185"/>
      <c r="L119" s="452"/>
      <c r="M119" s="184" t="e">
        <f>RANK(K119, K$87:$K$101)</f>
        <v>#DIV/0!</v>
      </c>
      <c r="N119" s="454"/>
      <c r="O119" s="454"/>
      <c r="P119" s="169"/>
      <c r="Q119" s="169"/>
      <c r="R119" s="169"/>
      <c r="S119" s="185" t="e">
        <f t="shared" si="58"/>
        <v>#N/A</v>
      </c>
      <c r="T119" s="494"/>
      <c r="U119" s="169"/>
      <c r="V119" s="169"/>
      <c r="W119" s="169"/>
      <c r="X119" s="185" t="e">
        <f t="shared" si="59"/>
        <v>#N/A</v>
      </c>
      <c r="Y119" s="494"/>
      <c r="Z119" s="169"/>
      <c r="AA119" s="169"/>
      <c r="AB119" s="169"/>
      <c r="AC119" s="185" t="e">
        <f t="shared" si="60"/>
        <v>#N/A</v>
      </c>
      <c r="AD119" s="494"/>
      <c r="AE119" s="169"/>
      <c r="AF119" s="169"/>
      <c r="AG119" s="169"/>
      <c r="AH119" s="185" t="e">
        <f t="shared" si="61"/>
        <v>#N/A</v>
      </c>
      <c r="AI119" s="494"/>
      <c r="AJ119" s="169"/>
      <c r="AK119" s="169"/>
      <c r="AL119" s="169"/>
      <c r="AM119" s="185" t="e">
        <f t="shared" si="62"/>
        <v>#N/A</v>
      </c>
      <c r="AN119" s="494"/>
      <c r="AO119" s="169"/>
      <c r="AP119" s="169"/>
      <c r="AQ119" s="169"/>
      <c r="AR119" s="185" t="e">
        <f t="shared" si="63"/>
        <v>#N/A</v>
      </c>
      <c r="AS119" s="494"/>
      <c r="AT119" s="169"/>
      <c r="AU119" s="169"/>
      <c r="AV119" s="169"/>
      <c r="AW119" s="185" t="e">
        <f t="shared" si="64"/>
        <v>#N/A</v>
      </c>
      <c r="AX119" s="494"/>
    </row>
    <row r="120" spans="2:50">
      <c r="B120" s="471"/>
      <c r="C120" s="185">
        <v>14</v>
      </c>
      <c r="D120" s="206"/>
      <c r="E120" s="169"/>
      <c r="F120" s="185"/>
      <c r="G120" s="183"/>
      <c r="H120" s="452"/>
      <c r="I120" s="185"/>
      <c r="J120" s="185"/>
      <c r="K120" s="185"/>
      <c r="L120" s="452"/>
      <c r="M120" s="184" t="e">
        <f>RANK(K120, K$87:$K$101)</f>
        <v>#DIV/0!</v>
      </c>
      <c r="N120" s="454"/>
      <c r="O120" s="454"/>
      <c r="P120" s="169"/>
      <c r="Q120" s="169"/>
      <c r="R120" s="169"/>
      <c r="S120" s="185" t="e">
        <f t="shared" si="58"/>
        <v>#N/A</v>
      </c>
      <c r="T120" s="494"/>
      <c r="U120" s="169"/>
      <c r="V120" s="169"/>
      <c r="W120" s="169"/>
      <c r="X120" s="185" t="e">
        <f t="shared" si="59"/>
        <v>#N/A</v>
      </c>
      <c r="Y120" s="494"/>
      <c r="Z120" s="169"/>
      <c r="AA120" s="169"/>
      <c r="AB120" s="169"/>
      <c r="AC120" s="185" t="e">
        <f t="shared" si="60"/>
        <v>#N/A</v>
      </c>
      <c r="AD120" s="494"/>
      <c r="AE120" s="169"/>
      <c r="AF120" s="169"/>
      <c r="AG120" s="169"/>
      <c r="AH120" s="185" t="e">
        <f t="shared" si="61"/>
        <v>#N/A</v>
      </c>
      <c r="AI120" s="494"/>
      <c r="AJ120" s="169"/>
      <c r="AK120" s="169"/>
      <c r="AL120" s="169"/>
      <c r="AM120" s="185" t="e">
        <f t="shared" si="62"/>
        <v>#N/A</v>
      </c>
      <c r="AN120" s="494"/>
      <c r="AO120" s="169"/>
      <c r="AP120" s="169"/>
      <c r="AQ120" s="169"/>
      <c r="AR120" s="185" t="e">
        <f t="shared" si="63"/>
        <v>#N/A</v>
      </c>
      <c r="AS120" s="494"/>
      <c r="AT120" s="169"/>
      <c r="AU120" s="169"/>
      <c r="AV120" s="169"/>
      <c r="AW120" s="185" t="e">
        <f t="shared" si="64"/>
        <v>#N/A</v>
      </c>
      <c r="AX120" s="494"/>
    </row>
    <row r="121" spans="2:50">
      <c r="B121" s="471"/>
      <c r="C121" s="185">
        <v>15</v>
      </c>
      <c r="D121" s="206"/>
      <c r="E121" s="169"/>
      <c r="F121" s="185"/>
      <c r="G121" s="183"/>
      <c r="H121" s="453"/>
      <c r="I121" s="185"/>
      <c r="J121" s="185"/>
      <c r="K121" s="185"/>
      <c r="L121" s="453"/>
      <c r="M121" s="169" t="e">
        <f>RANK(K121, K$87:$K$101)</f>
        <v>#DIV/0!</v>
      </c>
      <c r="N121" s="454"/>
      <c r="O121" s="454"/>
      <c r="P121" s="169"/>
      <c r="Q121" s="169"/>
      <c r="R121" s="169"/>
      <c r="S121" s="185" t="e">
        <f t="shared" si="58"/>
        <v>#N/A</v>
      </c>
      <c r="T121" s="494"/>
      <c r="U121" s="169"/>
      <c r="V121" s="169"/>
      <c r="W121" s="169"/>
      <c r="X121" s="185" t="e">
        <f t="shared" si="59"/>
        <v>#N/A</v>
      </c>
      <c r="Y121" s="494"/>
      <c r="Z121" s="169"/>
      <c r="AA121" s="169"/>
      <c r="AB121" s="169"/>
      <c r="AC121" s="185" t="e">
        <f t="shared" si="60"/>
        <v>#N/A</v>
      </c>
      <c r="AD121" s="494"/>
      <c r="AE121" s="169"/>
      <c r="AF121" s="169"/>
      <c r="AG121" s="169"/>
      <c r="AH121" s="185" t="e">
        <f t="shared" si="61"/>
        <v>#N/A</v>
      </c>
      <c r="AI121" s="494"/>
      <c r="AJ121" s="169"/>
      <c r="AK121" s="169"/>
      <c r="AL121" s="169"/>
      <c r="AM121" s="185" t="e">
        <f t="shared" si="62"/>
        <v>#N/A</v>
      </c>
      <c r="AN121" s="494"/>
      <c r="AO121" s="169"/>
      <c r="AP121" s="169"/>
      <c r="AQ121" s="169"/>
      <c r="AR121" s="185" t="e">
        <f t="shared" si="63"/>
        <v>#N/A</v>
      </c>
      <c r="AS121" s="494"/>
      <c r="AT121" s="169"/>
      <c r="AU121" s="169"/>
      <c r="AV121" s="169"/>
      <c r="AW121" s="185" t="e">
        <f t="shared" si="64"/>
        <v>#N/A</v>
      </c>
      <c r="AX121" s="494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96" t="s">
        <v>259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J138" si="68">AVERAGEIF($D$7:$D$121,$D128,I$7:I$121)</f>
        <v>#DIV/0!</v>
      </c>
      <c r="J128" s="169" t="e">
        <f t="shared" si="68"/>
        <v>#DIV/0!</v>
      </c>
      <c r="K128" s="169" t="e">
        <f t="shared" ref="K128:K138" si="69"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 t="e">
        <f t="shared" si="68"/>
        <v>#DIV/0!</v>
      </c>
      <c r="J129" s="169" t="e">
        <f t="shared" si="68"/>
        <v>#DIV/0!</v>
      </c>
      <c r="K129" s="169" t="e">
        <f t="shared" si="69"/>
        <v>#DIV/0!</v>
      </c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 t="e">
        <f t="shared" si="68"/>
        <v>#DIV/0!</v>
      </c>
      <c r="J130" s="169" t="e">
        <f t="shared" si="68"/>
        <v>#DIV/0!</v>
      </c>
      <c r="K130" s="169" t="e">
        <f t="shared" si="69"/>
        <v>#DIV/0!</v>
      </c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 t="e">
        <f t="shared" si="68"/>
        <v>#DIV/0!</v>
      </c>
      <c r="J131" s="169" t="e">
        <f t="shared" si="68"/>
        <v>#DIV/0!</v>
      </c>
      <c r="K131" s="169" t="e">
        <f t="shared" si="69"/>
        <v>#DIV/0!</v>
      </c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 t="e">
        <f t="shared" si="68"/>
        <v>#DIV/0!</v>
      </c>
      <c r="J132" s="169" t="e">
        <f t="shared" si="68"/>
        <v>#DIV/0!</v>
      </c>
      <c r="K132" s="169" t="e">
        <f t="shared" si="69"/>
        <v>#DIV/0!</v>
      </c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 t="e">
        <f t="shared" si="68"/>
        <v>#DIV/0!</v>
      </c>
      <c r="J133" s="169" t="e">
        <f t="shared" si="68"/>
        <v>#DIV/0!</v>
      </c>
      <c r="K133" s="169" t="e">
        <f t="shared" si="69"/>
        <v>#DIV/0!</v>
      </c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 t="e">
        <f t="shared" si="68"/>
        <v>#DIV/0!</v>
      </c>
      <c r="J134" s="169" t="e">
        <f t="shared" si="68"/>
        <v>#DIV/0!</v>
      </c>
      <c r="K134" s="169" t="e">
        <f t="shared" si="69"/>
        <v>#DIV/0!</v>
      </c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 t="e">
        <f t="shared" si="68"/>
        <v>#DIV/0!</v>
      </c>
      <c r="J135" s="169" t="e">
        <f t="shared" si="68"/>
        <v>#DIV/0!</v>
      </c>
      <c r="K135" s="169" t="e">
        <f t="shared" si="69"/>
        <v>#DIV/0!</v>
      </c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 t="e">
        <f t="shared" si="68"/>
        <v>#DIV/0!</v>
      </c>
      <c r="J136" s="169" t="e">
        <f t="shared" si="68"/>
        <v>#DIV/0!</v>
      </c>
      <c r="K136" s="169" t="e">
        <f t="shared" si="69"/>
        <v>#DIV/0!</v>
      </c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 t="e">
        <f t="shared" si="68"/>
        <v>#DIV/0!</v>
      </c>
      <c r="J137" s="169" t="e">
        <f t="shared" si="68"/>
        <v>#DIV/0!</v>
      </c>
      <c r="K137" s="169" t="e">
        <f t="shared" si="69"/>
        <v>#DIV/0!</v>
      </c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 t="e">
        <f t="shared" si="68"/>
        <v>#DIV/0!</v>
      </c>
      <c r="J138" s="169" t="e">
        <f t="shared" si="68"/>
        <v>#DIV/0!</v>
      </c>
      <c r="K138" s="169" t="e">
        <f t="shared" si="69"/>
        <v>#DIV/0!</v>
      </c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zoomScale="70" zoomScaleNormal="70" workbookViewId="0">
      <pane xSplit="15" topLeftCell="AE1" activePane="topRight" state="frozen"/>
      <selection pane="topRight" activeCell="AT28" sqref="AT27:AV28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118.38412494368384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54" t="s">
        <v>271</v>
      </c>
      <c r="C7" s="185">
        <v>1</v>
      </c>
      <c r="D7" s="206" t="s">
        <v>272</v>
      </c>
      <c r="E7" s="169">
        <v>13</v>
      </c>
      <c r="F7" s="185">
        <v>1500</v>
      </c>
      <c r="G7" s="183">
        <v>115.38461538461539</v>
      </c>
      <c r="H7" s="451">
        <f>AVERAGE(G7:G21)</f>
        <v>115.38461538461539</v>
      </c>
      <c r="I7" s="169">
        <f t="shared" ref="I7:I8" si="0">AVERAGE(P7,U7,Z7,AE7,AJ7,AO7,AT7)</f>
        <v>12.428571428571429</v>
      </c>
      <c r="J7" s="169">
        <f t="shared" ref="J7:J8" si="1">AVERAGE(Q7,V7,AA7,AF7,AK7,AP7,AU7)</f>
        <v>1499.0765306122453</v>
      </c>
      <c r="K7" s="183">
        <f t="shared" ref="K7:K8" si="2">AVERAGE(R7,W7,AB7,AG7,AL7,AQ7,AV7)</f>
        <v>121.32791788043895</v>
      </c>
      <c r="L7" s="451">
        <f>IFERROR(AVERAGE(K7:K21),"-")</f>
        <v>121.87018128929903</v>
      </c>
      <c r="M7" s="184">
        <f>RANK(K7, $K$7:K$21)</f>
        <v>2</v>
      </c>
      <c r="N7" s="454"/>
      <c r="O7" s="454"/>
      <c r="P7" s="169">
        <v>13</v>
      </c>
      <c r="Q7" s="169">
        <v>1490.2500000000007</v>
      </c>
      <c r="R7" s="183">
        <v>114.63461538461544</v>
      </c>
      <c r="S7" s="185">
        <f>RANK(R7, R$7:R$21)</f>
        <v>1</v>
      </c>
      <c r="T7" s="494">
        <f>AVERAGE(R7:R21)</f>
        <v>114.30631868131869</v>
      </c>
      <c r="U7" s="169">
        <v>13</v>
      </c>
      <c r="V7" s="169">
        <v>1490.8235294117658</v>
      </c>
      <c r="W7" s="183">
        <v>114.67873303167428</v>
      </c>
      <c r="X7" s="185">
        <f>RANK(W7, W$7:W$21)</f>
        <v>1</v>
      </c>
      <c r="Y7" s="494">
        <f>AVERAGE(W7:W21)</f>
        <v>114.22398190045261</v>
      </c>
      <c r="Z7" s="169">
        <v>11</v>
      </c>
      <c r="AA7" s="169">
        <v>1497.1764705882363</v>
      </c>
      <c r="AB7" s="183">
        <v>136.10695187165786</v>
      </c>
      <c r="AC7" s="185">
        <f>RANK(AB7, AB$7:AB$21)</f>
        <v>2</v>
      </c>
      <c r="AD7" s="494">
        <f>AVERAGE(AB7:AB21)</f>
        <v>148.41711229946537</v>
      </c>
      <c r="AE7" s="169">
        <v>13</v>
      </c>
      <c r="AF7" s="169">
        <v>1534.2857142857151</v>
      </c>
      <c r="AG7" s="183">
        <v>118.02197802197809</v>
      </c>
      <c r="AH7" s="185">
        <f>RANK(AG7, AG$7:AG$21)</f>
        <v>1</v>
      </c>
      <c r="AI7" s="494">
        <f>AVERAGE(AG7:AG21)</f>
        <v>108.85714285714306</v>
      </c>
      <c r="AJ7" s="169">
        <v>13</v>
      </c>
      <c r="AK7" s="169">
        <v>1513.0000000000002</v>
      </c>
      <c r="AL7" s="183">
        <v>116.3846153846154</v>
      </c>
      <c r="AM7" s="185">
        <f>RANK(AL7, AL$7:AL$21)</f>
        <v>1</v>
      </c>
      <c r="AN7" s="494">
        <f>AVERAGE(AL7:AL21)</f>
        <v>115.42307692307691</v>
      </c>
      <c r="AO7" s="169">
        <v>13</v>
      </c>
      <c r="AP7" s="169">
        <v>1455.0000000000005</v>
      </c>
      <c r="AQ7" s="183">
        <v>111.92307692307696</v>
      </c>
      <c r="AR7" s="185">
        <f>RANK(AQ7, AQ$7:AQ$21)</f>
        <v>2</v>
      </c>
      <c r="AS7" s="494">
        <f>AVERAGE(AQ7:AQ21)</f>
        <v>120.00000000000011</v>
      </c>
      <c r="AT7" s="169">
        <v>11</v>
      </c>
      <c r="AU7" s="169">
        <v>1513.0000000000002</v>
      </c>
      <c r="AV7" s="183">
        <v>137.54545454545456</v>
      </c>
      <c r="AW7" s="185">
        <f>RANK(AV7, AV$7:AV$21)</f>
        <v>1</v>
      </c>
      <c r="AX7" s="494">
        <f>AVERAGE(AV7:AV21)</f>
        <v>131.86363636363643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206" t="s">
        <v>273</v>
      </c>
      <c r="E8" s="169">
        <v>13</v>
      </c>
      <c r="F8" s="185">
        <v>1500</v>
      </c>
      <c r="G8" s="183">
        <v>115.38461538461539</v>
      </c>
      <c r="H8" s="452"/>
      <c r="I8" s="169">
        <f t="shared" si="0"/>
        <v>12.428571428571429</v>
      </c>
      <c r="J8" s="169">
        <f t="shared" si="1"/>
        <v>1509.3877551020425</v>
      </c>
      <c r="K8" s="183">
        <f t="shared" si="2"/>
        <v>122.41244469815911</v>
      </c>
      <c r="L8" s="452"/>
      <c r="M8" s="184">
        <f>RANK(K8, $K$7:K$21)</f>
        <v>1</v>
      </c>
      <c r="N8" s="454"/>
      <c r="O8" s="454"/>
      <c r="P8" s="185">
        <v>13</v>
      </c>
      <c r="Q8" s="169">
        <v>1481.7142857142849</v>
      </c>
      <c r="R8" s="183">
        <v>113.97802197802191</v>
      </c>
      <c r="S8" s="185">
        <f t="shared" ref="S8:S21" si="3">RANK(R8, R$7:R$21)</f>
        <v>2</v>
      </c>
      <c r="T8" s="494"/>
      <c r="U8" s="185">
        <v>13</v>
      </c>
      <c r="V8" s="169">
        <v>1479.0000000000023</v>
      </c>
      <c r="W8" s="183">
        <v>113.76923076923094</v>
      </c>
      <c r="X8" s="185">
        <f t="shared" ref="X8:X21" si="4">RANK(W8, W$7:W$21)</f>
        <v>2</v>
      </c>
      <c r="Y8" s="494"/>
      <c r="Z8" s="185">
        <v>11</v>
      </c>
      <c r="AA8" s="169">
        <v>1768.0000000000016</v>
      </c>
      <c r="AB8" s="183">
        <v>160.72727272727286</v>
      </c>
      <c r="AC8" s="185">
        <f t="shared" ref="AC8:AC21" si="5">RANK(AB8, AB$7:AB$21)</f>
        <v>1</v>
      </c>
      <c r="AD8" s="494"/>
      <c r="AE8" s="185">
        <v>13</v>
      </c>
      <c r="AF8" s="169">
        <v>1296.0000000000045</v>
      </c>
      <c r="AG8" s="183">
        <v>99.692307692308049</v>
      </c>
      <c r="AH8" s="185">
        <f t="shared" ref="AH8:AH21" si="6">RANK(AG8, AG$7:AG$21)</f>
        <v>2</v>
      </c>
      <c r="AI8" s="494"/>
      <c r="AJ8" s="185">
        <v>13</v>
      </c>
      <c r="AK8" s="169">
        <v>1487.9999999999993</v>
      </c>
      <c r="AL8" s="183">
        <v>114.46153846153841</v>
      </c>
      <c r="AM8" s="185">
        <f t="shared" ref="AM8:AM21" si="7">RANK(AL8, AL$7:AL$21)</f>
        <v>2</v>
      </c>
      <c r="AN8" s="494"/>
      <c r="AO8" s="185">
        <v>13</v>
      </c>
      <c r="AP8" s="169">
        <v>1665.0000000000025</v>
      </c>
      <c r="AQ8" s="183">
        <v>128.07692307692326</v>
      </c>
      <c r="AR8" s="185">
        <f t="shared" ref="AR8:AR21" si="8">RANK(AQ8, AQ$7:AQ$21)</f>
        <v>1</v>
      </c>
      <c r="AS8" s="494"/>
      <c r="AT8" s="185">
        <v>11</v>
      </c>
      <c r="AU8" s="169">
        <v>1388.0000000000014</v>
      </c>
      <c r="AV8" s="183">
        <v>126.1818181818183</v>
      </c>
      <c r="AW8" s="185">
        <f t="shared" ref="AW8:AW21" si="9">RANK(AV8, AV$7:AV$21)</f>
        <v>2</v>
      </c>
      <c r="AX8" s="494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206"/>
      <c r="E9" s="169"/>
      <c r="F9" s="185"/>
      <c r="G9" s="183"/>
      <c r="H9" s="452"/>
      <c r="I9" s="169"/>
      <c r="J9" s="169"/>
      <c r="K9" s="183"/>
      <c r="L9" s="452"/>
      <c r="M9" s="184" t="e">
        <f>RANK(K9, $K$7:K$21)</f>
        <v>#N/A</v>
      </c>
      <c r="N9" s="454"/>
      <c r="O9" s="454"/>
      <c r="P9" s="185"/>
      <c r="Q9" s="185"/>
      <c r="R9" s="185"/>
      <c r="S9" s="185" t="e">
        <f t="shared" si="3"/>
        <v>#N/A</v>
      </c>
      <c r="T9" s="494"/>
      <c r="U9" s="185"/>
      <c r="V9" s="185"/>
      <c r="W9" s="185"/>
      <c r="X9" s="185" t="e">
        <f t="shared" si="4"/>
        <v>#N/A</v>
      </c>
      <c r="Y9" s="494"/>
      <c r="Z9" s="185"/>
      <c r="AA9" s="185"/>
      <c r="AB9" s="185"/>
      <c r="AC9" s="185" t="e">
        <f t="shared" si="5"/>
        <v>#N/A</v>
      </c>
      <c r="AD9" s="494"/>
      <c r="AE9" s="185"/>
      <c r="AF9" s="185"/>
      <c r="AG9" s="185"/>
      <c r="AH9" s="185" t="e">
        <f t="shared" si="6"/>
        <v>#N/A</v>
      </c>
      <c r="AI9" s="494"/>
      <c r="AJ9" s="185"/>
      <c r="AK9" s="185"/>
      <c r="AL9" s="185"/>
      <c r="AM9" s="185" t="e">
        <f t="shared" si="7"/>
        <v>#N/A</v>
      </c>
      <c r="AN9" s="494"/>
      <c r="AO9" s="185"/>
      <c r="AP9" s="185"/>
      <c r="AQ9" s="185"/>
      <c r="AR9" s="185" t="e">
        <f t="shared" si="8"/>
        <v>#N/A</v>
      </c>
      <c r="AS9" s="494"/>
      <c r="AT9" s="185"/>
      <c r="AU9" s="185"/>
      <c r="AV9" s="185"/>
      <c r="AW9" s="185" t="e">
        <f t="shared" si="9"/>
        <v>#N/A</v>
      </c>
      <c r="AX9" s="494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206"/>
      <c r="E10" s="169"/>
      <c r="F10" s="185"/>
      <c r="G10" s="183"/>
      <c r="H10" s="452"/>
      <c r="I10" s="169"/>
      <c r="J10" s="169"/>
      <c r="K10" s="183"/>
      <c r="L10" s="452"/>
      <c r="M10" s="184" t="e">
        <f>RANK(K10, $K$7:K$21)</f>
        <v>#N/A</v>
      </c>
      <c r="N10" s="454"/>
      <c r="O10" s="454"/>
      <c r="P10" s="185"/>
      <c r="Q10" s="185"/>
      <c r="R10" s="185"/>
      <c r="S10" s="185" t="e">
        <f t="shared" si="3"/>
        <v>#N/A</v>
      </c>
      <c r="T10" s="494"/>
      <c r="U10" s="185"/>
      <c r="V10" s="185"/>
      <c r="W10" s="185"/>
      <c r="X10" s="185" t="e">
        <f t="shared" si="4"/>
        <v>#N/A</v>
      </c>
      <c r="Y10" s="494"/>
      <c r="Z10" s="185"/>
      <c r="AA10" s="185"/>
      <c r="AB10" s="185"/>
      <c r="AC10" s="185" t="e">
        <f t="shared" si="5"/>
        <v>#N/A</v>
      </c>
      <c r="AD10" s="494"/>
      <c r="AE10" s="185"/>
      <c r="AF10" s="185"/>
      <c r="AG10" s="185"/>
      <c r="AH10" s="185" t="e">
        <f t="shared" si="6"/>
        <v>#N/A</v>
      </c>
      <c r="AI10" s="494"/>
      <c r="AJ10" s="185"/>
      <c r="AK10" s="185"/>
      <c r="AL10" s="185"/>
      <c r="AM10" s="185" t="e">
        <f t="shared" si="7"/>
        <v>#N/A</v>
      </c>
      <c r="AN10" s="494"/>
      <c r="AO10" s="185"/>
      <c r="AP10" s="185"/>
      <c r="AQ10" s="185"/>
      <c r="AR10" s="185" t="e">
        <f t="shared" si="8"/>
        <v>#N/A</v>
      </c>
      <c r="AS10" s="494"/>
      <c r="AT10" s="185"/>
      <c r="AU10" s="185"/>
      <c r="AV10" s="185"/>
      <c r="AW10" s="185" t="e">
        <f t="shared" si="9"/>
        <v>#N/A</v>
      </c>
      <c r="AX10" s="494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206"/>
      <c r="E11" s="169"/>
      <c r="F11" s="185"/>
      <c r="G11" s="183"/>
      <c r="H11" s="452"/>
      <c r="I11" s="169"/>
      <c r="J11" s="169"/>
      <c r="K11" s="183"/>
      <c r="L11" s="452"/>
      <c r="M11" s="184" t="e">
        <f>RANK(K11, $K$7:K$21)</f>
        <v>#N/A</v>
      </c>
      <c r="N11" s="454"/>
      <c r="O11" s="454"/>
      <c r="P11" s="185"/>
      <c r="Q11" s="185"/>
      <c r="R11" s="185"/>
      <c r="S11" s="185" t="e">
        <f t="shared" si="3"/>
        <v>#N/A</v>
      </c>
      <c r="T11" s="494"/>
      <c r="U11" s="185"/>
      <c r="V11" s="185"/>
      <c r="W11" s="185"/>
      <c r="X11" s="185" t="e">
        <f t="shared" si="4"/>
        <v>#N/A</v>
      </c>
      <c r="Y11" s="494"/>
      <c r="Z11" s="185"/>
      <c r="AA11" s="185"/>
      <c r="AB11" s="185"/>
      <c r="AC11" s="185" t="e">
        <f t="shared" si="5"/>
        <v>#N/A</v>
      </c>
      <c r="AD11" s="494"/>
      <c r="AE11" s="185"/>
      <c r="AF11" s="185"/>
      <c r="AG11" s="185"/>
      <c r="AH11" s="185" t="e">
        <f t="shared" si="6"/>
        <v>#N/A</v>
      </c>
      <c r="AI11" s="494"/>
      <c r="AJ11" s="185"/>
      <c r="AK11" s="185"/>
      <c r="AL11" s="185"/>
      <c r="AM11" s="185" t="e">
        <f t="shared" si="7"/>
        <v>#N/A</v>
      </c>
      <c r="AN11" s="494"/>
      <c r="AO11" s="185"/>
      <c r="AP11" s="185"/>
      <c r="AQ11" s="185"/>
      <c r="AR11" s="185" t="e">
        <f t="shared" si="8"/>
        <v>#N/A</v>
      </c>
      <c r="AS11" s="494"/>
      <c r="AT11" s="185"/>
      <c r="AU11" s="185"/>
      <c r="AV11" s="185"/>
      <c r="AW11" s="185" t="e">
        <f t="shared" si="9"/>
        <v>#N/A</v>
      </c>
      <c r="AX11" s="494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206"/>
      <c r="E12" s="169"/>
      <c r="F12" s="185"/>
      <c r="G12" s="183"/>
      <c r="H12" s="452"/>
      <c r="I12" s="169"/>
      <c r="J12" s="169"/>
      <c r="K12" s="183"/>
      <c r="L12" s="452"/>
      <c r="M12" s="184" t="e">
        <f>RANK(K12, $K$7:K$21)</f>
        <v>#N/A</v>
      </c>
      <c r="N12" s="454"/>
      <c r="O12" s="454"/>
      <c r="P12" s="185"/>
      <c r="Q12" s="185"/>
      <c r="R12" s="185"/>
      <c r="S12" s="185" t="e">
        <f t="shared" si="3"/>
        <v>#N/A</v>
      </c>
      <c r="T12" s="494"/>
      <c r="U12" s="185"/>
      <c r="V12" s="185"/>
      <c r="W12" s="185"/>
      <c r="X12" s="185" t="e">
        <f t="shared" si="4"/>
        <v>#N/A</v>
      </c>
      <c r="Y12" s="494"/>
      <c r="Z12" s="185"/>
      <c r="AA12" s="185"/>
      <c r="AB12" s="185"/>
      <c r="AC12" s="185" t="e">
        <f t="shared" si="5"/>
        <v>#N/A</v>
      </c>
      <c r="AD12" s="494"/>
      <c r="AE12" s="185"/>
      <c r="AF12" s="185"/>
      <c r="AG12" s="185"/>
      <c r="AH12" s="185" t="e">
        <f t="shared" si="6"/>
        <v>#N/A</v>
      </c>
      <c r="AI12" s="494"/>
      <c r="AJ12" s="185"/>
      <c r="AK12" s="185"/>
      <c r="AL12" s="185"/>
      <c r="AM12" s="185" t="e">
        <f t="shared" si="7"/>
        <v>#N/A</v>
      </c>
      <c r="AN12" s="494"/>
      <c r="AO12" s="185"/>
      <c r="AP12" s="185"/>
      <c r="AQ12" s="185"/>
      <c r="AR12" s="185" t="e">
        <f t="shared" si="8"/>
        <v>#N/A</v>
      </c>
      <c r="AS12" s="494"/>
      <c r="AT12" s="185"/>
      <c r="AU12" s="185"/>
      <c r="AV12" s="185"/>
      <c r="AW12" s="185" t="e">
        <f t="shared" si="9"/>
        <v>#N/A</v>
      </c>
      <c r="AX12" s="494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206"/>
      <c r="E13" s="169"/>
      <c r="F13" s="185"/>
      <c r="G13" s="183"/>
      <c r="H13" s="452"/>
      <c r="I13" s="169"/>
      <c r="J13" s="169"/>
      <c r="K13" s="183"/>
      <c r="L13" s="452"/>
      <c r="M13" s="184" t="e">
        <f>RANK(K13, $K$7:K$21)</f>
        <v>#N/A</v>
      </c>
      <c r="N13" s="454"/>
      <c r="O13" s="454"/>
      <c r="P13" s="185"/>
      <c r="Q13" s="185"/>
      <c r="R13" s="185"/>
      <c r="S13" s="185" t="e">
        <f t="shared" si="3"/>
        <v>#N/A</v>
      </c>
      <c r="T13" s="494"/>
      <c r="U13" s="185"/>
      <c r="V13" s="185"/>
      <c r="W13" s="185"/>
      <c r="X13" s="185" t="e">
        <f t="shared" si="4"/>
        <v>#N/A</v>
      </c>
      <c r="Y13" s="494"/>
      <c r="Z13" s="185"/>
      <c r="AA13" s="185"/>
      <c r="AB13" s="185"/>
      <c r="AC13" s="185" t="e">
        <f t="shared" si="5"/>
        <v>#N/A</v>
      </c>
      <c r="AD13" s="494"/>
      <c r="AE13" s="185"/>
      <c r="AF13" s="185"/>
      <c r="AG13" s="185"/>
      <c r="AH13" s="185" t="e">
        <f t="shared" si="6"/>
        <v>#N/A</v>
      </c>
      <c r="AI13" s="494"/>
      <c r="AJ13" s="185"/>
      <c r="AK13" s="185"/>
      <c r="AL13" s="185"/>
      <c r="AM13" s="185" t="e">
        <f t="shared" si="7"/>
        <v>#N/A</v>
      </c>
      <c r="AN13" s="494"/>
      <c r="AO13" s="185"/>
      <c r="AP13" s="185"/>
      <c r="AQ13" s="185"/>
      <c r="AR13" s="185" t="e">
        <f t="shared" si="8"/>
        <v>#N/A</v>
      </c>
      <c r="AS13" s="494"/>
      <c r="AT13" s="185"/>
      <c r="AU13" s="185"/>
      <c r="AV13" s="185"/>
      <c r="AW13" s="185" t="e">
        <f t="shared" si="9"/>
        <v>#N/A</v>
      </c>
      <c r="AX13" s="494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206"/>
      <c r="E14" s="169"/>
      <c r="F14" s="185"/>
      <c r="G14" s="183"/>
      <c r="H14" s="452"/>
      <c r="I14" s="169"/>
      <c r="J14" s="169"/>
      <c r="K14" s="183"/>
      <c r="L14" s="452"/>
      <c r="M14" s="184" t="e">
        <f>RANK(K14, $K$7:K$21)</f>
        <v>#N/A</v>
      </c>
      <c r="N14" s="454"/>
      <c r="O14" s="454"/>
      <c r="P14" s="185"/>
      <c r="Q14" s="185"/>
      <c r="R14" s="185"/>
      <c r="S14" s="185" t="e">
        <f t="shared" si="3"/>
        <v>#N/A</v>
      </c>
      <c r="T14" s="494"/>
      <c r="U14" s="185"/>
      <c r="V14" s="185"/>
      <c r="W14" s="185"/>
      <c r="X14" s="185" t="e">
        <f t="shared" si="4"/>
        <v>#N/A</v>
      </c>
      <c r="Y14" s="494"/>
      <c r="Z14" s="185"/>
      <c r="AA14" s="185"/>
      <c r="AB14" s="185"/>
      <c r="AC14" s="185" t="e">
        <f t="shared" si="5"/>
        <v>#N/A</v>
      </c>
      <c r="AD14" s="494"/>
      <c r="AE14" s="185"/>
      <c r="AF14" s="185"/>
      <c r="AG14" s="185"/>
      <c r="AH14" s="185" t="e">
        <f t="shared" si="6"/>
        <v>#N/A</v>
      </c>
      <c r="AI14" s="494"/>
      <c r="AJ14" s="185"/>
      <c r="AK14" s="185"/>
      <c r="AL14" s="185"/>
      <c r="AM14" s="185" t="e">
        <f t="shared" si="7"/>
        <v>#N/A</v>
      </c>
      <c r="AN14" s="494"/>
      <c r="AO14" s="185"/>
      <c r="AP14" s="185"/>
      <c r="AQ14" s="185"/>
      <c r="AR14" s="185" t="e">
        <f t="shared" si="8"/>
        <v>#N/A</v>
      </c>
      <c r="AS14" s="494"/>
      <c r="AT14" s="185"/>
      <c r="AU14" s="185"/>
      <c r="AV14" s="185"/>
      <c r="AW14" s="185" t="e">
        <f t="shared" si="9"/>
        <v>#N/A</v>
      </c>
      <c r="AX14" s="494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206"/>
      <c r="E15" s="169"/>
      <c r="F15" s="185"/>
      <c r="G15" s="183"/>
      <c r="H15" s="452"/>
      <c r="I15" s="169"/>
      <c r="J15" s="169"/>
      <c r="K15" s="183"/>
      <c r="L15" s="452"/>
      <c r="M15" s="184" t="e">
        <f>RANK(K15, $K$7:K$21)</f>
        <v>#N/A</v>
      </c>
      <c r="N15" s="454"/>
      <c r="O15" s="454"/>
      <c r="P15" s="185"/>
      <c r="Q15" s="185"/>
      <c r="R15" s="185"/>
      <c r="S15" s="185" t="e">
        <f t="shared" si="3"/>
        <v>#N/A</v>
      </c>
      <c r="T15" s="494"/>
      <c r="U15" s="185"/>
      <c r="V15" s="185"/>
      <c r="W15" s="185"/>
      <c r="X15" s="185" t="e">
        <f t="shared" si="4"/>
        <v>#N/A</v>
      </c>
      <c r="Y15" s="494"/>
      <c r="Z15" s="185"/>
      <c r="AA15" s="185"/>
      <c r="AB15" s="185"/>
      <c r="AC15" s="185" t="e">
        <f t="shared" si="5"/>
        <v>#N/A</v>
      </c>
      <c r="AD15" s="494"/>
      <c r="AE15" s="185"/>
      <c r="AF15" s="185"/>
      <c r="AG15" s="185"/>
      <c r="AH15" s="185" t="e">
        <f t="shared" si="6"/>
        <v>#N/A</v>
      </c>
      <c r="AI15" s="494"/>
      <c r="AJ15" s="185"/>
      <c r="AK15" s="185"/>
      <c r="AL15" s="185"/>
      <c r="AM15" s="185" t="e">
        <f t="shared" si="7"/>
        <v>#N/A</v>
      </c>
      <c r="AN15" s="494"/>
      <c r="AO15" s="185"/>
      <c r="AP15" s="185"/>
      <c r="AQ15" s="185"/>
      <c r="AR15" s="185" t="e">
        <f t="shared" si="8"/>
        <v>#N/A</v>
      </c>
      <c r="AS15" s="494"/>
      <c r="AT15" s="185"/>
      <c r="AU15" s="185"/>
      <c r="AV15" s="185"/>
      <c r="AW15" s="185" t="e">
        <f t="shared" si="9"/>
        <v>#N/A</v>
      </c>
      <c r="AX15" s="494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206"/>
      <c r="E16" s="169"/>
      <c r="F16" s="185"/>
      <c r="G16" s="183"/>
      <c r="H16" s="452"/>
      <c r="I16" s="169"/>
      <c r="J16" s="169"/>
      <c r="K16" s="183"/>
      <c r="L16" s="452"/>
      <c r="M16" s="184" t="e">
        <f>RANK(K16, $K$7:K$21)</f>
        <v>#N/A</v>
      </c>
      <c r="N16" s="454"/>
      <c r="O16" s="454"/>
      <c r="P16" s="185"/>
      <c r="Q16" s="185"/>
      <c r="R16" s="185"/>
      <c r="S16" s="185" t="e">
        <f t="shared" si="3"/>
        <v>#N/A</v>
      </c>
      <c r="T16" s="494"/>
      <c r="U16" s="185"/>
      <c r="V16" s="185"/>
      <c r="W16" s="185"/>
      <c r="X16" s="185" t="e">
        <f t="shared" si="4"/>
        <v>#N/A</v>
      </c>
      <c r="Y16" s="494"/>
      <c r="Z16" s="185"/>
      <c r="AA16" s="185"/>
      <c r="AB16" s="185"/>
      <c r="AC16" s="185" t="e">
        <f t="shared" si="5"/>
        <v>#N/A</v>
      </c>
      <c r="AD16" s="494"/>
      <c r="AE16" s="185"/>
      <c r="AF16" s="185"/>
      <c r="AG16" s="185"/>
      <c r="AH16" s="185" t="e">
        <f t="shared" si="6"/>
        <v>#N/A</v>
      </c>
      <c r="AI16" s="494"/>
      <c r="AJ16" s="185"/>
      <c r="AK16" s="185"/>
      <c r="AL16" s="185"/>
      <c r="AM16" s="185" t="e">
        <f t="shared" si="7"/>
        <v>#N/A</v>
      </c>
      <c r="AN16" s="494"/>
      <c r="AO16" s="185"/>
      <c r="AP16" s="185"/>
      <c r="AQ16" s="185"/>
      <c r="AR16" s="185" t="e">
        <f t="shared" si="8"/>
        <v>#N/A</v>
      </c>
      <c r="AS16" s="494"/>
      <c r="AT16" s="185"/>
      <c r="AU16" s="185"/>
      <c r="AV16" s="185"/>
      <c r="AW16" s="185" t="e">
        <f t="shared" si="9"/>
        <v>#N/A</v>
      </c>
      <c r="AX16" s="494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206"/>
      <c r="E17" s="169"/>
      <c r="F17" s="185"/>
      <c r="G17" s="183"/>
      <c r="H17" s="452"/>
      <c r="I17" s="185"/>
      <c r="J17" s="185"/>
      <c r="K17" s="185"/>
      <c r="L17" s="452"/>
      <c r="M17" s="184" t="e">
        <f>RANK(K17, $K$7:K$21)</f>
        <v>#N/A</v>
      </c>
      <c r="N17" s="454"/>
      <c r="O17" s="454"/>
      <c r="P17" s="185"/>
      <c r="Q17" s="185"/>
      <c r="R17" s="185"/>
      <c r="S17" s="185" t="e">
        <f t="shared" si="3"/>
        <v>#N/A</v>
      </c>
      <c r="T17" s="494"/>
      <c r="U17" s="185"/>
      <c r="V17" s="185"/>
      <c r="W17" s="185"/>
      <c r="X17" s="185" t="e">
        <f t="shared" si="4"/>
        <v>#N/A</v>
      </c>
      <c r="Y17" s="494"/>
      <c r="Z17" s="185"/>
      <c r="AA17" s="185"/>
      <c r="AB17" s="185"/>
      <c r="AC17" s="185" t="e">
        <f t="shared" si="5"/>
        <v>#N/A</v>
      </c>
      <c r="AD17" s="494"/>
      <c r="AE17" s="185"/>
      <c r="AF17" s="185"/>
      <c r="AG17" s="185"/>
      <c r="AH17" s="185" t="e">
        <f t="shared" si="6"/>
        <v>#N/A</v>
      </c>
      <c r="AI17" s="494"/>
      <c r="AJ17" s="185"/>
      <c r="AK17" s="185"/>
      <c r="AL17" s="185"/>
      <c r="AM17" s="185" t="e">
        <f t="shared" si="7"/>
        <v>#N/A</v>
      </c>
      <c r="AN17" s="494"/>
      <c r="AO17" s="185"/>
      <c r="AP17" s="185"/>
      <c r="AQ17" s="185"/>
      <c r="AR17" s="185" t="e">
        <f t="shared" si="8"/>
        <v>#N/A</v>
      </c>
      <c r="AS17" s="494"/>
      <c r="AT17" s="185"/>
      <c r="AU17" s="185"/>
      <c r="AV17" s="185"/>
      <c r="AW17" s="185" t="e">
        <f t="shared" si="9"/>
        <v>#N/A</v>
      </c>
      <c r="AX17" s="494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206"/>
      <c r="E18" s="169"/>
      <c r="F18" s="185"/>
      <c r="G18" s="183"/>
      <c r="H18" s="452"/>
      <c r="I18" s="185"/>
      <c r="J18" s="185"/>
      <c r="K18" s="185"/>
      <c r="L18" s="452"/>
      <c r="M18" s="184" t="e">
        <f>RANK(K18, $K$7:K$21)</f>
        <v>#N/A</v>
      </c>
      <c r="N18" s="454"/>
      <c r="O18" s="454"/>
      <c r="P18" s="185"/>
      <c r="Q18" s="185"/>
      <c r="R18" s="185"/>
      <c r="S18" s="185" t="e">
        <f t="shared" si="3"/>
        <v>#N/A</v>
      </c>
      <c r="T18" s="494"/>
      <c r="U18" s="185"/>
      <c r="V18" s="185"/>
      <c r="W18" s="185"/>
      <c r="X18" s="185" t="e">
        <f t="shared" si="4"/>
        <v>#N/A</v>
      </c>
      <c r="Y18" s="494"/>
      <c r="Z18" s="185"/>
      <c r="AA18" s="185"/>
      <c r="AB18" s="185"/>
      <c r="AC18" s="185" t="e">
        <f t="shared" si="5"/>
        <v>#N/A</v>
      </c>
      <c r="AD18" s="494"/>
      <c r="AE18" s="185"/>
      <c r="AF18" s="185"/>
      <c r="AG18" s="185"/>
      <c r="AH18" s="185" t="e">
        <f t="shared" si="6"/>
        <v>#N/A</v>
      </c>
      <c r="AI18" s="494"/>
      <c r="AJ18" s="185"/>
      <c r="AK18" s="185"/>
      <c r="AL18" s="185"/>
      <c r="AM18" s="185" t="e">
        <f t="shared" si="7"/>
        <v>#N/A</v>
      </c>
      <c r="AN18" s="494"/>
      <c r="AO18" s="185"/>
      <c r="AP18" s="185"/>
      <c r="AQ18" s="185"/>
      <c r="AR18" s="185" t="e">
        <f t="shared" si="8"/>
        <v>#N/A</v>
      </c>
      <c r="AS18" s="494"/>
      <c r="AT18" s="185"/>
      <c r="AU18" s="185"/>
      <c r="AV18" s="185"/>
      <c r="AW18" s="185" t="e">
        <f t="shared" si="9"/>
        <v>#N/A</v>
      </c>
      <c r="AX18" s="494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206"/>
      <c r="E19" s="169"/>
      <c r="F19" s="185"/>
      <c r="G19" s="183"/>
      <c r="H19" s="452"/>
      <c r="I19" s="185"/>
      <c r="J19" s="185"/>
      <c r="K19" s="185"/>
      <c r="L19" s="452"/>
      <c r="M19" s="184" t="e">
        <f>RANK(K19, $K$7:K$21)</f>
        <v>#N/A</v>
      </c>
      <c r="N19" s="454"/>
      <c r="O19" s="454"/>
      <c r="P19" s="185"/>
      <c r="Q19" s="185"/>
      <c r="R19" s="185"/>
      <c r="S19" s="185" t="e">
        <f t="shared" si="3"/>
        <v>#N/A</v>
      </c>
      <c r="T19" s="494"/>
      <c r="U19" s="185"/>
      <c r="V19" s="185"/>
      <c r="W19" s="185"/>
      <c r="X19" s="185" t="e">
        <f t="shared" si="4"/>
        <v>#N/A</v>
      </c>
      <c r="Y19" s="494"/>
      <c r="Z19" s="185"/>
      <c r="AA19" s="185"/>
      <c r="AB19" s="185"/>
      <c r="AC19" s="185" t="e">
        <f t="shared" si="5"/>
        <v>#N/A</v>
      </c>
      <c r="AD19" s="494"/>
      <c r="AE19" s="185"/>
      <c r="AF19" s="185"/>
      <c r="AG19" s="185"/>
      <c r="AH19" s="185" t="e">
        <f t="shared" si="6"/>
        <v>#N/A</v>
      </c>
      <c r="AI19" s="494"/>
      <c r="AJ19" s="185"/>
      <c r="AK19" s="185"/>
      <c r="AL19" s="185"/>
      <c r="AM19" s="185" t="e">
        <f t="shared" si="7"/>
        <v>#N/A</v>
      </c>
      <c r="AN19" s="494"/>
      <c r="AO19" s="185"/>
      <c r="AP19" s="185"/>
      <c r="AQ19" s="185"/>
      <c r="AR19" s="185" t="e">
        <f t="shared" si="8"/>
        <v>#N/A</v>
      </c>
      <c r="AS19" s="494"/>
      <c r="AT19" s="185"/>
      <c r="AU19" s="185"/>
      <c r="AV19" s="185"/>
      <c r="AW19" s="185" t="e">
        <f t="shared" si="9"/>
        <v>#N/A</v>
      </c>
      <c r="AX19" s="494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206"/>
      <c r="E20" s="169"/>
      <c r="F20" s="185"/>
      <c r="G20" s="183"/>
      <c r="H20" s="452"/>
      <c r="I20" s="185"/>
      <c r="J20" s="185"/>
      <c r="K20" s="185"/>
      <c r="L20" s="452"/>
      <c r="M20" s="184" t="e">
        <f>RANK(K20, $K$7:K$21)</f>
        <v>#N/A</v>
      </c>
      <c r="N20" s="454"/>
      <c r="O20" s="454"/>
      <c r="P20" s="185"/>
      <c r="Q20" s="185"/>
      <c r="R20" s="185"/>
      <c r="S20" s="185" t="e">
        <f t="shared" si="3"/>
        <v>#N/A</v>
      </c>
      <c r="T20" s="494"/>
      <c r="U20" s="185"/>
      <c r="V20" s="185"/>
      <c r="W20" s="185"/>
      <c r="X20" s="185" t="e">
        <f t="shared" si="4"/>
        <v>#N/A</v>
      </c>
      <c r="Y20" s="494"/>
      <c r="Z20" s="185"/>
      <c r="AA20" s="185"/>
      <c r="AB20" s="185"/>
      <c r="AC20" s="185" t="e">
        <f t="shared" si="5"/>
        <v>#N/A</v>
      </c>
      <c r="AD20" s="494"/>
      <c r="AE20" s="185"/>
      <c r="AF20" s="185"/>
      <c r="AG20" s="185"/>
      <c r="AH20" s="185" t="e">
        <f t="shared" si="6"/>
        <v>#N/A</v>
      </c>
      <c r="AI20" s="494"/>
      <c r="AJ20" s="185"/>
      <c r="AK20" s="185"/>
      <c r="AL20" s="185"/>
      <c r="AM20" s="185" t="e">
        <f t="shared" si="7"/>
        <v>#N/A</v>
      </c>
      <c r="AN20" s="494"/>
      <c r="AO20" s="185"/>
      <c r="AP20" s="185"/>
      <c r="AQ20" s="185"/>
      <c r="AR20" s="185" t="e">
        <f t="shared" si="8"/>
        <v>#N/A</v>
      </c>
      <c r="AS20" s="494"/>
      <c r="AT20" s="185"/>
      <c r="AU20" s="185"/>
      <c r="AV20" s="185"/>
      <c r="AW20" s="185" t="e">
        <f t="shared" si="9"/>
        <v>#N/A</v>
      </c>
      <c r="AX20" s="494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206"/>
      <c r="E21" s="169"/>
      <c r="F21" s="185"/>
      <c r="G21" s="183"/>
      <c r="H21" s="453"/>
      <c r="I21" s="185"/>
      <c r="J21" s="185"/>
      <c r="K21" s="185"/>
      <c r="L21" s="453"/>
      <c r="M21" s="169" t="e">
        <f>RANK(K21, $K$7:K$21)</f>
        <v>#N/A</v>
      </c>
      <c r="N21" s="454"/>
      <c r="O21" s="454"/>
      <c r="P21" s="185"/>
      <c r="Q21" s="185"/>
      <c r="R21" s="185"/>
      <c r="S21" s="185" t="e">
        <f t="shared" si="3"/>
        <v>#N/A</v>
      </c>
      <c r="T21" s="494"/>
      <c r="U21" s="185"/>
      <c r="V21" s="185"/>
      <c r="W21" s="185"/>
      <c r="X21" s="185" t="e">
        <f t="shared" si="4"/>
        <v>#N/A</v>
      </c>
      <c r="Y21" s="494"/>
      <c r="Z21" s="185"/>
      <c r="AA21" s="185"/>
      <c r="AB21" s="185"/>
      <c r="AC21" s="185" t="e">
        <f t="shared" si="5"/>
        <v>#N/A</v>
      </c>
      <c r="AD21" s="494"/>
      <c r="AE21" s="185"/>
      <c r="AF21" s="185"/>
      <c r="AG21" s="185"/>
      <c r="AH21" s="185" t="e">
        <f t="shared" si="6"/>
        <v>#N/A</v>
      </c>
      <c r="AI21" s="494"/>
      <c r="AJ21" s="185"/>
      <c r="AK21" s="185"/>
      <c r="AL21" s="185"/>
      <c r="AM21" s="185" t="e">
        <f t="shared" si="7"/>
        <v>#N/A</v>
      </c>
      <c r="AN21" s="494"/>
      <c r="AO21" s="185"/>
      <c r="AP21" s="185"/>
      <c r="AQ21" s="185"/>
      <c r="AR21" s="185" t="e">
        <f t="shared" si="8"/>
        <v>#N/A</v>
      </c>
      <c r="AS21" s="494"/>
      <c r="AT21" s="185"/>
      <c r="AU21" s="185"/>
      <c r="AV21" s="185"/>
      <c r="AW21" s="185" t="e">
        <f t="shared" si="9"/>
        <v>#N/A</v>
      </c>
      <c r="AX21" s="494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97">
        <f>AT2+1</f>
        <v>45965</v>
      </c>
      <c r="Q22" s="498"/>
      <c r="R22" s="498"/>
      <c r="S22" s="498"/>
      <c r="T22" s="498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54" t="s">
        <v>271</v>
      </c>
      <c r="C27" s="185">
        <v>1</v>
      </c>
      <c r="D27" s="206" t="s">
        <v>272</v>
      </c>
      <c r="E27" s="169">
        <v>13</v>
      </c>
      <c r="F27" s="185">
        <v>1500</v>
      </c>
      <c r="G27" s="183">
        <v>115.38461538461539</v>
      </c>
      <c r="H27" s="451">
        <f>AVERAGE(G27:G41)</f>
        <v>115.38461538461539</v>
      </c>
      <c r="I27" s="169">
        <f t="shared" ref="I27:K28" si="11">AVERAGE(P27,U27,Z27,AE27,AJ27,AO27,AT27)</f>
        <v>12.666666666666666</v>
      </c>
      <c r="J27" s="169">
        <f t="shared" si="11"/>
        <v>1477.5635697635703</v>
      </c>
      <c r="K27" s="183">
        <f t="shared" si="11"/>
        <v>116.54139194139195</v>
      </c>
      <c r="L27" s="451">
        <f>IFERROR(AVERAGE(K27:K41),"-")</f>
        <v>114.89806859806865</v>
      </c>
      <c r="M27" s="184">
        <f>RANK(K27, K$27:$K$41)</f>
        <v>1</v>
      </c>
      <c r="N27" s="454"/>
      <c r="O27" s="454"/>
      <c r="P27" s="356" t="s">
        <v>274</v>
      </c>
      <c r="Q27" s="169">
        <f>'[1]（５-4）品群別人時生產性（4℃-壽司手卷)'!Q27</f>
        <v>1486.9090909090919</v>
      </c>
      <c r="R27" s="183">
        <f>'[1]（５-4）品群別人時生產性（4℃-壽司手卷)'!R27</f>
        <v>114.37762237762246</v>
      </c>
      <c r="S27" s="185">
        <f t="shared" ref="S27:S41" si="12">RANK(R27, R$27:R$41)</f>
        <v>1</v>
      </c>
      <c r="T27" s="494">
        <f>AVERAGE(R27:R41)</f>
        <v>107.34265734265743</v>
      </c>
      <c r="U27" s="169">
        <v>13</v>
      </c>
      <c r="V27" s="169">
        <v>1524.0000000000005</v>
      </c>
      <c r="W27" s="183">
        <v>117.23076923076927</v>
      </c>
      <c r="X27" s="185">
        <f t="shared" ref="X27:X41" si="13">RANK(W27, W$27:W$41)</f>
        <v>2</v>
      </c>
      <c r="Y27" s="494">
        <f>AVERAGE(W27:W41)</f>
        <v>133.84615384615384</v>
      </c>
      <c r="Z27" s="169">
        <v>11</v>
      </c>
      <c r="AA27" s="169">
        <v>1442.7692307692314</v>
      </c>
      <c r="AB27" s="183">
        <v>131.16083916083923</v>
      </c>
      <c r="AC27" s="185">
        <f t="shared" ref="AC27:AC41" si="14">RANK(AB27, AB$27:AB$41)</f>
        <v>2</v>
      </c>
      <c r="AD27" s="494">
        <f>AVERAGE(AB27:AB41)</f>
        <v>134.12587412587422</v>
      </c>
      <c r="AE27" s="169">
        <v>13</v>
      </c>
      <c r="AF27" s="169">
        <v>1437.0000000000005</v>
      </c>
      <c r="AG27" s="183">
        <v>110.53846153846158</v>
      </c>
      <c r="AH27" s="185">
        <f t="shared" ref="AH27:AH41" si="15">RANK(AG27, AG$27:AG$41)</f>
        <v>1</v>
      </c>
      <c r="AI27" s="494">
        <f>AVERAGE(AG27:AG41)</f>
        <v>106.0384615384616</v>
      </c>
      <c r="AJ27" s="169">
        <v>13</v>
      </c>
      <c r="AK27" s="169">
        <v>1513.2000000000003</v>
      </c>
      <c r="AL27" s="183">
        <v>116.40000000000002</v>
      </c>
      <c r="AM27" s="185">
        <f t="shared" ref="AM27:AM41" si="16">RANK(AL27, AL$27:AL$41)</f>
        <v>1</v>
      </c>
      <c r="AN27" s="494">
        <f>AVERAGE(AL27:AL41)</f>
        <v>104.81538461538466</v>
      </c>
      <c r="AO27" s="169">
        <v>13</v>
      </c>
      <c r="AP27" s="169">
        <v>1490.6666666666667</v>
      </c>
      <c r="AQ27" s="183">
        <v>114.66666666666667</v>
      </c>
      <c r="AR27" s="185">
        <f t="shared" ref="AR27:AR41" si="17">RANK(AQ27, AQ$27:AQ$41)</f>
        <v>1</v>
      </c>
      <c r="AS27" s="494">
        <f>AVERAGE(AQ27:AQ41)</f>
        <v>111.48717948717953</v>
      </c>
      <c r="AT27" s="169">
        <v>13</v>
      </c>
      <c r="AU27" s="169">
        <v>1448.4000000000005</v>
      </c>
      <c r="AV27" s="183">
        <v>111.41538461538465</v>
      </c>
      <c r="AW27" s="185">
        <f t="shared" ref="AW27:AW41" si="18">RANK(AV27, AV$27:AV$41)</f>
        <v>1</v>
      </c>
      <c r="AX27" s="494">
        <f>AVERAGE(AV27:AV41)</f>
        <v>106.6307692307693</v>
      </c>
    </row>
    <row r="28" spans="2:54">
      <c r="B28" s="471"/>
      <c r="C28" s="185">
        <v>2</v>
      </c>
      <c r="D28" s="206" t="s">
        <v>273</v>
      </c>
      <c r="E28" s="169">
        <v>13</v>
      </c>
      <c r="F28" s="185">
        <v>1500</v>
      </c>
      <c r="G28" s="183">
        <v>115.38461538461539</v>
      </c>
      <c r="H28" s="452"/>
      <c r="I28" s="169">
        <f t="shared" si="11"/>
        <v>12.714285714285714</v>
      </c>
      <c r="J28" s="169">
        <f t="shared" si="11"/>
        <v>1433.1428571428582</v>
      </c>
      <c r="K28" s="183">
        <f t="shared" si="11"/>
        <v>113.25474525474533</v>
      </c>
      <c r="L28" s="452"/>
      <c r="M28" s="184">
        <f>RANK(K28, K$27:$K$41)</f>
        <v>2</v>
      </c>
      <c r="N28" s="454"/>
      <c r="O28" s="454"/>
      <c r="P28" s="185">
        <f>'[1]（５-4）品群別人時生產性（4℃-壽司手卷)'!P28</f>
        <v>13</v>
      </c>
      <c r="Q28" s="169">
        <f>'[1]（５-4）品群別人時生產性（4℃-壽司手卷)'!Q28</f>
        <v>1304.0000000000014</v>
      </c>
      <c r="R28" s="183">
        <f>'[1]（５-4）品群別人時生產性（4℃-壽司手卷)'!R28</f>
        <v>100.30769230769241</v>
      </c>
      <c r="S28" s="185">
        <f t="shared" si="12"/>
        <v>2</v>
      </c>
      <c r="T28" s="494"/>
      <c r="U28" s="185">
        <v>13</v>
      </c>
      <c r="V28" s="169">
        <v>1955.9999999999993</v>
      </c>
      <c r="W28" s="183">
        <v>150.4615384615384</v>
      </c>
      <c r="X28" s="185">
        <f t="shared" si="13"/>
        <v>1</v>
      </c>
      <c r="Y28" s="494"/>
      <c r="Z28" s="185">
        <v>11</v>
      </c>
      <c r="AA28" s="169">
        <v>1508.0000000000014</v>
      </c>
      <c r="AB28" s="183">
        <v>137.09090909090921</v>
      </c>
      <c r="AC28" s="185">
        <f t="shared" si="14"/>
        <v>1</v>
      </c>
      <c r="AD28" s="494"/>
      <c r="AE28" s="185">
        <v>13</v>
      </c>
      <c r="AF28" s="169">
        <v>1320.0000000000014</v>
      </c>
      <c r="AG28" s="183">
        <v>101.53846153846165</v>
      </c>
      <c r="AH28" s="185">
        <f t="shared" si="15"/>
        <v>2</v>
      </c>
      <c r="AI28" s="494"/>
      <c r="AJ28" s="185">
        <v>13</v>
      </c>
      <c r="AK28" s="169">
        <v>1212.0000000000011</v>
      </c>
      <c r="AL28" s="183">
        <v>93.230769230769312</v>
      </c>
      <c r="AM28" s="185">
        <f t="shared" si="16"/>
        <v>2</v>
      </c>
      <c r="AN28" s="494"/>
      <c r="AO28" s="185">
        <v>13</v>
      </c>
      <c r="AP28" s="169">
        <v>1408.0000000000014</v>
      </c>
      <c r="AQ28" s="183">
        <v>108.30769230769241</v>
      </c>
      <c r="AR28" s="185">
        <f t="shared" si="17"/>
        <v>2</v>
      </c>
      <c r="AS28" s="494"/>
      <c r="AT28" s="185">
        <v>13</v>
      </c>
      <c r="AU28" s="169">
        <v>1324.0000000000014</v>
      </c>
      <c r="AV28" s="183">
        <v>101.84615384615395</v>
      </c>
      <c r="AW28" s="185">
        <f t="shared" si="18"/>
        <v>2</v>
      </c>
      <c r="AX28" s="494"/>
    </row>
    <row r="29" spans="2:54">
      <c r="B29" s="471"/>
      <c r="C29" s="185">
        <v>3</v>
      </c>
      <c r="D29" s="206"/>
      <c r="E29" s="169"/>
      <c r="F29" s="185"/>
      <c r="G29" s="183"/>
      <c r="H29" s="452"/>
      <c r="I29" s="169"/>
      <c r="J29" s="169"/>
      <c r="K29" s="183"/>
      <c r="L29" s="452"/>
      <c r="M29" s="184" t="e">
        <f>RANK(K29, K$27:$K$41)</f>
        <v>#N/A</v>
      </c>
      <c r="N29" s="454"/>
      <c r="O29" s="454"/>
      <c r="P29" s="185"/>
      <c r="Q29" s="185"/>
      <c r="R29" s="185"/>
      <c r="S29" s="185" t="e">
        <f t="shared" si="12"/>
        <v>#N/A</v>
      </c>
      <c r="T29" s="494"/>
      <c r="U29" s="185"/>
      <c r="V29" s="185"/>
      <c r="W29" s="185"/>
      <c r="X29" s="185" t="e">
        <f t="shared" si="13"/>
        <v>#N/A</v>
      </c>
      <c r="Y29" s="494"/>
      <c r="Z29" s="185"/>
      <c r="AA29" s="185"/>
      <c r="AB29" s="185"/>
      <c r="AC29" s="185" t="e">
        <f t="shared" si="14"/>
        <v>#N/A</v>
      </c>
      <c r="AD29" s="494"/>
      <c r="AE29" s="185"/>
      <c r="AF29" s="185"/>
      <c r="AG29" s="185"/>
      <c r="AH29" s="185" t="e">
        <f t="shared" si="15"/>
        <v>#N/A</v>
      </c>
      <c r="AI29" s="494"/>
      <c r="AJ29" s="185"/>
      <c r="AK29" s="185"/>
      <c r="AL29" s="185"/>
      <c r="AM29" s="185" t="e">
        <f t="shared" si="16"/>
        <v>#N/A</v>
      </c>
      <c r="AN29" s="494"/>
      <c r="AO29" s="185"/>
      <c r="AP29" s="185"/>
      <c r="AQ29" s="185"/>
      <c r="AR29" s="185" t="e">
        <f t="shared" si="17"/>
        <v>#N/A</v>
      </c>
      <c r="AS29" s="494"/>
      <c r="AT29" s="185"/>
      <c r="AU29" s="185"/>
      <c r="AV29" s="185"/>
      <c r="AW29" s="185" t="e">
        <f t="shared" si="18"/>
        <v>#N/A</v>
      </c>
      <c r="AX29" s="494"/>
    </row>
    <row r="30" spans="2:54">
      <c r="B30" s="471"/>
      <c r="C30" s="185">
        <v>4</v>
      </c>
      <c r="D30" s="206"/>
      <c r="E30" s="169"/>
      <c r="F30" s="185"/>
      <c r="G30" s="183"/>
      <c r="H30" s="452"/>
      <c r="I30" s="169"/>
      <c r="J30" s="169"/>
      <c r="K30" s="183"/>
      <c r="L30" s="452"/>
      <c r="M30" s="184" t="e">
        <f>RANK(K30, K$27:$K$41)</f>
        <v>#N/A</v>
      </c>
      <c r="N30" s="454"/>
      <c r="O30" s="454"/>
      <c r="P30" s="185"/>
      <c r="Q30" s="185"/>
      <c r="R30" s="185"/>
      <c r="S30" s="185" t="e">
        <f t="shared" si="12"/>
        <v>#N/A</v>
      </c>
      <c r="T30" s="494"/>
      <c r="U30" s="185"/>
      <c r="V30" s="185"/>
      <c r="W30" s="185"/>
      <c r="X30" s="185" t="e">
        <f t="shared" si="13"/>
        <v>#N/A</v>
      </c>
      <c r="Y30" s="494"/>
      <c r="Z30" s="185"/>
      <c r="AA30" s="185"/>
      <c r="AB30" s="185"/>
      <c r="AC30" s="185" t="e">
        <f t="shared" si="14"/>
        <v>#N/A</v>
      </c>
      <c r="AD30" s="494"/>
      <c r="AE30" s="185"/>
      <c r="AF30" s="185"/>
      <c r="AG30" s="185"/>
      <c r="AH30" s="185" t="e">
        <f t="shared" si="15"/>
        <v>#N/A</v>
      </c>
      <c r="AI30" s="494"/>
      <c r="AJ30" s="185"/>
      <c r="AK30" s="185"/>
      <c r="AL30" s="185"/>
      <c r="AM30" s="185" t="e">
        <f t="shared" si="16"/>
        <v>#N/A</v>
      </c>
      <c r="AN30" s="494"/>
      <c r="AO30" s="185"/>
      <c r="AP30" s="185"/>
      <c r="AQ30" s="185"/>
      <c r="AR30" s="185" t="e">
        <f t="shared" si="17"/>
        <v>#N/A</v>
      </c>
      <c r="AS30" s="494"/>
      <c r="AT30" s="185"/>
      <c r="AU30" s="185"/>
      <c r="AV30" s="185"/>
      <c r="AW30" s="185" t="e">
        <f t="shared" si="18"/>
        <v>#N/A</v>
      </c>
      <c r="AX30" s="494"/>
    </row>
    <row r="31" spans="2:54">
      <c r="B31" s="471"/>
      <c r="C31" s="185">
        <v>5</v>
      </c>
      <c r="D31" s="206"/>
      <c r="E31" s="169"/>
      <c r="F31" s="185"/>
      <c r="G31" s="183"/>
      <c r="H31" s="452"/>
      <c r="I31" s="169"/>
      <c r="J31" s="169"/>
      <c r="K31" s="183"/>
      <c r="L31" s="452"/>
      <c r="M31" s="184" t="e">
        <f>RANK(K31, K$27:$K$41)</f>
        <v>#N/A</v>
      </c>
      <c r="N31" s="454"/>
      <c r="O31" s="454"/>
      <c r="P31" s="185"/>
      <c r="Q31" s="185"/>
      <c r="R31" s="185"/>
      <c r="S31" s="185" t="e">
        <f t="shared" si="12"/>
        <v>#N/A</v>
      </c>
      <c r="T31" s="494"/>
      <c r="U31" s="185"/>
      <c r="V31" s="185"/>
      <c r="W31" s="185"/>
      <c r="X31" s="185" t="e">
        <f t="shared" si="13"/>
        <v>#N/A</v>
      </c>
      <c r="Y31" s="494"/>
      <c r="Z31" s="185"/>
      <c r="AA31" s="185"/>
      <c r="AB31" s="185"/>
      <c r="AC31" s="185" t="e">
        <f t="shared" si="14"/>
        <v>#N/A</v>
      </c>
      <c r="AD31" s="494"/>
      <c r="AE31" s="185"/>
      <c r="AF31" s="185"/>
      <c r="AG31" s="185"/>
      <c r="AH31" s="185" t="e">
        <f t="shared" si="15"/>
        <v>#N/A</v>
      </c>
      <c r="AI31" s="494"/>
      <c r="AJ31" s="185"/>
      <c r="AK31" s="185"/>
      <c r="AL31" s="185"/>
      <c r="AM31" s="185" t="e">
        <f t="shared" si="16"/>
        <v>#N/A</v>
      </c>
      <c r="AN31" s="494"/>
      <c r="AO31" s="185"/>
      <c r="AP31" s="185"/>
      <c r="AQ31" s="185"/>
      <c r="AR31" s="185" t="e">
        <f t="shared" si="17"/>
        <v>#N/A</v>
      </c>
      <c r="AS31" s="494"/>
      <c r="AT31" s="185"/>
      <c r="AU31" s="185"/>
      <c r="AV31" s="185"/>
      <c r="AW31" s="185" t="e">
        <f t="shared" si="18"/>
        <v>#N/A</v>
      </c>
      <c r="AX31" s="494"/>
    </row>
    <row r="32" spans="2:54">
      <c r="B32" s="471"/>
      <c r="C32" s="185">
        <v>6</v>
      </c>
      <c r="D32" s="206"/>
      <c r="E32" s="169"/>
      <c r="F32" s="185"/>
      <c r="G32" s="183"/>
      <c r="H32" s="452"/>
      <c r="I32" s="169"/>
      <c r="J32" s="169"/>
      <c r="K32" s="183"/>
      <c r="L32" s="452"/>
      <c r="M32" s="184" t="e">
        <f>RANK(K32, K$27:$K$41)</f>
        <v>#N/A</v>
      </c>
      <c r="N32" s="454"/>
      <c r="O32" s="454"/>
      <c r="P32" s="185"/>
      <c r="Q32" s="185"/>
      <c r="R32" s="185"/>
      <c r="S32" s="185" t="e">
        <f t="shared" si="12"/>
        <v>#N/A</v>
      </c>
      <c r="T32" s="494"/>
      <c r="U32" s="185"/>
      <c r="V32" s="185"/>
      <c r="W32" s="185"/>
      <c r="X32" s="185" t="e">
        <f t="shared" si="13"/>
        <v>#N/A</v>
      </c>
      <c r="Y32" s="494"/>
      <c r="Z32" s="185"/>
      <c r="AA32" s="185"/>
      <c r="AB32" s="185"/>
      <c r="AC32" s="185" t="e">
        <f t="shared" si="14"/>
        <v>#N/A</v>
      </c>
      <c r="AD32" s="494"/>
      <c r="AE32" s="185"/>
      <c r="AF32" s="185"/>
      <c r="AG32" s="185"/>
      <c r="AH32" s="185" t="e">
        <f t="shared" si="15"/>
        <v>#N/A</v>
      </c>
      <c r="AI32" s="494"/>
      <c r="AJ32" s="185"/>
      <c r="AK32" s="185"/>
      <c r="AL32" s="185"/>
      <c r="AM32" s="185" t="e">
        <f t="shared" si="16"/>
        <v>#N/A</v>
      </c>
      <c r="AN32" s="494"/>
      <c r="AO32" s="185"/>
      <c r="AP32" s="185"/>
      <c r="AQ32" s="185"/>
      <c r="AR32" s="185" t="e">
        <f t="shared" si="17"/>
        <v>#N/A</v>
      </c>
      <c r="AS32" s="494"/>
      <c r="AT32" s="185"/>
      <c r="AU32" s="185"/>
      <c r="AV32" s="185"/>
      <c r="AW32" s="185" t="e">
        <f t="shared" si="18"/>
        <v>#N/A</v>
      </c>
      <c r="AX32" s="494"/>
    </row>
    <row r="33" spans="2:50">
      <c r="B33" s="471"/>
      <c r="C33" s="185">
        <v>7</v>
      </c>
      <c r="D33" s="206"/>
      <c r="E33" s="169"/>
      <c r="F33" s="185"/>
      <c r="G33" s="183"/>
      <c r="H33" s="452"/>
      <c r="I33" s="169"/>
      <c r="J33" s="169"/>
      <c r="K33" s="183"/>
      <c r="L33" s="452"/>
      <c r="M33" s="184" t="e">
        <f>RANK(K33, K$27:$K$41)</f>
        <v>#N/A</v>
      </c>
      <c r="N33" s="454"/>
      <c r="O33" s="454"/>
      <c r="P33" s="185"/>
      <c r="Q33" s="185"/>
      <c r="R33" s="185"/>
      <c r="S33" s="185" t="e">
        <f t="shared" si="12"/>
        <v>#N/A</v>
      </c>
      <c r="T33" s="494"/>
      <c r="U33" s="185"/>
      <c r="V33" s="185"/>
      <c r="W33" s="185"/>
      <c r="X33" s="185" t="e">
        <f t="shared" si="13"/>
        <v>#N/A</v>
      </c>
      <c r="Y33" s="494"/>
      <c r="Z33" s="185"/>
      <c r="AA33" s="185"/>
      <c r="AB33" s="185"/>
      <c r="AC33" s="185" t="e">
        <f t="shared" si="14"/>
        <v>#N/A</v>
      </c>
      <c r="AD33" s="494"/>
      <c r="AE33" s="185"/>
      <c r="AF33" s="185"/>
      <c r="AG33" s="185"/>
      <c r="AH33" s="185" t="e">
        <f t="shared" si="15"/>
        <v>#N/A</v>
      </c>
      <c r="AI33" s="494"/>
      <c r="AJ33" s="185"/>
      <c r="AK33" s="185"/>
      <c r="AL33" s="185"/>
      <c r="AM33" s="185" t="e">
        <f t="shared" si="16"/>
        <v>#N/A</v>
      </c>
      <c r="AN33" s="494"/>
      <c r="AO33" s="185"/>
      <c r="AP33" s="185"/>
      <c r="AQ33" s="185"/>
      <c r="AR33" s="185" t="e">
        <f t="shared" si="17"/>
        <v>#N/A</v>
      </c>
      <c r="AS33" s="494"/>
      <c r="AT33" s="185"/>
      <c r="AU33" s="185"/>
      <c r="AV33" s="185"/>
      <c r="AW33" s="185" t="e">
        <f t="shared" si="18"/>
        <v>#N/A</v>
      </c>
      <c r="AX33" s="494"/>
    </row>
    <row r="34" spans="2:50">
      <c r="B34" s="471"/>
      <c r="C34" s="185">
        <v>8</v>
      </c>
      <c r="D34" s="206"/>
      <c r="E34" s="169"/>
      <c r="F34" s="185"/>
      <c r="G34" s="183"/>
      <c r="H34" s="452"/>
      <c r="I34" s="169"/>
      <c r="J34" s="169"/>
      <c r="K34" s="183"/>
      <c r="L34" s="452"/>
      <c r="M34" s="184" t="e">
        <f>RANK(K34, K$27:$K$41)</f>
        <v>#N/A</v>
      </c>
      <c r="N34" s="454"/>
      <c r="O34" s="454"/>
      <c r="P34" s="185"/>
      <c r="Q34" s="185"/>
      <c r="R34" s="185"/>
      <c r="S34" s="185" t="e">
        <f t="shared" si="12"/>
        <v>#N/A</v>
      </c>
      <c r="T34" s="494"/>
      <c r="U34" s="185"/>
      <c r="V34" s="185"/>
      <c r="W34" s="185"/>
      <c r="X34" s="185" t="e">
        <f t="shared" si="13"/>
        <v>#N/A</v>
      </c>
      <c r="Y34" s="494"/>
      <c r="Z34" s="185"/>
      <c r="AA34" s="185"/>
      <c r="AB34" s="185"/>
      <c r="AC34" s="185" t="e">
        <f t="shared" si="14"/>
        <v>#N/A</v>
      </c>
      <c r="AD34" s="494"/>
      <c r="AE34" s="185"/>
      <c r="AF34" s="185"/>
      <c r="AG34" s="185"/>
      <c r="AH34" s="185" t="e">
        <f t="shared" si="15"/>
        <v>#N/A</v>
      </c>
      <c r="AI34" s="494"/>
      <c r="AJ34" s="185"/>
      <c r="AK34" s="185"/>
      <c r="AL34" s="185"/>
      <c r="AM34" s="185" t="e">
        <f t="shared" si="16"/>
        <v>#N/A</v>
      </c>
      <c r="AN34" s="494"/>
      <c r="AO34" s="185"/>
      <c r="AP34" s="185"/>
      <c r="AQ34" s="185"/>
      <c r="AR34" s="185" t="e">
        <f t="shared" si="17"/>
        <v>#N/A</v>
      </c>
      <c r="AS34" s="494"/>
      <c r="AT34" s="185"/>
      <c r="AU34" s="185"/>
      <c r="AV34" s="185"/>
      <c r="AW34" s="185" t="e">
        <f t="shared" si="18"/>
        <v>#N/A</v>
      </c>
      <c r="AX34" s="494"/>
    </row>
    <row r="35" spans="2:50">
      <c r="B35" s="471"/>
      <c r="C35" s="185">
        <v>9</v>
      </c>
      <c r="D35" s="206"/>
      <c r="E35" s="169"/>
      <c r="F35" s="185"/>
      <c r="G35" s="183"/>
      <c r="H35" s="452"/>
      <c r="I35" s="169"/>
      <c r="J35" s="169"/>
      <c r="K35" s="183"/>
      <c r="L35" s="452"/>
      <c r="M35" s="184" t="e">
        <f>RANK(K35, K$27:$K$41)</f>
        <v>#N/A</v>
      </c>
      <c r="N35" s="454"/>
      <c r="O35" s="454"/>
      <c r="P35" s="185"/>
      <c r="Q35" s="185"/>
      <c r="R35" s="185"/>
      <c r="S35" s="185" t="e">
        <f t="shared" si="12"/>
        <v>#N/A</v>
      </c>
      <c r="T35" s="494"/>
      <c r="U35" s="185"/>
      <c r="V35" s="185"/>
      <c r="W35" s="185"/>
      <c r="X35" s="185" t="e">
        <f t="shared" si="13"/>
        <v>#N/A</v>
      </c>
      <c r="Y35" s="494"/>
      <c r="Z35" s="185"/>
      <c r="AA35" s="185"/>
      <c r="AB35" s="185"/>
      <c r="AC35" s="185" t="e">
        <f t="shared" si="14"/>
        <v>#N/A</v>
      </c>
      <c r="AD35" s="494"/>
      <c r="AE35" s="185"/>
      <c r="AF35" s="185"/>
      <c r="AG35" s="185"/>
      <c r="AH35" s="185" t="e">
        <f t="shared" si="15"/>
        <v>#N/A</v>
      </c>
      <c r="AI35" s="494"/>
      <c r="AJ35" s="185"/>
      <c r="AK35" s="185"/>
      <c r="AL35" s="185"/>
      <c r="AM35" s="185" t="e">
        <f t="shared" si="16"/>
        <v>#N/A</v>
      </c>
      <c r="AN35" s="494"/>
      <c r="AO35" s="185"/>
      <c r="AP35" s="185"/>
      <c r="AQ35" s="185"/>
      <c r="AR35" s="185" t="e">
        <f t="shared" si="17"/>
        <v>#N/A</v>
      </c>
      <c r="AS35" s="494"/>
      <c r="AT35" s="185"/>
      <c r="AU35" s="185"/>
      <c r="AV35" s="185"/>
      <c r="AW35" s="185" t="e">
        <f t="shared" si="18"/>
        <v>#N/A</v>
      </c>
      <c r="AX35" s="494"/>
    </row>
    <row r="36" spans="2:50">
      <c r="B36" s="471"/>
      <c r="C36" s="185">
        <v>10</v>
      </c>
      <c r="D36" s="206"/>
      <c r="E36" s="169"/>
      <c r="F36" s="185"/>
      <c r="G36" s="183"/>
      <c r="H36" s="452"/>
      <c r="I36" s="169"/>
      <c r="J36" s="169"/>
      <c r="K36" s="183"/>
      <c r="L36" s="452"/>
      <c r="M36" s="184" t="e">
        <f>RANK(K36, K$27:$K$41)</f>
        <v>#N/A</v>
      </c>
      <c r="N36" s="454"/>
      <c r="O36" s="454"/>
      <c r="P36" s="185"/>
      <c r="Q36" s="185"/>
      <c r="R36" s="185"/>
      <c r="S36" s="185" t="e">
        <f t="shared" si="12"/>
        <v>#N/A</v>
      </c>
      <c r="T36" s="494"/>
      <c r="U36" s="185"/>
      <c r="V36" s="185"/>
      <c r="W36" s="185"/>
      <c r="X36" s="185" t="e">
        <f t="shared" si="13"/>
        <v>#N/A</v>
      </c>
      <c r="Y36" s="494"/>
      <c r="Z36" s="185"/>
      <c r="AA36" s="185"/>
      <c r="AB36" s="185"/>
      <c r="AC36" s="185" t="e">
        <f t="shared" si="14"/>
        <v>#N/A</v>
      </c>
      <c r="AD36" s="494"/>
      <c r="AE36" s="185"/>
      <c r="AF36" s="185"/>
      <c r="AG36" s="185"/>
      <c r="AH36" s="185" t="e">
        <f t="shared" si="15"/>
        <v>#N/A</v>
      </c>
      <c r="AI36" s="494"/>
      <c r="AJ36" s="185"/>
      <c r="AK36" s="185"/>
      <c r="AL36" s="185"/>
      <c r="AM36" s="185" t="e">
        <f t="shared" si="16"/>
        <v>#N/A</v>
      </c>
      <c r="AN36" s="494"/>
      <c r="AO36" s="185"/>
      <c r="AP36" s="185"/>
      <c r="AQ36" s="185"/>
      <c r="AR36" s="185" t="e">
        <f t="shared" si="17"/>
        <v>#N/A</v>
      </c>
      <c r="AS36" s="494"/>
      <c r="AT36" s="185"/>
      <c r="AU36" s="185"/>
      <c r="AV36" s="185"/>
      <c r="AW36" s="185" t="e">
        <f t="shared" si="18"/>
        <v>#N/A</v>
      </c>
      <c r="AX36" s="494"/>
    </row>
    <row r="37" spans="2:50">
      <c r="B37" s="471"/>
      <c r="C37" s="185">
        <v>11</v>
      </c>
      <c r="D37" s="206"/>
      <c r="E37" s="169"/>
      <c r="F37" s="185"/>
      <c r="G37" s="183"/>
      <c r="H37" s="452"/>
      <c r="I37" s="185"/>
      <c r="J37" s="185"/>
      <c r="K37" s="185"/>
      <c r="L37" s="452"/>
      <c r="M37" s="184" t="e">
        <f>RANK(K37, K$27:$K$41)</f>
        <v>#N/A</v>
      </c>
      <c r="N37" s="454"/>
      <c r="O37" s="454"/>
      <c r="P37" s="185"/>
      <c r="Q37" s="185"/>
      <c r="R37" s="185"/>
      <c r="S37" s="185" t="e">
        <f t="shared" si="12"/>
        <v>#N/A</v>
      </c>
      <c r="T37" s="494"/>
      <c r="U37" s="185"/>
      <c r="V37" s="185"/>
      <c r="W37" s="185"/>
      <c r="X37" s="185" t="e">
        <f t="shared" si="13"/>
        <v>#N/A</v>
      </c>
      <c r="Y37" s="494"/>
      <c r="Z37" s="185"/>
      <c r="AA37" s="185"/>
      <c r="AB37" s="185"/>
      <c r="AC37" s="185" t="e">
        <f t="shared" si="14"/>
        <v>#N/A</v>
      </c>
      <c r="AD37" s="494"/>
      <c r="AE37" s="185"/>
      <c r="AF37" s="185"/>
      <c r="AG37" s="185"/>
      <c r="AH37" s="185" t="e">
        <f t="shared" si="15"/>
        <v>#N/A</v>
      </c>
      <c r="AI37" s="494"/>
      <c r="AJ37" s="185"/>
      <c r="AK37" s="185"/>
      <c r="AL37" s="185"/>
      <c r="AM37" s="185" t="e">
        <f t="shared" si="16"/>
        <v>#N/A</v>
      </c>
      <c r="AN37" s="494"/>
      <c r="AO37" s="185"/>
      <c r="AP37" s="185"/>
      <c r="AQ37" s="185"/>
      <c r="AR37" s="185" t="e">
        <f t="shared" si="17"/>
        <v>#N/A</v>
      </c>
      <c r="AS37" s="494"/>
      <c r="AT37" s="185"/>
      <c r="AU37" s="185"/>
      <c r="AV37" s="185"/>
      <c r="AW37" s="185" t="e">
        <f t="shared" si="18"/>
        <v>#N/A</v>
      </c>
      <c r="AX37" s="494"/>
    </row>
    <row r="38" spans="2:50">
      <c r="B38" s="471"/>
      <c r="C38" s="185">
        <v>12</v>
      </c>
      <c r="D38" s="206"/>
      <c r="E38" s="169"/>
      <c r="F38" s="185"/>
      <c r="G38" s="183"/>
      <c r="H38" s="452"/>
      <c r="I38" s="185"/>
      <c r="J38" s="185"/>
      <c r="K38" s="185"/>
      <c r="L38" s="452"/>
      <c r="M38" s="184" t="e">
        <f>RANK(K38, K$27:$K$41)</f>
        <v>#N/A</v>
      </c>
      <c r="N38" s="454"/>
      <c r="O38" s="454"/>
      <c r="P38" s="185"/>
      <c r="Q38" s="185"/>
      <c r="R38" s="185"/>
      <c r="S38" s="185" t="e">
        <f t="shared" si="12"/>
        <v>#N/A</v>
      </c>
      <c r="T38" s="494"/>
      <c r="U38" s="185"/>
      <c r="V38" s="185"/>
      <c r="W38" s="185"/>
      <c r="X38" s="185" t="e">
        <f t="shared" si="13"/>
        <v>#N/A</v>
      </c>
      <c r="Y38" s="494"/>
      <c r="Z38" s="185"/>
      <c r="AA38" s="185"/>
      <c r="AB38" s="185"/>
      <c r="AC38" s="185" t="e">
        <f t="shared" si="14"/>
        <v>#N/A</v>
      </c>
      <c r="AD38" s="494"/>
      <c r="AE38" s="185"/>
      <c r="AF38" s="185"/>
      <c r="AG38" s="185"/>
      <c r="AH38" s="185" t="e">
        <f t="shared" si="15"/>
        <v>#N/A</v>
      </c>
      <c r="AI38" s="494"/>
      <c r="AJ38" s="185"/>
      <c r="AK38" s="185"/>
      <c r="AL38" s="185"/>
      <c r="AM38" s="185" t="e">
        <f t="shared" si="16"/>
        <v>#N/A</v>
      </c>
      <c r="AN38" s="494"/>
      <c r="AO38" s="185"/>
      <c r="AP38" s="185"/>
      <c r="AQ38" s="185"/>
      <c r="AR38" s="185" t="e">
        <f t="shared" si="17"/>
        <v>#N/A</v>
      </c>
      <c r="AS38" s="494"/>
      <c r="AT38" s="185"/>
      <c r="AU38" s="185"/>
      <c r="AV38" s="185"/>
      <c r="AW38" s="185" t="e">
        <f t="shared" si="18"/>
        <v>#N/A</v>
      </c>
      <c r="AX38" s="494"/>
    </row>
    <row r="39" spans="2:50">
      <c r="B39" s="471"/>
      <c r="C39" s="185">
        <v>13</v>
      </c>
      <c r="D39" s="206"/>
      <c r="E39" s="169"/>
      <c r="F39" s="185"/>
      <c r="G39" s="183"/>
      <c r="H39" s="452"/>
      <c r="I39" s="185"/>
      <c r="J39" s="185"/>
      <c r="K39" s="185"/>
      <c r="L39" s="452"/>
      <c r="M39" s="184" t="e">
        <f>RANK(K39, K$27:$K$41)</f>
        <v>#N/A</v>
      </c>
      <c r="N39" s="454"/>
      <c r="O39" s="454"/>
      <c r="P39" s="185"/>
      <c r="Q39" s="185"/>
      <c r="R39" s="185"/>
      <c r="S39" s="185" t="e">
        <f t="shared" si="12"/>
        <v>#N/A</v>
      </c>
      <c r="T39" s="494"/>
      <c r="U39" s="185"/>
      <c r="V39" s="185"/>
      <c r="W39" s="185"/>
      <c r="X39" s="185" t="e">
        <f t="shared" si="13"/>
        <v>#N/A</v>
      </c>
      <c r="Y39" s="494"/>
      <c r="Z39" s="185"/>
      <c r="AA39" s="185"/>
      <c r="AB39" s="185"/>
      <c r="AC39" s="185" t="e">
        <f t="shared" si="14"/>
        <v>#N/A</v>
      </c>
      <c r="AD39" s="494"/>
      <c r="AE39" s="185"/>
      <c r="AF39" s="185"/>
      <c r="AG39" s="185"/>
      <c r="AH39" s="185" t="e">
        <f t="shared" si="15"/>
        <v>#N/A</v>
      </c>
      <c r="AI39" s="494"/>
      <c r="AJ39" s="185"/>
      <c r="AK39" s="185"/>
      <c r="AL39" s="185"/>
      <c r="AM39" s="185" t="e">
        <f t="shared" si="16"/>
        <v>#N/A</v>
      </c>
      <c r="AN39" s="494"/>
      <c r="AO39" s="185"/>
      <c r="AP39" s="185"/>
      <c r="AQ39" s="185"/>
      <c r="AR39" s="185" t="e">
        <f t="shared" si="17"/>
        <v>#N/A</v>
      </c>
      <c r="AS39" s="494"/>
      <c r="AT39" s="185"/>
      <c r="AU39" s="185"/>
      <c r="AV39" s="185"/>
      <c r="AW39" s="185" t="e">
        <f t="shared" si="18"/>
        <v>#N/A</v>
      </c>
      <c r="AX39" s="494"/>
    </row>
    <row r="40" spans="2:50">
      <c r="B40" s="471"/>
      <c r="C40" s="185">
        <v>14</v>
      </c>
      <c r="D40" s="206"/>
      <c r="E40" s="169"/>
      <c r="F40" s="185"/>
      <c r="G40" s="183"/>
      <c r="H40" s="452"/>
      <c r="I40" s="185"/>
      <c r="J40" s="185"/>
      <c r="K40" s="185"/>
      <c r="L40" s="452"/>
      <c r="M40" s="184" t="e">
        <f>RANK(K40, K$27:$K$41)</f>
        <v>#N/A</v>
      </c>
      <c r="N40" s="454"/>
      <c r="O40" s="454"/>
      <c r="P40" s="185"/>
      <c r="Q40" s="185"/>
      <c r="R40" s="185"/>
      <c r="S40" s="185" t="e">
        <f t="shared" si="12"/>
        <v>#N/A</v>
      </c>
      <c r="T40" s="494"/>
      <c r="U40" s="185"/>
      <c r="V40" s="185"/>
      <c r="W40" s="185"/>
      <c r="X40" s="185" t="e">
        <f t="shared" si="13"/>
        <v>#N/A</v>
      </c>
      <c r="Y40" s="494"/>
      <c r="Z40" s="185"/>
      <c r="AA40" s="185"/>
      <c r="AB40" s="185"/>
      <c r="AC40" s="185" t="e">
        <f t="shared" si="14"/>
        <v>#N/A</v>
      </c>
      <c r="AD40" s="494"/>
      <c r="AE40" s="185"/>
      <c r="AF40" s="185"/>
      <c r="AG40" s="185"/>
      <c r="AH40" s="185" t="e">
        <f t="shared" si="15"/>
        <v>#N/A</v>
      </c>
      <c r="AI40" s="494"/>
      <c r="AJ40" s="185"/>
      <c r="AK40" s="185"/>
      <c r="AL40" s="185"/>
      <c r="AM40" s="185" t="e">
        <f t="shared" si="16"/>
        <v>#N/A</v>
      </c>
      <c r="AN40" s="494"/>
      <c r="AO40" s="185"/>
      <c r="AP40" s="185"/>
      <c r="AQ40" s="185"/>
      <c r="AR40" s="185" t="e">
        <f t="shared" si="17"/>
        <v>#N/A</v>
      </c>
      <c r="AS40" s="494"/>
      <c r="AT40" s="185"/>
      <c r="AU40" s="185"/>
      <c r="AV40" s="185"/>
      <c r="AW40" s="185" t="e">
        <f t="shared" si="18"/>
        <v>#N/A</v>
      </c>
      <c r="AX40" s="494"/>
    </row>
    <row r="41" spans="2:50">
      <c r="B41" s="471"/>
      <c r="C41" s="185">
        <v>15</v>
      </c>
      <c r="D41" s="206"/>
      <c r="E41" s="169"/>
      <c r="F41" s="185"/>
      <c r="G41" s="183"/>
      <c r="H41" s="453"/>
      <c r="I41" s="185"/>
      <c r="J41" s="185"/>
      <c r="K41" s="185"/>
      <c r="L41" s="453"/>
      <c r="M41" s="169" t="e">
        <f>RANK(K41, K$27:$K$41)</f>
        <v>#N/A</v>
      </c>
      <c r="N41" s="454"/>
      <c r="O41" s="454"/>
      <c r="P41" s="185"/>
      <c r="Q41" s="185"/>
      <c r="R41" s="185"/>
      <c r="S41" s="185" t="e">
        <f t="shared" si="12"/>
        <v>#N/A</v>
      </c>
      <c r="T41" s="494"/>
      <c r="U41" s="185"/>
      <c r="V41" s="185"/>
      <c r="W41" s="185"/>
      <c r="X41" s="185" t="e">
        <f t="shared" si="13"/>
        <v>#N/A</v>
      </c>
      <c r="Y41" s="494"/>
      <c r="Z41" s="185"/>
      <c r="AA41" s="185"/>
      <c r="AB41" s="185"/>
      <c r="AC41" s="185" t="e">
        <f t="shared" si="14"/>
        <v>#N/A</v>
      </c>
      <c r="AD41" s="494"/>
      <c r="AE41" s="185"/>
      <c r="AF41" s="185"/>
      <c r="AG41" s="185"/>
      <c r="AH41" s="185" t="e">
        <f t="shared" si="15"/>
        <v>#N/A</v>
      </c>
      <c r="AI41" s="494"/>
      <c r="AJ41" s="185"/>
      <c r="AK41" s="185"/>
      <c r="AL41" s="185"/>
      <c r="AM41" s="185" t="e">
        <f t="shared" si="16"/>
        <v>#N/A</v>
      </c>
      <c r="AN41" s="494"/>
      <c r="AO41" s="185"/>
      <c r="AP41" s="185"/>
      <c r="AQ41" s="185"/>
      <c r="AR41" s="185" t="e">
        <f t="shared" si="17"/>
        <v>#N/A</v>
      </c>
      <c r="AS41" s="494"/>
      <c r="AT41" s="185"/>
      <c r="AU41" s="185"/>
      <c r="AV41" s="185"/>
      <c r="AW41" s="185" t="e">
        <f t="shared" si="18"/>
        <v>#N/A</v>
      </c>
      <c r="AX41" s="494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54" t="s">
        <v>271</v>
      </c>
      <c r="C47" s="185">
        <v>1</v>
      </c>
      <c r="D47" s="206"/>
      <c r="E47" s="169"/>
      <c r="F47" s="185"/>
      <c r="G47" s="183"/>
      <c r="H47" s="451" t="e">
        <f>AVERAGE(G47:G61)</f>
        <v>#DIV/0!</v>
      </c>
      <c r="I47" s="169" t="e">
        <f>AVERAGE(P47,U47,Z47,AE47,AJ47,AO47,AT47)</f>
        <v>#DIV/0!</v>
      </c>
      <c r="J47" s="169" t="e">
        <f>AVERAGE(Q47,V47,AA47,AF47,AK47,AP47,AU47)</f>
        <v>#DIV/0!</v>
      </c>
      <c r="K47" s="183" t="e">
        <f>AVERAGE(R47,W47,AB47,AG47,AL47,AQ47,AV47)</f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69"/>
      <c r="R47" s="183"/>
      <c r="S47" s="185" t="e">
        <f>RANK(R47, R$47:R$61)</f>
        <v>#N/A</v>
      </c>
      <c r="T47" s="494" t="e">
        <f>AVERAGE(R47:R61)</f>
        <v>#DIV/0!</v>
      </c>
      <c r="U47" s="169"/>
      <c r="V47" s="169"/>
      <c r="W47" s="183"/>
      <c r="X47" s="185" t="e">
        <f>RANK(W47, W$47:W$61)</f>
        <v>#N/A</v>
      </c>
      <c r="Y47" s="494" t="e">
        <f>AVERAGE(W47:W61)</f>
        <v>#DIV/0!</v>
      </c>
      <c r="Z47" s="169"/>
      <c r="AA47" s="169"/>
      <c r="AB47" s="183"/>
      <c r="AC47" s="185" t="e">
        <f>RANK(AB47, AB$47:AB$61)</f>
        <v>#N/A</v>
      </c>
      <c r="AD47" s="494" t="e">
        <f>AVERAGE(AB47:AB61)</f>
        <v>#DIV/0!</v>
      </c>
      <c r="AE47" s="169"/>
      <c r="AF47" s="169"/>
      <c r="AG47" s="183"/>
      <c r="AH47" s="185" t="e">
        <f>RANK(AG47, AG$47:AG$61)</f>
        <v>#N/A</v>
      </c>
      <c r="AI47" s="494" t="e">
        <f>AVERAGE(AG47:AG61)</f>
        <v>#DIV/0!</v>
      </c>
      <c r="AJ47" s="169"/>
      <c r="AK47" s="169"/>
      <c r="AL47" s="183"/>
      <c r="AM47" s="185" t="e">
        <f>RANK(AL47, AL$47:AL$61)</f>
        <v>#N/A</v>
      </c>
      <c r="AN47" s="494" t="e">
        <f>AVERAGE(AL47:AL61)</f>
        <v>#DIV/0!</v>
      </c>
      <c r="AO47" s="169"/>
      <c r="AP47" s="169"/>
      <c r="AQ47" s="183"/>
      <c r="AR47" s="185" t="e">
        <f>RANK(AQ47, AQ$47:AQ$61)</f>
        <v>#N/A</v>
      </c>
      <c r="AS47" s="494" t="e">
        <f>AVERAGE(AQ47:AQ61)</f>
        <v>#DIV/0!</v>
      </c>
      <c r="AT47" s="169"/>
      <c r="AU47" s="169"/>
      <c r="AV47" s="183"/>
      <c r="AW47" s="185" t="e">
        <f>RANK(AV47, AV$47:AV$61)</f>
        <v>#N/A</v>
      </c>
      <c r="AX47" s="494" t="e">
        <f>AVERAGE(AV47:AV61)</f>
        <v>#DIV/0!</v>
      </c>
    </row>
    <row r="48" spans="2:50">
      <c r="B48" s="471"/>
      <c r="C48" s="185">
        <v>2</v>
      </c>
      <c r="D48" s="206"/>
      <c r="E48" s="169"/>
      <c r="F48" s="185"/>
      <c r="G48" s="183"/>
      <c r="H48" s="452"/>
      <c r="I48" s="169"/>
      <c r="J48" s="169"/>
      <c r="K48" s="183"/>
      <c r="L48" s="452"/>
      <c r="M48" s="184" t="e">
        <f>RANK(K48, K$47:$K$61)</f>
        <v>#DIV/0!</v>
      </c>
      <c r="N48" s="454"/>
      <c r="O48" s="454"/>
      <c r="P48" s="185"/>
      <c r="Q48" s="169"/>
      <c r="R48" s="183"/>
      <c r="S48" s="185" t="e">
        <f t="shared" ref="S48:S61" si="19">RANK(R48, R$47:R$61)</f>
        <v>#N/A</v>
      </c>
      <c r="T48" s="494"/>
      <c r="U48" s="185"/>
      <c r="V48" s="169"/>
      <c r="W48" s="183"/>
      <c r="X48" s="185" t="e">
        <f t="shared" ref="X48:X61" si="20">RANK(W48, W$47:W$61)</f>
        <v>#N/A</v>
      </c>
      <c r="Y48" s="494"/>
      <c r="Z48" s="185"/>
      <c r="AA48" s="169"/>
      <c r="AB48" s="183"/>
      <c r="AC48" s="185" t="e">
        <f t="shared" ref="AC48:AC61" si="21">RANK(AB48, AB$47:AB$61)</f>
        <v>#N/A</v>
      </c>
      <c r="AD48" s="494"/>
      <c r="AE48" s="185"/>
      <c r="AF48" s="169"/>
      <c r="AG48" s="183"/>
      <c r="AH48" s="185" t="e">
        <f t="shared" ref="AH48:AH61" si="22">RANK(AG48, AG$47:AG$61)</f>
        <v>#N/A</v>
      </c>
      <c r="AI48" s="494"/>
      <c r="AJ48" s="185"/>
      <c r="AK48" s="169"/>
      <c r="AL48" s="183"/>
      <c r="AM48" s="185" t="e">
        <f t="shared" ref="AM48:AM61" si="23">RANK(AL48, AL$47:AL$61)</f>
        <v>#N/A</v>
      </c>
      <c r="AN48" s="494"/>
      <c r="AO48" s="185"/>
      <c r="AP48" s="169"/>
      <c r="AQ48" s="183"/>
      <c r="AR48" s="185" t="e">
        <f t="shared" ref="AR48:AR61" si="24">RANK(AQ48, AQ$47:AQ$61)</f>
        <v>#N/A</v>
      </c>
      <c r="AS48" s="494"/>
      <c r="AT48" s="185"/>
      <c r="AU48" s="169"/>
      <c r="AV48" s="183"/>
      <c r="AW48" s="185" t="e">
        <f t="shared" ref="AW48:AW61" si="25">RANK(AV48, AV$47:AV$61)</f>
        <v>#N/A</v>
      </c>
      <c r="AX48" s="494"/>
    </row>
    <row r="49" spans="2:50">
      <c r="B49" s="471"/>
      <c r="C49" s="185">
        <v>3</v>
      </c>
      <c r="D49" s="206"/>
      <c r="E49" s="169"/>
      <c r="F49" s="185"/>
      <c r="G49" s="183"/>
      <c r="H49" s="452"/>
      <c r="I49" s="169"/>
      <c r="J49" s="169"/>
      <c r="K49" s="183"/>
      <c r="L49" s="452"/>
      <c r="M49" s="184" t="e">
        <f>RANK(K49, K$47:$K$61)</f>
        <v>#DIV/0!</v>
      </c>
      <c r="N49" s="454"/>
      <c r="O49" s="454"/>
      <c r="P49" s="185"/>
      <c r="Q49" s="185"/>
      <c r="R49" s="185"/>
      <c r="S49" s="185" t="e">
        <f t="shared" si="19"/>
        <v>#N/A</v>
      </c>
      <c r="T49" s="494"/>
      <c r="U49" s="185"/>
      <c r="V49" s="185"/>
      <c r="W49" s="185"/>
      <c r="X49" s="185" t="e">
        <f t="shared" si="20"/>
        <v>#N/A</v>
      </c>
      <c r="Y49" s="494"/>
      <c r="Z49" s="185"/>
      <c r="AA49" s="185"/>
      <c r="AB49" s="185"/>
      <c r="AC49" s="185" t="e">
        <f t="shared" si="21"/>
        <v>#N/A</v>
      </c>
      <c r="AD49" s="494"/>
      <c r="AE49" s="185"/>
      <c r="AF49" s="185"/>
      <c r="AG49" s="185"/>
      <c r="AH49" s="185" t="e">
        <f t="shared" si="22"/>
        <v>#N/A</v>
      </c>
      <c r="AI49" s="494"/>
      <c r="AJ49" s="185"/>
      <c r="AK49" s="185"/>
      <c r="AL49" s="185"/>
      <c r="AM49" s="185" t="e">
        <f t="shared" si="23"/>
        <v>#N/A</v>
      </c>
      <c r="AN49" s="494"/>
      <c r="AO49" s="185"/>
      <c r="AP49" s="185"/>
      <c r="AQ49" s="185"/>
      <c r="AR49" s="185" t="e">
        <f t="shared" si="24"/>
        <v>#N/A</v>
      </c>
      <c r="AS49" s="494"/>
      <c r="AT49" s="185"/>
      <c r="AU49" s="185"/>
      <c r="AV49" s="185"/>
      <c r="AW49" s="185" t="e">
        <f t="shared" si="25"/>
        <v>#N/A</v>
      </c>
      <c r="AX49" s="494"/>
    </row>
    <row r="50" spans="2:50">
      <c r="B50" s="471"/>
      <c r="C50" s="185">
        <v>4</v>
      </c>
      <c r="D50" s="206"/>
      <c r="E50" s="169"/>
      <c r="F50" s="185"/>
      <c r="G50" s="183"/>
      <c r="H50" s="452"/>
      <c r="I50" s="169"/>
      <c r="J50" s="169"/>
      <c r="K50" s="183"/>
      <c r="L50" s="452"/>
      <c r="M50" s="184" t="e">
        <f>RANK(K50, K$47:$K$61)</f>
        <v>#DIV/0!</v>
      </c>
      <c r="N50" s="454"/>
      <c r="O50" s="454"/>
      <c r="P50" s="185"/>
      <c r="Q50" s="185"/>
      <c r="R50" s="185"/>
      <c r="S50" s="185" t="e">
        <f t="shared" si="19"/>
        <v>#N/A</v>
      </c>
      <c r="T50" s="494"/>
      <c r="U50" s="185"/>
      <c r="V50" s="185"/>
      <c r="W50" s="185"/>
      <c r="X50" s="185" t="e">
        <f t="shared" si="20"/>
        <v>#N/A</v>
      </c>
      <c r="Y50" s="494"/>
      <c r="Z50" s="185"/>
      <c r="AA50" s="185"/>
      <c r="AB50" s="185"/>
      <c r="AC50" s="185" t="e">
        <f t="shared" si="21"/>
        <v>#N/A</v>
      </c>
      <c r="AD50" s="494"/>
      <c r="AE50" s="185"/>
      <c r="AF50" s="185"/>
      <c r="AG50" s="185"/>
      <c r="AH50" s="185" t="e">
        <f t="shared" si="22"/>
        <v>#N/A</v>
      </c>
      <c r="AI50" s="494"/>
      <c r="AJ50" s="185"/>
      <c r="AK50" s="185"/>
      <c r="AL50" s="185"/>
      <c r="AM50" s="185" t="e">
        <f t="shared" si="23"/>
        <v>#N/A</v>
      </c>
      <c r="AN50" s="494"/>
      <c r="AO50" s="185"/>
      <c r="AP50" s="185"/>
      <c r="AQ50" s="185"/>
      <c r="AR50" s="185" t="e">
        <f t="shared" si="24"/>
        <v>#N/A</v>
      </c>
      <c r="AS50" s="494"/>
      <c r="AT50" s="185"/>
      <c r="AU50" s="185"/>
      <c r="AV50" s="185"/>
      <c r="AW50" s="185" t="e">
        <f t="shared" si="25"/>
        <v>#N/A</v>
      </c>
      <c r="AX50" s="494"/>
    </row>
    <row r="51" spans="2:50">
      <c r="B51" s="471"/>
      <c r="C51" s="185">
        <v>5</v>
      </c>
      <c r="D51" s="206"/>
      <c r="E51" s="169"/>
      <c r="F51" s="185"/>
      <c r="G51" s="183"/>
      <c r="H51" s="452"/>
      <c r="I51" s="169"/>
      <c r="J51" s="169"/>
      <c r="K51" s="183"/>
      <c r="L51" s="452"/>
      <c r="M51" s="184" t="e">
        <f>RANK(K51, K$47:$K$61)</f>
        <v>#DIV/0!</v>
      </c>
      <c r="N51" s="454"/>
      <c r="O51" s="454"/>
      <c r="P51" s="185"/>
      <c r="Q51" s="185"/>
      <c r="R51" s="185"/>
      <c r="S51" s="185" t="e">
        <f t="shared" si="19"/>
        <v>#N/A</v>
      </c>
      <c r="T51" s="494"/>
      <c r="U51" s="185"/>
      <c r="V51" s="185"/>
      <c r="W51" s="185"/>
      <c r="X51" s="185" t="e">
        <f t="shared" si="20"/>
        <v>#N/A</v>
      </c>
      <c r="Y51" s="494"/>
      <c r="Z51" s="185"/>
      <c r="AA51" s="185"/>
      <c r="AB51" s="185"/>
      <c r="AC51" s="185" t="e">
        <f t="shared" si="21"/>
        <v>#N/A</v>
      </c>
      <c r="AD51" s="494"/>
      <c r="AE51" s="185"/>
      <c r="AF51" s="185"/>
      <c r="AG51" s="185"/>
      <c r="AH51" s="185" t="e">
        <f t="shared" si="22"/>
        <v>#N/A</v>
      </c>
      <c r="AI51" s="494"/>
      <c r="AJ51" s="185"/>
      <c r="AK51" s="185"/>
      <c r="AL51" s="185"/>
      <c r="AM51" s="185" t="e">
        <f t="shared" si="23"/>
        <v>#N/A</v>
      </c>
      <c r="AN51" s="494"/>
      <c r="AO51" s="185"/>
      <c r="AP51" s="185"/>
      <c r="AQ51" s="185"/>
      <c r="AR51" s="185" t="e">
        <f t="shared" si="24"/>
        <v>#N/A</v>
      </c>
      <c r="AS51" s="494"/>
      <c r="AT51" s="185"/>
      <c r="AU51" s="185"/>
      <c r="AV51" s="185"/>
      <c r="AW51" s="185" t="e">
        <f t="shared" si="25"/>
        <v>#N/A</v>
      </c>
      <c r="AX51" s="494"/>
    </row>
    <row r="52" spans="2:50">
      <c r="B52" s="471"/>
      <c r="C52" s="185">
        <v>6</v>
      </c>
      <c r="D52" s="206"/>
      <c r="E52" s="169"/>
      <c r="F52" s="185"/>
      <c r="G52" s="183"/>
      <c r="H52" s="452"/>
      <c r="I52" s="169"/>
      <c r="J52" s="169"/>
      <c r="K52" s="183"/>
      <c r="L52" s="452"/>
      <c r="M52" s="184" t="e">
        <f>RANK(K52, K$47:$K$61)</f>
        <v>#DIV/0!</v>
      </c>
      <c r="N52" s="454"/>
      <c r="O52" s="454"/>
      <c r="P52" s="185"/>
      <c r="Q52" s="185"/>
      <c r="R52" s="185"/>
      <c r="S52" s="185" t="e">
        <f t="shared" si="19"/>
        <v>#N/A</v>
      </c>
      <c r="T52" s="494"/>
      <c r="U52" s="185"/>
      <c r="V52" s="185"/>
      <c r="W52" s="185"/>
      <c r="X52" s="185" t="e">
        <f t="shared" si="20"/>
        <v>#N/A</v>
      </c>
      <c r="Y52" s="494"/>
      <c r="Z52" s="185"/>
      <c r="AA52" s="185"/>
      <c r="AB52" s="185"/>
      <c r="AC52" s="185" t="e">
        <f t="shared" si="21"/>
        <v>#N/A</v>
      </c>
      <c r="AD52" s="494"/>
      <c r="AE52" s="185"/>
      <c r="AF52" s="185"/>
      <c r="AG52" s="185"/>
      <c r="AH52" s="185" t="e">
        <f t="shared" si="22"/>
        <v>#N/A</v>
      </c>
      <c r="AI52" s="494"/>
      <c r="AJ52" s="185"/>
      <c r="AK52" s="185"/>
      <c r="AL52" s="185"/>
      <c r="AM52" s="185" t="e">
        <f t="shared" si="23"/>
        <v>#N/A</v>
      </c>
      <c r="AN52" s="494"/>
      <c r="AO52" s="185"/>
      <c r="AP52" s="185"/>
      <c r="AQ52" s="185"/>
      <c r="AR52" s="185" t="e">
        <f t="shared" si="24"/>
        <v>#N/A</v>
      </c>
      <c r="AS52" s="494"/>
      <c r="AT52" s="185"/>
      <c r="AU52" s="185"/>
      <c r="AV52" s="185"/>
      <c r="AW52" s="185" t="e">
        <f t="shared" si="25"/>
        <v>#N/A</v>
      </c>
      <c r="AX52" s="494"/>
    </row>
    <row r="53" spans="2:50">
      <c r="B53" s="471"/>
      <c r="C53" s="185">
        <v>7</v>
      </c>
      <c r="D53" s="206"/>
      <c r="E53" s="169"/>
      <c r="F53" s="185"/>
      <c r="G53" s="183"/>
      <c r="H53" s="452"/>
      <c r="I53" s="169"/>
      <c r="J53" s="169"/>
      <c r="K53" s="183"/>
      <c r="L53" s="452"/>
      <c r="M53" s="184" t="e">
        <f>RANK(K53, K$47:$K$61)</f>
        <v>#DIV/0!</v>
      </c>
      <c r="N53" s="454"/>
      <c r="O53" s="454"/>
      <c r="P53" s="185"/>
      <c r="Q53" s="185"/>
      <c r="R53" s="185"/>
      <c r="S53" s="185" t="e">
        <f t="shared" si="19"/>
        <v>#N/A</v>
      </c>
      <c r="T53" s="494"/>
      <c r="U53" s="185"/>
      <c r="V53" s="185"/>
      <c r="W53" s="185"/>
      <c r="X53" s="185" t="e">
        <f t="shared" si="20"/>
        <v>#N/A</v>
      </c>
      <c r="Y53" s="494"/>
      <c r="Z53" s="185"/>
      <c r="AA53" s="185"/>
      <c r="AB53" s="185"/>
      <c r="AC53" s="185" t="e">
        <f t="shared" si="21"/>
        <v>#N/A</v>
      </c>
      <c r="AD53" s="494"/>
      <c r="AE53" s="185"/>
      <c r="AF53" s="185"/>
      <c r="AG53" s="185"/>
      <c r="AH53" s="185" t="e">
        <f t="shared" si="22"/>
        <v>#N/A</v>
      </c>
      <c r="AI53" s="494"/>
      <c r="AJ53" s="185"/>
      <c r="AK53" s="185"/>
      <c r="AL53" s="185"/>
      <c r="AM53" s="185" t="e">
        <f t="shared" si="23"/>
        <v>#N/A</v>
      </c>
      <c r="AN53" s="494"/>
      <c r="AO53" s="185"/>
      <c r="AP53" s="185"/>
      <c r="AQ53" s="185"/>
      <c r="AR53" s="185" t="e">
        <f t="shared" si="24"/>
        <v>#N/A</v>
      </c>
      <c r="AS53" s="494"/>
      <c r="AT53" s="185"/>
      <c r="AU53" s="185"/>
      <c r="AV53" s="185"/>
      <c r="AW53" s="185" t="e">
        <f t="shared" si="25"/>
        <v>#N/A</v>
      </c>
      <c r="AX53" s="494"/>
    </row>
    <row r="54" spans="2:50">
      <c r="B54" s="471"/>
      <c r="C54" s="185">
        <v>8</v>
      </c>
      <c r="D54" s="206"/>
      <c r="E54" s="169"/>
      <c r="F54" s="185"/>
      <c r="G54" s="183"/>
      <c r="H54" s="452"/>
      <c r="I54" s="169"/>
      <c r="J54" s="169"/>
      <c r="K54" s="183"/>
      <c r="L54" s="452"/>
      <c r="M54" s="184" t="e">
        <f>RANK(K54, K$47:$K$61)</f>
        <v>#DIV/0!</v>
      </c>
      <c r="N54" s="454"/>
      <c r="O54" s="454"/>
      <c r="P54" s="185"/>
      <c r="Q54" s="185"/>
      <c r="R54" s="185"/>
      <c r="S54" s="185" t="e">
        <f t="shared" si="19"/>
        <v>#N/A</v>
      </c>
      <c r="T54" s="494"/>
      <c r="U54" s="185"/>
      <c r="V54" s="185"/>
      <c r="W54" s="185"/>
      <c r="X54" s="185" t="e">
        <f t="shared" si="20"/>
        <v>#N/A</v>
      </c>
      <c r="Y54" s="494"/>
      <c r="Z54" s="185"/>
      <c r="AA54" s="185"/>
      <c r="AB54" s="185"/>
      <c r="AC54" s="185" t="e">
        <f t="shared" si="21"/>
        <v>#N/A</v>
      </c>
      <c r="AD54" s="494"/>
      <c r="AE54" s="185"/>
      <c r="AF54" s="185"/>
      <c r="AG54" s="185"/>
      <c r="AH54" s="185" t="e">
        <f t="shared" si="22"/>
        <v>#N/A</v>
      </c>
      <c r="AI54" s="494"/>
      <c r="AJ54" s="185"/>
      <c r="AK54" s="185"/>
      <c r="AL54" s="185"/>
      <c r="AM54" s="185" t="e">
        <f t="shared" si="23"/>
        <v>#N/A</v>
      </c>
      <c r="AN54" s="494"/>
      <c r="AO54" s="185"/>
      <c r="AP54" s="185"/>
      <c r="AQ54" s="185"/>
      <c r="AR54" s="185" t="e">
        <f t="shared" si="24"/>
        <v>#N/A</v>
      </c>
      <c r="AS54" s="494"/>
      <c r="AT54" s="185"/>
      <c r="AU54" s="185"/>
      <c r="AV54" s="185"/>
      <c r="AW54" s="185" t="e">
        <f t="shared" si="25"/>
        <v>#N/A</v>
      </c>
      <c r="AX54" s="494"/>
    </row>
    <row r="55" spans="2:50">
      <c r="B55" s="471"/>
      <c r="C55" s="185">
        <v>9</v>
      </c>
      <c r="D55" s="206"/>
      <c r="E55" s="169"/>
      <c r="F55" s="185"/>
      <c r="G55" s="183"/>
      <c r="H55" s="452"/>
      <c r="I55" s="169"/>
      <c r="J55" s="169"/>
      <c r="K55" s="183"/>
      <c r="L55" s="452"/>
      <c r="M55" s="184" t="e">
        <f>RANK(K55, K$47:$K$61)</f>
        <v>#DIV/0!</v>
      </c>
      <c r="N55" s="454"/>
      <c r="O55" s="454"/>
      <c r="P55" s="185"/>
      <c r="Q55" s="185"/>
      <c r="R55" s="185"/>
      <c r="S55" s="185" t="e">
        <f t="shared" si="19"/>
        <v>#N/A</v>
      </c>
      <c r="T55" s="494"/>
      <c r="U55" s="185"/>
      <c r="V55" s="185"/>
      <c r="W55" s="185"/>
      <c r="X55" s="185" t="e">
        <f t="shared" si="20"/>
        <v>#N/A</v>
      </c>
      <c r="Y55" s="494"/>
      <c r="Z55" s="185"/>
      <c r="AA55" s="185"/>
      <c r="AB55" s="185"/>
      <c r="AC55" s="185" t="e">
        <f t="shared" si="21"/>
        <v>#N/A</v>
      </c>
      <c r="AD55" s="494"/>
      <c r="AE55" s="185"/>
      <c r="AF55" s="185"/>
      <c r="AG55" s="185"/>
      <c r="AH55" s="185" t="e">
        <f t="shared" si="22"/>
        <v>#N/A</v>
      </c>
      <c r="AI55" s="494"/>
      <c r="AJ55" s="185"/>
      <c r="AK55" s="185"/>
      <c r="AL55" s="185"/>
      <c r="AM55" s="185" t="e">
        <f t="shared" si="23"/>
        <v>#N/A</v>
      </c>
      <c r="AN55" s="494"/>
      <c r="AO55" s="185"/>
      <c r="AP55" s="185"/>
      <c r="AQ55" s="185"/>
      <c r="AR55" s="185" t="e">
        <f t="shared" si="24"/>
        <v>#N/A</v>
      </c>
      <c r="AS55" s="494"/>
      <c r="AT55" s="185"/>
      <c r="AU55" s="185"/>
      <c r="AV55" s="185"/>
      <c r="AW55" s="185" t="e">
        <f t="shared" si="25"/>
        <v>#N/A</v>
      </c>
      <c r="AX55" s="494"/>
    </row>
    <row r="56" spans="2:50">
      <c r="B56" s="471"/>
      <c r="C56" s="185">
        <v>10</v>
      </c>
      <c r="D56" s="206"/>
      <c r="E56" s="169"/>
      <c r="F56" s="185"/>
      <c r="G56" s="183"/>
      <c r="H56" s="452"/>
      <c r="I56" s="169"/>
      <c r="J56" s="169"/>
      <c r="K56" s="183"/>
      <c r="L56" s="452"/>
      <c r="M56" s="184" t="e">
        <f>RANK(K56, K$47:$K$61)</f>
        <v>#DIV/0!</v>
      </c>
      <c r="N56" s="454"/>
      <c r="O56" s="454"/>
      <c r="P56" s="185"/>
      <c r="Q56" s="185"/>
      <c r="R56" s="185"/>
      <c r="S56" s="185" t="e">
        <f t="shared" si="19"/>
        <v>#N/A</v>
      </c>
      <c r="T56" s="494"/>
      <c r="U56" s="185"/>
      <c r="V56" s="185"/>
      <c r="W56" s="185"/>
      <c r="X56" s="185" t="e">
        <f t="shared" si="20"/>
        <v>#N/A</v>
      </c>
      <c r="Y56" s="494"/>
      <c r="Z56" s="185"/>
      <c r="AA56" s="185"/>
      <c r="AB56" s="185"/>
      <c r="AC56" s="185" t="e">
        <f t="shared" si="21"/>
        <v>#N/A</v>
      </c>
      <c r="AD56" s="494"/>
      <c r="AE56" s="185"/>
      <c r="AF56" s="185"/>
      <c r="AG56" s="185"/>
      <c r="AH56" s="185" t="e">
        <f t="shared" si="22"/>
        <v>#N/A</v>
      </c>
      <c r="AI56" s="494"/>
      <c r="AJ56" s="185"/>
      <c r="AK56" s="185"/>
      <c r="AL56" s="185"/>
      <c r="AM56" s="185" t="e">
        <f t="shared" si="23"/>
        <v>#N/A</v>
      </c>
      <c r="AN56" s="494"/>
      <c r="AO56" s="185"/>
      <c r="AP56" s="185"/>
      <c r="AQ56" s="185"/>
      <c r="AR56" s="185" t="e">
        <f t="shared" si="24"/>
        <v>#N/A</v>
      </c>
      <c r="AS56" s="494"/>
      <c r="AT56" s="185"/>
      <c r="AU56" s="185"/>
      <c r="AV56" s="185"/>
      <c r="AW56" s="185" t="e">
        <f t="shared" si="25"/>
        <v>#N/A</v>
      </c>
      <c r="AX56" s="494"/>
    </row>
    <row r="57" spans="2:50">
      <c r="B57" s="471"/>
      <c r="C57" s="185">
        <v>11</v>
      </c>
      <c r="D57" s="206"/>
      <c r="E57" s="169"/>
      <c r="F57" s="185"/>
      <c r="G57" s="183"/>
      <c r="H57" s="452"/>
      <c r="I57" s="185"/>
      <c r="J57" s="185"/>
      <c r="K57" s="185"/>
      <c r="L57" s="452"/>
      <c r="M57" s="184" t="e">
        <f>RANK(K57, K$47:$K$61)</f>
        <v>#DIV/0!</v>
      </c>
      <c r="N57" s="454"/>
      <c r="O57" s="454"/>
      <c r="P57" s="185"/>
      <c r="Q57" s="185"/>
      <c r="R57" s="185"/>
      <c r="S57" s="185" t="e">
        <f t="shared" si="19"/>
        <v>#N/A</v>
      </c>
      <c r="T57" s="494"/>
      <c r="U57" s="185"/>
      <c r="V57" s="185"/>
      <c r="W57" s="185"/>
      <c r="X57" s="185" t="e">
        <f t="shared" si="20"/>
        <v>#N/A</v>
      </c>
      <c r="Y57" s="494"/>
      <c r="Z57" s="185"/>
      <c r="AA57" s="185"/>
      <c r="AB57" s="185"/>
      <c r="AC57" s="185" t="e">
        <f t="shared" si="21"/>
        <v>#N/A</v>
      </c>
      <c r="AD57" s="494"/>
      <c r="AE57" s="185"/>
      <c r="AF57" s="185"/>
      <c r="AG57" s="185"/>
      <c r="AH57" s="185" t="e">
        <f t="shared" si="22"/>
        <v>#N/A</v>
      </c>
      <c r="AI57" s="494"/>
      <c r="AJ57" s="185"/>
      <c r="AK57" s="185"/>
      <c r="AL57" s="185"/>
      <c r="AM57" s="185" t="e">
        <f t="shared" si="23"/>
        <v>#N/A</v>
      </c>
      <c r="AN57" s="494"/>
      <c r="AO57" s="185"/>
      <c r="AP57" s="185"/>
      <c r="AQ57" s="185"/>
      <c r="AR57" s="185" t="e">
        <f t="shared" si="24"/>
        <v>#N/A</v>
      </c>
      <c r="AS57" s="494"/>
      <c r="AT57" s="185"/>
      <c r="AU57" s="185"/>
      <c r="AV57" s="185"/>
      <c r="AW57" s="185" t="e">
        <f t="shared" si="25"/>
        <v>#N/A</v>
      </c>
      <c r="AX57" s="494"/>
    </row>
    <row r="58" spans="2:50">
      <c r="B58" s="471"/>
      <c r="C58" s="185">
        <v>12</v>
      </c>
      <c r="D58" s="206"/>
      <c r="E58" s="169"/>
      <c r="F58" s="185"/>
      <c r="G58" s="183"/>
      <c r="H58" s="452"/>
      <c r="I58" s="185"/>
      <c r="J58" s="185"/>
      <c r="K58" s="185"/>
      <c r="L58" s="452"/>
      <c r="M58" s="184" t="e">
        <f>RANK(K58, K$47:$K$61)</f>
        <v>#DIV/0!</v>
      </c>
      <c r="N58" s="454"/>
      <c r="O58" s="454"/>
      <c r="P58" s="185"/>
      <c r="Q58" s="185"/>
      <c r="R58" s="185"/>
      <c r="S58" s="185" t="e">
        <f t="shared" si="19"/>
        <v>#N/A</v>
      </c>
      <c r="T58" s="494"/>
      <c r="U58" s="185"/>
      <c r="V58" s="185"/>
      <c r="W58" s="185"/>
      <c r="X58" s="185" t="e">
        <f t="shared" si="20"/>
        <v>#N/A</v>
      </c>
      <c r="Y58" s="494"/>
      <c r="Z58" s="185"/>
      <c r="AA58" s="185"/>
      <c r="AB58" s="185"/>
      <c r="AC58" s="185" t="e">
        <f t="shared" si="21"/>
        <v>#N/A</v>
      </c>
      <c r="AD58" s="494"/>
      <c r="AE58" s="185"/>
      <c r="AF58" s="185"/>
      <c r="AG58" s="185"/>
      <c r="AH58" s="185" t="e">
        <f t="shared" si="22"/>
        <v>#N/A</v>
      </c>
      <c r="AI58" s="494"/>
      <c r="AJ58" s="185"/>
      <c r="AK58" s="185"/>
      <c r="AL58" s="185"/>
      <c r="AM58" s="185" t="e">
        <f t="shared" si="23"/>
        <v>#N/A</v>
      </c>
      <c r="AN58" s="494"/>
      <c r="AO58" s="185"/>
      <c r="AP58" s="185"/>
      <c r="AQ58" s="185"/>
      <c r="AR58" s="185" t="e">
        <f t="shared" si="24"/>
        <v>#N/A</v>
      </c>
      <c r="AS58" s="494"/>
      <c r="AT58" s="185"/>
      <c r="AU58" s="185"/>
      <c r="AV58" s="185"/>
      <c r="AW58" s="185" t="e">
        <f t="shared" si="25"/>
        <v>#N/A</v>
      </c>
      <c r="AX58" s="494"/>
    </row>
    <row r="59" spans="2:50">
      <c r="B59" s="471"/>
      <c r="C59" s="185">
        <v>13</v>
      </c>
      <c r="D59" s="206"/>
      <c r="E59" s="169"/>
      <c r="F59" s="185"/>
      <c r="G59" s="183"/>
      <c r="H59" s="452"/>
      <c r="I59" s="185"/>
      <c r="J59" s="185"/>
      <c r="K59" s="185"/>
      <c r="L59" s="452"/>
      <c r="M59" s="184" t="e">
        <f>RANK(K59, K$47:$K$61)</f>
        <v>#DIV/0!</v>
      </c>
      <c r="N59" s="454"/>
      <c r="O59" s="454"/>
      <c r="P59" s="185"/>
      <c r="Q59" s="185"/>
      <c r="R59" s="185"/>
      <c r="S59" s="185" t="e">
        <f t="shared" si="19"/>
        <v>#N/A</v>
      </c>
      <c r="T59" s="494"/>
      <c r="U59" s="185"/>
      <c r="V59" s="185"/>
      <c r="W59" s="185"/>
      <c r="X59" s="185" t="e">
        <f t="shared" si="20"/>
        <v>#N/A</v>
      </c>
      <c r="Y59" s="494"/>
      <c r="Z59" s="185"/>
      <c r="AA59" s="185"/>
      <c r="AB59" s="185"/>
      <c r="AC59" s="185" t="e">
        <f t="shared" si="21"/>
        <v>#N/A</v>
      </c>
      <c r="AD59" s="494"/>
      <c r="AE59" s="185"/>
      <c r="AF59" s="185"/>
      <c r="AG59" s="185"/>
      <c r="AH59" s="185" t="e">
        <f t="shared" si="22"/>
        <v>#N/A</v>
      </c>
      <c r="AI59" s="494"/>
      <c r="AJ59" s="185"/>
      <c r="AK59" s="185"/>
      <c r="AL59" s="185"/>
      <c r="AM59" s="185" t="e">
        <f t="shared" si="23"/>
        <v>#N/A</v>
      </c>
      <c r="AN59" s="494"/>
      <c r="AO59" s="185"/>
      <c r="AP59" s="185"/>
      <c r="AQ59" s="185"/>
      <c r="AR59" s="185" t="e">
        <f t="shared" si="24"/>
        <v>#N/A</v>
      </c>
      <c r="AS59" s="494"/>
      <c r="AT59" s="185"/>
      <c r="AU59" s="185"/>
      <c r="AV59" s="185"/>
      <c r="AW59" s="185" t="e">
        <f t="shared" si="25"/>
        <v>#N/A</v>
      </c>
      <c r="AX59" s="494"/>
    </row>
    <row r="60" spans="2:50">
      <c r="B60" s="471"/>
      <c r="C60" s="185">
        <v>14</v>
      </c>
      <c r="D60" s="206"/>
      <c r="E60" s="169"/>
      <c r="F60" s="185"/>
      <c r="G60" s="183"/>
      <c r="H60" s="452"/>
      <c r="I60" s="185"/>
      <c r="J60" s="185"/>
      <c r="K60" s="185"/>
      <c r="L60" s="452"/>
      <c r="M60" s="184" t="e">
        <f>RANK(K60, K$47:$K$61)</f>
        <v>#DIV/0!</v>
      </c>
      <c r="N60" s="454"/>
      <c r="O60" s="454"/>
      <c r="P60" s="185"/>
      <c r="Q60" s="185"/>
      <c r="R60" s="185"/>
      <c r="S60" s="185" t="e">
        <f t="shared" si="19"/>
        <v>#N/A</v>
      </c>
      <c r="T60" s="494"/>
      <c r="U60" s="185"/>
      <c r="V60" s="185"/>
      <c r="W60" s="185"/>
      <c r="X60" s="185" t="e">
        <f t="shared" si="20"/>
        <v>#N/A</v>
      </c>
      <c r="Y60" s="494"/>
      <c r="Z60" s="185"/>
      <c r="AA60" s="185"/>
      <c r="AB60" s="185"/>
      <c r="AC60" s="185" t="e">
        <f t="shared" si="21"/>
        <v>#N/A</v>
      </c>
      <c r="AD60" s="494"/>
      <c r="AE60" s="185"/>
      <c r="AF60" s="185"/>
      <c r="AG60" s="185"/>
      <c r="AH60" s="185" t="e">
        <f t="shared" si="22"/>
        <v>#N/A</v>
      </c>
      <c r="AI60" s="494"/>
      <c r="AJ60" s="185"/>
      <c r="AK60" s="185"/>
      <c r="AL60" s="185"/>
      <c r="AM60" s="185" t="e">
        <f t="shared" si="23"/>
        <v>#N/A</v>
      </c>
      <c r="AN60" s="494"/>
      <c r="AO60" s="185"/>
      <c r="AP60" s="185"/>
      <c r="AQ60" s="185"/>
      <c r="AR60" s="185" t="e">
        <f t="shared" si="24"/>
        <v>#N/A</v>
      </c>
      <c r="AS60" s="494"/>
      <c r="AT60" s="185"/>
      <c r="AU60" s="185"/>
      <c r="AV60" s="185"/>
      <c r="AW60" s="185" t="e">
        <f t="shared" si="25"/>
        <v>#N/A</v>
      </c>
      <c r="AX60" s="494"/>
    </row>
    <row r="61" spans="2:50">
      <c r="B61" s="471"/>
      <c r="C61" s="185">
        <v>15</v>
      </c>
      <c r="D61" s="206"/>
      <c r="E61" s="169"/>
      <c r="F61" s="185"/>
      <c r="G61" s="183"/>
      <c r="H61" s="453"/>
      <c r="I61" s="185"/>
      <c r="J61" s="185"/>
      <c r="K61" s="185"/>
      <c r="L61" s="453"/>
      <c r="M61" s="184" t="e">
        <f>RANK(K61, K$47:$K$61)</f>
        <v>#DIV/0!</v>
      </c>
      <c r="N61" s="454"/>
      <c r="O61" s="454"/>
      <c r="P61" s="185"/>
      <c r="Q61" s="185"/>
      <c r="R61" s="185"/>
      <c r="S61" s="185" t="e">
        <f t="shared" si="19"/>
        <v>#N/A</v>
      </c>
      <c r="T61" s="494"/>
      <c r="U61" s="185"/>
      <c r="V61" s="185"/>
      <c r="W61" s="185"/>
      <c r="X61" s="185" t="e">
        <f t="shared" si="20"/>
        <v>#N/A</v>
      </c>
      <c r="Y61" s="494"/>
      <c r="Z61" s="185"/>
      <c r="AA61" s="185"/>
      <c r="AB61" s="185"/>
      <c r="AC61" s="185" t="e">
        <f t="shared" si="21"/>
        <v>#N/A</v>
      </c>
      <c r="AD61" s="494"/>
      <c r="AE61" s="185"/>
      <c r="AF61" s="185"/>
      <c r="AG61" s="185"/>
      <c r="AH61" s="185" t="e">
        <f t="shared" si="22"/>
        <v>#N/A</v>
      </c>
      <c r="AI61" s="494"/>
      <c r="AJ61" s="185"/>
      <c r="AK61" s="185"/>
      <c r="AL61" s="185"/>
      <c r="AM61" s="185" t="e">
        <f t="shared" si="23"/>
        <v>#N/A</v>
      </c>
      <c r="AN61" s="494"/>
      <c r="AO61" s="185"/>
      <c r="AP61" s="185"/>
      <c r="AQ61" s="185"/>
      <c r="AR61" s="185" t="e">
        <f t="shared" si="24"/>
        <v>#N/A</v>
      </c>
      <c r="AS61" s="494"/>
      <c r="AT61" s="185"/>
      <c r="AU61" s="185"/>
      <c r="AV61" s="185"/>
      <c r="AW61" s="185" t="e">
        <f t="shared" si="25"/>
        <v>#N/A</v>
      </c>
      <c r="AX61" s="494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54" t="s">
        <v>271</v>
      </c>
      <c r="C67" s="185">
        <v>1</v>
      </c>
      <c r="D67" s="206"/>
      <c r="E67" s="169"/>
      <c r="F67" s="185"/>
      <c r="G67" s="183"/>
      <c r="H67" s="451" t="e">
        <f>AVERAGE(G67:G81)</f>
        <v>#DIV/0!</v>
      </c>
      <c r="I67" s="169" t="e">
        <f t="shared" ref="I67:K68" si="26">AVERAGE(P67,U67,Z67,AE67,AJ67,AO67,AT67)</f>
        <v>#DIV/0!</v>
      </c>
      <c r="J67" s="169" t="e">
        <f t="shared" si="26"/>
        <v>#DIV/0!</v>
      </c>
      <c r="K67" s="183" t="e">
        <f t="shared" si="26"/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69"/>
      <c r="R67" s="183"/>
      <c r="S67" s="185" t="e">
        <f>RANK(R67, R$67:R$81)</f>
        <v>#N/A</v>
      </c>
      <c r="T67" s="494" t="e">
        <f>AVERAGE(R67:R81)</f>
        <v>#DIV/0!</v>
      </c>
      <c r="U67" s="169"/>
      <c r="V67" s="169"/>
      <c r="W67" s="183"/>
      <c r="X67" s="185" t="e">
        <f>RANK(W67, W$67:W$81)</f>
        <v>#N/A</v>
      </c>
      <c r="Y67" s="494" t="e">
        <f>AVERAGE(W67:W81)</f>
        <v>#DIV/0!</v>
      </c>
      <c r="Z67" s="169"/>
      <c r="AA67" s="169"/>
      <c r="AB67" s="183"/>
      <c r="AC67" s="185" t="e">
        <f>RANK(AB67, AB$67:AB$81)</f>
        <v>#N/A</v>
      </c>
      <c r="AD67" s="494" t="e">
        <f>AVERAGE(AB67:AB81)</f>
        <v>#DIV/0!</v>
      </c>
      <c r="AE67" s="169"/>
      <c r="AF67" s="169"/>
      <c r="AG67" s="183"/>
      <c r="AH67" s="185" t="e">
        <f>RANK(AG67, AG$67:AG$81)</f>
        <v>#N/A</v>
      </c>
      <c r="AI67" s="494" t="e">
        <f>AVERAGE(AG67:AG81)</f>
        <v>#DIV/0!</v>
      </c>
      <c r="AJ67" s="169"/>
      <c r="AK67" s="169"/>
      <c r="AL67" s="183"/>
      <c r="AM67" s="185" t="e">
        <f>RANK(AL67, AL$67:AL$81)</f>
        <v>#N/A</v>
      </c>
      <c r="AN67" s="494" t="e">
        <f>AVERAGE(AL67:AL81)</f>
        <v>#DIV/0!</v>
      </c>
      <c r="AO67" s="169"/>
      <c r="AP67" s="169"/>
      <c r="AQ67" s="183"/>
      <c r="AR67" s="185" t="e">
        <f>RANK(AQ67, AQ$67:AQ$81)</f>
        <v>#N/A</v>
      </c>
      <c r="AS67" s="494" t="e">
        <f>AVERAGE(AQ67:AQ81)</f>
        <v>#DIV/0!</v>
      </c>
      <c r="AT67" s="169"/>
      <c r="AU67" s="169"/>
      <c r="AV67" s="183"/>
      <c r="AW67" s="185" t="e">
        <f>RANK(AV67, AV$67:AV$81)</f>
        <v>#N/A</v>
      </c>
      <c r="AX67" s="494" t="e">
        <f>AVERAGE(AV67:AV81)</f>
        <v>#DIV/0!</v>
      </c>
    </row>
    <row r="68" spans="2:50">
      <c r="B68" s="471"/>
      <c r="C68" s="185">
        <v>2</v>
      </c>
      <c r="D68" s="206"/>
      <c r="E68" s="169"/>
      <c r="F68" s="185"/>
      <c r="G68" s="183"/>
      <c r="H68" s="452"/>
      <c r="I68" s="169" t="e">
        <f t="shared" si="26"/>
        <v>#DIV/0!</v>
      </c>
      <c r="J68" s="169" t="e">
        <f t="shared" si="26"/>
        <v>#DIV/0!</v>
      </c>
      <c r="K68" s="183" t="e">
        <f t="shared" si="26"/>
        <v>#DIV/0!</v>
      </c>
      <c r="L68" s="452"/>
      <c r="M68" s="184" t="e">
        <f>RANK(K68, K$67:$K$81)</f>
        <v>#DIV/0!</v>
      </c>
      <c r="N68" s="454"/>
      <c r="O68" s="454"/>
      <c r="P68" s="185"/>
      <c r="Q68" s="169"/>
      <c r="R68" s="183"/>
      <c r="S68" s="185" t="e">
        <f t="shared" ref="S68:S81" si="27">RANK(R68, R$67:R$81)</f>
        <v>#N/A</v>
      </c>
      <c r="T68" s="494"/>
      <c r="U68" s="185"/>
      <c r="V68" s="169"/>
      <c r="W68" s="183"/>
      <c r="X68" s="185" t="e">
        <f t="shared" ref="X68:X81" si="28">RANK(W68, W$67:W$81)</f>
        <v>#N/A</v>
      </c>
      <c r="Y68" s="494"/>
      <c r="Z68" s="185"/>
      <c r="AA68" s="169"/>
      <c r="AB68" s="183"/>
      <c r="AC68" s="185" t="e">
        <f t="shared" ref="AC68:AC81" si="29">RANK(AB68, AB$67:AB$81)</f>
        <v>#N/A</v>
      </c>
      <c r="AD68" s="494"/>
      <c r="AE68" s="185"/>
      <c r="AF68" s="169"/>
      <c r="AG68" s="183"/>
      <c r="AH68" s="185" t="e">
        <f t="shared" ref="AH68:AH81" si="30">RANK(AG68, AG$67:AG$81)</f>
        <v>#N/A</v>
      </c>
      <c r="AI68" s="494"/>
      <c r="AJ68" s="185"/>
      <c r="AK68" s="169"/>
      <c r="AL68" s="183"/>
      <c r="AM68" s="185" t="e">
        <f t="shared" ref="AM68:AM81" si="31">RANK(AL68, AL$67:AL$81)</f>
        <v>#N/A</v>
      </c>
      <c r="AN68" s="494"/>
      <c r="AO68" s="185"/>
      <c r="AP68" s="169"/>
      <c r="AQ68" s="183"/>
      <c r="AR68" s="185" t="e">
        <f t="shared" ref="AR68:AR81" si="32">RANK(AQ68, AQ$67:AQ$81)</f>
        <v>#N/A</v>
      </c>
      <c r="AS68" s="494"/>
      <c r="AT68" s="185"/>
      <c r="AU68" s="169"/>
      <c r="AV68" s="183"/>
      <c r="AW68" s="185" t="e">
        <f t="shared" ref="AW68:AW81" si="33">RANK(AV68, AV$67:AV$81)</f>
        <v>#N/A</v>
      </c>
      <c r="AX68" s="494"/>
    </row>
    <row r="69" spans="2:50">
      <c r="B69" s="471"/>
      <c r="C69" s="185">
        <v>3</v>
      </c>
      <c r="D69" s="206"/>
      <c r="E69" s="169"/>
      <c r="F69" s="185"/>
      <c r="G69" s="183"/>
      <c r="H69" s="452"/>
      <c r="I69" s="169"/>
      <c r="J69" s="169"/>
      <c r="K69" s="183"/>
      <c r="L69" s="452"/>
      <c r="M69" s="184" t="e">
        <f>RANK(K69, K$67:$K$81)</f>
        <v>#DIV/0!</v>
      </c>
      <c r="N69" s="454"/>
      <c r="O69" s="454"/>
      <c r="P69" s="185"/>
      <c r="Q69" s="185"/>
      <c r="R69" s="185"/>
      <c r="S69" s="185" t="e">
        <f t="shared" si="27"/>
        <v>#N/A</v>
      </c>
      <c r="T69" s="494"/>
      <c r="U69" s="185"/>
      <c r="V69" s="185"/>
      <c r="W69" s="185"/>
      <c r="X69" s="185" t="e">
        <f t="shared" si="28"/>
        <v>#N/A</v>
      </c>
      <c r="Y69" s="494"/>
      <c r="Z69" s="185"/>
      <c r="AA69" s="185"/>
      <c r="AB69" s="185"/>
      <c r="AC69" s="185" t="e">
        <f t="shared" si="29"/>
        <v>#N/A</v>
      </c>
      <c r="AD69" s="494"/>
      <c r="AE69" s="185"/>
      <c r="AF69" s="185"/>
      <c r="AG69" s="185"/>
      <c r="AH69" s="185" t="e">
        <f t="shared" si="30"/>
        <v>#N/A</v>
      </c>
      <c r="AI69" s="494"/>
      <c r="AJ69" s="185"/>
      <c r="AK69" s="185"/>
      <c r="AL69" s="185"/>
      <c r="AM69" s="185" t="e">
        <f t="shared" si="31"/>
        <v>#N/A</v>
      </c>
      <c r="AN69" s="494"/>
      <c r="AO69" s="185"/>
      <c r="AP69" s="185"/>
      <c r="AQ69" s="185"/>
      <c r="AR69" s="185" t="e">
        <f t="shared" si="32"/>
        <v>#N/A</v>
      </c>
      <c r="AS69" s="494"/>
      <c r="AT69" s="185"/>
      <c r="AU69" s="185"/>
      <c r="AV69" s="185"/>
      <c r="AW69" s="185" t="e">
        <f t="shared" si="33"/>
        <v>#N/A</v>
      </c>
      <c r="AX69" s="494"/>
    </row>
    <row r="70" spans="2:50">
      <c r="B70" s="471"/>
      <c r="C70" s="185">
        <v>4</v>
      </c>
      <c r="D70" s="206"/>
      <c r="E70" s="169"/>
      <c r="F70" s="185"/>
      <c r="G70" s="183"/>
      <c r="H70" s="452"/>
      <c r="I70" s="169"/>
      <c r="J70" s="169"/>
      <c r="K70" s="183"/>
      <c r="L70" s="452"/>
      <c r="M70" s="184" t="e">
        <f>RANK(K70, K$67:$K$81)</f>
        <v>#DIV/0!</v>
      </c>
      <c r="N70" s="454"/>
      <c r="O70" s="454"/>
      <c r="P70" s="185"/>
      <c r="Q70" s="185"/>
      <c r="R70" s="185"/>
      <c r="S70" s="185" t="e">
        <f t="shared" si="27"/>
        <v>#N/A</v>
      </c>
      <c r="T70" s="494"/>
      <c r="U70" s="185"/>
      <c r="V70" s="185"/>
      <c r="W70" s="185"/>
      <c r="X70" s="185" t="e">
        <f t="shared" si="28"/>
        <v>#N/A</v>
      </c>
      <c r="Y70" s="494"/>
      <c r="Z70" s="185"/>
      <c r="AA70" s="185"/>
      <c r="AB70" s="185"/>
      <c r="AC70" s="185" t="e">
        <f t="shared" si="29"/>
        <v>#N/A</v>
      </c>
      <c r="AD70" s="494"/>
      <c r="AE70" s="185"/>
      <c r="AF70" s="185"/>
      <c r="AG70" s="185"/>
      <c r="AH70" s="185" t="e">
        <f t="shared" si="30"/>
        <v>#N/A</v>
      </c>
      <c r="AI70" s="494"/>
      <c r="AJ70" s="185"/>
      <c r="AK70" s="185"/>
      <c r="AL70" s="185"/>
      <c r="AM70" s="185" t="e">
        <f t="shared" si="31"/>
        <v>#N/A</v>
      </c>
      <c r="AN70" s="494"/>
      <c r="AO70" s="185"/>
      <c r="AP70" s="185"/>
      <c r="AQ70" s="185"/>
      <c r="AR70" s="185" t="e">
        <f t="shared" si="32"/>
        <v>#N/A</v>
      </c>
      <c r="AS70" s="494"/>
      <c r="AT70" s="185"/>
      <c r="AU70" s="185"/>
      <c r="AV70" s="185"/>
      <c r="AW70" s="185" t="e">
        <f t="shared" si="33"/>
        <v>#N/A</v>
      </c>
      <c r="AX70" s="494"/>
    </row>
    <row r="71" spans="2:50">
      <c r="B71" s="471"/>
      <c r="C71" s="185">
        <v>5</v>
      </c>
      <c r="D71" s="206"/>
      <c r="E71" s="169"/>
      <c r="F71" s="185"/>
      <c r="G71" s="183"/>
      <c r="H71" s="452"/>
      <c r="I71" s="169"/>
      <c r="J71" s="169"/>
      <c r="K71" s="183"/>
      <c r="L71" s="452"/>
      <c r="M71" s="184" t="e">
        <f>RANK(K71, K$67:$K$81)</f>
        <v>#DIV/0!</v>
      </c>
      <c r="N71" s="454"/>
      <c r="O71" s="454"/>
      <c r="P71" s="185"/>
      <c r="Q71" s="185"/>
      <c r="R71" s="185"/>
      <c r="S71" s="185" t="e">
        <f t="shared" si="27"/>
        <v>#N/A</v>
      </c>
      <c r="T71" s="494"/>
      <c r="U71" s="185"/>
      <c r="V71" s="185"/>
      <c r="W71" s="185"/>
      <c r="X71" s="185" t="e">
        <f t="shared" si="28"/>
        <v>#N/A</v>
      </c>
      <c r="Y71" s="494"/>
      <c r="Z71" s="185"/>
      <c r="AA71" s="185"/>
      <c r="AB71" s="185"/>
      <c r="AC71" s="185" t="e">
        <f t="shared" si="29"/>
        <v>#N/A</v>
      </c>
      <c r="AD71" s="494"/>
      <c r="AE71" s="185"/>
      <c r="AF71" s="185"/>
      <c r="AG71" s="185"/>
      <c r="AH71" s="185" t="e">
        <f t="shared" si="30"/>
        <v>#N/A</v>
      </c>
      <c r="AI71" s="494"/>
      <c r="AJ71" s="185"/>
      <c r="AK71" s="185"/>
      <c r="AL71" s="185"/>
      <c r="AM71" s="185" t="e">
        <f t="shared" si="31"/>
        <v>#N/A</v>
      </c>
      <c r="AN71" s="494"/>
      <c r="AO71" s="185"/>
      <c r="AP71" s="185"/>
      <c r="AQ71" s="185"/>
      <c r="AR71" s="185" t="e">
        <f t="shared" si="32"/>
        <v>#N/A</v>
      </c>
      <c r="AS71" s="494"/>
      <c r="AT71" s="185"/>
      <c r="AU71" s="185"/>
      <c r="AV71" s="185"/>
      <c r="AW71" s="185" t="e">
        <f t="shared" si="33"/>
        <v>#N/A</v>
      </c>
      <c r="AX71" s="494"/>
    </row>
    <row r="72" spans="2:50">
      <c r="B72" s="471"/>
      <c r="C72" s="185">
        <v>6</v>
      </c>
      <c r="D72" s="206"/>
      <c r="E72" s="169"/>
      <c r="F72" s="185"/>
      <c r="G72" s="183"/>
      <c r="H72" s="452"/>
      <c r="I72" s="169"/>
      <c r="J72" s="169"/>
      <c r="K72" s="183"/>
      <c r="L72" s="452"/>
      <c r="M72" s="184" t="e">
        <f>RANK(K72, K$67:$K$81)</f>
        <v>#DIV/0!</v>
      </c>
      <c r="N72" s="454"/>
      <c r="O72" s="454"/>
      <c r="P72" s="185"/>
      <c r="Q72" s="185"/>
      <c r="R72" s="185"/>
      <c r="S72" s="185" t="e">
        <f t="shared" si="27"/>
        <v>#N/A</v>
      </c>
      <c r="T72" s="494"/>
      <c r="U72" s="185"/>
      <c r="V72" s="185"/>
      <c r="W72" s="185"/>
      <c r="X72" s="185" t="e">
        <f t="shared" si="28"/>
        <v>#N/A</v>
      </c>
      <c r="Y72" s="494"/>
      <c r="Z72" s="185"/>
      <c r="AA72" s="185"/>
      <c r="AB72" s="185"/>
      <c r="AC72" s="185" t="e">
        <f t="shared" si="29"/>
        <v>#N/A</v>
      </c>
      <c r="AD72" s="494"/>
      <c r="AE72" s="185"/>
      <c r="AF72" s="185"/>
      <c r="AG72" s="185"/>
      <c r="AH72" s="185" t="e">
        <f t="shared" si="30"/>
        <v>#N/A</v>
      </c>
      <c r="AI72" s="494"/>
      <c r="AJ72" s="185"/>
      <c r="AK72" s="185"/>
      <c r="AL72" s="185"/>
      <c r="AM72" s="185" t="e">
        <f t="shared" si="31"/>
        <v>#N/A</v>
      </c>
      <c r="AN72" s="494"/>
      <c r="AO72" s="185"/>
      <c r="AP72" s="185"/>
      <c r="AQ72" s="185"/>
      <c r="AR72" s="185" t="e">
        <f t="shared" si="32"/>
        <v>#N/A</v>
      </c>
      <c r="AS72" s="494"/>
      <c r="AT72" s="185"/>
      <c r="AU72" s="185"/>
      <c r="AV72" s="185"/>
      <c r="AW72" s="185" t="e">
        <f t="shared" si="33"/>
        <v>#N/A</v>
      </c>
      <c r="AX72" s="494"/>
    </row>
    <row r="73" spans="2:50">
      <c r="B73" s="471"/>
      <c r="C73" s="185">
        <v>7</v>
      </c>
      <c r="D73" s="206"/>
      <c r="E73" s="169"/>
      <c r="F73" s="185"/>
      <c r="G73" s="183"/>
      <c r="H73" s="452"/>
      <c r="I73" s="169"/>
      <c r="J73" s="169"/>
      <c r="K73" s="183"/>
      <c r="L73" s="452"/>
      <c r="M73" s="184" t="e">
        <f>RANK(K73, K$67:$K$81)</f>
        <v>#DIV/0!</v>
      </c>
      <c r="N73" s="454"/>
      <c r="O73" s="454"/>
      <c r="P73" s="185"/>
      <c r="Q73" s="185"/>
      <c r="R73" s="185"/>
      <c r="S73" s="185" t="e">
        <f t="shared" si="27"/>
        <v>#N/A</v>
      </c>
      <c r="T73" s="494"/>
      <c r="U73" s="185"/>
      <c r="V73" s="185"/>
      <c r="W73" s="185"/>
      <c r="X73" s="185" t="e">
        <f t="shared" si="28"/>
        <v>#N/A</v>
      </c>
      <c r="Y73" s="494"/>
      <c r="Z73" s="185"/>
      <c r="AA73" s="185"/>
      <c r="AB73" s="185"/>
      <c r="AC73" s="185" t="e">
        <f t="shared" si="29"/>
        <v>#N/A</v>
      </c>
      <c r="AD73" s="494"/>
      <c r="AE73" s="185"/>
      <c r="AF73" s="185"/>
      <c r="AG73" s="185"/>
      <c r="AH73" s="185" t="e">
        <f t="shared" si="30"/>
        <v>#N/A</v>
      </c>
      <c r="AI73" s="494"/>
      <c r="AJ73" s="185"/>
      <c r="AK73" s="185"/>
      <c r="AL73" s="185"/>
      <c r="AM73" s="185" t="e">
        <f t="shared" si="31"/>
        <v>#N/A</v>
      </c>
      <c r="AN73" s="494"/>
      <c r="AO73" s="185"/>
      <c r="AP73" s="185"/>
      <c r="AQ73" s="185"/>
      <c r="AR73" s="185" t="e">
        <f t="shared" si="32"/>
        <v>#N/A</v>
      </c>
      <c r="AS73" s="494"/>
      <c r="AT73" s="185"/>
      <c r="AU73" s="185"/>
      <c r="AV73" s="185"/>
      <c r="AW73" s="185" t="e">
        <f t="shared" si="33"/>
        <v>#N/A</v>
      </c>
      <c r="AX73" s="494"/>
    </row>
    <row r="74" spans="2:50">
      <c r="B74" s="471"/>
      <c r="C74" s="185">
        <v>8</v>
      </c>
      <c r="D74" s="206"/>
      <c r="E74" s="169"/>
      <c r="F74" s="185"/>
      <c r="G74" s="183"/>
      <c r="H74" s="452"/>
      <c r="I74" s="169"/>
      <c r="J74" s="169"/>
      <c r="K74" s="183"/>
      <c r="L74" s="452"/>
      <c r="M74" s="184" t="e">
        <f>RANK(K74, K$67:$K$81)</f>
        <v>#DIV/0!</v>
      </c>
      <c r="N74" s="454"/>
      <c r="O74" s="454"/>
      <c r="P74" s="185"/>
      <c r="Q74" s="185"/>
      <c r="R74" s="185"/>
      <c r="S74" s="185" t="e">
        <f t="shared" si="27"/>
        <v>#N/A</v>
      </c>
      <c r="T74" s="494"/>
      <c r="U74" s="185"/>
      <c r="V74" s="185"/>
      <c r="W74" s="185"/>
      <c r="X74" s="185" t="e">
        <f t="shared" si="28"/>
        <v>#N/A</v>
      </c>
      <c r="Y74" s="494"/>
      <c r="Z74" s="185"/>
      <c r="AA74" s="185"/>
      <c r="AB74" s="185"/>
      <c r="AC74" s="185" t="e">
        <f t="shared" si="29"/>
        <v>#N/A</v>
      </c>
      <c r="AD74" s="494"/>
      <c r="AE74" s="185"/>
      <c r="AF74" s="185"/>
      <c r="AG74" s="185"/>
      <c r="AH74" s="185" t="e">
        <f t="shared" si="30"/>
        <v>#N/A</v>
      </c>
      <c r="AI74" s="494"/>
      <c r="AJ74" s="185"/>
      <c r="AK74" s="185"/>
      <c r="AL74" s="185"/>
      <c r="AM74" s="185" t="e">
        <f t="shared" si="31"/>
        <v>#N/A</v>
      </c>
      <c r="AN74" s="494"/>
      <c r="AO74" s="185"/>
      <c r="AP74" s="185"/>
      <c r="AQ74" s="185"/>
      <c r="AR74" s="185" t="e">
        <f t="shared" si="32"/>
        <v>#N/A</v>
      </c>
      <c r="AS74" s="494"/>
      <c r="AT74" s="185"/>
      <c r="AU74" s="185"/>
      <c r="AV74" s="185"/>
      <c r="AW74" s="185" t="e">
        <f t="shared" si="33"/>
        <v>#N/A</v>
      </c>
      <c r="AX74" s="494"/>
    </row>
    <row r="75" spans="2:50">
      <c r="B75" s="471"/>
      <c r="C75" s="185">
        <v>9</v>
      </c>
      <c r="D75" s="206"/>
      <c r="E75" s="169"/>
      <c r="F75" s="185"/>
      <c r="G75" s="183"/>
      <c r="H75" s="452"/>
      <c r="I75" s="169"/>
      <c r="J75" s="169"/>
      <c r="K75" s="183"/>
      <c r="L75" s="452"/>
      <c r="M75" s="184" t="e">
        <f>RANK(K75, K$67:$K$81)</f>
        <v>#DIV/0!</v>
      </c>
      <c r="N75" s="454"/>
      <c r="O75" s="454"/>
      <c r="P75" s="185"/>
      <c r="Q75" s="185"/>
      <c r="R75" s="185"/>
      <c r="S75" s="185" t="e">
        <f t="shared" si="27"/>
        <v>#N/A</v>
      </c>
      <c r="T75" s="494"/>
      <c r="U75" s="185"/>
      <c r="V75" s="185"/>
      <c r="W75" s="185"/>
      <c r="X75" s="185" t="e">
        <f t="shared" si="28"/>
        <v>#N/A</v>
      </c>
      <c r="Y75" s="494"/>
      <c r="Z75" s="185"/>
      <c r="AA75" s="185"/>
      <c r="AB75" s="185"/>
      <c r="AC75" s="185" t="e">
        <f t="shared" si="29"/>
        <v>#N/A</v>
      </c>
      <c r="AD75" s="494"/>
      <c r="AE75" s="185"/>
      <c r="AF75" s="185"/>
      <c r="AG75" s="185"/>
      <c r="AH75" s="185" t="e">
        <f t="shared" si="30"/>
        <v>#N/A</v>
      </c>
      <c r="AI75" s="494"/>
      <c r="AJ75" s="185"/>
      <c r="AK75" s="185"/>
      <c r="AL75" s="185"/>
      <c r="AM75" s="185" t="e">
        <f t="shared" si="31"/>
        <v>#N/A</v>
      </c>
      <c r="AN75" s="494"/>
      <c r="AO75" s="185"/>
      <c r="AP75" s="185"/>
      <c r="AQ75" s="185"/>
      <c r="AR75" s="185" t="e">
        <f t="shared" si="32"/>
        <v>#N/A</v>
      </c>
      <c r="AS75" s="494"/>
      <c r="AT75" s="185"/>
      <c r="AU75" s="185"/>
      <c r="AV75" s="185"/>
      <c r="AW75" s="185" t="e">
        <f t="shared" si="33"/>
        <v>#N/A</v>
      </c>
      <c r="AX75" s="494"/>
    </row>
    <row r="76" spans="2:50">
      <c r="B76" s="471"/>
      <c r="C76" s="185">
        <v>10</v>
      </c>
      <c r="D76" s="206"/>
      <c r="E76" s="169"/>
      <c r="F76" s="185"/>
      <c r="G76" s="183"/>
      <c r="H76" s="452"/>
      <c r="I76" s="169"/>
      <c r="J76" s="169"/>
      <c r="K76" s="183"/>
      <c r="L76" s="452"/>
      <c r="M76" s="184" t="e">
        <f>RANK(K76, K$67:$K$81)</f>
        <v>#DIV/0!</v>
      </c>
      <c r="N76" s="454"/>
      <c r="O76" s="454"/>
      <c r="P76" s="185"/>
      <c r="Q76" s="185"/>
      <c r="R76" s="185"/>
      <c r="S76" s="185" t="e">
        <f t="shared" si="27"/>
        <v>#N/A</v>
      </c>
      <c r="T76" s="494"/>
      <c r="U76" s="185"/>
      <c r="V76" s="185"/>
      <c r="W76" s="185"/>
      <c r="X76" s="185" t="e">
        <f t="shared" si="28"/>
        <v>#N/A</v>
      </c>
      <c r="Y76" s="494"/>
      <c r="Z76" s="185"/>
      <c r="AA76" s="185"/>
      <c r="AB76" s="185"/>
      <c r="AC76" s="185" t="e">
        <f t="shared" si="29"/>
        <v>#N/A</v>
      </c>
      <c r="AD76" s="494"/>
      <c r="AE76" s="185"/>
      <c r="AF76" s="185"/>
      <c r="AG76" s="185"/>
      <c r="AH76" s="185" t="e">
        <f t="shared" si="30"/>
        <v>#N/A</v>
      </c>
      <c r="AI76" s="494"/>
      <c r="AJ76" s="185"/>
      <c r="AK76" s="185"/>
      <c r="AL76" s="185"/>
      <c r="AM76" s="185" t="e">
        <f t="shared" si="31"/>
        <v>#N/A</v>
      </c>
      <c r="AN76" s="494"/>
      <c r="AO76" s="185"/>
      <c r="AP76" s="185"/>
      <c r="AQ76" s="185"/>
      <c r="AR76" s="185" t="e">
        <f t="shared" si="32"/>
        <v>#N/A</v>
      </c>
      <c r="AS76" s="494"/>
      <c r="AT76" s="185"/>
      <c r="AU76" s="185"/>
      <c r="AV76" s="185"/>
      <c r="AW76" s="185" t="e">
        <f t="shared" si="33"/>
        <v>#N/A</v>
      </c>
      <c r="AX76" s="494"/>
    </row>
    <row r="77" spans="2:50">
      <c r="B77" s="471"/>
      <c r="C77" s="185">
        <v>11</v>
      </c>
      <c r="D77" s="206"/>
      <c r="E77" s="169"/>
      <c r="F77" s="185"/>
      <c r="G77" s="183"/>
      <c r="H77" s="452"/>
      <c r="I77" s="185"/>
      <c r="J77" s="185"/>
      <c r="K77" s="185"/>
      <c r="L77" s="452"/>
      <c r="M77" s="184" t="e">
        <f>RANK(K77, K$67:$K$81)</f>
        <v>#DIV/0!</v>
      </c>
      <c r="N77" s="454"/>
      <c r="O77" s="454"/>
      <c r="P77" s="185"/>
      <c r="Q77" s="185"/>
      <c r="R77" s="185"/>
      <c r="S77" s="185" t="e">
        <f t="shared" si="27"/>
        <v>#N/A</v>
      </c>
      <c r="T77" s="494"/>
      <c r="U77" s="185"/>
      <c r="V77" s="185"/>
      <c r="W77" s="185"/>
      <c r="X77" s="185" t="e">
        <f t="shared" si="28"/>
        <v>#N/A</v>
      </c>
      <c r="Y77" s="494"/>
      <c r="Z77" s="185"/>
      <c r="AA77" s="185"/>
      <c r="AB77" s="185"/>
      <c r="AC77" s="185" t="e">
        <f t="shared" si="29"/>
        <v>#N/A</v>
      </c>
      <c r="AD77" s="494"/>
      <c r="AE77" s="185"/>
      <c r="AF77" s="185"/>
      <c r="AG77" s="185"/>
      <c r="AH77" s="185" t="e">
        <f t="shared" si="30"/>
        <v>#N/A</v>
      </c>
      <c r="AI77" s="494"/>
      <c r="AJ77" s="185"/>
      <c r="AK77" s="185"/>
      <c r="AL77" s="185"/>
      <c r="AM77" s="185" t="e">
        <f t="shared" si="31"/>
        <v>#N/A</v>
      </c>
      <c r="AN77" s="494"/>
      <c r="AO77" s="185"/>
      <c r="AP77" s="185"/>
      <c r="AQ77" s="185"/>
      <c r="AR77" s="185" t="e">
        <f t="shared" si="32"/>
        <v>#N/A</v>
      </c>
      <c r="AS77" s="494"/>
      <c r="AT77" s="185"/>
      <c r="AU77" s="185"/>
      <c r="AV77" s="185"/>
      <c r="AW77" s="185" t="e">
        <f t="shared" si="33"/>
        <v>#N/A</v>
      </c>
      <c r="AX77" s="494"/>
    </row>
    <row r="78" spans="2:50">
      <c r="B78" s="471"/>
      <c r="C78" s="185">
        <v>12</v>
      </c>
      <c r="D78" s="206"/>
      <c r="E78" s="169"/>
      <c r="F78" s="185"/>
      <c r="G78" s="183"/>
      <c r="H78" s="452"/>
      <c r="I78" s="185"/>
      <c r="J78" s="185"/>
      <c r="K78" s="185"/>
      <c r="L78" s="452"/>
      <c r="M78" s="184" t="e">
        <f>RANK(K78, K$67:$K$81)</f>
        <v>#DIV/0!</v>
      </c>
      <c r="N78" s="454"/>
      <c r="O78" s="454"/>
      <c r="P78" s="185"/>
      <c r="Q78" s="185"/>
      <c r="R78" s="185"/>
      <c r="S78" s="185" t="e">
        <f t="shared" si="27"/>
        <v>#N/A</v>
      </c>
      <c r="T78" s="494"/>
      <c r="U78" s="185"/>
      <c r="V78" s="185"/>
      <c r="W78" s="185"/>
      <c r="X78" s="185" t="e">
        <f t="shared" si="28"/>
        <v>#N/A</v>
      </c>
      <c r="Y78" s="494"/>
      <c r="Z78" s="185"/>
      <c r="AA78" s="185"/>
      <c r="AB78" s="185"/>
      <c r="AC78" s="185" t="e">
        <f t="shared" si="29"/>
        <v>#N/A</v>
      </c>
      <c r="AD78" s="494"/>
      <c r="AE78" s="185"/>
      <c r="AF78" s="185"/>
      <c r="AG78" s="185"/>
      <c r="AH78" s="185" t="e">
        <f t="shared" si="30"/>
        <v>#N/A</v>
      </c>
      <c r="AI78" s="494"/>
      <c r="AJ78" s="185"/>
      <c r="AK78" s="185"/>
      <c r="AL78" s="185"/>
      <c r="AM78" s="185" t="e">
        <f t="shared" si="31"/>
        <v>#N/A</v>
      </c>
      <c r="AN78" s="494"/>
      <c r="AO78" s="185"/>
      <c r="AP78" s="185"/>
      <c r="AQ78" s="185"/>
      <c r="AR78" s="185" t="e">
        <f t="shared" si="32"/>
        <v>#N/A</v>
      </c>
      <c r="AS78" s="494"/>
      <c r="AT78" s="185"/>
      <c r="AU78" s="185"/>
      <c r="AV78" s="185"/>
      <c r="AW78" s="185" t="e">
        <f t="shared" si="33"/>
        <v>#N/A</v>
      </c>
      <c r="AX78" s="494"/>
    </row>
    <row r="79" spans="2:50">
      <c r="B79" s="471"/>
      <c r="C79" s="185">
        <v>13</v>
      </c>
      <c r="D79" s="206"/>
      <c r="E79" s="169"/>
      <c r="F79" s="185"/>
      <c r="G79" s="183"/>
      <c r="H79" s="452"/>
      <c r="I79" s="185"/>
      <c r="J79" s="185"/>
      <c r="K79" s="185"/>
      <c r="L79" s="452"/>
      <c r="M79" s="184" t="e">
        <f>RANK(K79, K$67:$K$81)</f>
        <v>#DIV/0!</v>
      </c>
      <c r="N79" s="454"/>
      <c r="O79" s="454"/>
      <c r="P79" s="185"/>
      <c r="Q79" s="185"/>
      <c r="R79" s="185"/>
      <c r="S79" s="185" t="e">
        <f t="shared" si="27"/>
        <v>#N/A</v>
      </c>
      <c r="T79" s="494"/>
      <c r="U79" s="185"/>
      <c r="V79" s="185"/>
      <c r="W79" s="185"/>
      <c r="X79" s="185" t="e">
        <f t="shared" si="28"/>
        <v>#N/A</v>
      </c>
      <c r="Y79" s="494"/>
      <c r="Z79" s="185"/>
      <c r="AA79" s="185"/>
      <c r="AB79" s="185"/>
      <c r="AC79" s="185" t="e">
        <f t="shared" si="29"/>
        <v>#N/A</v>
      </c>
      <c r="AD79" s="494"/>
      <c r="AE79" s="185"/>
      <c r="AF79" s="185"/>
      <c r="AG79" s="185"/>
      <c r="AH79" s="185" t="e">
        <f t="shared" si="30"/>
        <v>#N/A</v>
      </c>
      <c r="AI79" s="494"/>
      <c r="AJ79" s="185"/>
      <c r="AK79" s="185"/>
      <c r="AL79" s="185"/>
      <c r="AM79" s="185" t="e">
        <f t="shared" si="31"/>
        <v>#N/A</v>
      </c>
      <c r="AN79" s="494"/>
      <c r="AO79" s="185"/>
      <c r="AP79" s="185"/>
      <c r="AQ79" s="185"/>
      <c r="AR79" s="185" t="e">
        <f t="shared" si="32"/>
        <v>#N/A</v>
      </c>
      <c r="AS79" s="494"/>
      <c r="AT79" s="185"/>
      <c r="AU79" s="185"/>
      <c r="AV79" s="185"/>
      <c r="AW79" s="185" t="e">
        <f t="shared" si="33"/>
        <v>#N/A</v>
      </c>
      <c r="AX79" s="494"/>
    </row>
    <row r="80" spans="2:50">
      <c r="B80" s="471"/>
      <c r="C80" s="185">
        <v>14</v>
      </c>
      <c r="D80" s="206"/>
      <c r="E80" s="169"/>
      <c r="F80" s="185"/>
      <c r="G80" s="183"/>
      <c r="H80" s="452"/>
      <c r="I80" s="185"/>
      <c r="J80" s="185"/>
      <c r="K80" s="185"/>
      <c r="L80" s="452"/>
      <c r="M80" s="184" t="e">
        <f>RANK(K80, K$67:$K$81)</f>
        <v>#DIV/0!</v>
      </c>
      <c r="N80" s="454"/>
      <c r="O80" s="454"/>
      <c r="P80" s="185"/>
      <c r="Q80" s="185"/>
      <c r="R80" s="185"/>
      <c r="S80" s="185" t="e">
        <f t="shared" si="27"/>
        <v>#N/A</v>
      </c>
      <c r="T80" s="494"/>
      <c r="U80" s="185"/>
      <c r="V80" s="185"/>
      <c r="W80" s="185"/>
      <c r="X80" s="185" t="e">
        <f t="shared" si="28"/>
        <v>#N/A</v>
      </c>
      <c r="Y80" s="494"/>
      <c r="Z80" s="185"/>
      <c r="AA80" s="185"/>
      <c r="AB80" s="185"/>
      <c r="AC80" s="185" t="e">
        <f t="shared" si="29"/>
        <v>#N/A</v>
      </c>
      <c r="AD80" s="494"/>
      <c r="AE80" s="185"/>
      <c r="AF80" s="185"/>
      <c r="AG80" s="185"/>
      <c r="AH80" s="185" t="e">
        <f t="shared" si="30"/>
        <v>#N/A</v>
      </c>
      <c r="AI80" s="494"/>
      <c r="AJ80" s="185"/>
      <c r="AK80" s="185"/>
      <c r="AL80" s="185"/>
      <c r="AM80" s="185" t="e">
        <f t="shared" si="31"/>
        <v>#N/A</v>
      </c>
      <c r="AN80" s="494"/>
      <c r="AO80" s="185"/>
      <c r="AP80" s="185"/>
      <c r="AQ80" s="185"/>
      <c r="AR80" s="185" t="e">
        <f t="shared" si="32"/>
        <v>#N/A</v>
      </c>
      <c r="AS80" s="494"/>
      <c r="AT80" s="185"/>
      <c r="AU80" s="185"/>
      <c r="AV80" s="185"/>
      <c r="AW80" s="185" t="e">
        <f t="shared" si="33"/>
        <v>#N/A</v>
      </c>
      <c r="AX80" s="494"/>
    </row>
    <row r="81" spans="2:50">
      <c r="B81" s="471"/>
      <c r="C81" s="185">
        <v>15</v>
      </c>
      <c r="D81" s="206"/>
      <c r="E81" s="169"/>
      <c r="F81" s="185"/>
      <c r="G81" s="183"/>
      <c r="H81" s="453"/>
      <c r="I81" s="185"/>
      <c r="J81" s="185"/>
      <c r="K81" s="185"/>
      <c r="L81" s="453"/>
      <c r="M81" s="184" t="e">
        <f>RANK(K81, K$67:$K$81)</f>
        <v>#DIV/0!</v>
      </c>
      <c r="N81" s="454"/>
      <c r="O81" s="454"/>
      <c r="P81" s="185"/>
      <c r="Q81" s="185"/>
      <c r="R81" s="185"/>
      <c r="S81" s="185" t="e">
        <f t="shared" si="27"/>
        <v>#N/A</v>
      </c>
      <c r="T81" s="494"/>
      <c r="U81" s="185"/>
      <c r="V81" s="185"/>
      <c r="W81" s="185"/>
      <c r="X81" s="185" t="e">
        <f t="shared" si="28"/>
        <v>#N/A</v>
      </c>
      <c r="Y81" s="494"/>
      <c r="Z81" s="185"/>
      <c r="AA81" s="185"/>
      <c r="AB81" s="185"/>
      <c r="AC81" s="185" t="e">
        <f t="shared" si="29"/>
        <v>#N/A</v>
      </c>
      <c r="AD81" s="494"/>
      <c r="AE81" s="185"/>
      <c r="AF81" s="185"/>
      <c r="AG81" s="185"/>
      <c r="AH81" s="185" t="e">
        <f t="shared" si="30"/>
        <v>#N/A</v>
      </c>
      <c r="AI81" s="494"/>
      <c r="AJ81" s="185"/>
      <c r="AK81" s="185"/>
      <c r="AL81" s="185"/>
      <c r="AM81" s="185" t="e">
        <f t="shared" si="31"/>
        <v>#N/A</v>
      </c>
      <c r="AN81" s="494"/>
      <c r="AO81" s="185"/>
      <c r="AP81" s="185"/>
      <c r="AQ81" s="185"/>
      <c r="AR81" s="185" t="e">
        <f t="shared" si="32"/>
        <v>#N/A</v>
      </c>
      <c r="AS81" s="494"/>
      <c r="AT81" s="185"/>
      <c r="AU81" s="185"/>
      <c r="AV81" s="185"/>
      <c r="AW81" s="185" t="e">
        <f t="shared" si="33"/>
        <v>#N/A</v>
      </c>
      <c r="AX81" s="494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54" t="s">
        <v>271</v>
      </c>
      <c r="C87" s="185">
        <v>1</v>
      </c>
      <c r="D87" s="206"/>
      <c r="E87" s="169"/>
      <c r="F87" s="185"/>
      <c r="G87" s="183"/>
      <c r="H87" s="451" t="e">
        <f>AVERAGE(G87:G101)</f>
        <v>#DIV/0!</v>
      </c>
      <c r="I87" s="169" t="e">
        <f t="shared" ref="I87:K88" si="34">AVERAGE(P87,U87,Z87,AE87,AJ87,AO87,AT87)</f>
        <v>#DIV/0!</v>
      </c>
      <c r="J87" s="169" t="e">
        <f t="shared" si="34"/>
        <v>#DIV/0!</v>
      </c>
      <c r="K87" s="183" t="e">
        <f t="shared" si="34"/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69"/>
      <c r="R87" s="183"/>
      <c r="S87" s="185" t="e">
        <f>RANK(R87, R$87:R$101)</f>
        <v>#N/A</v>
      </c>
      <c r="T87" s="494" t="e">
        <f>AVERAGE(R87:R101)</f>
        <v>#DIV/0!</v>
      </c>
      <c r="U87" s="169"/>
      <c r="V87" s="169"/>
      <c r="W87" s="183"/>
      <c r="X87" s="185" t="e">
        <f>RANK(W87, W$87:W$101)</f>
        <v>#N/A</v>
      </c>
      <c r="Y87" s="494" t="e">
        <f>AVERAGE(W87:W101)</f>
        <v>#DIV/0!</v>
      </c>
      <c r="Z87" s="169"/>
      <c r="AA87" s="169"/>
      <c r="AB87" s="183"/>
      <c r="AC87" s="185" t="e">
        <f>RANK(AB87, AB$87:AB$101)</f>
        <v>#N/A</v>
      </c>
      <c r="AD87" s="494" t="e">
        <f>AVERAGE(AB87:AB101)</f>
        <v>#DIV/0!</v>
      </c>
      <c r="AE87" s="169"/>
      <c r="AF87" s="169"/>
      <c r="AG87" s="183"/>
      <c r="AH87" s="185" t="e">
        <f>RANK(AG87, AG$87:AG$101)</f>
        <v>#N/A</v>
      </c>
      <c r="AI87" s="494" t="e">
        <f>AVERAGE(AG87:AG101)</f>
        <v>#DIV/0!</v>
      </c>
      <c r="AJ87" s="169"/>
      <c r="AK87" s="169"/>
      <c r="AL87" s="183"/>
      <c r="AM87" s="185" t="e">
        <f>RANK(AL87, AL$87:AL$101)</f>
        <v>#N/A</v>
      </c>
      <c r="AN87" s="494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94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94" t="e">
        <f>AVERAGE(AV87:AV101)</f>
        <v>#DIV/0!</v>
      </c>
    </row>
    <row r="88" spans="2:50">
      <c r="B88" s="471"/>
      <c r="C88" s="185">
        <v>2</v>
      </c>
      <c r="D88" s="206"/>
      <c r="E88" s="169"/>
      <c r="F88" s="185"/>
      <c r="G88" s="183"/>
      <c r="H88" s="452"/>
      <c r="I88" s="169" t="e">
        <f t="shared" si="34"/>
        <v>#DIV/0!</v>
      </c>
      <c r="J88" s="169" t="e">
        <f t="shared" si="34"/>
        <v>#DIV/0!</v>
      </c>
      <c r="K88" s="183" t="e">
        <f t="shared" si="34"/>
        <v>#DIV/0!</v>
      </c>
      <c r="L88" s="452"/>
      <c r="M88" s="184" t="e">
        <f>RANK(K88, K$87:$K$101)</f>
        <v>#DIV/0!</v>
      </c>
      <c r="N88" s="454"/>
      <c r="O88" s="454"/>
      <c r="P88" s="185"/>
      <c r="Q88" s="169"/>
      <c r="R88" s="183"/>
      <c r="S88" s="185" t="e">
        <f t="shared" ref="S88:S101" si="35">RANK(R88, R$87:R$101)</f>
        <v>#N/A</v>
      </c>
      <c r="T88" s="494"/>
      <c r="U88" s="185"/>
      <c r="V88" s="169"/>
      <c r="W88" s="183"/>
      <c r="X88" s="185" t="e">
        <f t="shared" ref="X88:X101" si="36">RANK(W88, W$87:W$101)</f>
        <v>#N/A</v>
      </c>
      <c r="Y88" s="494"/>
      <c r="Z88" s="185"/>
      <c r="AA88" s="169"/>
      <c r="AB88" s="183"/>
      <c r="AC88" s="185" t="e">
        <f t="shared" ref="AC88:AC101" si="37">RANK(AB88, AB$87:AB$101)</f>
        <v>#N/A</v>
      </c>
      <c r="AD88" s="494"/>
      <c r="AE88" s="185"/>
      <c r="AF88" s="169"/>
      <c r="AG88" s="183"/>
      <c r="AH88" s="185" t="e">
        <f t="shared" ref="AH88:AH101" si="38">RANK(AG88, AG$87:AG$101)</f>
        <v>#N/A</v>
      </c>
      <c r="AI88" s="494"/>
      <c r="AJ88" s="185"/>
      <c r="AK88" s="169"/>
      <c r="AL88" s="183"/>
      <c r="AM88" s="185" t="e">
        <f t="shared" ref="AM88:AM101" si="39">RANK(AL88, AL$87:AL$101)</f>
        <v>#N/A</v>
      </c>
      <c r="AN88" s="494"/>
      <c r="AO88" s="185"/>
      <c r="AP88" s="169"/>
      <c r="AQ88" s="183"/>
      <c r="AR88" s="185" t="e">
        <f t="shared" ref="AR88:AR101" si="40">RANK(AQ88, AQ$87:AQ$101)</f>
        <v>#N/A</v>
      </c>
      <c r="AS88" s="494"/>
      <c r="AT88" s="185"/>
      <c r="AU88" s="169"/>
      <c r="AV88" s="183"/>
      <c r="AW88" s="185" t="e">
        <f t="shared" ref="AW88:AW101" si="41">RANK(AV88, AV$87:AV$101)</f>
        <v>#N/A</v>
      </c>
      <c r="AX88" s="494"/>
    </row>
    <row r="89" spans="2:50">
      <c r="B89" s="471"/>
      <c r="C89" s="185">
        <v>3</v>
      </c>
      <c r="D89" s="206"/>
      <c r="E89" s="169"/>
      <c r="F89" s="185"/>
      <c r="G89" s="183"/>
      <c r="H89" s="452"/>
      <c r="I89" s="169"/>
      <c r="J89" s="169"/>
      <c r="K89" s="183"/>
      <c r="L89" s="452"/>
      <c r="M89" s="184" t="e">
        <f>RANK(K89, K$87:$K$101)</f>
        <v>#DIV/0!</v>
      </c>
      <c r="N89" s="454"/>
      <c r="O89" s="454"/>
      <c r="P89" s="185"/>
      <c r="Q89" s="185"/>
      <c r="R89" s="185"/>
      <c r="S89" s="185" t="e">
        <f t="shared" si="35"/>
        <v>#N/A</v>
      </c>
      <c r="T89" s="494"/>
      <c r="U89" s="185"/>
      <c r="V89" s="185"/>
      <c r="W89" s="185"/>
      <c r="X89" s="185" t="e">
        <f t="shared" si="36"/>
        <v>#N/A</v>
      </c>
      <c r="Y89" s="494"/>
      <c r="Z89" s="185"/>
      <c r="AA89" s="185"/>
      <c r="AB89" s="185"/>
      <c r="AC89" s="185" t="e">
        <f t="shared" si="37"/>
        <v>#N/A</v>
      </c>
      <c r="AD89" s="494"/>
      <c r="AE89" s="185"/>
      <c r="AF89" s="185"/>
      <c r="AG89" s="185"/>
      <c r="AH89" s="185" t="e">
        <f t="shared" si="38"/>
        <v>#N/A</v>
      </c>
      <c r="AI89" s="494"/>
      <c r="AJ89" s="185"/>
      <c r="AK89" s="185"/>
      <c r="AL89" s="185"/>
      <c r="AM89" s="185" t="e">
        <f t="shared" si="39"/>
        <v>#N/A</v>
      </c>
      <c r="AN89" s="494"/>
      <c r="AO89" s="185"/>
      <c r="AP89" s="185"/>
      <c r="AQ89" s="185"/>
      <c r="AR89" s="185" t="e">
        <f t="shared" si="40"/>
        <v>#N/A</v>
      </c>
      <c r="AS89" s="494"/>
      <c r="AT89" s="185"/>
      <c r="AU89" s="185"/>
      <c r="AV89" s="185"/>
      <c r="AW89" s="185" t="e">
        <f t="shared" si="41"/>
        <v>#N/A</v>
      </c>
      <c r="AX89" s="494"/>
    </row>
    <row r="90" spans="2:50">
      <c r="B90" s="471"/>
      <c r="C90" s="185">
        <v>4</v>
      </c>
      <c r="D90" s="206"/>
      <c r="E90" s="169"/>
      <c r="F90" s="185"/>
      <c r="G90" s="183"/>
      <c r="H90" s="452"/>
      <c r="I90" s="169"/>
      <c r="J90" s="169"/>
      <c r="K90" s="183"/>
      <c r="L90" s="452"/>
      <c r="M90" s="184" t="e">
        <f>RANK(K90, K$87:$K$101)</f>
        <v>#DIV/0!</v>
      </c>
      <c r="N90" s="454"/>
      <c r="O90" s="454"/>
      <c r="P90" s="185"/>
      <c r="Q90" s="185"/>
      <c r="R90" s="185"/>
      <c r="S90" s="185" t="e">
        <f t="shared" si="35"/>
        <v>#N/A</v>
      </c>
      <c r="T90" s="494"/>
      <c r="U90" s="185"/>
      <c r="V90" s="185"/>
      <c r="W90" s="185"/>
      <c r="X90" s="185" t="e">
        <f t="shared" si="36"/>
        <v>#N/A</v>
      </c>
      <c r="Y90" s="494"/>
      <c r="Z90" s="185"/>
      <c r="AA90" s="185"/>
      <c r="AB90" s="185"/>
      <c r="AC90" s="185" t="e">
        <f t="shared" si="37"/>
        <v>#N/A</v>
      </c>
      <c r="AD90" s="494"/>
      <c r="AE90" s="185"/>
      <c r="AF90" s="185"/>
      <c r="AG90" s="185"/>
      <c r="AH90" s="185" t="e">
        <f t="shared" si="38"/>
        <v>#N/A</v>
      </c>
      <c r="AI90" s="494"/>
      <c r="AJ90" s="185"/>
      <c r="AK90" s="185"/>
      <c r="AL90" s="185"/>
      <c r="AM90" s="185" t="e">
        <f t="shared" si="39"/>
        <v>#N/A</v>
      </c>
      <c r="AN90" s="494"/>
      <c r="AO90" s="185"/>
      <c r="AP90" s="185"/>
      <c r="AQ90" s="185"/>
      <c r="AR90" s="185" t="e">
        <f t="shared" si="40"/>
        <v>#N/A</v>
      </c>
      <c r="AS90" s="494"/>
      <c r="AT90" s="185"/>
      <c r="AU90" s="185"/>
      <c r="AV90" s="185"/>
      <c r="AW90" s="185" t="e">
        <f t="shared" si="41"/>
        <v>#N/A</v>
      </c>
      <c r="AX90" s="494"/>
    </row>
    <row r="91" spans="2:50">
      <c r="B91" s="471"/>
      <c r="C91" s="185">
        <v>5</v>
      </c>
      <c r="D91" s="206"/>
      <c r="E91" s="169"/>
      <c r="F91" s="185"/>
      <c r="G91" s="183"/>
      <c r="H91" s="452"/>
      <c r="I91" s="169"/>
      <c r="J91" s="169"/>
      <c r="K91" s="183"/>
      <c r="L91" s="452"/>
      <c r="M91" s="184" t="e">
        <f>RANK(K91, K$87:$K$101)</f>
        <v>#DIV/0!</v>
      </c>
      <c r="N91" s="454"/>
      <c r="O91" s="454"/>
      <c r="P91" s="185"/>
      <c r="Q91" s="185"/>
      <c r="R91" s="185"/>
      <c r="S91" s="185" t="e">
        <f t="shared" si="35"/>
        <v>#N/A</v>
      </c>
      <c r="T91" s="494"/>
      <c r="U91" s="185"/>
      <c r="V91" s="185"/>
      <c r="W91" s="185"/>
      <c r="X91" s="185" t="e">
        <f t="shared" si="36"/>
        <v>#N/A</v>
      </c>
      <c r="Y91" s="494"/>
      <c r="Z91" s="185"/>
      <c r="AA91" s="185"/>
      <c r="AB91" s="185"/>
      <c r="AC91" s="185" t="e">
        <f t="shared" si="37"/>
        <v>#N/A</v>
      </c>
      <c r="AD91" s="494"/>
      <c r="AE91" s="185"/>
      <c r="AF91" s="185"/>
      <c r="AG91" s="185"/>
      <c r="AH91" s="185" t="e">
        <f t="shared" si="38"/>
        <v>#N/A</v>
      </c>
      <c r="AI91" s="494"/>
      <c r="AJ91" s="185"/>
      <c r="AK91" s="185"/>
      <c r="AL91" s="185"/>
      <c r="AM91" s="185" t="e">
        <f t="shared" si="39"/>
        <v>#N/A</v>
      </c>
      <c r="AN91" s="494"/>
      <c r="AO91" s="185"/>
      <c r="AP91" s="185"/>
      <c r="AQ91" s="185"/>
      <c r="AR91" s="185" t="e">
        <f t="shared" si="40"/>
        <v>#N/A</v>
      </c>
      <c r="AS91" s="494"/>
      <c r="AT91" s="185"/>
      <c r="AU91" s="185"/>
      <c r="AV91" s="185"/>
      <c r="AW91" s="185" t="e">
        <f t="shared" si="41"/>
        <v>#N/A</v>
      </c>
      <c r="AX91" s="494"/>
    </row>
    <row r="92" spans="2:50">
      <c r="B92" s="471"/>
      <c r="C92" s="185">
        <v>6</v>
      </c>
      <c r="D92" s="206"/>
      <c r="E92" s="169"/>
      <c r="F92" s="185"/>
      <c r="G92" s="183"/>
      <c r="H92" s="452"/>
      <c r="I92" s="169"/>
      <c r="J92" s="169"/>
      <c r="K92" s="183"/>
      <c r="L92" s="452"/>
      <c r="M92" s="184" t="e">
        <f>RANK(K92, K$87:$K$101)</f>
        <v>#DIV/0!</v>
      </c>
      <c r="N92" s="454"/>
      <c r="O92" s="454"/>
      <c r="P92" s="185"/>
      <c r="Q92" s="185"/>
      <c r="R92" s="185"/>
      <c r="S92" s="185" t="e">
        <f t="shared" si="35"/>
        <v>#N/A</v>
      </c>
      <c r="T92" s="494"/>
      <c r="U92" s="185"/>
      <c r="V92" s="185"/>
      <c r="W92" s="185"/>
      <c r="X92" s="185" t="e">
        <f t="shared" si="36"/>
        <v>#N/A</v>
      </c>
      <c r="Y92" s="494"/>
      <c r="Z92" s="185"/>
      <c r="AA92" s="185"/>
      <c r="AB92" s="185"/>
      <c r="AC92" s="185" t="e">
        <f t="shared" si="37"/>
        <v>#N/A</v>
      </c>
      <c r="AD92" s="494"/>
      <c r="AE92" s="185"/>
      <c r="AF92" s="185"/>
      <c r="AG92" s="185"/>
      <c r="AH92" s="185" t="e">
        <f t="shared" si="38"/>
        <v>#N/A</v>
      </c>
      <c r="AI92" s="494"/>
      <c r="AJ92" s="185"/>
      <c r="AK92" s="185"/>
      <c r="AL92" s="185"/>
      <c r="AM92" s="185" t="e">
        <f t="shared" si="39"/>
        <v>#N/A</v>
      </c>
      <c r="AN92" s="494"/>
      <c r="AO92" s="185"/>
      <c r="AP92" s="185"/>
      <c r="AQ92" s="185"/>
      <c r="AR92" s="185" t="e">
        <f t="shared" si="40"/>
        <v>#N/A</v>
      </c>
      <c r="AS92" s="494"/>
      <c r="AT92" s="185"/>
      <c r="AU92" s="185"/>
      <c r="AV92" s="185"/>
      <c r="AW92" s="185" t="e">
        <f t="shared" si="41"/>
        <v>#N/A</v>
      </c>
      <c r="AX92" s="494"/>
    </row>
    <row r="93" spans="2:50">
      <c r="B93" s="471"/>
      <c r="C93" s="185">
        <v>7</v>
      </c>
      <c r="D93" s="206"/>
      <c r="E93" s="169"/>
      <c r="F93" s="185"/>
      <c r="G93" s="183"/>
      <c r="H93" s="452"/>
      <c r="I93" s="169"/>
      <c r="J93" s="169"/>
      <c r="K93" s="183"/>
      <c r="L93" s="452"/>
      <c r="M93" s="184" t="e">
        <f>RANK(K93, K$87:$K$101)</f>
        <v>#DIV/0!</v>
      </c>
      <c r="N93" s="454"/>
      <c r="O93" s="454"/>
      <c r="P93" s="185"/>
      <c r="Q93" s="185"/>
      <c r="R93" s="185"/>
      <c r="S93" s="185" t="e">
        <f t="shared" si="35"/>
        <v>#N/A</v>
      </c>
      <c r="T93" s="494"/>
      <c r="U93" s="185"/>
      <c r="V93" s="185"/>
      <c r="W93" s="185"/>
      <c r="X93" s="185" t="e">
        <f t="shared" si="36"/>
        <v>#N/A</v>
      </c>
      <c r="Y93" s="494"/>
      <c r="Z93" s="185"/>
      <c r="AA93" s="185"/>
      <c r="AB93" s="185"/>
      <c r="AC93" s="185" t="e">
        <f t="shared" si="37"/>
        <v>#N/A</v>
      </c>
      <c r="AD93" s="494"/>
      <c r="AE93" s="185"/>
      <c r="AF93" s="185"/>
      <c r="AG93" s="185"/>
      <c r="AH93" s="185" t="e">
        <f t="shared" si="38"/>
        <v>#N/A</v>
      </c>
      <c r="AI93" s="494"/>
      <c r="AJ93" s="185"/>
      <c r="AK93" s="185"/>
      <c r="AL93" s="185"/>
      <c r="AM93" s="185" t="e">
        <f t="shared" si="39"/>
        <v>#N/A</v>
      </c>
      <c r="AN93" s="494"/>
      <c r="AO93" s="185"/>
      <c r="AP93" s="185"/>
      <c r="AQ93" s="185"/>
      <c r="AR93" s="185" t="e">
        <f t="shared" si="40"/>
        <v>#N/A</v>
      </c>
      <c r="AS93" s="494"/>
      <c r="AT93" s="185"/>
      <c r="AU93" s="185"/>
      <c r="AV93" s="185"/>
      <c r="AW93" s="185" t="e">
        <f t="shared" si="41"/>
        <v>#N/A</v>
      </c>
      <c r="AX93" s="494"/>
    </row>
    <row r="94" spans="2:50">
      <c r="B94" s="471"/>
      <c r="C94" s="185">
        <v>8</v>
      </c>
      <c r="D94" s="206"/>
      <c r="E94" s="169"/>
      <c r="F94" s="185"/>
      <c r="G94" s="183"/>
      <c r="H94" s="452"/>
      <c r="I94" s="169"/>
      <c r="J94" s="169"/>
      <c r="K94" s="183"/>
      <c r="L94" s="452"/>
      <c r="M94" s="184" t="e">
        <f>RANK(K94, K$87:$K$101)</f>
        <v>#DIV/0!</v>
      </c>
      <c r="N94" s="454"/>
      <c r="O94" s="454"/>
      <c r="P94" s="185"/>
      <c r="Q94" s="185"/>
      <c r="R94" s="185"/>
      <c r="S94" s="185" t="e">
        <f t="shared" si="35"/>
        <v>#N/A</v>
      </c>
      <c r="T94" s="494"/>
      <c r="U94" s="185"/>
      <c r="V94" s="185"/>
      <c r="W94" s="185"/>
      <c r="X94" s="185" t="e">
        <f t="shared" si="36"/>
        <v>#N/A</v>
      </c>
      <c r="Y94" s="494"/>
      <c r="Z94" s="185"/>
      <c r="AA94" s="185"/>
      <c r="AB94" s="185"/>
      <c r="AC94" s="185" t="e">
        <f t="shared" si="37"/>
        <v>#N/A</v>
      </c>
      <c r="AD94" s="494"/>
      <c r="AE94" s="185"/>
      <c r="AF94" s="185"/>
      <c r="AG94" s="185"/>
      <c r="AH94" s="185" t="e">
        <f t="shared" si="38"/>
        <v>#N/A</v>
      </c>
      <c r="AI94" s="494"/>
      <c r="AJ94" s="185"/>
      <c r="AK94" s="185"/>
      <c r="AL94" s="185"/>
      <c r="AM94" s="185" t="e">
        <f t="shared" si="39"/>
        <v>#N/A</v>
      </c>
      <c r="AN94" s="494"/>
      <c r="AO94" s="185"/>
      <c r="AP94" s="185"/>
      <c r="AQ94" s="185"/>
      <c r="AR94" s="185" t="e">
        <f t="shared" si="40"/>
        <v>#N/A</v>
      </c>
      <c r="AS94" s="494"/>
      <c r="AT94" s="185"/>
      <c r="AU94" s="185"/>
      <c r="AV94" s="185"/>
      <c r="AW94" s="185" t="e">
        <f t="shared" si="41"/>
        <v>#N/A</v>
      </c>
      <c r="AX94" s="494"/>
    </row>
    <row r="95" spans="2:50">
      <c r="B95" s="471"/>
      <c r="C95" s="185">
        <v>9</v>
      </c>
      <c r="D95" s="206"/>
      <c r="E95" s="169"/>
      <c r="F95" s="185"/>
      <c r="G95" s="183"/>
      <c r="H95" s="452"/>
      <c r="I95" s="169"/>
      <c r="J95" s="169"/>
      <c r="K95" s="183"/>
      <c r="L95" s="452"/>
      <c r="M95" s="184" t="e">
        <f>RANK(K95, K$87:$K$101)</f>
        <v>#DIV/0!</v>
      </c>
      <c r="N95" s="454"/>
      <c r="O95" s="454"/>
      <c r="P95" s="185"/>
      <c r="Q95" s="185"/>
      <c r="R95" s="185"/>
      <c r="S95" s="185" t="e">
        <f t="shared" si="35"/>
        <v>#N/A</v>
      </c>
      <c r="T95" s="494"/>
      <c r="U95" s="185"/>
      <c r="V95" s="185"/>
      <c r="W95" s="185"/>
      <c r="X95" s="185" t="e">
        <f t="shared" si="36"/>
        <v>#N/A</v>
      </c>
      <c r="Y95" s="494"/>
      <c r="Z95" s="185"/>
      <c r="AA95" s="185"/>
      <c r="AB95" s="185"/>
      <c r="AC95" s="185" t="e">
        <f t="shared" si="37"/>
        <v>#N/A</v>
      </c>
      <c r="AD95" s="494"/>
      <c r="AE95" s="185"/>
      <c r="AF95" s="185"/>
      <c r="AG95" s="185"/>
      <c r="AH95" s="185" t="e">
        <f t="shared" si="38"/>
        <v>#N/A</v>
      </c>
      <c r="AI95" s="494"/>
      <c r="AJ95" s="185"/>
      <c r="AK95" s="185"/>
      <c r="AL95" s="185"/>
      <c r="AM95" s="185" t="e">
        <f t="shared" si="39"/>
        <v>#N/A</v>
      </c>
      <c r="AN95" s="494"/>
      <c r="AO95" s="185"/>
      <c r="AP95" s="185"/>
      <c r="AQ95" s="185"/>
      <c r="AR95" s="185" t="e">
        <f t="shared" si="40"/>
        <v>#N/A</v>
      </c>
      <c r="AS95" s="494"/>
      <c r="AT95" s="185"/>
      <c r="AU95" s="185"/>
      <c r="AV95" s="185"/>
      <c r="AW95" s="185" t="e">
        <f t="shared" si="41"/>
        <v>#N/A</v>
      </c>
      <c r="AX95" s="494"/>
    </row>
    <row r="96" spans="2:50">
      <c r="B96" s="471"/>
      <c r="C96" s="185">
        <v>10</v>
      </c>
      <c r="D96" s="206"/>
      <c r="E96" s="169"/>
      <c r="F96" s="185"/>
      <c r="G96" s="183"/>
      <c r="H96" s="452"/>
      <c r="I96" s="169"/>
      <c r="J96" s="169"/>
      <c r="K96" s="183"/>
      <c r="L96" s="452"/>
      <c r="M96" s="184" t="e">
        <f>RANK(K96, K$87:$K$101)</f>
        <v>#DIV/0!</v>
      </c>
      <c r="N96" s="454"/>
      <c r="O96" s="454"/>
      <c r="P96" s="185"/>
      <c r="Q96" s="185"/>
      <c r="R96" s="185"/>
      <c r="S96" s="185" t="e">
        <f t="shared" si="35"/>
        <v>#N/A</v>
      </c>
      <c r="T96" s="494"/>
      <c r="U96" s="185"/>
      <c r="V96" s="185"/>
      <c r="W96" s="185"/>
      <c r="X96" s="185" t="e">
        <f t="shared" si="36"/>
        <v>#N/A</v>
      </c>
      <c r="Y96" s="494"/>
      <c r="Z96" s="185"/>
      <c r="AA96" s="185"/>
      <c r="AB96" s="185"/>
      <c r="AC96" s="185" t="e">
        <f t="shared" si="37"/>
        <v>#N/A</v>
      </c>
      <c r="AD96" s="494"/>
      <c r="AE96" s="185"/>
      <c r="AF96" s="185"/>
      <c r="AG96" s="185"/>
      <c r="AH96" s="185" t="e">
        <f t="shared" si="38"/>
        <v>#N/A</v>
      </c>
      <c r="AI96" s="494"/>
      <c r="AJ96" s="185"/>
      <c r="AK96" s="185"/>
      <c r="AL96" s="185"/>
      <c r="AM96" s="185" t="e">
        <f t="shared" si="39"/>
        <v>#N/A</v>
      </c>
      <c r="AN96" s="494"/>
      <c r="AO96" s="185"/>
      <c r="AP96" s="185"/>
      <c r="AQ96" s="185"/>
      <c r="AR96" s="185" t="e">
        <f t="shared" si="40"/>
        <v>#N/A</v>
      </c>
      <c r="AS96" s="494"/>
      <c r="AT96" s="185"/>
      <c r="AU96" s="185"/>
      <c r="AV96" s="185"/>
      <c r="AW96" s="185" t="e">
        <f t="shared" si="41"/>
        <v>#N/A</v>
      </c>
      <c r="AX96" s="494"/>
    </row>
    <row r="97" spans="2:50">
      <c r="B97" s="471"/>
      <c r="C97" s="185">
        <v>11</v>
      </c>
      <c r="D97" s="206"/>
      <c r="E97" s="169"/>
      <c r="F97" s="185"/>
      <c r="G97" s="183"/>
      <c r="H97" s="452"/>
      <c r="I97" s="185"/>
      <c r="J97" s="185"/>
      <c r="K97" s="185"/>
      <c r="L97" s="452"/>
      <c r="M97" s="184" t="e">
        <f>RANK(K97, K$87:$K$101)</f>
        <v>#DIV/0!</v>
      </c>
      <c r="N97" s="454"/>
      <c r="O97" s="454"/>
      <c r="P97" s="185"/>
      <c r="Q97" s="185"/>
      <c r="R97" s="185"/>
      <c r="S97" s="185" t="e">
        <f t="shared" si="35"/>
        <v>#N/A</v>
      </c>
      <c r="T97" s="494"/>
      <c r="U97" s="185"/>
      <c r="V97" s="185"/>
      <c r="W97" s="185"/>
      <c r="X97" s="185" t="e">
        <f t="shared" si="36"/>
        <v>#N/A</v>
      </c>
      <c r="Y97" s="494"/>
      <c r="Z97" s="185"/>
      <c r="AA97" s="185"/>
      <c r="AB97" s="185"/>
      <c r="AC97" s="185" t="e">
        <f t="shared" si="37"/>
        <v>#N/A</v>
      </c>
      <c r="AD97" s="494"/>
      <c r="AE97" s="185"/>
      <c r="AF97" s="185"/>
      <c r="AG97" s="185"/>
      <c r="AH97" s="185" t="e">
        <f t="shared" si="38"/>
        <v>#N/A</v>
      </c>
      <c r="AI97" s="494"/>
      <c r="AJ97" s="185"/>
      <c r="AK97" s="185"/>
      <c r="AL97" s="185"/>
      <c r="AM97" s="185" t="e">
        <f t="shared" si="39"/>
        <v>#N/A</v>
      </c>
      <c r="AN97" s="494"/>
      <c r="AO97" s="185"/>
      <c r="AP97" s="185"/>
      <c r="AQ97" s="185"/>
      <c r="AR97" s="185" t="e">
        <f t="shared" si="40"/>
        <v>#N/A</v>
      </c>
      <c r="AS97" s="494"/>
      <c r="AT97" s="185"/>
      <c r="AU97" s="185"/>
      <c r="AV97" s="185"/>
      <c r="AW97" s="185" t="e">
        <f t="shared" si="41"/>
        <v>#N/A</v>
      </c>
      <c r="AX97" s="494"/>
    </row>
    <row r="98" spans="2:50">
      <c r="B98" s="471"/>
      <c r="C98" s="185">
        <v>12</v>
      </c>
      <c r="D98" s="206"/>
      <c r="E98" s="169"/>
      <c r="F98" s="185"/>
      <c r="G98" s="183"/>
      <c r="H98" s="452"/>
      <c r="I98" s="185"/>
      <c r="J98" s="185"/>
      <c r="K98" s="185"/>
      <c r="L98" s="452"/>
      <c r="M98" s="184" t="e">
        <f>RANK(K98, K$87:$K$101)</f>
        <v>#DIV/0!</v>
      </c>
      <c r="N98" s="454"/>
      <c r="O98" s="454"/>
      <c r="P98" s="185"/>
      <c r="Q98" s="185"/>
      <c r="R98" s="185"/>
      <c r="S98" s="185" t="e">
        <f t="shared" si="35"/>
        <v>#N/A</v>
      </c>
      <c r="T98" s="494"/>
      <c r="U98" s="185"/>
      <c r="V98" s="185"/>
      <c r="W98" s="185"/>
      <c r="X98" s="185" t="e">
        <f t="shared" si="36"/>
        <v>#N/A</v>
      </c>
      <c r="Y98" s="494"/>
      <c r="Z98" s="185"/>
      <c r="AA98" s="185"/>
      <c r="AB98" s="185"/>
      <c r="AC98" s="185" t="e">
        <f t="shared" si="37"/>
        <v>#N/A</v>
      </c>
      <c r="AD98" s="494"/>
      <c r="AE98" s="185"/>
      <c r="AF98" s="185"/>
      <c r="AG98" s="185"/>
      <c r="AH98" s="185" t="e">
        <f t="shared" si="38"/>
        <v>#N/A</v>
      </c>
      <c r="AI98" s="494"/>
      <c r="AJ98" s="185"/>
      <c r="AK98" s="185"/>
      <c r="AL98" s="185"/>
      <c r="AM98" s="185" t="e">
        <f t="shared" si="39"/>
        <v>#N/A</v>
      </c>
      <c r="AN98" s="494"/>
      <c r="AO98" s="185"/>
      <c r="AP98" s="185"/>
      <c r="AQ98" s="185"/>
      <c r="AR98" s="185" t="e">
        <f t="shared" si="40"/>
        <v>#N/A</v>
      </c>
      <c r="AS98" s="494"/>
      <c r="AT98" s="185"/>
      <c r="AU98" s="185"/>
      <c r="AV98" s="185"/>
      <c r="AW98" s="185" t="e">
        <f t="shared" si="41"/>
        <v>#N/A</v>
      </c>
      <c r="AX98" s="494"/>
    </row>
    <row r="99" spans="2:50">
      <c r="B99" s="471"/>
      <c r="C99" s="185">
        <v>13</v>
      </c>
      <c r="D99" s="206"/>
      <c r="E99" s="169"/>
      <c r="F99" s="185"/>
      <c r="G99" s="183"/>
      <c r="H99" s="452"/>
      <c r="I99" s="185"/>
      <c r="J99" s="185"/>
      <c r="K99" s="185"/>
      <c r="L99" s="452"/>
      <c r="M99" s="184" t="e">
        <f>RANK(K99, K$87:$K$101)</f>
        <v>#DIV/0!</v>
      </c>
      <c r="N99" s="454"/>
      <c r="O99" s="454"/>
      <c r="P99" s="185"/>
      <c r="Q99" s="185"/>
      <c r="R99" s="185"/>
      <c r="S99" s="185" t="e">
        <f t="shared" si="35"/>
        <v>#N/A</v>
      </c>
      <c r="T99" s="494"/>
      <c r="U99" s="185"/>
      <c r="V99" s="185"/>
      <c r="W99" s="185"/>
      <c r="X99" s="185" t="e">
        <f t="shared" si="36"/>
        <v>#N/A</v>
      </c>
      <c r="Y99" s="494"/>
      <c r="Z99" s="185"/>
      <c r="AA99" s="185"/>
      <c r="AB99" s="185"/>
      <c r="AC99" s="185" t="e">
        <f t="shared" si="37"/>
        <v>#N/A</v>
      </c>
      <c r="AD99" s="494"/>
      <c r="AE99" s="185"/>
      <c r="AF99" s="185"/>
      <c r="AG99" s="185"/>
      <c r="AH99" s="185" t="e">
        <f t="shared" si="38"/>
        <v>#N/A</v>
      </c>
      <c r="AI99" s="494"/>
      <c r="AJ99" s="185"/>
      <c r="AK99" s="185"/>
      <c r="AL99" s="185"/>
      <c r="AM99" s="185" t="e">
        <f t="shared" si="39"/>
        <v>#N/A</v>
      </c>
      <c r="AN99" s="494"/>
      <c r="AO99" s="185"/>
      <c r="AP99" s="185"/>
      <c r="AQ99" s="185"/>
      <c r="AR99" s="185" t="e">
        <f t="shared" si="40"/>
        <v>#N/A</v>
      </c>
      <c r="AS99" s="494"/>
      <c r="AT99" s="185"/>
      <c r="AU99" s="185"/>
      <c r="AV99" s="185"/>
      <c r="AW99" s="185" t="e">
        <f t="shared" si="41"/>
        <v>#N/A</v>
      </c>
      <c r="AX99" s="494"/>
    </row>
    <row r="100" spans="2:50">
      <c r="B100" s="471"/>
      <c r="C100" s="185">
        <v>14</v>
      </c>
      <c r="D100" s="206"/>
      <c r="E100" s="169"/>
      <c r="F100" s="185"/>
      <c r="G100" s="183"/>
      <c r="H100" s="452"/>
      <c r="I100" s="185"/>
      <c r="J100" s="185"/>
      <c r="K100" s="185"/>
      <c r="L100" s="452"/>
      <c r="M100" s="184" t="e">
        <f>RANK(K100, K$87:$K$101)</f>
        <v>#DIV/0!</v>
      </c>
      <c r="N100" s="454"/>
      <c r="O100" s="454"/>
      <c r="P100" s="185"/>
      <c r="Q100" s="185"/>
      <c r="R100" s="185"/>
      <c r="S100" s="185" t="e">
        <f t="shared" si="35"/>
        <v>#N/A</v>
      </c>
      <c r="T100" s="494"/>
      <c r="U100" s="185"/>
      <c r="V100" s="185"/>
      <c r="W100" s="185"/>
      <c r="X100" s="185" t="e">
        <f t="shared" si="36"/>
        <v>#N/A</v>
      </c>
      <c r="Y100" s="494"/>
      <c r="Z100" s="185"/>
      <c r="AA100" s="185"/>
      <c r="AB100" s="185"/>
      <c r="AC100" s="185" t="e">
        <f t="shared" si="37"/>
        <v>#N/A</v>
      </c>
      <c r="AD100" s="494"/>
      <c r="AE100" s="185"/>
      <c r="AF100" s="185"/>
      <c r="AG100" s="185"/>
      <c r="AH100" s="185" t="e">
        <f t="shared" si="38"/>
        <v>#N/A</v>
      </c>
      <c r="AI100" s="494"/>
      <c r="AJ100" s="185"/>
      <c r="AK100" s="185"/>
      <c r="AL100" s="185"/>
      <c r="AM100" s="185" t="e">
        <f t="shared" si="39"/>
        <v>#N/A</v>
      </c>
      <c r="AN100" s="494"/>
      <c r="AO100" s="185"/>
      <c r="AP100" s="185"/>
      <c r="AQ100" s="185"/>
      <c r="AR100" s="185" t="e">
        <f t="shared" si="40"/>
        <v>#N/A</v>
      </c>
      <c r="AS100" s="494"/>
      <c r="AT100" s="185"/>
      <c r="AU100" s="185"/>
      <c r="AV100" s="185"/>
      <c r="AW100" s="185" t="e">
        <f t="shared" si="41"/>
        <v>#N/A</v>
      </c>
      <c r="AX100" s="494"/>
    </row>
    <row r="101" spans="2:50">
      <c r="B101" s="471"/>
      <c r="C101" s="185">
        <v>15</v>
      </c>
      <c r="D101" s="206"/>
      <c r="E101" s="169"/>
      <c r="F101" s="185"/>
      <c r="G101" s="183"/>
      <c r="H101" s="453"/>
      <c r="I101" s="185"/>
      <c r="J101" s="185"/>
      <c r="K101" s="185"/>
      <c r="L101" s="453"/>
      <c r="M101" s="169" t="e">
        <f>RANK(K101, K$87:$K$101)</f>
        <v>#DIV/0!</v>
      </c>
      <c r="N101" s="454"/>
      <c r="O101" s="454"/>
      <c r="P101" s="185"/>
      <c r="Q101" s="185"/>
      <c r="R101" s="185"/>
      <c r="S101" s="185" t="e">
        <f t="shared" si="35"/>
        <v>#N/A</v>
      </c>
      <c r="T101" s="494"/>
      <c r="U101" s="185"/>
      <c r="V101" s="185"/>
      <c r="W101" s="185"/>
      <c r="X101" s="185" t="e">
        <f t="shared" si="36"/>
        <v>#N/A</v>
      </c>
      <c r="Y101" s="494"/>
      <c r="Z101" s="185"/>
      <c r="AA101" s="185"/>
      <c r="AB101" s="185"/>
      <c r="AC101" s="185" t="e">
        <f t="shared" si="37"/>
        <v>#N/A</v>
      </c>
      <c r="AD101" s="494"/>
      <c r="AE101" s="185"/>
      <c r="AF101" s="185"/>
      <c r="AG101" s="185"/>
      <c r="AH101" s="185" t="e">
        <f t="shared" si="38"/>
        <v>#N/A</v>
      </c>
      <c r="AI101" s="494"/>
      <c r="AJ101" s="185"/>
      <c r="AK101" s="185"/>
      <c r="AL101" s="185"/>
      <c r="AM101" s="185" t="e">
        <f t="shared" si="39"/>
        <v>#N/A</v>
      </c>
      <c r="AN101" s="494"/>
      <c r="AO101" s="185"/>
      <c r="AP101" s="185"/>
      <c r="AQ101" s="185"/>
      <c r="AR101" s="185" t="e">
        <f t="shared" si="40"/>
        <v>#N/A</v>
      </c>
      <c r="AS101" s="494"/>
      <c r="AT101" s="185"/>
      <c r="AU101" s="185"/>
      <c r="AV101" s="185"/>
      <c r="AW101" s="185" t="e">
        <f t="shared" si="41"/>
        <v>#N/A</v>
      </c>
      <c r="AX101" s="494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54" t="s">
        <v>271</v>
      </c>
      <c r="C107" s="185">
        <v>1</v>
      </c>
      <c r="D107" s="206"/>
      <c r="E107" s="169"/>
      <c r="F107" s="185"/>
      <c r="G107" s="183"/>
      <c r="H107" s="451" t="e">
        <f>AVERAGE(G107:G121)</f>
        <v>#DIV/0!</v>
      </c>
      <c r="I107" s="169" t="e">
        <f t="shared" ref="I107:K108" si="42">AVERAGE(P107,U107,Z107,AE107,AJ107,AO107,AT107)</f>
        <v>#DIV/0!</v>
      </c>
      <c r="J107" s="169" t="e">
        <f t="shared" si="42"/>
        <v>#DIV/0!</v>
      </c>
      <c r="K107" s="183" t="e">
        <f t="shared" si="42"/>
        <v>#DIV/0!</v>
      </c>
      <c r="L107" s="451" t="str">
        <f>IFERROR(AVERAGE(K107:K121),"-")</f>
        <v>-</v>
      </c>
      <c r="M107" s="184" t="e">
        <f>RANK(K107, K$87:$K$101)</f>
        <v>#DIV/0!</v>
      </c>
      <c r="N107" s="454"/>
      <c r="O107" s="454"/>
      <c r="P107" s="169"/>
      <c r="Q107" s="169"/>
      <c r="R107" s="183"/>
      <c r="S107" s="185" t="e">
        <f>RANK(R107, R$107:R$121)</f>
        <v>#N/A</v>
      </c>
      <c r="T107" s="494" t="e">
        <f>AVERAGE(R107:R121)</f>
        <v>#DIV/0!</v>
      </c>
      <c r="U107" s="169"/>
      <c r="V107" s="169"/>
      <c r="W107" s="183"/>
      <c r="X107" s="185" t="e">
        <f>RANK(W107, W$107:W$121)</f>
        <v>#N/A</v>
      </c>
      <c r="Y107" s="494" t="e">
        <f>AVERAGE(W107:W121)</f>
        <v>#DIV/0!</v>
      </c>
      <c r="Z107" s="169"/>
      <c r="AA107" s="169"/>
      <c r="AB107" s="183"/>
      <c r="AC107" s="185" t="e">
        <f>RANK(AB107, AB$107:AB$121)</f>
        <v>#N/A</v>
      </c>
      <c r="AD107" s="494" t="e">
        <f>AVERAGE(AB107:AB121)</f>
        <v>#DIV/0!</v>
      </c>
      <c r="AE107" s="169"/>
      <c r="AF107" s="169"/>
      <c r="AG107" s="183"/>
      <c r="AH107" s="185" t="e">
        <f>RANK(AG107, AG$107:AG$121)</f>
        <v>#N/A</v>
      </c>
      <c r="AI107" s="494" t="e">
        <f>AVERAGE(AG107:AG121)</f>
        <v>#DIV/0!</v>
      </c>
      <c r="AJ107" s="169"/>
      <c r="AK107" s="169"/>
      <c r="AL107" s="183"/>
      <c r="AM107" s="185" t="e">
        <f>RANK(AL107, AL$107:AL$121)</f>
        <v>#N/A</v>
      </c>
      <c r="AN107" s="494" t="e">
        <f>AVERAGE(AL107:AL121)</f>
        <v>#DIV/0!</v>
      </c>
      <c r="AO107" s="169"/>
      <c r="AP107" s="169"/>
      <c r="AQ107" s="183"/>
      <c r="AR107" s="185" t="e">
        <f>RANK(AQ107, AQ$107:AQ$121)</f>
        <v>#N/A</v>
      </c>
      <c r="AS107" s="494" t="e">
        <f>AVERAGE(AQ107:AQ121)</f>
        <v>#DIV/0!</v>
      </c>
      <c r="AT107" s="169"/>
      <c r="AU107" s="169"/>
      <c r="AV107" s="183"/>
      <c r="AW107" s="185" t="e">
        <f>RANK(AV107, AV$107:AV$121)</f>
        <v>#N/A</v>
      </c>
      <c r="AX107" s="494" t="e">
        <f>AVERAGE(AV107:AV121)</f>
        <v>#DIV/0!</v>
      </c>
    </row>
    <row r="108" spans="2:50">
      <c r="B108" s="471"/>
      <c r="C108" s="185">
        <v>2</v>
      </c>
      <c r="D108" s="206"/>
      <c r="E108" s="169"/>
      <c r="F108" s="185"/>
      <c r="G108" s="183"/>
      <c r="H108" s="452"/>
      <c r="I108" s="169" t="e">
        <f t="shared" si="42"/>
        <v>#DIV/0!</v>
      </c>
      <c r="J108" s="169" t="e">
        <f t="shared" si="42"/>
        <v>#DIV/0!</v>
      </c>
      <c r="K108" s="183" t="e">
        <f t="shared" si="42"/>
        <v>#DIV/0!</v>
      </c>
      <c r="L108" s="452"/>
      <c r="M108" s="184" t="e">
        <f>RANK(K108, K$87:$K$101)</f>
        <v>#DIV/0!</v>
      </c>
      <c r="N108" s="454"/>
      <c r="O108" s="454"/>
      <c r="P108" s="185"/>
      <c r="Q108" s="169"/>
      <c r="R108" s="183"/>
      <c r="S108" s="185" t="e">
        <f t="shared" ref="S108:S121" si="43">RANK(R108, R$107:R$121)</f>
        <v>#N/A</v>
      </c>
      <c r="T108" s="494"/>
      <c r="U108" s="185"/>
      <c r="V108" s="169"/>
      <c r="W108" s="183"/>
      <c r="X108" s="185" t="e">
        <f t="shared" ref="X108:X121" si="44">RANK(W108, W$107:W$121)</f>
        <v>#N/A</v>
      </c>
      <c r="Y108" s="494"/>
      <c r="Z108" s="185"/>
      <c r="AA108" s="169"/>
      <c r="AB108" s="183"/>
      <c r="AC108" s="185" t="e">
        <f t="shared" ref="AC108:AC121" si="45">RANK(AB108, AB$107:AB$121)</f>
        <v>#N/A</v>
      </c>
      <c r="AD108" s="494"/>
      <c r="AE108" s="185"/>
      <c r="AF108" s="169"/>
      <c r="AG108" s="183"/>
      <c r="AH108" s="185" t="e">
        <f t="shared" ref="AH108:AH121" si="46">RANK(AG108, AG$107:AG$121)</f>
        <v>#N/A</v>
      </c>
      <c r="AI108" s="494"/>
      <c r="AJ108" s="185"/>
      <c r="AK108" s="169"/>
      <c r="AL108" s="183"/>
      <c r="AM108" s="185" t="e">
        <f t="shared" ref="AM108:AM121" si="47">RANK(AL108, AL$107:AL$121)</f>
        <v>#N/A</v>
      </c>
      <c r="AN108" s="494"/>
      <c r="AO108" s="185"/>
      <c r="AP108" s="169"/>
      <c r="AQ108" s="183"/>
      <c r="AR108" s="185" t="e">
        <f t="shared" ref="AR108:AR121" si="48">RANK(AQ108, AQ$107:AQ$121)</f>
        <v>#N/A</v>
      </c>
      <c r="AS108" s="494"/>
      <c r="AT108" s="185"/>
      <c r="AU108" s="169"/>
      <c r="AV108" s="183"/>
      <c r="AW108" s="185" t="e">
        <f t="shared" ref="AW108:AW121" si="49">RANK(AV108, AV$107:AV$121)</f>
        <v>#N/A</v>
      </c>
      <c r="AX108" s="494"/>
    </row>
    <row r="109" spans="2:50">
      <c r="B109" s="471"/>
      <c r="C109" s="185">
        <v>3</v>
      </c>
      <c r="D109" s="206"/>
      <c r="E109" s="169"/>
      <c r="F109" s="185"/>
      <c r="G109" s="183"/>
      <c r="H109" s="452"/>
      <c r="I109" s="169"/>
      <c r="J109" s="169"/>
      <c r="K109" s="183"/>
      <c r="L109" s="452"/>
      <c r="M109" s="184" t="e">
        <f>RANK(K109, K$87:$K$101)</f>
        <v>#DIV/0!</v>
      </c>
      <c r="N109" s="454"/>
      <c r="O109" s="454"/>
      <c r="P109" s="185"/>
      <c r="Q109" s="185"/>
      <c r="R109" s="185"/>
      <c r="S109" s="185" t="e">
        <f t="shared" si="43"/>
        <v>#N/A</v>
      </c>
      <c r="T109" s="494"/>
      <c r="U109" s="185"/>
      <c r="V109" s="185"/>
      <c r="W109" s="185"/>
      <c r="X109" s="185" t="e">
        <f t="shared" si="44"/>
        <v>#N/A</v>
      </c>
      <c r="Y109" s="494"/>
      <c r="Z109" s="185"/>
      <c r="AA109" s="185"/>
      <c r="AB109" s="185"/>
      <c r="AC109" s="185" t="e">
        <f t="shared" si="45"/>
        <v>#N/A</v>
      </c>
      <c r="AD109" s="494"/>
      <c r="AE109" s="185"/>
      <c r="AF109" s="185"/>
      <c r="AG109" s="185"/>
      <c r="AH109" s="185" t="e">
        <f t="shared" si="46"/>
        <v>#N/A</v>
      </c>
      <c r="AI109" s="494"/>
      <c r="AJ109" s="185"/>
      <c r="AK109" s="185"/>
      <c r="AL109" s="185"/>
      <c r="AM109" s="185" t="e">
        <f t="shared" si="47"/>
        <v>#N/A</v>
      </c>
      <c r="AN109" s="494"/>
      <c r="AO109" s="185"/>
      <c r="AP109" s="185"/>
      <c r="AQ109" s="185"/>
      <c r="AR109" s="185" t="e">
        <f t="shared" si="48"/>
        <v>#N/A</v>
      </c>
      <c r="AS109" s="494"/>
      <c r="AT109" s="185"/>
      <c r="AU109" s="185"/>
      <c r="AV109" s="185"/>
      <c r="AW109" s="185" t="e">
        <f t="shared" si="49"/>
        <v>#N/A</v>
      </c>
      <c r="AX109" s="494"/>
    </row>
    <row r="110" spans="2:50">
      <c r="B110" s="471"/>
      <c r="C110" s="185">
        <v>4</v>
      </c>
      <c r="D110" s="206"/>
      <c r="E110" s="169"/>
      <c r="F110" s="185"/>
      <c r="G110" s="183"/>
      <c r="H110" s="452"/>
      <c r="I110" s="169"/>
      <c r="J110" s="169"/>
      <c r="K110" s="183"/>
      <c r="L110" s="452"/>
      <c r="M110" s="184" t="e">
        <f>RANK(K110, K$87:$K$101)</f>
        <v>#DIV/0!</v>
      </c>
      <c r="N110" s="454"/>
      <c r="O110" s="454"/>
      <c r="P110" s="185"/>
      <c r="Q110" s="185"/>
      <c r="R110" s="185"/>
      <c r="S110" s="185" t="e">
        <f t="shared" si="43"/>
        <v>#N/A</v>
      </c>
      <c r="T110" s="494"/>
      <c r="U110" s="185"/>
      <c r="V110" s="185"/>
      <c r="W110" s="185"/>
      <c r="X110" s="185" t="e">
        <f t="shared" si="44"/>
        <v>#N/A</v>
      </c>
      <c r="Y110" s="494"/>
      <c r="Z110" s="185"/>
      <c r="AA110" s="185"/>
      <c r="AB110" s="185"/>
      <c r="AC110" s="185" t="e">
        <f t="shared" si="45"/>
        <v>#N/A</v>
      </c>
      <c r="AD110" s="494"/>
      <c r="AE110" s="185"/>
      <c r="AF110" s="185"/>
      <c r="AG110" s="185"/>
      <c r="AH110" s="185" t="e">
        <f t="shared" si="46"/>
        <v>#N/A</v>
      </c>
      <c r="AI110" s="494"/>
      <c r="AJ110" s="185"/>
      <c r="AK110" s="185"/>
      <c r="AL110" s="185"/>
      <c r="AM110" s="185" t="e">
        <f t="shared" si="47"/>
        <v>#N/A</v>
      </c>
      <c r="AN110" s="494"/>
      <c r="AO110" s="185"/>
      <c r="AP110" s="185"/>
      <c r="AQ110" s="185"/>
      <c r="AR110" s="185" t="e">
        <f t="shared" si="48"/>
        <v>#N/A</v>
      </c>
      <c r="AS110" s="494"/>
      <c r="AT110" s="185"/>
      <c r="AU110" s="185"/>
      <c r="AV110" s="185"/>
      <c r="AW110" s="185" t="e">
        <f t="shared" si="49"/>
        <v>#N/A</v>
      </c>
      <c r="AX110" s="494"/>
    </row>
    <row r="111" spans="2:50">
      <c r="B111" s="471"/>
      <c r="C111" s="185">
        <v>5</v>
      </c>
      <c r="D111" s="206"/>
      <c r="E111" s="169"/>
      <c r="F111" s="185"/>
      <c r="G111" s="183"/>
      <c r="H111" s="452"/>
      <c r="I111" s="169"/>
      <c r="J111" s="169"/>
      <c r="K111" s="183"/>
      <c r="L111" s="452"/>
      <c r="M111" s="184" t="e">
        <f>RANK(K111, K$87:$K$101)</f>
        <v>#DIV/0!</v>
      </c>
      <c r="N111" s="454"/>
      <c r="O111" s="454"/>
      <c r="P111" s="185"/>
      <c r="Q111" s="185"/>
      <c r="R111" s="185"/>
      <c r="S111" s="185" t="e">
        <f t="shared" si="43"/>
        <v>#N/A</v>
      </c>
      <c r="T111" s="494"/>
      <c r="U111" s="185"/>
      <c r="V111" s="185"/>
      <c r="W111" s="185"/>
      <c r="X111" s="185" t="e">
        <f t="shared" si="44"/>
        <v>#N/A</v>
      </c>
      <c r="Y111" s="494"/>
      <c r="Z111" s="185"/>
      <c r="AA111" s="185"/>
      <c r="AB111" s="185"/>
      <c r="AC111" s="185" t="e">
        <f t="shared" si="45"/>
        <v>#N/A</v>
      </c>
      <c r="AD111" s="494"/>
      <c r="AE111" s="185"/>
      <c r="AF111" s="185"/>
      <c r="AG111" s="185"/>
      <c r="AH111" s="185" t="e">
        <f t="shared" si="46"/>
        <v>#N/A</v>
      </c>
      <c r="AI111" s="494"/>
      <c r="AJ111" s="185"/>
      <c r="AK111" s="185"/>
      <c r="AL111" s="185"/>
      <c r="AM111" s="185" t="e">
        <f t="shared" si="47"/>
        <v>#N/A</v>
      </c>
      <c r="AN111" s="494"/>
      <c r="AO111" s="185"/>
      <c r="AP111" s="185"/>
      <c r="AQ111" s="185"/>
      <c r="AR111" s="185" t="e">
        <f t="shared" si="48"/>
        <v>#N/A</v>
      </c>
      <c r="AS111" s="494"/>
      <c r="AT111" s="185"/>
      <c r="AU111" s="185"/>
      <c r="AV111" s="185"/>
      <c r="AW111" s="185" t="e">
        <f t="shared" si="49"/>
        <v>#N/A</v>
      </c>
      <c r="AX111" s="494"/>
    </row>
    <row r="112" spans="2:50">
      <c r="B112" s="471"/>
      <c r="C112" s="185">
        <v>6</v>
      </c>
      <c r="D112" s="206"/>
      <c r="E112" s="169"/>
      <c r="F112" s="185"/>
      <c r="G112" s="183"/>
      <c r="H112" s="452"/>
      <c r="I112" s="169"/>
      <c r="J112" s="169"/>
      <c r="K112" s="183"/>
      <c r="L112" s="452"/>
      <c r="M112" s="184" t="e">
        <f>RANK(K112, K$87:$K$101)</f>
        <v>#DIV/0!</v>
      </c>
      <c r="N112" s="454"/>
      <c r="O112" s="454"/>
      <c r="P112" s="185"/>
      <c r="Q112" s="185"/>
      <c r="R112" s="185"/>
      <c r="S112" s="185" t="e">
        <f t="shared" si="43"/>
        <v>#N/A</v>
      </c>
      <c r="T112" s="494"/>
      <c r="U112" s="185"/>
      <c r="V112" s="185"/>
      <c r="W112" s="185"/>
      <c r="X112" s="185" t="e">
        <f t="shared" si="44"/>
        <v>#N/A</v>
      </c>
      <c r="Y112" s="494"/>
      <c r="Z112" s="185"/>
      <c r="AA112" s="185"/>
      <c r="AB112" s="185"/>
      <c r="AC112" s="185" t="e">
        <f t="shared" si="45"/>
        <v>#N/A</v>
      </c>
      <c r="AD112" s="494"/>
      <c r="AE112" s="185"/>
      <c r="AF112" s="185"/>
      <c r="AG112" s="185"/>
      <c r="AH112" s="185" t="e">
        <f t="shared" si="46"/>
        <v>#N/A</v>
      </c>
      <c r="AI112" s="494"/>
      <c r="AJ112" s="185"/>
      <c r="AK112" s="185"/>
      <c r="AL112" s="185"/>
      <c r="AM112" s="185" t="e">
        <f t="shared" si="47"/>
        <v>#N/A</v>
      </c>
      <c r="AN112" s="494"/>
      <c r="AO112" s="185"/>
      <c r="AP112" s="185"/>
      <c r="AQ112" s="185"/>
      <c r="AR112" s="185" t="e">
        <f t="shared" si="48"/>
        <v>#N/A</v>
      </c>
      <c r="AS112" s="494"/>
      <c r="AT112" s="185"/>
      <c r="AU112" s="185"/>
      <c r="AV112" s="185"/>
      <c r="AW112" s="185" t="e">
        <f t="shared" si="49"/>
        <v>#N/A</v>
      </c>
      <c r="AX112" s="494"/>
    </row>
    <row r="113" spans="2:50">
      <c r="B113" s="471"/>
      <c r="C113" s="185">
        <v>7</v>
      </c>
      <c r="D113" s="206"/>
      <c r="E113" s="169"/>
      <c r="F113" s="185"/>
      <c r="G113" s="183"/>
      <c r="H113" s="452"/>
      <c r="I113" s="169"/>
      <c r="J113" s="169"/>
      <c r="K113" s="183"/>
      <c r="L113" s="452"/>
      <c r="M113" s="184" t="e">
        <f>RANK(K113, K$87:$K$101)</f>
        <v>#DIV/0!</v>
      </c>
      <c r="N113" s="454"/>
      <c r="O113" s="454"/>
      <c r="P113" s="185"/>
      <c r="Q113" s="185"/>
      <c r="R113" s="185"/>
      <c r="S113" s="185" t="e">
        <f t="shared" si="43"/>
        <v>#N/A</v>
      </c>
      <c r="T113" s="494"/>
      <c r="U113" s="185"/>
      <c r="V113" s="185"/>
      <c r="W113" s="185"/>
      <c r="X113" s="185" t="e">
        <f t="shared" si="44"/>
        <v>#N/A</v>
      </c>
      <c r="Y113" s="494"/>
      <c r="Z113" s="185"/>
      <c r="AA113" s="185"/>
      <c r="AB113" s="185"/>
      <c r="AC113" s="185" t="e">
        <f t="shared" si="45"/>
        <v>#N/A</v>
      </c>
      <c r="AD113" s="494"/>
      <c r="AE113" s="185"/>
      <c r="AF113" s="185"/>
      <c r="AG113" s="185"/>
      <c r="AH113" s="185" t="e">
        <f t="shared" si="46"/>
        <v>#N/A</v>
      </c>
      <c r="AI113" s="494"/>
      <c r="AJ113" s="185"/>
      <c r="AK113" s="185"/>
      <c r="AL113" s="185"/>
      <c r="AM113" s="185" t="e">
        <f t="shared" si="47"/>
        <v>#N/A</v>
      </c>
      <c r="AN113" s="494"/>
      <c r="AO113" s="185"/>
      <c r="AP113" s="185"/>
      <c r="AQ113" s="185"/>
      <c r="AR113" s="185" t="e">
        <f t="shared" si="48"/>
        <v>#N/A</v>
      </c>
      <c r="AS113" s="494"/>
      <c r="AT113" s="185"/>
      <c r="AU113" s="185"/>
      <c r="AV113" s="185"/>
      <c r="AW113" s="185" t="e">
        <f t="shared" si="49"/>
        <v>#N/A</v>
      </c>
      <c r="AX113" s="494"/>
    </row>
    <row r="114" spans="2:50">
      <c r="B114" s="471"/>
      <c r="C114" s="185">
        <v>8</v>
      </c>
      <c r="D114" s="206"/>
      <c r="E114" s="169"/>
      <c r="F114" s="185"/>
      <c r="G114" s="183"/>
      <c r="H114" s="452"/>
      <c r="I114" s="169"/>
      <c r="J114" s="169"/>
      <c r="K114" s="183"/>
      <c r="L114" s="452"/>
      <c r="M114" s="184" t="e">
        <f>RANK(K114, K$87:$K$101)</f>
        <v>#DIV/0!</v>
      </c>
      <c r="N114" s="454"/>
      <c r="O114" s="454"/>
      <c r="P114" s="185"/>
      <c r="Q114" s="185"/>
      <c r="R114" s="185"/>
      <c r="S114" s="185" t="e">
        <f t="shared" si="43"/>
        <v>#N/A</v>
      </c>
      <c r="T114" s="494"/>
      <c r="U114" s="185"/>
      <c r="V114" s="185"/>
      <c r="W114" s="185"/>
      <c r="X114" s="185" t="e">
        <f t="shared" si="44"/>
        <v>#N/A</v>
      </c>
      <c r="Y114" s="494"/>
      <c r="Z114" s="185"/>
      <c r="AA114" s="185"/>
      <c r="AB114" s="185"/>
      <c r="AC114" s="185" t="e">
        <f t="shared" si="45"/>
        <v>#N/A</v>
      </c>
      <c r="AD114" s="494"/>
      <c r="AE114" s="185"/>
      <c r="AF114" s="185"/>
      <c r="AG114" s="185"/>
      <c r="AH114" s="185" t="e">
        <f t="shared" si="46"/>
        <v>#N/A</v>
      </c>
      <c r="AI114" s="494"/>
      <c r="AJ114" s="185"/>
      <c r="AK114" s="185"/>
      <c r="AL114" s="185"/>
      <c r="AM114" s="185" t="e">
        <f t="shared" si="47"/>
        <v>#N/A</v>
      </c>
      <c r="AN114" s="494"/>
      <c r="AO114" s="185"/>
      <c r="AP114" s="185"/>
      <c r="AQ114" s="185"/>
      <c r="AR114" s="185" t="e">
        <f t="shared" si="48"/>
        <v>#N/A</v>
      </c>
      <c r="AS114" s="494"/>
      <c r="AT114" s="185"/>
      <c r="AU114" s="185"/>
      <c r="AV114" s="185"/>
      <c r="AW114" s="185" t="e">
        <f t="shared" si="49"/>
        <v>#N/A</v>
      </c>
      <c r="AX114" s="494"/>
    </row>
    <row r="115" spans="2:50">
      <c r="B115" s="471"/>
      <c r="C115" s="185">
        <v>9</v>
      </c>
      <c r="D115" s="206"/>
      <c r="E115" s="169"/>
      <c r="F115" s="185"/>
      <c r="G115" s="183"/>
      <c r="H115" s="452"/>
      <c r="I115" s="169"/>
      <c r="J115" s="169"/>
      <c r="K115" s="183"/>
      <c r="L115" s="452"/>
      <c r="M115" s="184" t="e">
        <f>RANK(K115, K$87:$K$101)</f>
        <v>#DIV/0!</v>
      </c>
      <c r="N115" s="454"/>
      <c r="O115" s="454"/>
      <c r="P115" s="185"/>
      <c r="Q115" s="185"/>
      <c r="R115" s="185"/>
      <c r="S115" s="185" t="e">
        <f t="shared" si="43"/>
        <v>#N/A</v>
      </c>
      <c r="T115" s="494"/>
      <c r="U115" s="185"/>
      <c r="V115" s="185"/>
      <c r="W115" s="185"/>
      <c r="X115" s="185" t="e">
        <f t="shared" si="44"/>
        <v>#N/A</v>
      </c>
      <c r="Y115" s="494"/>
      <c r="Z115" s="185"/>
      <c r="AA115" s="185"/>
      <c r="AB115" s="185"/>
      <c r="AC115" s="185" t="e">
        <f t="shared" si="45"/>
        <v>#N/A</v>
      </c>
      <c r="AD115" s="494"/>
      <c r="AE115" s="185"/>
      <c r="AF115" s="185"/>
      <c r="AG115" s="185"/>
      <c r="AH115" s="185" t="e">
        <f t="shared" si="46"/>
        <v>#N/A</v>
      </c>
      <c r="AI115" s="494"/>
      <c r="AJ115" s="185"/>
      <c r="AK115" s="185"/>
      <c r="AL115" s="185"/>
      <c r="AM115" s="185" t="e">
        <f t="shared" si="47"/>
        <v>#N/A</v>
      </c>
      <c r="AN115" s="494"/>
      <c r="AO115" s="185"/>
      <c r="AP115" s="185"/>
      <c r="AQ115" s="185"/>
      <c r="AR115" s="185" t="e">
        <f t="shared" si="48"/>
        <v>#N/A</v>
      </c>
      <c r="AS115" s="494"/>
      <c r="AT115" s="185"/>
      <c r="AU115" s="185"/>
      <c r="AV115" s="185"/>
      <c r="AW115" s="185" t="e">
        <f t="shared" si="49"/>
        <v>#N/A</v>
      </c>
      <c r="AX115" s="494"/>
    </row>
    <row r="116" spans="2:50">
      <c r="B116" s="471"/>
      <c r="C116" s="185">
        <v>10</v>
      </c>
      <c r="D116" s="206"/>
      <c r="E116" s="169"/>
      <c r="F116" s="185"/>
      <c r="G116" s="183"/>
      <c r="H116" s="452"/>
      <c r="I116" s="169"/>
      <c r="J116" s="169"/>
      <c r="K116" s="183"/>
      <c r="L116" s="452"/>
      <c r="M116" s="184" t="e">
        <f>RANK(K116, K$87:$K$101)</f>
        <v>#DIV/0!</v>
      </c>
      <c r="N116" s="454"/>
      <c r="O116" s="454"/>
      <c r="P116" s="185"/>
      <c r="Q116" s="185"/>
      <c r="R116" s="185"/>
      <c r="S116" s="185" t="e">
        <f t="shared" si="43"/>
        <v>#N/A</v>
      </c>
      <c r="T116" s="494"/>
      <c r="U116" s="185"/>
      <c r="V116" s="185"/>
      <c r="W116" s="185"/>
      <c r="X116" s="185" t="e">
        <f t="shared" si="44"/>
        <v>#N/A</v>
      </c>
      <c r="Y116" s="494"/>
      <c r="Z116" s="185"/>
      <c r="AA116" s="185"/>
      <c r="AB116" s="185"/>
      <c r="AC116" s="185" t="e">
        <f t="shared" si="45"/>
        <v>#N/A</v>
      </c>
      <c r="AD116" s="494"/>
      <c r="AE116" s="185"/>
      <c r="AF116" s="185"/>
      <c r="AG116" s="185"/>
      <c r="AH116" s="185" t="e">
        <f t="shared" si="46"/>
        <v>#N/A</v>
      </c>
      <c r="AI116" s="494"/>
      <c r="AJ116" s="185"/>
      <c r="AK116" s="185"/>
      <c r="AL116" s="185"/>
      <c r="AM116" s="185" t="e">
        <f t="shared" si="47"/>
        <v>#N/A</v>
      </c>
      <c r="AN116" s="494"/>
      <c r="AO116" s="185"/>
      <c r="AP116" s="185"/>
      <c r="AQ116" s="185"/>
      <c r="AR116" s="185" t="e">
        <f t="shared" si="48"/>
        <v>#N/A</v>
      </c>
      <c r="AS116" s="494"/>
      <c r="AT116" s="185"/>
      <c r="AU116" s="185"/>
      <c r="AV116" s="185"/>
      <c r="AW116" s="185" t="e">
        <f t="shared" si="49"/>
        <v>#N/A</v>
      </c>
      <c r="AX116" s="494"/>
    </row>
    <row r="117" spans="2:50">
      <c r="B117" s="471"/>
      <c r="C117" s="185">
        <v>11</v>
      </c>
      <c r="D117" s="206"/>
      <c r="E117" s="169"/>
      <c r="F117" s="185"/>
      <c r="G117" s="183"/>
      <c r="H117" s="452"/>
      <c r="I117" s="185"/>
      <c r="J117" s="185"/>
      <c r="K117" s="185"/>
      <c r="L117" s="452"/>
      <c r="M117" s="184" t="e">
        <f>RANK(K117, K$87:$K$101)</f>
        <v>#DIV/0!</v>
      </c>
      <c r="N117" s="454"/>
      <c r="O117" s="454"/>
      <c r="P117" s="185"/>
      <c r="Q117" s="185"/>
      <c r="R117" s="185"/>
      <c r="S117" s="185" t="e">
        <f t="shared" si="43"/>
        <v>#N/A</v>
      </c>
      <c r="T117" s="494"/>
      <c r="U117" s="185"/>
      <c r="V117" s="185"/>
      <c r="W117" s="185"/>
      <c r="X117" s="185" t="e">
        <f t="shared" si="44"/>
        <v>#N/A</v>
      </c>
      <c r="Y117" s="494"/>
      <c r="Z117" s="185"/>
      <c r="AA117" s="185"/>
      <c r="AB117" s="185"/>
      <c r="AC117" s="185" t="e">
        <f t="shared" si="45"/>
        <v>#N/A</v>
      </c>
      <c r="AD117" s="494"/>
      <c r="AE117" s="185"/>
      <c r="AF117" s="185"/>
      <c r="AG117" s="185"/>
      <c r="AH117" s="185" t="e">
        <f t="shared" si="46"/>
        <v>#N/A</v>
      </c>
      <c r="AI117" s="494"/>
      <c r="AJ117" s="185"/>
      <c r="AK117" s="185"/>
      <c r="AL117" s="185"/>
      <c r="AM117" s="185" t="e">
        <f t="shared" si="47"/>
        <v>#N/A</v>
      </c>
      <c r="AN117" s="494"/>
      <c r="AO117" s="185"/>
      <c r="AP117" s="185"/>
      <c r="AQ117" s="185"/>
      <c r="AR117" s="185" t="e">
        <f t="shared" si="48"/>
        <v>#N/A</v>
      </c>
      <c r="AS117" s="494"/>
      <c r="AT117" s="185"/>
      <c r="AU117" s="185"/>
      <c r="AV117" s="185"/>
      <c r="AW117" s="185" t="e">
        <f t="shared" si="49"/>
        <v>#N/A</v>
      </c>
      <c r="AX117" s="494"/>
    </row>
    <row r="118" spans="2:50">
      <c r="B118" s="471"/>
      <c r="C118" s="185">
        <v>12</v>
      </c>
      <c r="D118" s="206"/>
      <c r="E118" s="169"/>
      <c r="F118" s="185"/>
      <c r="G118" s="183"/>
      <c r="H118" s="452"/>
      <c r="I118" s="185"/>
      <c r="J118" s="185"/>
      <c r="K118" s="185"/>
      <c r="L118" s="452"/>
      <c r="M118" s="184" t="e">
        <f>RANK(K118, K$87:$K$101)</f>
        <v>#DIV/0!</v>
      </c>
      <c r="N118" s="454"/>
      <c r="O118" s="454"/>
      <c r="P118" s="185"/>
      <c r="Q118" s="185"/>
      <c r="R118" s="185"/>
      <c r="S118" s="185" t="e">
        <f t="shared" si="43"/>
        <v>#N/A</v>
      </c>
      <c r="T118" s="494"/>
      <c r="U118" s="185"/>
      <c r="V118" s="185"/>
      <c r="W118" s="185"/>
      <c r="X118" s="185" t="e">
        <f t="shared" si="44"/>
        <v>#N/A</v>
      </c>
      <c r="Y118" s="494"/>
      <c r="Z118" s="185"/>
      <c r="AA118" s="185"/>
      <c r="AB118" s="185"/>
      <c r="AC118" s="185" t="e">
        <f t="shared" si="45"/>
        <v>#N/A</v>
      </c>
      <c r="AD118" s="494"/>
      <c r="AE118" s="185"/>
      <c r="AF118" s="185"/>
      <c r="AG118" s="185"/>
      <c r="AH118" s="185" t="e">
        <f t="shared" si="46"/>
        <v>#N/A</v>
      </c>
      <c r="AI118" s="494"/>
      <c r="AJ118" s="185"/>
      <c r="AK118" s="185"/>
      <c r="AL118" s="185"/>
      <c r="AM118" s="185" t="e">
        <f t="shared" si="47"/>
        <v>#N/A</v>
      </c>
      <c r="AN118" s="494"/>
      <c r="AO118" s="185"/>
      <c r="AP118" s="185"/>
      <c r="AQ118" s="185"/>
      <c r="AR118" s="185" t="e">
        <f t="shared" si="48"/>
        <v>#N/A</v>
      </c>
      <c r="AS118" s="494"/>
      <c r="AT118" s="185"/>
      <c r="AU118" s="185"/>
      <c r="AV118" s="185"/>
      <c r="AW118" s="185" t="e">
        <f t="shared" si="49"/>
        <v>#N/A</v>
      </c>
      <c r="AX118" s="494"/>
    </row>
    <row r="119" spans="2:50">
      <c r="B119" s="471"/>
      <c r="C119" s="185">
        <v>13</v>
      </c>
      <c r="D119" s="206"/>
      <c r="E119" s="169"/>
      <c r="F119" s="185"/>
      <c r="G119" s="183"/>
      <c r="H119" s="452"/>
      <c r="I119" s="185"/>
      <c r="J119" s="185"/>
      <c r="K119" s="185"/>
      <c r="L119" s="452"/>
      <c r="M119" s="184" t="e">
        <f>RANK(K119, K$87:$K$101)</f>
        <v>#DIV/0!</v>
      </c>
      <c r="N119" s="454"/>
      <c r="O119" s="454"/>
      <c r="P119" s="185"/>
      <c r="Q119" s="185"/>
      <c r="R119" s="185"/>
      <c r="S119" s="185" t="e">
        <f t="shared" si="43"/>
        <v>#N/A</v>
      </c>
      <c r="T119" s="494"/>
      <c r="U119" s="185"/>
      <c r="V119" s="185"/>
      <c r="W119" s="185"/>
      <c r="X119" s="185" t="e">
        <f t="shared" si="44"/>
        <v>#N/A</v>
      </c>
      <c r="Y119" s="494"/>
      <c r="Z119" s="185"/>
      <c r="AA119" s="185"/>
      <c r="AB119" s="185"/>
      <c r="AC119" s="185" t="e">
        <f t="shared" si="45"/>
        <v>#N/A</v>
      </c>
      <c r="AD119" s="494"/>
      <c r="AE119" s="185"/>
      <c r="AF119" s="185"/>
      <c r="AG119" s="185"/>
      <c r="AH119" s="185" t="e">
        <f t="shared" si="46"/>
        <v>#N/A</v>
      </c>
      <c r="AI119" s="494"/>
      <c r="AJ119" s="185"/>
      <c r="AK119" s="185"/>
      <c r="AL119" s="185"/>
      <c r="AM119" s="185" t="e">
        <f t="shared" si="47"/>
        <v>#N/A</v>
      </c>
      <c r="AN119" s="494"/>
      <c r="AO119" s="185"/>
      <c r="AP119" s="185"/>
      <c r="AQ119" s="185"/>
      <c r="AR119" s="185" t="e">
        <f t="shared" si="48"/>
        <v>#N/A</v>
      </c>
      <c r="AS119" s="494"/>
      <c r="AT119" s="185"/>
      <c r="AU119" s="185"/>
      <c r="AV119" s="185"/>
      <c r="AW119" s="185" t="e">
        <f t="shared" si="49"/>
        <v>#N/A</v>
      </c>
      <c r="AX119" s="494"/>
    </row>
    <row r="120" spans="2:50">
      <c r="B120" s="471"/>
      <c r="C120" s="185">
        <v>14</v>
      </c>
      <c r="D120" s="206"/>
      <c r="E120" s="169"/>
      <c r="F120" s="185"/>
      <c r="G120" s="183"/>
      <c r="H120" s="452"/>
      <c r="I120" s="185"/>
      <c r="J120" s="185"/>
      <c r="K120" s="185"/>
      <c r="L120" s="452"/>
      <c r="M120" s="184" t="e">
        <f>RANK(K120, K$87:$K$101)</f>
        <v>#DIV/0!</v>
      </c>
      <c r="N120" s="454"/>
      <c r="O120" s="454"/>
      <c r="P120" s="185"/>
      <c r="Q120" s="185"/>
      <c r="R120" s="185"/>
      <c r="S120" s="185" t="e">
        <f t="shared" si="43"/>
        <v>#N/A</v>
      </c>
      <c r="T120" s="494"/>
      <c r="U120" s="185"/>
      <c r="V120" s="185"/>
      <c r="W120" s="185"/>
      <c r="X120" s="185" t="e">
        <f t="shared" si="44"/>
        <v>#N/A</v>
      </c>
      <c r="Y120" s="494"/>
      <c r="Z120" s="185"/>
      <c r="AA120" s="185"/>
      <c r="AB120" s="185"/>
      <c r="AC120" s="185" t="e">
        <f t="shared" si="45"/>
        <v>#N/A</v>
      </c>
      <c r="AD120" s="494"/>
      <c r="AE120" s="185"/>
      <c r="AF120" s="185"/>
      <c r="AG120" s="185"/>
      <c r="AH120" s="185" t="e">
        <f t="shared" si="46"/>
        <v>#N/A</v>
      </c>
      <c r="AI120" s="494"/>
      <c r="AJ120" s="185"/>
      <c r="AK120" s="185"/>
      <c r="AL120" s="185"/>
      <c r="AM120" s="185" t="e">
        <f t="shared" si="47"/>
        <v>#N/A</v>
      </c>
      <c r="AN120" s="494"/>
      <c r="AO120" s="185"/>
      <c r="AP120" s="185"/>
      <c r="AQ120" s="185"/>
      <c r="AR120" s="185" t="e">
        <f t="shared" si="48"/>
        <v>#N/A</v>
      </c>
      <c r="AS120" s="494"/>
      <c r="AT120" s="185"/>
      <c r="AU120" s="185"/>
      <c r="AV120" s="185"/>
      <c r="AW120" s="185" t="e">
        <f t="shared" si="49"/>
        <v>#N/A</v>
      </c>
      <c r="AX120" s="494"/>
    </row>
    <row r="121" spans="2:50">
      <c r="B121" s="471"/>
      <c r="C121" s="185">
        <v>15</v>
      </c>
      <c r="D121" s="206"/>
      <c r="E121" s="169"/>
      <c r="F121" s="185"/>
      <c r="G121" s="183"/>
      <c r="H121" s="453"/>
      <c r="I121" s="185"/>
      <c r="J121" s="185"/>
      <c r="K121" s="185"/>
      <c r="L121" s="453"/>
      <c r="M121" s="169" t="e">
        <f>RANK(K121, K$87:$K$101)</f>
        <v>#DIV/0!</v>
      </c>
      <c r="N121" s="454"/>
      <c r="O121" s="454"/>
      <c r="P121" s="185"/>
      <c r="Q121" s="185"/>
      <c r="R121" s="185"/>
      <c r="S121" s="185" t="e">
        <f t="shared" si="43"/>
        <v>#N/A</v>
      </c>
      <c r="T121" s="494"/>
      <c r="U121" s="185"/>
      <c r="V121" s="185"/>
      <c r="W121" s="185"/>
      <c r="X121" s="185" t="e">
        <f t="shared" si="44"/>
        <v>#N/A</v>
      </c>
      <c r="Y121" s="494"/>
      <c r="Z121" s="185"/>
      <c r="AA121" s="185"/>
      <c r="AB121" s="185"/>
      <c r="AC121" s="185" t="e">
        <f t="shared" si="45"/>
        <v>#N/A</v>
      </c>
      <c r="AD121" s="494"/>
      <c r="AE121" s="185"/>
      <c r="AF121" s="185"/>
      <c r="AG121" s="185"/>
      <c r="AH121" s="185" t="e">
        <f t="shared" si="46"/>
        <v>#N/A</v>
      </c>
      <c r="AI121" s="494"/>
      <c r="AJ121" s="185"/>
      <c r="AK121" s="185"/>
      <c r="AL121" s="185"/>
      <c r="AM121" s="185" t="e">
        <f t="shared" si="47"/>
        <v>#N/A</v>
      </c>
      <c r="AN121" s="494"/>
      <c r="AO121" s="185"/>
      <c r="AP121" s="185"/>
      <c r="AQ121" s="185"/>
      <c r="AR121" s="185" t="e">
        <f t="shared" si="48"/>
        <v>#N/A</v>
      </c>
      <c r="AS121" s="494"/>
      <c r="AT121" s="185"/>
      <c r="AU121" s="185"/>
      <c r="AV121" s="185"/>
      <c r="AW121" s="185" t="e">
        <f t="shared" si="49"/>
        <v>#N/A</v>
      </c>
      <c r="AX121" s="494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54" t="s">
        <v>271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J128" si="50">AVERAGEIF($D$7:$D$121,$D128,I$7:I$121)</f>
        <v>#DIV/0!</v>
      </c>
      <c r="J128" s="169" t="e">
        <f t="shared" si="50"/>
        <v>#DIV/0!</v>
      </c>
      <c r="K128" s="169" t="e">
        <f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/>
      <c r="J129" s="169"/>
      <c r="K129" s="169"/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/>
      <c r="J130" s="169"/>
      <c r="K130" s="169"/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/>
      <c r="J131" s="169"/>
      <c r="K131" s="169"/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/>
      <c r="J132" s="169"/>
      <c r="K132" s="169"/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/>
      <c r="J133" s="169"/>
      <c r="K133" s="169"/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/>
      <c r="J134" s="169"/>
      <c r="K134" s="169"/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/>
      <c r="J135" s="169"/>
      <c r="K135" s="169"/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/>
      <c r="J136" s="169"/>
      <c r="K136" s="169"/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/>
      <c r="J137" s="169"/>
      <c r="K137" s="169"/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/>
      <c r="J138" s="169"/>
      <c r="K138" s="169"/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41" zoomScale="70" zoomScaleNormal="70" workbookViewId="0">
      <pane xSplit="15" topLeftCell="AC1" activePane="topRight" state="frozen"/>
      <selection pane="topRight" activeCell="AU65" sqref="AU65"/>
      <selection activeCell="S7" sqref="S7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AVERAGE(L7,L42,L77,L112,L147,L182)</f>
        <v>87.919974845735311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67">
        <v>45958</v>
      </c>
      <c r="Q2" s="468"/>
      <c r="R2" s="468"/>
      <c r="S2" s="468"/>
      <c r="T2" s="469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54" t="s">
        <v>186</v>
      </c>
      <c r="C7" s="185">
        <v>1</v>
      </c>
      <c r="D7" s="206" t="s">
        <v>275</v>
      </c>
      <c r="E7" s="169">
        <v>6</v>
      </c>
      <c r="F7" s="185">
        <v>1600</v>
      </c>
      <c r="G7" s="183">
        <v>266.66666666666669</v>
      </c>
      <c r="H7" s="451">
        <f>AVERAGE(G7:G36)</f>
        <v>99.750515135878899</v>
      </c>
      <c r="I7" s="169">
        <f>AVERAGE(P7,U7,Z7,AE7,AJ7,AO7,AT7)</f>
        <v>6</v>
      </c>
      <c r="J7" s="169">
        <f>AVERAGE(Q7,V7,AA7,AF7,AK7,AP7,AU7)</f>
        <v>1482.0000501488171</v>
      </c>
      <c r="K7" s="183">
        <f>AVERAGE(R7,W7,AB7,AG7,AL7,AQ7,AV7)</f>
        <v>247.00000835813617</v>
      </c>
      <c r="L7" s="451">
        <f>IFERROR(AVERAGE(K7:K36),"-")</f>
        <v>86.918291404195031</v>
      </c>
      <c r="M7" s="184">
        <f>RANK(K7, $K$7:K$36)</f>
        <v>1</v>
      </c>
      <c r="N7" s="454"/>
      <c r="O7" s="454"/>
      <c r="P7" s="169">
        <v>6</v>
      </c>
      <c r="Q7" s="169">
        <v>1471.3297297297293</v>
      </c>
      <c r="R7" s="169">
        <v>245.22162162162155</v>
      </c>
      <c r="S7" s="185">
        <f t="shared" ref="S7:S36" si="0">RANK(R7, R$7:R$36)</f>
        <v>2</v>
      </c>
      <c r="T7" s="494">
        <f>AVERAGE(R7:R36)</f>
        <v>87.631205085118566</v>
      </c>
      <c r="U7" s="169">
        <v>6</v>
      </c>
      <c r="V7" s="169">
        <v>1454.6187845303862</v>
      </c>
      <c r="W7" s="169">
        <v>242.43646408839768</v>
      </c>
      <c r="X7" s="185">
        <f t="shared" ref="X7:X36" si="1">RANK(W7, W$7:W$36)</f>
        <v>2</v>
      </c>
      <c r="Y7" s="494">
        <f>AVERAGE(W7:W36)</f>
        <v>86.705889785364718</v>
      </c>
      <c r="Z7" s="169">
        <v>6</v>
      </c>
      <c r="AA7" s="169">
        <v>1510.7368421052631</v>
      </c>
      <c r="AB7" s="169">
        <v>251.78947368421052</v>
      </c>
      <c r="AC7" s="185">
        <f t="shared" ref="AC7:AC36" si="2">RANK(AB7, AB$7:AB$36)</f>
        <v>1</v>
      </c>
      <c r="AD7" s="494">
        <f>AVERAGE(AB7:AB36)</f>
        <v>88.253562627597191</v>
      </c>
      <c r="AE7" s="169">
        <v>6</v>
      </c>
      <c r="AF7" s="169">
        <v>1470.2222222222222</v>
      </c>
      <c r="AG7" s="169">
        <v>245.03703703703704</v>
      </c>
      <c r="AH7" s="185">
        <f t="shared" ref="AH7:AH36" si="3">RANK(AG7, AG$7:AG$36)</f>
        <v>1</v>
      </c>
      <c r="AI7" s="494">
        <f>AVERAGE(AG7:AG36)</f>
        <v>86.688090586845291</v>
      </c>
      <c r="AJ7" s="169">
        <v>6</v>
      </c>
      <c r="AK7" s="169">
        <v>1515.6</v>
      </c>
      <c r="AL7" s="169">
        <v>252.6</v>
      </c>
      <c r="AM7" s="185">
        <f t="shared" ref="AM7:AM36" si="4">RANK(AL7, AL$7:AL$36)</f>
        <v>1</v>
      </c>
      <c r="AN7" s="494">
        <f>AVERAGE(AL7:AL36)</f>
        <v>88.433541984611168</v>
      </c>
      <c r="AO7" s="169">
        <v>6</v>
      </c>
      <c r="AP7" s="169">
        <v>1454.7446808510635</v>
      </c>
      <c r="AQ7" s="169">
        <v>242.45744680851058</v>
      </c>
      <c r="AR7" s="185">
        <f t="shared" ref="AR7:AR36" si="5">RANK(AQ7, AQ$7:AQ$36)</f>
        <v>2</v>
      </c>
      <c r="AS7" s="494">
        <f>AVERAGE(AQ7:AQ36)</f>
        <v>87.641732302498539</v>
      </c>
      <c r="AT7" s="169">
        <v>6</v>
      </c>
      <c r="AU7" s="169">
        <v>1496.7480916030538</v>
      </c>
      <c r="AV7" s="169">
        <v>249.45801526717563</v>
      </c>
      <c r="AW7" s="185">
        <f t="shared" ref="AW7:AW36" si="6">RANK(AV7, AV$7:AV$36)</f>
        <v>1</v>
      </c>
      <c r="AX7" s="494">
        <f>AVERAGE(AV7:AV36)</f>
        <v>88.72666435749808</v>
      </c>
      <c r="AZ7" s="184" t="e">
        <f>RANK(AX7, $K$7:AX$36)</f>
        <v>#N/A</v>
      </c>
      <c r="BB7" s="185" t="e">
        <f t="shared" ref="BB7:BB36" si="7">RANK(BA7, BA$7:BA$36)</f>
        <v>#N/A</v>
      </c>
    </row>
    <row r="8" spans="1:54" ht="15" customHeight="1">
      <c r="A8" s="79"/>
      <c r="B8" s="471"/>
      <c r="C8" s="185">
        <v>2</v>
      </c>
      <c r="D8" s="206" t="s">
        <v>276</v>
      </c>
      <c r="E8" s="169">
        <v>6</v>
      </c>
      <c r="F8" s="185">
        <v>1500</v>
      </c>
      <c r="G8" s="183">
        <v>250</v>
      </c>
      <c r="H8" s="452"/>
      <c r="I8" s="169">
        <f t="shared" ref="I8:I31" si="8">AVERAGE(P8,U8,Z8,AE8,AJ8,AO8,AT8)</f>
        <v>6.1428571428571432</v>
      </c>
      <c r="J8" s="169">
        <f t="shared" ref="J8:J31" si="9">AVERAGE(Q8,V8,AA8,AF8,AK8,AP8,AU8)</f>
        <v>1487.3671556400006</v>
      </c>
      <c r="K8" s="183">
        <f t="shared" ref="K8:K31" si="10">AVERAGE(R8,W8,AB8,AG8,AL8,AQ8,AV8)</f>
        <v>242.75266431730228</v>
      </c>
      <c r="L8" s="452"/>
      <c r="M8" s="184">
        <f>RANK(K8, $K$7:K$36)</f>
        <v>2</v>
      </c>
      <c r="N8" s="454"/>
      <c r="O8" s="454"/>
      <c r="P8" s="169">
        <v>6</v>
      </c>
      <c r="Q8" s="169">
        <v>1514.4230769230771</v>
      </c>
      <c r="R8" s="169">
        <v>252.40384615384619</v>
      </c>
      <c r="S8" s="185">
        <f t="shared" si="0"/>
        <v>1</v>
      </c>
      <c r="T8" s="494"/>
      <c r="U8" s="169">
        <v>6</v>
      </c>
      <c r="V8" s="169">
        <v>1472.0388349514562</v>
      </c>
      <c r="W8" s="169">
        <v>245.33980582524271</v>
      </c>
      <c r="X8" s="185">
        <f t="shared" si="1"/>
        <v>1</v>
      </c>
      <c r="Y8" s="494"/>
      <c r="Z8" s="169">
        <v>6</v>
      </c>
      <c r="AA8" s="169">
        <v>1461.7647058823529</v>
      </c>
      <c r="AB8" s="169">
        <v>243.62745098039215</v>
      </c>
      <c r="AC8" s="185">
        <f t="shared" si="2"/>
        <v>2</v>
      </c>
      <c r="AD8" s="494"/>
      <c r="AE8" s="169">
        <v>7</v>
      </c>
      <c r="AF8" s="169">
        <v>1511.707317073171</v>
      </c>
      <c r="AG8" s="169">
        <v>215.95818815331015</v>
      </c>
      <c r="AH8" s="185">
        <f t="shared" si="3"/>
        <v>2</v>
      </c>
      <c r="AI8" s="494"/>
      <c r="AJ8" s="169">
        <v>6</v>
      </c>
      <c r="AK8" s="169">
        <v>1503.4482758620688</v>
      </c>
      <c r="AL8" s="169">
        <v>250.57471264367814</v>
      </c>
      <c r="AM8" s="185">
        <f t="shared" si="4"/>
        <v>2</v>
      </c>
      <c r="AN8" s="494"/>
      <c r="AO8" s="169">
        <v>6</v>
      </c>
      <c r="AP8" s="169">
        <v>1478.7878787878785</v>
      </c>
      <c r="AQ8" s="169">
        <v>246.46464646464642</v>
      </c>
      <c r="AR8" s="185">
        <f t="shared" si="5"/>
        <v>1</v>
      </c>
      <c r="AS8" s="494"/>
      <c r="AT8" s="169">
        <v>6</v>
      </c>
      <c r="AU8" s="169">
        <v>1469.3999999999999</v>
      </c>
      <c r="AV8" s="169">
        <v>244.89999999999998</v>
      </c>
      <c r="AW8" s="185">
        <f t="shared" si="6"/>
        <v>2</v>
      </c>
      <c r="AX8" s="494"/>
      <c r="AZ8" s="184" t="e">
        <f>RANK(AX8, $K$7:AX$36)</f>
        <v>#N/A</v>
      </c>
      <c r="BB8" s="185" t="e">
        <f t="shared" si="7"/>
        <v>#N/A</v>
      </c>
    </row>
    <row r="9" spans="1:54">
      <c r="A9" s="79"/>
      <c r="B9" s="471"/>
      <c r="C9" s="185">
        <v>3</v>
      </c>
      <c r="D9" s="206" t="s">
        <v>277</v>
      </c>
      <c r="E9" s="169">
        <v>17</v>
      </c>
      <c r="F9" s="185">
        <v>1500</v>
      </c>
      <c r="G9" s="183">
        <v>88.235294117647058</v>
      </c>
      <c r="H9" s="452"/>
      <c r="I9" s="169">
        <f t="shared" si="8"/>
        <v>17</v>
      </c>
      <c r="J9" s="169">
        <f t="shared" si="9"/>
        <v>1295.8541377757042</v>
      </c>
      <c r="K9" s="183">
        <f t="shared" si="10"/>
        <v>76.226713986806118</v>
      </c>
      <c r="L9" s="452"/>
      <c r="M9" s="184">
        <f>RANK(K9, $K$7:K$36)</f>
        <v>9</v>
      </c>
      <c r="N9" s="454"/>
      <c r="O9" s="454"/>
      <c r="P9" s="169">
        <v>17</v>
      </c>
      <c r="Q9" s="169">
        <v>1299.1836734693882</v>
      </c>
      <c r="R9" s="169">
        <v>76.422569027611075</v>
      </c>
      <c r="S9" s="185">
        <f t="shared" si="0"/>
        <v>10</v>
      </c>
      <c r="T9" s="494"/>
      <c r="U9" s="169">
        <v>17</v>
      </c>
      <c r="V9" s="169">
        <v>1302.7722772277223</v>
      </c>
      <c r="W9" s="169">
        <v>76.633663366336606</v>
      </c>
      <c r="X9" s="185">
        <f t="shared" si="1"/>
        <v>10</v>
      </c>
      <c r="Y9" s="494"/>
      <c r="Z9" s="169">
        <v>17</v>
      </c>
      <c r="AA9" s="169">
        <v>1270.0990099009896</v>
      </c>
      <c r="AB9" s="169">
        <v>74.711706464764092</v>
      </c>
      <c r="AC9" s="185">
        <f t="shared" si="2"/>
        <v>13</v>
      </c>
      <c r="AD9" s="494"/>
      <c r="AE9" s="169">
        <v>17</v>
      </c>
      <c r="AF9" s="169">
        <v>1299.7500000000007</v>
      </c>
      <c r="AG9" s="169">
        <v>76.455882352941217</v>
      </c>
      <c r="AH9" s="185">
        <f t="shared" si="3"/>
        <v>9</v>
      </c>
      <c r="AI9" s="494"/>
      <c r="AJ9" s="169">
        <v>17</v>
      </c>
      <c r="AK9" s="169">
        <v>1294.3902439024387</v>
      </c>
      <c r="AL9" s="169">
        <v>76.140602582496399</v>
      </c>
      <c r="AM9" s="185">
        <f t="shared" si="4"/>
        <v>11</v>
      </c>
      <c r="AN9" s="494"/>
      <c r="AO9" s="169">
        <v>17</v>
      </c>
      <c r="AP9" s="169">
        <v>1298.1818181818176</v>
      </c>
      <c r="AQ9" s="169">
        <v>76.363636363636331</v>
      </c>
      <c r="AR9" s="185">
        <f t="shared" si="5"/>
        <v>10</v>
      </c>
      <c r="AS9" s="494"/>
      <c r="AT9" s="169">
        <v>17</v>
      </c>
      <c r="AU9" s="169">
        <v>1306.6019417475723</v>
      </c>
      <c r="AV9" s="169">
        <v>76.858937749857191</v>
      </c>
      <c r="AW9" s="185">
        <f t="shared" si="6"/>
        <v>10</v>
      </c>
      <c r="AX9" s="494"/>
      <c r="AZ9" s="184" t="e">
        <f>RANK(AX9, $K$7:AX$36)</f>
        <v>#N/A</v>
      </c>
      <c r="BB9" s="185" t="e">
        <f t="shared" si="7"/>
        <v>#N/A</v>
      </c>
    </row>
    <row r="10" spans="1:54">
      <c r="A10" s="79"/>
      <c r="B10" s="471"/>
      <c r="C10" s="185">
        <v>4</v>
      </c>
      <c r="D10" s="206" t="s">
        <v>278</v>
      </c>
      <c r="E10" s="169">
        <v>19</v>
      </c>
      <c r="F10" s="185">
        <v>1500</v>
      </c>
      <c r="G10" s="183">
        <v>78.94736842105263</v>
      </c>
      <c r="H10" s="452"/>
      <c r="I10" s="169">
        <f t="shared" si="8"/>
        <v>19.857142857142858</v>
      </c>
      <c r="J10" s="169">
        <f t="shared" si="9"/>
        <v>1287.034139382296</v>
      </c>
      <c r="K10" s="183">
        <f t="shared" si="10"/>
        <v>64.829994524738552</v>
      </c>
      <c r="L10" s="452"/>
      <c r="M10" s="184">
        <f>RANK(K10, $K$7:K$36)</f>
        <v>24</v>
      </c>
      <c r="N10" s="454"/>
      <c r="O10" s="454"/>
      <c r="P10" s="169">
        <v>20</v>
      </c>
      <c r="Q10" s="169">
        <v>1297.1428571428585</v>
      </c>
      <c r="R10" s="169">
        <v>64.857142857142918</v>
      </c>
      <c r="S10" s="185">
        <f t="shared" si="0"/>
        <v>24</v>
      </c>
      <c r="T10" s="494"/>
      <c r="U10" s="169">
        <v>20</v>
      </c>
      <c r="V10" s="169">
        <v>1303.9285714285725</v>
      </c>
      <c r="W10" s="169">
        <v>65.196428571428626</v>
      </c>
      <c r="X10" s="185">
        <f t="shared" si="1"/>
        <v>23</v>
      </c>
      <c r="Y10" s="494"/>
      <c r="Z10" s="169">
        <v>20</v>
      </c>
      <c r="AA10" s="169">
        <v>1306.9090909090917</v>
      </c>
      <c r="AB10" s="169">
        <v>65.345454545454587</v>
      </c>
      <c r="AC10" s="185">
        <f t="shared" si="2"/>
        <v>21</v>
      </c>
      <c r="AD10" s="494"/>
      <c r="AE10" s="169">
        <v>19</v>
      </c>
      <c r="AF10" s="169">
        <v>1272.2448979591841</v>
      </c>
      <c r="AG10" s="169">
        <v>66.960257787325475</v>
      </c>
      <c r="AH10" s="185">
        <f t="shared" si="3"/>
        <v>19</v>
      </c>
      <c r="AI10" s="494"/>
      <c r="AJ10" s="169">
        <v>20</v>
      </c>
      <c r="AK10" s="169">
        <v>1262.3529411764712</v>
      </c>
      <c r="AL10" s="169">
        <v>63.117647058823557</v>
      </c>
      <c r="AM10" s="185">
        <f t="shared" si="4"/>
        <v>24</v>
      </c>
      <c r="AN10" s="494"/>
      <c r="AO10" s="169">
        <v>20</v>
      </c>
      <c r="AP10" s="169">
        <v>1266.3157894736853</v>
      </c>
      <c r="AQ10" s="169">
        <v>63.315789473684262</v>
      </c>
      <c r="AR10" s="185">
        <f t="shared" si="5"/>
        <v>24</v>
      </c>
      <c r="AS10" s="494"/>
      <c r="AT10" s="169">
        <v>20</v>
      </c>
      <c r="AU10" s="169">
        <v>1300.3448275862077</v>
      </c>
      <c r="AV10" s="169">
        <v>65.017241379310377</v>
      </c>
      <c r="AW10" s="185">
        <f t="shared" si="6"/>
        <v>24</v>
      </c>
      <c r="AX10" s="494"/>
      <c r="AZ10" s="184" t="e">
        <f>RANK(AX10, $K$7:AX$36)</f>
        <v>#N/A</v>
      </c>
      <c r="BB10" s="185" t="e">
        <f t="shared" si="7"/>
        <v>#N/A</v>
      </c>
    </row>
    <row r="11" spans="1:54">
      <c r="A11" s="79"/>
      <c r="B11" s="471"/>
      <c r="C11" s="185">
        <v>5</v>
      </c>
      <c r="D11" s="206" t="s">
        <v>279</v>
      </c>
      <c r="E11" s="169">
        <v>16</v>
      </c>
      <c r="F11" s="185">
        <v>1500</v>
      </c>
      <c r="G11" s="183">
        <v>93.75</v>
      </c>
      <c r="H11" s="452"/>
      <c r="I11" s="169">
        <f t="shared" si="8"/>
        <v>16.285714285714285</v>
      </c>
      <c r="J11" s="169">
        <f t="shared" si="9"/>
        <v>1333.078556891601</v>
      </c>
      <c r="K11" s="183">
        <f t="shared" si="10"/>
        <v>81.932871470267045</v>
      </c>
      <c r="L11" s="452"/>
      <c r="M11" s="184">
        <f>RANK(K11, $K$7:K$36)</f>
        <v>4</v>
      </c>
      <c r="N11" s="454"/>
      <c r="O11" s="454"/>
      <c r="P11" s="169">
        <v>16</v>
      </c>
      <c r="Q11" s="169">
        <v>1352.0689655172405</v>
      </c>
      <c r="R11" s="169">
        <v>84.50431034482753</v>
      </c>
      <c r="S11" s="185">
        <f t="shared" si="0"/>
        <v>4</v>
      </c>
      <c r="T11" s="494"/>
      <c r="U11" s="169">
        <v>17</v>
      </c>
      <c r="V11" s="169">
        <v>1292.6315789473676</v>
      </c>
      <c r="W11" s="169">
        <v>76.037151702786332</v>
      </c>
      <c r="X11" s="185">
        <f t="shared" si="1"/>
        <v>12</v>
      </c>
      <c r="Y11" s="494"/>
      <c r="Z11" s="169">
        <v>16</v>
      </c>
      <c r="AA11" s="169">
        <v>1314.7368421052624</v>
      </c>
      <c r="AB11" s="169">
        <v>82.171052631578902</v>
      </c>
      <c r="AC11" s="185">
        <f t="shared" si="2"/>
        <v>5</v>
      </c>
      <c r="AD11" s="494"/>
      <c r="AE11" s="169">
        <v>16</v>
      </c>
      <c r="AF11" s="169">
        <v>1302.3529411764712</v>
      </c>
      <c r="AG11" s="169">
        <v>81.397058823529449</v>
      </c>
      <c r="AH11" s="185">
        <f t="shared" si="3"/>
        <v>5</v>
      </c>
      <c r="AI11" s="494"/>
      <c r="AJ11" s="169">
        <v>17</v>
      </c>
      <c r="AK11" s="169">
        <v>1343.5294117647065</v>
      </c>
      <c r="AL11" s="169">
        <v>79.031141868512151</v>
      </c>
      <c r="AM11" s="185">
        <f t="shared" si="4"/>
        <v>6</v>
      </c>
      <c r="AN11" s="494"/>
      <c r="AO11" s="169">
        <v>16</v>
      </c>
      <c r="AP11" s="169">
        <v>1364.444444444445</v>
      </c>
      <c r="AQ11" s="169">
        <v>85.277777777777814</v>
      </c>
      <c r="AR11" s="185">
        <f t="shared" si="5"/>
        <v>3</v>
      </c>
      <c r="AS11" s="494"/>
      <c r="AT11" s="169">
        <v>16</v>
      </c>
      <c r="AU11" s="169">
        <v>1361.7857142857133</v>
      </c>
      <c r="AV11" s="169">
        <v>85.111607142857082</v>
      </c>
      <c r="AW11" s="185">
        <f t="shared" si="6"/>
        <v>4</v>
      </c>
      <c r="AX11" s="494"/>
      <c r="AZ11" s="184" t="e">
        <f>RANK(AX11, $K$7:AX$36)</f>
        <v>#N/A</v>
      </c>
      <c r="BB11" s="185" t="e">
        <f t="shared" si="7"/>
        <v>#N/A</v>
      </c>
    </row>
    <row r="12" spans="1:54">
      <c r="A12" s="79"/>
      <c r="B12" s="471"/>
      <c r="C12" s="185">
        <v>6</v>
      </c>
      <c r="D12" s="206" t="s">
        <v>280</v>
      </c>
      <c r="E12" s="169">
        <v>16</v>
      </c>
      <c r="F12" s="185">
        <v>1565</v>
      </c>
      <c r="G12" s="183">
        <v>97.8125</v>
      </c>
      <c r="H12" s="452"/>
      <c r="I12" s="169">
        <f t="shared" si="8"/>
        <v>16.428571428571427</v>
      </c>
      <c r="J12" s="169">
        <f t="shared" si="9"/>
        <v>1392.0463719533338</v>
      </c>
      <c r="K12" s="183">
        <f t="shared" si="10"/>
        <v>84.811470371883857</v>
      </c>
      <c r="L12" s="452"/>
      <c r="M12" s="184">
        <f>RANK(K12, $K$7:K$36)</f>
        <v>3</v>
      </c>
      <c r="N12" s="454"/>
      <c r="O12" s="454"/>
      <c r="P12" s="169">
        <v>16</v>
      </c>
      <c r="Q12" s="169">
        <v>1384.2424242424245</v>
      </c>
      <c r="R12" s="169">
        <v>86.51515151515153</v>
      </c>
      <c r="S12" s="185">
        <f t="shared" si="0"/>
        <v>3</v>
      </c>
      <c r="T12" s="494"/>
      <c r="U12" s="169">
        <v>17</v>
      </c>
      <c r="V12" s="169">
        <v>1402.3404255319151</v>
      </c>
      <c r="W12" s="169">
        <v>82.490613266583239</v>
      </c>
      <c r="X12" s="185">
        <f t="shared" si="1"/>
        <v>3</v>
      </c>
      <c r="Y12" s="494"/>
      <c r="Z12" s="169">
        <v>16</v>
      </c>
      <c r="AA12" s="169">
        <v>1412.8421052631581</v>
      </c>
      <c r="AB12" s="169">
        <v>88.302631578947384</v>
      </c>
      <c r="AC12" s="185">
        <f t="shared" si="2"/>
        <v>3</v>
      </c>
      <c r="AD12" s="494"/>
      <c r="AE12" s="169">
        <v>16</v>
      </c>
      <c r="AF12" s="169">
        <v>1407.8048780487813</v>
      </c>
      <c r="AG12" s="169">
        <v>87.987804878048834</v>
      </c>
      <c r="AH12" s="185">
        <f t="shared" si="3"/>
        <v>3</v>
      </c>
      <c r="AI12" s="494"/>
      <c r="AJ12" s="169">
        <v>17</v>
      </c>
      <c r="AK12" s="169">
        <v>1358.7096774193544</v>
      </c>
      <c r="AL12" s="169">
        <v>79.924098671726725</v>
      </c>
      <c r="AM12" s="185">
        <f t="shared" si="4"/>
        <v>4</v>
      </c>
      <c r="AN12" s="494"/>
      <c r="AO12" s="169">
        <v>17</v>
      </c>
      <c r="AP12" s="169">
        <v>1411.4285714285725</v>
      </c>
      <c r="AQ12" s="169">
        <v>83.025210084033674</v>
      </c>
      <c r="AR12" s="185">
        <f t="shared" si="5"/>
        <v>4</v>
      </c>
      <c r="AS12" s="494"/>
      <c r="AT12" s="169">
        <v>16</v>
      </c>
      <c r="AU12" s="169">
        <v>1366.9565217391305</v>
      </c>
      <c r="AV12" s="169">
        <v>85.434782608695656</v>
      </c>
      <c r="AW12" s="185">
        <f t="shared" si="6"/>
        <v>3</v>
      </c>
      <c r="AX12" s="494"/>
      <c r="AZ12" s="184" t="e">
        <f>RANK(AX12, $K$7:AX$36)</f>
        <v>#N/A</v>
      </c>
      <c r="BB12" s="185" t="e">
        <f t="shared" si="7"/>
        <v>#N/A</v>
      </c>
    </row>
    <row r="13" spans="1:54">
      <c r="A13" s="79"/>
      <c r="B13" s="471"/>
      <c r="C13" s="185">
        <v>7</v>
      </c>
      <c r="D13" s="206" t="s">
        <v>281</v>
      </c>
      <c r="E13" s="169">
        <v>16</v>
      </c>
      <c r="F13" s="185">
        <v>1440</v>
      </c>
      <c r="G13" s="183">
        <v>90</v>
      </c>
      <c r="H13" s="452"/>
      <c r="I13" s="169">
        <f t="shared" si="8"/>
        <v>16</v>
      </c>
      <c r="J13" s="169">
        <f t="shared" si="9"/>
        <v>1284.645753295755</v>
      </c>
      <c r="K13" s="183">
        <f t="shared" si="10"/>
        <v>80.290359580984685</v>
      </c>
      <c r="L13" s="452"/>
      <c r="M13" s="184">
        <f>RANK(K13, $K$7:K$36)</f>
        <v>5</v>
      </c>
      <c r="N13" s="454"/>
      <c r="O13" s="454"/>
      <c r="P13" s="169">
        <v>16</v>
      </c>
      <c r="Q13" s="169">
        <v>1281.3333333333333</v>
      </c>
      <c r="R13" s="169">
        <v>80.083333333333329</v>
      </c>
      <c r="S13" s="185">
        <f t="shared" si="0"/>
        <v>7</v>
      </c>
      <c r="T13" s="494"/>
      <c r="U13" s="169">
        <v>16</v>
      </c>
      <c r="V13" s="169">
        <v>1294.9999999999991</v>
      </c>
      <c r="W13" s="169">
        <v>80.937499999999943</v>
      </c>
      <c r="X13" s="185">
        <f t="shared" si="1"/>
        <v>4</v>
      </c>
      <c r="Y13" s="494"/>
      <c r="Z13" s="169">
        <v>16</v>
      </c>
      <c r="AA13" s="169">
        <v>1230.9677419354819</v>
      </c>
      <c r="AB13" s="169">
        <v>76.935483870967616</v>
      </c>
      <c r="AC13" s="185">
        <f t="shared" si="2"/>
        <v>8</v>
      </c>
      <c r="AD13" s="494"/>
      <c r="AE13" s="169">
        <v>16</v>
      </c>
      <c r="AF13" s="169">
        <v>1293.1034482758596</v>
      </c>
      <c r="AG13" s="169">
        <v>80.818965517241224</v>
      </c>
      <c r="AH13" s="185">
        <f t="shared" si="3"/>
        <v>6</v>
      </c>
      <c r="AI13" s="494"/>
      <c r="AJ13" s="169">
        <v>16</v>
      </c>
      <c r="AK13" s="169">
        <v>1300.6451612903206</v>
      </c>
      <c r="AL13" s="169">
        <v>81.290322580645039</v>
      </c>
      <c r="AM13" s="185">
        <f t="shared" si="4"/>
        <v>3</v>
      </c>
      <c r="AN13" s="494"/>
      <c r="AO13" s="169">
        <v>16</v>
      </c>
      <c r="AP13" s="169">
        <v>1286.4705882352923</v>
      </c>
      <c r="AQ13" s="169">
        <v>80.40441176470577</v>
      </c>
      <c r="AR13" s="185">
        <f t="shared" si="5"/>
        <v>5</v>
      </c>
      <c r="AS13" s="494"/>
      <c r="AT13" s="169">
        <v>16</v>
      </c>
      <c r="AU13" s="169">
        <v>1304.9999999999982</v>
      </c>
      <c r="AV13" s="169">
        <v>81.562499999999886</v>
      </c>
      <c r="AW13" s="185">
        <f t="shared" si="6"/>
        <v>5</v>
      </c>
      <c r="AX13" s="494"/>
      <c r="AZ13" s="184" t="e">
        <f>RANK(AX13, $K$7:AX$36)</f>
        <v>#N/A</v>
      </c>
      <c r="BB13" s="185" t="e">
        <f t="shared" si="7"/>
        <v>#N/A</v>
      </c>
    </row>
    <row r="14" spans="1:54">
      <c r="A14" s="79"/>
      <c r="B14" s="471"/>
      <c r="C14" s="185">
        <v>8</v>
      </c>
      <c r="D14" s="206" t="s">
        <v>282</v>
      </c>
      <c r="E14" s="169">
        <v>17</v>
      </c>
      <c r="F14" s="185">
        <v>1440</v>
      </c>
      <c r="G14" s="183">
        <v>84.705882352941174</v>
      </c>
      <c r="H14" s="452"/>
      <c r="I14" s="169">
        <f t="shared" si="8"/>
        <v>17</v>
      </c>
      <c r="J14" s="169">
        <f t="shared" si="9"/>
        <v>1282.5380333951764</v>
      </c>
      <c r="K14" s="183">
        <f t="shared" si="10"/>
        <v>75.443413729128025</v>
      </c>
      <c r="L14" s="452"/>
      <c r="M14" s="184">
        <f>RANK(K14, $K$7:K$36)</f>
        <v>11</v>
      </c>
      <c r="N14" s="454"/>
      <c r="O14" s="454"/>
      <c r="P14" s="169">
        <v>17</v>
      </c>
      <c r="Q14" s="169">
        <v>1254.5454545454554</v>
      </c>
      <c r="R14" s="169">
        <v>73.796791443850324</v>
      </c>
      <c r="S14" s="185">
        <f t="shared" si="0"/>
        <v>16</v>
      </c>
      <c r="T14" s="494"/>
      <c r="U14" s="169">
        <v>17</v>
      </c>
      <c r="V14" s="169">
        <v>1295.0000000000005</v>
      </c>
      <c r="W14" s="169">
        <v>76.176470588235318</v>
      </c>
      <c r="X14" s="185">
        <f t="shared" si="1"/>
        <v>11</v>
      </c>
      <c r="Y14" s="494"/>
      <c r="Z14" s="169">
        <v>17</v>
      </c>
      <c r="AA14" s="169">
        <v>1296</v>
      </c>
      <c r="AB14" s="169">
        <v>76.235294117647058</v>
      </c>
      <c r="AC14" s="185">
        <f t="shared" si="2"/>
        <v>10</v>
      </c>
      <c r="AD14" s="494"/>
      <c r="AE14" s="169">
        <v>17</v>
      </c>
      <c r="AF14" s="169">
        <v>1276.3636363636365</v>
      </c>
      <c r="AG14" s="169">
        <v>75.080213903743328</v>
      </c>
      <c r="AH14" s="185">
        <f t="shared" si="3"/>
        <v>13</v>
      </c>
      <c r="AI14" s="494"/>
      <c r="AJ14" s="169">
        <v>17</v>
      </c>
      <c r="AK14" s="169">
        <v>1275</v>
      </c>
      <c r="AL14" s="169">
        <v>75</v>
      </c>
      <c r="AM14" s="185">
        <f t="shared" si="4"/>
        <v>12</v>
      </c>
      <c r="AN14" s="494"/>
      <c r="AO14" s="169">
        <v>17</v>
      </c>
      <c r="AP14" s="169">
        <v>1302.8571428571431</v>
      </c>
      <c r="AQ14" s="169">
        <v>76.638655462184886</v>
      </c>
      <c r="AR14" s="185">
        <f t="shared" si="5"/>
        <v>9</v>
      </c>
      <c r="AS14" s="494"/>
      <c r="AT14" s="169">
        <v>17</v>
      </c>
      <c r="AU14" s="169">
        <v>1278.0000000000005</v>
      </c>
      <c r="AV14" s="169">
        <v>75.176470588235318</v>
      </c>
      <c r="AW14" s="185">
        <f t="shared" si="6"/>
        <v>13</v>
      </c>
      <c r="AX14" s="494"/>
      <c r="AZ14" s="184" t="e">
        <f>RANK(AX14, $K$7:AX$36)</f>
        <v>#N/A</v>
      </c>
      <c r="BB14" s="185" t="e">
        <f t="shared" si="7"/>
        <v>#N/A</v>
      </c>
    </row>
    <row r="15" spans="1:54">
      <c r="A15" s="79"/>
      <c r="B15" s="471"/>
      <c r="C15" s="185">
        <v>9</v>
      </c>
      <c r="D15" s="206" t="s">
        <v>283</v>
      </c>
      <c r="E15" s="169">
        <v>18</v>
      </c>
      <c r="F15" s="185">
        <v>1440</v>
      </c>
      <c r="G15" s="183">
        <v>80</v>
      </c>
      <c r="H15" s="452"/>
      <c r="I15" s="169">
        <f t="shared" si="8"/>
        <v>17.571428571428573</v>
      </c>
      <c r="J15" s="169">
        <f t="shared" si="9"/>
        <v>1171.724036872562</v>
      </c>
      <c r="K15" s="183">
        <f t="shared" si="10"/>
        <v>66.728322601125882</v>
      </c>
      <c r="L15" s="452"/>
      <c r="M15" s="184">
        <f>RANK(K15, $K$7:K$36)</f>
        <v>21</v>
      </c>
      <c r="N15" s="454"/>
      <c r="O15" s="454"/>
      <c r="P15" s="169">
        <v>18</v>
      </c>
      <c r="Q15" s="169">
        <v>1170.8999999999996</v>
      </c>
      <c r="R15" s="169">
        <v>65.049999999999983</v>
      </c>
      <c r="S15" s="185">
        <f t="shared" si="0"/>
        <v>22</v>
      </c>
      <c r="T15" s="494"/>
      <c r="U15" s="169">
        <v>18</v>
      </c>
      <c r="V15" s="169">
        <v>1177.0529801324508</v>
      </c>
      <c r="W15" s="169">
        <v>65.391832229580601</v>
      </c>
      <c r="X15" s="185">
        <f t="shared" si="1"/>
        <v>21</v>
      </c>
      <c r="Y15" s="494"/>
      <c r="Z15" s="169">
        <v>18</v>
      </c>
      <c r="AA15" s="169">
        <v>1173.5049504950498</v>
      </c>
      <c r="AB15" s="169">
        <v>65.194719471947209</v>
      </c>
      <c r="AC15" s="185">
        <f t="shared" si="2"/>
        <v>22</v>
      </c>
      <c r="AD15" s="494"/>
      <c r="AE15" s="169">
        <v>18</v>
      </c>
      <c r="AF15" s="169">
        <v>1183.7037037037032</v>
      </c>
      <c r="AG15" s="169">
        <v>65.761316872427955</v>
      </c>
      <c r="AH15" s="185">
        <f t="shared" si="3"/>
        <v>21</v>
      </c>
      <c r="AI15" s="494"/>
      <c r="AJ15" s="169">
        <v>17</v>
      </c>
      <c r="AK15" s="169">
        <v>1166.6249999999995</v>
      </c>
      <c r="AL15" s="169">
        <v>68.624999999999972</v>
      </c>
      <c r="AM15" s="185">
        <f t="shared" si="4"/>
        <v>19</v>
      </c>
      <c r="AN15" s="494"/>
      <c r="AO15" s="169">
        <v>17</v>
      </c>
      <c r="AP15" s="169">
        <v>1151.7977528089887</v>
      </c>
      <c r="AQ15" s="169">
        <v>67.752808988764045</v>
      </c>
      <c r="AR15" s="185">
        <f t="shared" si="5"/>
        <v>19</v>
      </c>
      <c r="AS15" s="494"/>
      <c r="AT15" s="169">
        <v>17</v>
      </c>
      <c r="AU15" s="169">
        <v>1178.4838709677422</v>
      </c>
      <c r="AV15" s="169">
        <v>69.32258064516131</v>
      </c>
      <c r="AW15" s="185">
        <f t="shared" si="6"/>
        <v>19</v>
      </c>
      <c r="AX15" s="494"/>
      <c r="AZ15" s="184" t="e">
        <f>RANK(AX15, $K$7:AX$36)</f>
        <v>#N/A</v>
      </c>
      <c r="BB15" s="185" t="e">
        <f t="shared" si="7"/>
        <v>#N/A</v>
      </c>
    </row>
    <row r="16" spans="1:54">
      <c r="A16" s="79"/>
      <c r="B16" s="471"/>
      <c r="C16" s="185">
        <v>10</v>
      </c>
      <c r="D16" s="206" t="s">
        <v>284</v>
      </c>
      <c r="E16" s="169">
        <v>19</v>
      </c>
      <c r="F16" s="185">
        <v>1636</v>
      </c>
      <c r="G16" s="183">
        <v>86.10526315789474</v>
      </c>
      <c r="H16" s="452"/>
      <c r="I16" s="169">
        <f t="shared" si="8"/>
        <v>19</v>
      </c>
      <c r="J16" s="169">
        <f t="shared" si="9"/>
        <v>1281.5408543039991</v>
      </c>
      <c r="K16" s="183">
        <f t="shared" si="10"/>
        <v>67.449518647578898</v>
      </c>
      <c r="L16" s="452"/>
      <c r="M16" s="184">
        <f>RANK(K16, $K$7:K$36)</f>
        <v>19</v>
      </c>
      <c r="N16" s="454"/>
      <c r="O16" s="454"/>
      <c r="P16" s="169">
        <v>19</v>
      </c>
      <c r="Q16" s="169">
        <v>1257.2727272727273</v>
      </c>
      <c r="R16" s="169">
        <v>66.172248803827756</v>
      </c>
      <c r="S16" s="185">
        <f t="shared" si="0"/>
        <v>20</v>
      </c>
      <c r="T16" s="494"/>
      <c r="U16" s="169">
        <v>19</v>
      </c>
      <c r="V16" s="169">
        <v>1290.7894736842095</v>
      </c>
      <c r="W16" s="169">
        <v>67.936288088642598</v>
      </c>
      <c r="X16" s="185">
        <f t="shared" si="1"/>
        <v>19</v>
      </c>
      <c r="Y16" s="494"/>
      <c r="Z16" s="169">
        <v>19</v>
      </c>
      <c r="AA16" s="169">
        <v>1253.3333333333323</v>
      </c>
      <c r="AB16" s="169">
        <v>65.964912280701697</v>
      </c>
      <c r="AC16" s="185">
        <f t="shared" si="2"/>
        <v>20</v>
      </c>
      <c r="AD16" s="494"/>
      <c r="AE16" s="169">
        <v>19</v>
      </c>
      <c r="AF16" s="169">
        <v>1284.7058823529428</v>
      </c>
      <c r="AG16" s="169">
        <v>67.616099071207515</v>
      </c>
      <c r="AH16" s="185">
        <f t="shared" si="3"/>
        <v>18</v>
      </c>
      <c r="AI16" s="494"/>
      <c r="AJ16" s="169">
        <v>19</v>
      </c>
      <c r="AK16" s="169">
        <v>1291.3043478260856</v>
      </c>
      <c r="AL16" s="169">
        <v>67.963386727688714</v>
      </c>
      <c r="AM16" s="185">
        <f t="shared" si="4"/>
        <v>22</v>
      </c>
      <c r="AN16" s="494"/>
      <c r="AO16" s="169">
        <v>19</v>
      </c>
      <c r="AP16" s="169">
        <v>1291.8987341772145</v>
      </c>
      <c r="AQ16" s="169">
        <v>67.99467021985339</v>
      </c>
      <c r="AR16" s="185">
        <f t="shared" si="5"/>
        <v>18</v>
      </c>
      <c r="AS16" s="494"/>
      <c r="AT16" s="169">
        <v>19</v>
      </c>
      <c r="AU16" s="169">
        <v>1301.4814814814811</v>
      </c>
      <c r="AV16" s="169">
        <v>68.499025341130576</v>
      </c>
      <c r="AW16" s="185">
        <f t="shared" si="6"/>
        <v>21</v>
      </c>
      <c r="AX16" s="494"/>
      <c r="AZ16" s="184" t="e">
        <f>RANK(AX16, $K$7:AX$36)</f>
        <v>#N/A</v>
      </c>
      <c r="BB16" s="185" t="e">
        <f t="shared" si="7"/>
        <v>#N/A</v>
      </c>
    </row>
    <row r="17" spans="2:54">
      <c r="B17" s="471"/>
      <c r="C17" s="185">
        <v>11</v>
      </c>
      <c r="D17" s="206" t="s">
        <v>285</v>
      </c>
      <c r="E17" s="169">
        <v>19</v>
      </c>
      <c r="F17" s="185">
        <v>1636</v>
      </c>
      <c r="G17" s="183">
        <v>86.10526315789474</v>
      </c>
      <c r="H17" s="452"/>
      <c r="I17" s="169">
        <f t="shared" si="8"/>
        <v>19</v>
      </c>
      <c r="J17" s="169">
        <f t="shared" si="9"/>
        <v>1268.1913250518171</v>
      </c>
      <c r="K17" s="183">
        <f t="shared" si="10"/>
        <v>66.746911844832496</v>
      </c>
      <c r="L17" s="452"/>
      <c r="M17" s="184">
        <f>RANK(K17, $K$7:K$36)</f>
        <v>20</v>
      </c>
      <c r="N17" s="454"/>
      <c r="O17" s="454"/>
      <c r="P17" s="169">
        <v>19</v>
      </c>
      <c r="Q17" s="169">
        <v>1262.5352112676044</v>
      </c>
      <c r="R17" s="169">
        <v>66.449221645663386</v>
      </c>
      <c r="S17" s="185">
        <f t="shared" si="0"/>
        <v>19</v>
      </c>
      <c r="T17" s="494"/>
      <c r="U17" s="169">
        <v>19</v>
      </c>
      <c r="V17" s="169">
        <v>1261.9047619047633</v>
      </c>
      <c r="W17" s="169">
        <v>66.416040100250697</v>
      </c>
      <c r="X17" s="185">
        <f t="shared" si="1"/>
        <v>20</v>
      </c>
      <c r="Y17" s="494"/>
      <c r="Z17" s="169">
        <v>19</v>
      </c>
      <c r="AA17" s="169">
        <v>1275.0000000000011</v>
      </c>
      <c r="AB17" s="169">
        <v>67.105263157894797</v>
      </c>
      <c r="AC17" s="185">
        <f t="shared" si="2"/>
        <v>19</v>
      </c>
      <c r="AD17" s="494"/>
      <c r="AE17" s="169">
        <v>19</v>
      </c>
      <c r="AF17" s="169">
        <v>1269.6428571428582</v>
      </c>
      <c r="AG17" s="169">
        <v>66.823308270676748</v>
      </c>
      <c r="AH17" s="185">
        <f t="shared" si="3"/>
        <v>20</v>
      </c>
      <c r="AI17" s="494"/>
      <c r="AJ17" s="169">
        <v>19</v>
      </c>
      <c r="AK17" s="169">
        <v>1255.0000000000011</v>
      </c>
      <c r="AL17" s="169">
        <v>66.052631578947427</v>
      </c>
      <c r="AM17" s="185">
        <f t="shared" si="4"/>
        <v>23</v>
      </c>
      <c r="AN17" s="494"/>
      <c r="AO17" s="169">
        <v>19</v>
      </c>
      <c r="AP17" s="169">
        <v>1268.1818181818194</v>
      </c>
      <c r="AQ17" s="169">
        <v>66.746411483253652</v>
      </c>
      <c r="AR17" s="185">
        <f t="shared" si="5"/>
        <v>21</v>
      </c>
      <c r="AS17" s="494"/>
      <c r="AT17" s="169">
        <v>19</v>
      </c>
      <c r="AU17" s="169">
        <v>1285.0746268656733</v>
      </c>
      <c r="AV17" s="169">
        <v>67.635506677140697</v>
      </c>
      <c r="AW17" s="185">
        <f t="shared" si="6"/>
        <v>22</v>
      </c>
      <c r="AX17" s="494"/>
      <c r="AZ17" s="184" t="e">
        <f>RANK(AX17, $K$7:AX$36)</f>
        <v>#N/A</v>
      </c>
      <c r="BB17" s="185" t="e">
        <f t="shared" si="7"/>
        <v>#N/A</v>
      </c>
    </row>
    <row r="18" spans="2:54">
      <c r="B18" s="471"/>
      <c r="C18" s="185">
        <v>12</v>
      </c>
      <c r="D18" s="206" t="s">
        <v>286</v>
      </c>
      <c r="E18" s="169">
        <v>20</v>
      </c>
      <c r="F18" s="185">
        <v>1500</v>
      </c>
      <c r="G18" s="183">
        <v>75</v>
      </c>
      <c r="H18" s="452"/>
      <c r="I18" s="169">
        <f t="shared" si="8"/>
        <v>20</v>
      </c>
      <c r="J18" s="169">
        <f t="shared" si="9"/>
        <v>1193.709677419356</v>
      </c>
      <c r="K18" s="183">
        <f t="shared" si="10"/>
        <v>59.685483870967794</v>
      </c>
      <c r="L18" s="452"/>
      <c r="M18" s="184">
        <f>RANK(K18, $K$7:K$36)</f>
        <v>25</v>
      </c>
      <c r="N18" s="454"/>
      <c r="O18" s="454"/>
      <c r="P18" s="169">
        <v>20</v>
      </c>
      <c r="Q18" s="169">
        <v>1290.0000000000011</v>
      </c>
      <c r="R18" s="169">
        <v>64.500000000000057</v>
      </c>
      <c r="S18" s="185">
        <f t="shared" si="0"/>
        <v>25</v>
      </c>
      <c r="T18" s="494"/>
      <c r="U18" s="169">
        <v>20</v>
      </c>
      <c r="V18" s="169">
        <v>1097.4193548387107</v>
      </c>
      <c r="W18" s="169">
        <v>54.87096774193553</v>
      </c>
      <c r="X18" s="185">
        <f t="shared" si="1"/>
        <v>25</v>
      </c>
      <c r="Y18" s="494"/>
      <c r="Z18" s="169"/>
      <c r="AA18" s="169"/>
      <c r="AB18" s="169"/>
      <c r="AC18" s="185" t="e">
        <f t="shared" si="2"/>
        <v>#N/A</v>
      </c>
      <c r="AD18" s="494"/>
      <c r="AE18" s="169"/>
      <c r="AF18" s="169"/>
      <c r="AG18" s="169"/>
      <c r="AH18" s="185" t="e">
        <f t="shared" si="3"/>
        <v>#N/A</v>
      </c>
      <c r="AI18" s="494"/>
      <c r="AJ18" s="169"/>
      <c r="AK18" s="169"/>
      <c r="AL18" s="169"/>
      <c r="AM18" s="185" t="e">
        <f t="shared" si="4"/>
        <v>#N/A</v>
      </c>
      <c r="AN18" s="494"/>
      <c r="AO18" s="169"/>
      <c r="AP18" s="169"/>
      <c r="AQ18" s="169"/>
      <c r="AR18" s="185" t="e">
        <f t="shared" si="5"/>
        <v>#N/A</v>
      </c>
      <c r="AS18" s="494"/>
      <c r="AT18" s="169"/>
      <c r="AU18" s="169"/>
      <c r="AV18" s="169"/>
      <c r="AW18" s="185" t="e">
        <f t="shared" si="6"/>
        <v>#N/A</v>
      </c>
      <c r="AX18" s="494"/>
      <c r="AZ18" s="184" t="e">
        <f>RANK(AX18, $K$7:AX$36)</f>
        <v>#N/A</v>
      </c>
      <c r="BB18" s="185" t="e">
        <f t="shared" si="7"/>
        <v>#N/A</v>
      </c>
    </row>
    <row r="19" spans="2:54">
      <c r="B19" s="471"/>
      <c r="C19" s="185">
        <v>13</v>
      </c>
      <c r="D19" s="206" t="s">
        <v>287</v>
      </c>
      <c r="E19" s="169">
        <v>17</v>
      </c>
      <c r="F19" s="185">
        <v>1500</v>
      </c>
      <c r="G19" s="183">
        <v>88.235294117647058</v>
      </c>
      <c r="H19" s="452"/>
      <c r="I19" s="169">
        <f t="shared" si="8"/>
        <v>17</v>
      </c>
      <c r="J19" s="169">
        <f t="shared" si="9"/>
        <v>1263.3173540769949</v>
      </c>
      <c r="K19" s="183">
        <f t="shared" si="10"/>
        <v>74.312785533940882</v>
      </c>
      <c r="L19" s="452"/>
      <c r="M19" s="184">
        <f>RANK(K19, $K$7:K$36)</f>
        <v>15</v>
      </c>
      <c r="N19" s="454"/>
      <c r="O19" s="454"/>
      <c r="P19" s="169">
        <v>17</v>
      </c>
      <c r="Q19" s="169">
        <v>1308.8372093023254</v>
      </c>
      <c r="R19" s="169">
        <v>76.990424076607383</v>
      </c>
      <c r="S19" s="185">
        <f t="shared" si="0"/>
        <v>9</v>
      </c>
      <c r="T19" s="494"/>
      <c r="U19" s="169">
        <v>17</v>
      </c>
      <c r="V19" s="169">
        <v>1246.3636363636365</v>
      </c>
      <c r="W19" s="169">
        <v>73.315508021390386</v>
      </c>
      <c r="X19" s="185">
        <f t="shared" si="1"/>
        <v>16</v>
      </c>
      <c r="Y19" s="494"/>
      <c r="Z19" s="169">
        <v>17</v>
      </c>
      <c r="AA19" s="169">
        <v>1250.2702702702693</v>
      </c>
      <c r="AB19" s="169">
        <v>73.545310015898195</v>
      </c>
      <c r="AC19" s="185">
        <f t="shared" si="2"/>
        <v>16</v>
      </c>
      <c r="AD19" s="494"/>
      <c r="AE19" s="169">
        <v>17</v>
      </c>
      <c r="AF19" s="169">
        <v>1289.0909090909074</v>
      </c>
      <c r="AG19" s="169">
        <v>75.828877005347493</v>
      </c>
      <c r="AH19" s="185">
        <f t="shared" si="3"/>
        <v>10</v>
      </c>
      <c r="AI19" s="494"/>
      <c r="AJ19" s="169">
        <v>17</v>
      </c>
      <c r="AK19" s="169">
        <v>1242.6315789473674</v>
      </c>
      <c r="AL19" s="169">
        <v>73.095975232198086</v>
      </c>
      <c r="AM19" s="185">
        <f t="shared" si="4"/>
        <v>16</v>
      </c>
      <c r="AN19" s="494"/>
      <c r="AO19" s="169">
        <v>17</v>
      </c>
      <c r="AP19" s="169">
        <v>1232.8571428571424</v>
      </c>
      <c r="AQ19" s="169">
        <v>72.521008403361321</v>
      </c>
      <c r="AR19" s="185">
        <f t="shared" si="5"/>
        <v>15</v>
      </c>
      <c r="AS19" s="494"/>
      <c r="AT19" s="169">
        <v>17</v>
      </c>
      <c r="AU19" s="169">
        <v>1273.1707317073167</v>
      </c>
      <c r="AV19" s="169">
        <v>74.892395982783341</v>
      </c>
      <c r="AW19" s="185">
        <f t="shared" si="6"/>
        <v>14</v>
      </c>
      <c r="AX19" s="494"/>
      <c r="AZ19" s="184" t="e">
        <f>RANK(AX19, $K$7:AX$36)</f>
        <v>#N/A</v>
      </c>
      <c r="BB19" s="185" t="e">
        <f t="shared" si="7"/>
        <v>#N/A</v>
      </c>
    </row>
    <row r="20" spans="2:54">
      <c r="B20" s="471"/>
      <c r="C20" s="185">
        <v>14</v>
      </c>
      <c r="D20" s="206" t="s">
        <v>288</v>
      </c>
      <c r="E20" s="169">
        <v>17</v>
      </c>
      <c r="F20" s="185">
        <v>1500</v>
      </c>
      <c r="G20" s="183">
        <v>88.235294117647058</v>
      </c>
      <c r="H20" s="452"/>
      <c r="I20" s="169">
        <f t="shared" si="8"/>
        <v>17</v>
      </c>
      <c r="J20" s="169">
        <f t="shared" si="9"/>
        <v>1279.448956438104</v>
      </c>
      <c r="K20" s="183">
        <f t="shared" si="10"/>
        <v>75.261703319888468</v>
      </c>
      <c r="L20" s="452"/>
      <c r="M20" s="184">
        <f>RANK(K20, $K$7:K$36)</f>
        <v>13</v>
      </c>
      <c r="N20" s="454"/>
      <c r="O20" s="454"/>
      <c r="P20" s="169">
        <v>17</v>
      </c>
      <c r="Q20" s="169">
        <v>1287.9310344827597</v>
      </c>
      <c r="R20" s="169">
        <v>75.760649087221168</v>
      </c>
      <c r="S20" s="185">
        <f t="shared" si="0"/>
        <v>11</v>
      </c>
      <c r="T20" s="494"/>
      <c r="U20" s="169">
        <v>17</v>
      </c>
      <c r="V20" s="169">
        <v>1270.3846153846162</v>
      </c>
      <c r="W20" s="169">
        <v>74.72850678733036</v>
      </c>
      <c r="X20" s="185">
        <f t="shared" si="1"/>
        <v>15</v>
      </c>
      <c r="Y20" s="494"/>
      <c r="Z20" s="169">
        <v>17</v>
      </c>
      <c r="AA20" s="169">
        <v>1251.7647058823534</v>
      </c>
      <c r="AB20" s="169">
        <v>73.633217993079612</v>
      </c>
      <c r="AC20" s="185">
        <f t="shared" si="2"/>
        <v>15</v>
      </c>
      <c r="AD20" s="494"/>
      <c r="AE20" s="169">
        <v>17</v>
      </c>
      <c r="AF20" s="169">
        <v>1262.6666666666667</v>
      </c>
      <c r="AG20" s="169">
        <v>74.274509803921575</v>
      </c>
      <c r="AH20" s="185">
        <f t="shared" si="3"/>
        <v>14</v>
      </c>
      <c r="AI20" s="494"/>
      <c r="AJ20" s="169">
        <v>17</v>
      </c>
      <c r="AK20" s="169">
        <v>1309.5652173913043</v>
      </c>
      <c r="AL20" s="169">
        <v>77.033248081841421</v>
      </c>
      <c r="AM20" s="185">
        <f t="shared" si="4"/>
        <v>9</v>
      </c>
      <c r="AN20" s="494"/>
      <c r="AO20" s="169">
        <v>17</v>
      </c>
      <c r="AP20" s="169">
        <v>1293.0612244897964</v>
      </c>
      <c r="AQ20" s="169">
        <v>76.062424969988015</v>
      </c>
      <c r="AR20" s="185">
        <f t="shared" si="5"/>
        <v>12</v>
      </c>
      <c r="AS20" s="494"/>
      <c r="AT20" s="169">
        <v>17</v>
      </c>
      <c r="AU20" s="169">
        <v>1280.7692307692314</v>
      </c>
      <c r="AV20" s="169">
        <v>75.339366515837142</v>
      </c>
      <c r="AW20" s="185">
        <f t="shared" si="6"/>
        <v>12</v>
      </c>
      <c r="AX20" s="494"/>
      <c r="AZ20" s="184" t="e">
        <f>RANK(AX20, $K$7:AX$36)</f>
        <v>#N/A</v>
      </c>
      <c r="BB20" s="185" t="e">
        <f t="shared" si="7"/>
        <v>#N/A</v>
      </c>
    </row>
    <row r="21" spans="2:54">
      <c r="B21" s="471"/>
      <c r="C21" s="185">
        <v>15</v>
      </c>
      <c r="D21" s="206" t="s">
        <v>289</v>
      </c>
      <c r="E21" s="169">
        <v>17</v>
      </c>
      <c r="F21" s="185">
        <v>1440</v>
      </c>
      <c r="G21" s="183">
        <v>84.705882352941174</v>
      </c>
      <c r="H21" s="452"/>
      <c r="I21" s="169">
        <f t="shared" si="8"/>
        <v>17</v>
      </c>
      <c r="J21" s="169">
        <f t="shared" si="9"/>
        <v>1330.9297483376879</v>
      </c>
      <c r="K21" s="183">
        <f t="shared" si="10"/>
        <v>78.289985196334584</v>
      </c>
      <c r="L21" s="452"/>
      <c r="M21" s="169">
        <f>RANK(K21, $K$7:K$36)</f>
        <v>8</v>
      </c>
      <c r="N21" s="454"/>
      <c r="O21" s="454"/>
      <c r="P21" s="169">
        <v>17</v>
      </c>
      <c r="Q21" s="169">
        <v>1329.8249999999994</v>
      </c>
      <c r="R21" s="169">
        <v>78.224999999999966</v>
      </c>
      <c r="S21" s="185">
        <f t="shared" si="0"/>
        <v>8</v>
      </c>
      <c r="T21" s="494"/>
      <c r="U21" s="169">
        <v>17</v>
      </c>
      <c r="V21" s="169">
        <v>1355.4315789473674</v>
      </c>
      <c r="W21" s="169">
        <v>79.731269349845135</v>
      </c>
      <c r="X21" s="185">
        <f t="shared" si="1"/>
        <v>6</v>
      </c>
      <c r="Y21" s="494"/>
      <c r="Z21" s="169">
        <v>17</v>
      </c>
      <c r="AA21" s="169">
        <v>1318.5534246575332</v>
      </c>
      <c r="AB21" s="169">
        <v>77.561966156325482</v>
      </c>
      <c r="AC21" s="185">
        <f t="shared" si="2"/>
        <v>7</v>
      </c>
      <c r="AD21" s="494"/>
      <c r="AE21" s="169">
        <v>17</v>
      </c>
      <c r="AF21" s="169">
        <v>1305.0268656716403</v>
      </c>
      <c r="AG21" s="169">
        <v>76.766286215978838</v>
      </c>
      <c r="AH21" s="185">
        <f t="shared" si="3"/>
        <v>8</v>
      </c>
      <c r="AI21" s="494"/>
      <c r="AJ21" s="169">
        <v>17</v>
      </c>
      <c r="AK21" s="169">
        <v>1347.2250000000015</v>
      </c>
      <c r="AL21" s="169">
        <v>79.248529411764792</v>
      </c>
      <c r="AM21" s="185">
        <f t="shared" si="4"/>
        <v>5</v>
      </c>
      <c r="AN21" s="494"/>
      <c r="AO21" s="169">
        <v>17</v>
      </c>
      <c r="AP21" s="169">
        <v>1330.421052631578</v>
      </c>
      <c r="AQ21" s="169">
        <v>78.260061919504594</v>
      </c>
      <c r="AR21" s="185">
        <f t="shared" si="5"/>
        <v>8</v>
      </c>
      <c r="AS21" s="494"/>
      <c r="AT21" s="169">
        <v>17</v>
      </c>
      <c r="AU21" s="169">
        <v>1330.0253164556957</v>
      </c>
      <c r="AV21" s="169">
        <v>78.23678332092328</v>
      </c>
      <c r="AW21" s="185">
        <f t="shared" si="6"/>
        <v>8</v>
      </c>
      <c r="AX21" s="494"/>
      <c r="AZ21" s="169" t="e">
        <f>RANK(AX21, $K$7:AX$36)</f>
        <v>#N/A</v>
      </c>
      <c r="BB21" s="185" t="e">
        <f t="shared" si="7"/>
        <v>#N/A</v>
      </c>
    </row>
    <row r="22" spans="2:54">
      <c r="B22" s="471"/>
      <c r="C22" s="185">
        <v>16</v>
      </c>
      <c r="D22" s="206" t="s">
        <v>290</v>
      </c>
      <c r="E22" s="169">
        <v>15</v>
      </c>
      <c r="F22" s="185">
        <v>1440</v>
      </c>
      <c r="G22" s="183">
        <v>96</v>
      </c>
      <c r="H22" s="452"/>
      <c r="I22" s="169">
        <f t="shared" si="8"/>
        <v>16</v>
      </c>
      <c r="J22" s="169">
        <f t="shared" si="9"/>
        <v>1269.5781825098277</v>
      </c>
      <c r="K22" s="183">
        <f t="shared" si="10"/>
        <v>79.34863640686423</v>
      </c>
      <c r="L22" s="452"/>
      <c r="M22" s="169">
        <f>RANK(K22, $K$7:K$36)</f>
        <v>7</v>
      </c>
      <c r="N22" s="454"/>
      <c r="O22" s="454"/>
      <c r="P22" s="169">
        <v>16</v>
      </c>
      <c r="Q22" s="169">
        <v>1290.8823529411779</v>
      </c>
      <c r="R22" s="169">
        <v>80.680147058823621</v>
      </c>
      <c r="S22" s="185">
        <f t="shared" si="0"/>
        <v>5</v>
      </c>
      <c r="T22" s="494"/>
      <c r="U22" s="169">
        <v>16</v>
      </c>
      <c r="V22" s="169">
        <v>1264.4776119403</v>
      </c>
      <c r="W22" s="169">
        <v>79.02985074626875</v>
      </c>
      <c r="X22" s="185">
        <f t="shared" si="1"/>
        <v>7</v>
      </c>
      <c r="Y22" s="494"/>
      <c r="Z22" s="169">
        <v>16</v>
      </c>
      <c r="AA22" s="169">
        <v>1299.0000000000011</v>
      </c>
      <c r="AB22" s="169">
        <v>81.187500000000071</v>
      </c>
      <c r="AC22" s="185">
        <f t="shared" si="2"/>
        <v>6</v>
      </c>
      <c r="AD22" s="494"/>
      <c r="AE22" s="169">
        <v>16</v>
      </c>
      <c r="AF22" s="169">
        <v>1252.0000000000011</v>
      </c>
      <c r="AG22" s="169">
        <v>78.250000000000071</v>
      </c>
      <c r="AH22" s="185">
        <f t="shared" si="3"/>
        <v>7</v>
      </c>
      <c r="AI22" s="494"/>
      <c r="AJ22" s="169">
        <v>16</v>
      </c>
      <c r="AK22" s="169">
        <v>1259.0769230769245</v>
      </c>
      <c r="AL22" s="169">
        <v>78.692307692307779</v>
      </c>
      <c r="AM22" s="185">
        <f t="shared" si="4"/>
        <v>7</v>
      </c>
      <c r="AN22" s="494"/>
      <c r="AO22" s="169">
        <v>16</v>
      </c>
      <c r="AP22" s="169">
        <v>1263.4285714285702</v>
      </c>
      <c r="AQ22" s="169">
        <v>78.964285714285637</v>
      </c>
      <c r="AR22" s="185">
        <f t="shared" si="5"/>
        <v>6</v>
      </c>
      <c r="AS22" s="494"/>
      <c r="AT22" s="169">
        <v>16</v>
      </c>
      <c r="AU22" s="169">
        <v>1258.1818181818196</v>
      </c>
      <c r="AV22" s="169">
        <v>78.636363636363726</v>
      </c>
      <c r="AW22" s="185">
        <f t="shared" si="6"/>
        <v>7</v>
      </c>
      <c r="AX22" s="494"/>
      <c r="AZ22" s="169" t="e">
        <f>RANK(AX22, $K$7:AX$36)</f>
        <v>#N/A</v>
      </c>
      <c r="BB22" s="185" t="e">
        <f t="shared" si="7"/>
        <v>#N/A</v>
      </c>
    </row>
    <row r="23" spans="2:54">
      <c r="B23" s="471"/>
      <c r="C23" s="185">
        <v>17</v>
      </c>
      <c r="D23" s="206" t="s">
        <v>291</v>
      </c>
      <c r="E23" s="169">
        <v>16</v>
      </c>
      <c r="F23" s="185">
        <v>1440</v>
      </c>
      <c r="G23" s="183">
        <v>90</v>
      </c>
      <c r="H23" s="452"/>
      <c r="I23" s="169">
        <f t="shared" si="8"/>
        <v>16.714285714285715</v>
      </c>
      <c r="J23" s="169">
        <f t="shared" si="9"/>
        <v>1340.4985686588147</v>
      </c>
      <c r="K23" s="183">
        <f t="shared" si="10"/>
        <v>80.244585768219807</v>
      </c>
      <c r="L23" s="452"/>
      <c r="M23" s="169">
        <f>RANK(K23, $K$7:K$36)</f>
        <v>6</v>
      </c>
      <c r="N23" s="454"/>
      <c r="O23" s="454"/>
      <c r="P23" s="169">
        <v>17</v>
      </c>
      <c r="Q23" s="169">
        <v>1365.263157894738</v>
      </c>
      <c r="R23" s="169">
        <v>80.309597523219878</v>
      </c>
      <c r="S23" s="185">
        <f t="shared" si="0"/>
        <v>6</v>
      </c>
      <c r="T23" s="494"/>
      <c r="U23" s="169">
        <v>17</v>
      </c>
      <c r="V23" s="169">
        <v>1359.2079207920797</v>
      </c>
      <c r="W23" s="169">
        <v>79.953407105416446</v>
      </c>
      <c r="X23" s="185">
        <f t="shared" si="1"/>
        <v>5</v>
      </c>
      <c r="Y23" s="494"/>
      <c r="Z23" s="169">
        <v>16</v>
      </c>
      <c r="AA23" s="169">
        <v>1343.4000000000005</v>
      </c>
      <c r="AB23" s="169">
        <v>83.962500000000034</v>
      </c>
      <c r="AC23" s="185">
        <f t="shared" si="2"/>
        <v>4</v>
      </c>
      <c r="AD23" s="494"/>
      <c r="AE23" s="169">
        <v>16</v>
      </c>
      <c r="AF23" s="169">
        <v>1306.4516129032261</v>
      </c>
      <c r="AG23" s="169">
        <v>81.65322580645163</v>
      </c>
      <c r="AH23" s="185">
        <f t="shared" si="3"/>
        <v>4</v>
      </c>
      <c r="AI23" s="494"/>
      <c r="AJ23" s="169">
        <v>17</v>
      </c>
      <c r="AK23" s="169">
        <v>1315.3846153846155</v>
      </c>
      <c r="AL23" s="169">
        <v>77.375565610859738</v>
      </c>
      <c r="AM23" s="185">
        <f t="shared" si="4"/>
        <v>8</v>
      </c>
      <c r="AN23" s="494"/>
      <c r="AO23" s="169">
        <v>17</v>
      </c>
      <c r="AP23" s="169">
        <v>1333.3980582524277</v>
      </c>
      <c r="AQ23" s="169">
        <v>78.435179897201635</v>
      </c>
      <c r="AR23" s="185">
        <f t="shared" si="5"/>
        <v>7</v>
      </c>
      <c r="AS23" s="494"/>
      <c r="AT23" s="169">
        <v>17</v>
      </c>
      <c r="AU23" s="169">
        <v>1360.3846153846162</v>
      </c>
      <c r="AV23" s="169">
        <v>80.022624434389186</v>
      </c>
      <c r="AW23" s="185">
        <f t="shared" si="6"/>
        <v>6</v>
      </c>
      <c r="AX23" s="494"/>
      <c r="AZ23" s="169" t="e">
        <f>RANK(AX23, $K$7:AX$36)</f>
        <v>#N/A</v>
      </c>
      <c r="BB23" s="185" t="e">
        <f t="shared" si="7"/>
        <v>#N/A</v>
      </c>
    </row>
    <row r="24" spans="2:54">
      <c r="B24" s="471"/>
      <c r="C24" s="185">
        <v>18</v>
      </c>
      <c r="D24" s="206" t="s">
        <v>292</v>
      </c>
      <c r="E24" s="169">
        <v>17</v>
      </c>
      <c r="F24" s="185">
        <v>1636</v>
      </c>
      <c r="G24" s="183">
        <v>96.235294117647058</v>
      </c>
      <c r="H24" s="452"/>
      <c r="I24" s="169">
        <f t="shared" si="8"/>
        <v>17</v>
      </c>
      <c r="J24" s="169">
        <f t="shared" si="9"/>
        <v>1282.431949090718</v>
      </c>
      <c r="K24" s="183">
        <f t="shared" si="10"/>
        <v>75.437173475924581</v>
      </c>
      <c r="L24" s="452"/>
      <c r="M24" s="169">
        <f>RANK(K24, $K$7:K$36)</f>
        <v>12</v>
      </c>
      <c r="N24" s="454"/>
      <c r="O24" s="454"/>
      <c r="P24" s="169">
        <v>17</v>
      </c>
      <c r="Q24" s="169">
        <v>1279.6153846153852</v>
      </c>
      <c r="R24" s="169">
        <v>75.271493212669725</v>
      </c>
      <c r="S24" s="185">
        <f t="shared" si="0"/>
        <v>12</v>
      </c>
      <c r="T24" s="494"/>
      <c r="U24" s="169">
        <v>17</v>
      </c>
      <c r="V24" s="169">
        <v>1289.3333333333333</v>
      </c>
      <c r="W24" s="169">
        <v>75.843137254901961</v>
      </c>
      <c r="X24" s="185">
        <f t="shared" si="1"/>
        <v>13</v>
      </c>
      <c r="Y24" s="494"/>
      <c r="Z24" s="169">
        <v>17</v>
      </c>
      <c r="AA24" s="169">
        <v>1296.3157894736833</v>
      </c>
      <c r="AB24" s="169">
        <v>76.253869969040196</v>
      </c>
      <c r="AC24" s="185">
        <f t="shared" si="2"/>
        <v>9</v>
      </c>
      <c r="AD24" s="494"/>
      <c r="AE24" s="169">
        <v>17</v>
      </c>
      <c r="AF24" s="169">
        <v>1249.4999999999995</v>
      </c>
      <c r="AG24" s="169">
        <v>73.499999999999972</v>
      </c>
      <c r="AH24" s="185">
        <f t="shared" si="3"/>
        <v>15</v>
      </c>
      <c r="AI24" s="494"/>
      <c r="AJ24" s="169">
        <v>17</v>
      </c>
      <c r="AK24" s="169">
        <v>1257.1428571428567</v>
      </c>
      <c r="AL24" s="169">
        <v>73.949579831932738</v>
      </c>
      <c r="AM24" s="185">
        <f t="shared" si="4"/>
        <v>14</v>
      </c>
      <c r="AN24" s="494"/>
      <c r="AO24" s="169">
        <v>17</v>
      </c>
      <c r="AP24" s="169">
        <v>1296.2790697674418</v>
      </c>
      <c r="AQ24" s="169">
        <v>76.251709986320108</v>
      </c>
      <c r="AR24" s="185">
        <f t="shared" si="5"/>
        <v>11</v>
      </c>
      <c r="AS24" s="494"/>
      <c r="AT24" s="169">
        <v>17</v>
      </c>
      <c r="AU24" s="169">
        <v>1308.8372093023254</v>
      </c>
      <c r="AV24" s="169">
        <v>76.990424076607383</v>
      </c>
      <c r="AW24" s="185">
        <f t="shared" si="6"/>
        <v>9</v>
      </c>
      <c r="AX24" s="494"/>
      <c r="AZ24" s="169" t="e">
        <f>RANK(AX24, $K$7:AX$36)</f>
        <v>#N/A</v>
      </c>
      <c r="BB24" s="185" t="e">
        <f t="shared" si="7"/>
        <v>#N/A</v>
      </c>
    </row>
    <row r="25" spans="2:54">
      <c r="B25" s="471"/>
      <c r="C25" s="185">
        <v>19</v>
      </c>
      <c r="D25" s="206" t="s">
        <v>293</v>
      </c>
      <c r="E25" s="169">
        <v>18</v>
      </c>
      <c r="F25" s="185">
        <v>1440</v>
      </c>
      <c r="G25" s="183">
        <v>80</v>
      </c>
      <c r="H25" s="452"/>
      <c r="I25" s="169">
        <f t="shared" si="8"/>
        <v>18</v>
      </c>
      <c r="J25" s="169">
        <f t="shared" si="9"/>
        <v>1287.4090709573973</v>
      </c>
      <c r="K25" s="183">
        <f t="shared" si="10"/>
        <v>71.52272616429984</v>
      </c>
      <c r="L25" s="452"/>
      <c r="M25" s="169">
        <f>RANK(K25, $K$7:K$36)</f>
        <v>16</v>
      </c>
      <c r="N25" s="454"/>
      <c r="O25" s="454"/>
      <c r="P25" s="169">
        <v>18</v>
      </c>
      <c r="Q25" s="169">
        <v>1306.0465116279067</v>
      </c>
      <c r="R25" s="169">
        <v>72.558139534883708</v>
      </c>
      <c r="S25" s="185">
        <f t="shared" si="0"/>
        <v>17</v>
      </c>
      <c r="T25" s="494"/>
      <c r="U25" s="169">
        <v>18</v>
      </c>
      <c r="V25" s="169">
        <v>1311.3157894736833</v>
      </c>
      <c r="W25" s="169">
        <v>72.850877192982409</v>
      </c>
      <c r="X25" s="185">
        <f t="shared" si="1"/>
        <v>17</v>
      </c>
      <c r="Y25" s="494"/>
      <c r="Z25" s="169">
        <v>18</v>
      </c>
      <c r="AA25" s="169">
        <v>1250.8333333333323</v>
      </c>
      <c r="AB25" s="169">
        <v>69.490740740740691</v>
      </c>
      <c r="AC25" s="185">
        <f t="shared" si="2"/>
        <v>18</v>
      </c>
      <c r="AD25" s="494"/>
      <c r="AE25" s="169">
        <v>18</v>
      </c>
      <c r="AF25" s="169">
        <v>1310.0000000000014</v>
      </c>
      <c r="AG25" s="169">
        <v>72.777777777777857</v>
      </c>
      <c r="AH25" s="185">
        <f t="shared" si="3"/>
        <v>16</v>
      </c>
      <c r="AI25" s="494"/>
      <c r="AJ25" s="169">
        <v>18</v>
      </c>
      <c r="AK25" s="169">
        <v>1292.4999999999991</v>
      </c>
      <c r="AL25" s="169">
        <v>71.8055555555555</v>
      </c>
      <c r="AM25" s="185">
        <f t="shared" si="4"/>
        <v>17</v>
      </c>
      <c r="AN25" s="494"/>
      <c r="AO25" s="169">
        <v>18</v>
      </c>
      <c r="AP25" s="169">
        <v>1261.4117647058822</v>
      </c>
      <c r="AQ25" s="169">
        <v>70.078431372549005</v>
      </c>
      <c r="AR25" s="185">
        <f t="shared" si="5"/>
        <v>17</v>
      </c>
      <c r="AS25" s="494"/>
      <c r="AT25" s="169">
        <v>18</v>
      </c>
      <c r="AU25" s="169">
        <v>1279.7560975609751</v>
      </c>
      <c r="AV25" s="169">
        <v>71.097560975609724</v>
      </c>
      <c r="AW25" s="185">
        <f t="shared" si="6"/>
        <v>16</v>
      </c>
      <c r="AX25" s="494"/>
      <c r="AZ25" s="169" t="e">
        <f>RANK(AX25, $K$7:AX$36)</f>
        <v>#N/A</v>
      </c>
      <c r="BB25" s="185" t="e">
        <f t="shared" si="7"/>
        <v>#N/A</v>
      </c>
    </row>
    <row r="26" spans="2:54">
      <c r="B26" s="471"/>
      <c r="C26" s="185">
        <v>20</v>
      </c>
      <c r="D26" s="206" t="s">
        <v>294</v>
      </c>
      <c r="E26" s="169">
        <v>18</v>
      </c>
      <c r="F26" s="185">
        <v>1500</v>
      </c>
      <c r="G26" s="183">
        <v>83.333333333333329</v>
      </c>
      <c r="H26" s="452"/>
      <c r="I26" s="169">
        <f t="shared" si="8"/>
        <v>17</v>
      </c>
      <c r="J26" s="169">
        <f t="shared" si="9"/>
        <v>1199.9908827268373</v>
      </c>
      <c r="K26" s="183">
        <f t="shared" si="10"/>
        <v>70.587698983931617</v>
      </c>
      <c r="L26" s="452"/>
      <c r="M26" s="169">
        <f>RANK(K26, $K$7:K$36)</f>
        <v>17</v>
      </c>
      <c r="N26" s="454"/>
      <c r="O26" s="454"/>
      <c r="P26" s="169">
        <v>17</v>
      </c>
      <c r="Q26" s="169">
        <v>1276.8749999999982</v>
      </c>
      <c r="R26" s="169">
        <v>75.110294117646959</v>
      </c>
      <c r="S26" s="185">
        <f t="shared" si="0"/>
        <v>13</v>
      </c>
      <c r="T26" s="494"/>
      <c r="U26" s="169">
        <v>17</v>
      </c>
      <c r="V26" s="169">
        <v>1285.9999999999977</v>
      </c>
      <c r="W26" s="169">
        <v>75.647058823529278</v>
      </c>
      <c r="X26" s="185">
        <f t="shared" si="1"/>
        <v>14</v>
      </c>
      <c r="Y26" s="494"/>
      <c r="Z26" s="169">
        <v>17</v>
      </c>
      <c r="AA26" s="169">
        <v>1271.6129032258045</v>
      </c>
      <c r="AB26" s="169">
        <v>74.800759013282615</v>
      </c>
      <c r="AC26" s="185">
        <f t="shared" si="2"/>
        <v>12</v>
      </c>
      <c r="AD26" s="494"/>
      <c r="AE26" s="169">
        <v>17</v>
      </c>
      <c r="AF26" s="169">
        <v>1109.9999999999984</v>
      </c>
      <c r="AG26" s="169">
        <v>65.294117647058727</v>
      </c>
      <c r="AH26" s="185">
        <f t="shared" si="3"/>
        <v>23</v>
      </c>
      <c r="AI26" s="494"/>
      <c r="AJ26" s="169">
        <v>17</v>
      </c>
      <c r="AK26" s="169">
        <v>1243.4482758620666</v>
      </c>
      <c r="AL26" s="169">
        <v>73.144016227180387</v>
      </c>
      <c r="AM26" s="185">
        <f t="shared" si="4"/>
        <v>15</v>
      </c>
      <c r="AN26" s="494"/>
      <c r="AO26" s="169">
        <v>17</v>
      </c>
      <c r="AP26" s="169">
        <v>1101.9999999999982</v>
      </c>
      <c r="AQ26" s="169">
        <v>64.823529411764596</v>
      </c>
      <c r="AR26" s="185">
        <f t="shared" si="5"/>
        <v>23</v>
      </c>
      <c r="AS26" s="494"/>
      <c r="AT26" s="169">
        <v>17</v>
      </c>
      <c r="AU26" s="169">
        <v>1109.9999999999982</v>
      </c>
      <c r="AV26" s="169">
        <v>65.294117647058712</v>
      </c>
      <c r="AW26" s="185">
        <f t="shared" si="6"/>
        <v>23</v>
      </c>
      <c r="AX26" s="494"/>
      <c r="AZ26" s="169" t="e">
        <f>RANK(AX26, $K$7:AX$36)</f>
        <v>#N/A</v>
      </c>
      <c r="BB26" s="185" t="e">
        <f t="shared" si="7"/>
        <v>#N/A</v>
      </c>
    </row>
    <row r="27" spans="2:54">
      <c r="B27" s="471"/>
      <c r="C27" s="185">
        <v>21</v>
      </c>
      <c r="D27" s="206" t="s">
        <v>295</v>
      </c>
      <c r="E27" s="169">
        <v>18</v>
      </c>
      <c r="F27" s="185">
        <v>1500</v>
      </c>
      <c r="G27" s="183">
        <v>83.333333333333329</v>
      </c>
      <c r="H27" s="452"/>
      <c r="I27" s="169">
        <f t="shared" si="8"/>
        <v>18</v>
      </c>
      <c r="J27" s="169">
        <f t="shared" si="9"/>
        <v>1268.3137700568925</v>
      </c>
      <c r="K27" s="183">
        <f t="shared" si="10"/>
        <v>70.461876114271803</v>
      </c>
      <c r="L27" s="452"/>
      <c r="M27" s="169">
        <f>RANK(K27, $K$7:K$36)</f>
        <v>18</v>
      </c>
      <c r="N27" s="454"/>
      <c r="O27" s="454"/>
      <c r="P27" s="169">
        <v>18</v>
      </c>
      <c r="Q27" s="169">
        <v>1259.2682926829264</v>
      </c>
      <c r="R27" s="169">
        <v>69.959349593495915</v>
      </c>
      <c r="S27" s="185">
        <f t="shared" si="0"/>
        <v>18</v>
      </c>
      <c r="T27" s="494"/>
      <c r="U27" s="169">
        <v>18</v>
      </c>
      <c r="V27" s="169">
        <v>1299.4520547945197</v>
      </c>
      <c r="W27" s="169">
        <v>72.19178082191776</v>
      </c>
      <c r="X27" s="185">
        <f t="shared" si="1"/>
        <v>18</v>
      </c>
      <c r="Y27" s="494"/>
      <c r="Z27" s="169">
        <v>18</v>
      </c>
      <c r="AA27" s="169">
        <v>1270.4347826086944</v>
      </c>
      <c r="AB27" s="169">
        <v>70.579710144927461</v>
      </c>
      <c r="AC27" s="185">
        <f t="shared" si="2"/>
        <v>17</v>
      </c>
      <c r="AD27" s="494"/>
      <c r="AE27" s="169">
        <v>18</v>
      </c>
      <c r="AF27" s="169">
        <v>1269.8507462686553</v>
      </c>
      <c r="AG27" s="169">
        <v>70.547263681591957</v>
      </c>
      <c r="AH27" s="185">
        <f t="shared" si="3"/>
        <v>17</v>
      </c>
      <c r="AI27" s="494"/>
      <c r="AJ27" s="169">
        <v>18</v>
      </c>
      <c r="AK27" s="169">
        <v>1250.2941176470572</v>
      </c>
      <c r="AL27" s="169">
        <v>69.460784313725398</v>
      </c>
      <c r="AM27" s="185">
        <f t="shared" si="4"/>
        <v>18</v>
      </c>
      <c r="AN27" s="494"/>
      <c r="AO27" s="169">
        <v>18</v>
      </c>
      <c r="AP27" s="169">
        <v>1269.7297297297289</v>
      </c>
      <c r="AQ27" s="169">
        <v>70.540540540540491</v>
      </c>
      <c r="AR27" s="185">
        <f t="shared" si="5"/>
        <v>16</v>
      </c>
      <c r="AS27" s="494"/>
      <c r="AT27" s="169">
        <v>18</v>
      </c>
      <c r="AU27" s="169">
        <v>1259.1666666666656</v>
      </c>
      <c r="AV27" s="169">
        <v>69.953703703703638</v>
      </c>
      <c r="AW27" s="185">
        <f t="shared" si="6"/>
        <v>18</v>
      </c>
      <c r="AX27" s="494"/>
      <c r="AZ27" s="169" t="e">
        <f>RANK(AX27, $K$7:AX$36)</f>
        <v>#N/A</v>
      </c>
      <c r="BB27" s="185" t="e">
        <f t="shared" si="7"/>
        <v>#N/A</v>
      </c>
    </row>
    <row r="28" spans="2:54">
      <c r="B28" s="471"/>
      <c r="C28" s="185">
        <v>22</v>
      </c>
      <c r="D28" s="206" t="s">
        <v>296</v>
      </c>
      <c r="E28" s="169">
        <v>17</v>
      </c>
      <c r="F28" s="185">
        <v>1440</v>
      </c>
      <c r="G28" s="183">
        <v>84.705882352941174</v>
      </c>
      <c r="H28" s="452"/>
      <c r="I28" s="169">
        <f t="shared" si="8"/>
        <v>17</v>
      </c>
      <c r="J28" s="169">
        <f t="shared" si="9"/>
        <v>1277.0626498556553</v>
      </c>
      <c r="K28" s="183">
        <f t="shared" si="10"/>
        <v>75.121332344450295</v>
      </c>
      <c r="L28" s="452"/>
      <c r="M28" s="169">
        <f>RANK(K28, $K$7:K$36)</f>
        <v>14</v>
      </c>
      <c r="N28" s="454"/>
      <c r="O28" s="454"/>
      <c r="P28" s="169">
        <v>17</v>
      </c>
      <c r="Q28" s="169">
        <v>1258.9285714285722</v>
      </c>
      <c r="R28" s="169">
        <v>74.054621848739544</v>
      </c>
      <c r="S28" s="185">
        <f t="shared" si="0"/>
        <v>15</v>
      </c>
      <c r="T28" s="494"/>
      <c r="U28" s="169">
        <v>17</v>
      </c>
      <c r="V28" s="169">
        <v>1318.695652173913</v>
      </c>
      <c r="W28" s="169">
        <v>77.570332480818408</v>
      </c>
      <c r="X28" s="185">
        <f t="shared" si="1"/>
        <v>8</v>
      </c>
      <c r="Y28" s="494"/>
      <c r="Z28" s="169">
        <v>17</v>
      </c>
      <c r="AA28" s="169">
        <v>1258.6363636363635</v>
      </c>
      <c r="AB28" s="169">
        <v>74.037433155080208</v>
      </c>
      <c r="AC28" s="185">
        <f t="shared" si="2"/>
        <v>14</v>
      </c>
      <c r="AD28" s="494"/>
      <c r="AE28" s="169">
        <v>17</v>
      </c>
      <c r="AF28" s="169">
        <v>1288.4999999999995</v>
      </c>
      <c r="AG28" s="169">
        <v>75.794117647058798</v>
      </c>
      <c r="AH28" s="185">
        <f t="shared" si="3"/>
        <v>11</v>
      </c>
      <c r="AI28" s="494"/>
      <c r="AJ28" s="169">
        <v>17</v>
      </c>
      <c r="AK28" s="169">
        <v>1269.3333333333333</v>
      </c>
      <c r="AL28" s="169">
        <v>74.666666666666657</v>
      </c>
      <c r="AM28" s="185">
        <f t="shared" si="4"/>
        <v>13</v>
      </c>
      <c r="AN28" s="494"/>
      <c r="AO28" s="169">
        <v>17</v>
      </c>
      <c r="AP28" s="169">
        <v>1264.5283018867931</v>
      </c>
      <c r="AQ28" s="169">
        <v>74.384017758046653</v>
      </c>
      <c r="AR28" s="185">
        <f t="shared" si="5"/>
        <v>13</v>
      </c>
      <c r="AS28" s="494"/>
      <c r="AT28" s="169">
        <v>17</v>
      </c>
      <c r="AU28" s="169">
        <v>1280.8163265306125</v>
      </c>
      <c r="AV28" s="169">
        <v>75.342136854741909</v>
      </c>
      <c r="AW28" s="185">
        <f t="shared" si="6"/>
        <v>11</v>
      </c>
      <c r="AX28" s="494"/>
      <c r="AZ28" s="169" t="e">
        <f>RANK(AX28, $K$7:AX$36)</f>
        <v>#N/A</v>
      </c>
      <c r="BB28" s="185" t="e">
        <f t="shared" si="7"/>
        <v>#N/A</v>
      </c>
    </row>
    <row r="29" spans="2:54">
      <c r="B29" s="471"/>
      <c r="C29" s="185">
        <v>23</v>
      </c>
      <c r="D29" s="206" t="s">
        <v>297</v>
      </c>
      <c r="E29" s="169">
        <v>18</v>
      </c>
      <c r="F29" s="185">
        <v>1385</v>
      </c>
      <c r="G29" s="183">
        <v>76.944444444444443</v>
      </c>
      <c r="H29" s="452"/>
      <c r="I29" s="169">
        <f t="shared" si="8"/>
        <v>17.714285714285715</v>
      </c>
      <c r="J29" s="169">
        <f t="shared" si="9"/>
        <v>1172.8891853951004</v>
      </c>
      <c r="K29" s="183">
        <f t="shared" si="10"/>
        <v>66.267105218397006</v>
      </c>
      <c r="L29" s="452"/>
      <c r="M29" s="169">
        <f>RANK(K29, $K$7:K$36)</f>
        <v>23</v>
      </c>
      <c r="N29" s="454"/>
      <c r="O29" s="454"/>
      <c r="P29" s="169">
        <v>18</v>
      </c>
      <c r="Q29" s="169">
        <v>1189.5652173913043</v>
      </c>
      <c r="R29" s="169">
        <v>66.086956521739125</v>
      </c>
      <c r="S29" s="185">
        <f t="shared" si="0"/>
        <v>21</v>
      </c>
      <c r="T29" s="494"/>
      <c r="U29" s="169">
        <v>18</v>
      </c>
      <c r="V29" s="169">
        <v>1160.2247191011236</v>
      </c>
      <c r="W29" s="169">
        <v>64.456928838951313</v>
      </c>
      <c r="X29" s="185">
        <f t="shared" si="1"/>
        <v>24</v>
      </c>
      <c r="Y29" s="494"/>
      <c r="Z29" s="169">
        <v>18</v>
      </c>
      <c r="AA29" s="169">
        <v>1157.5999999999992</v>
      </c>
      <c r="AB29" s="169">
        <v>64.311111111111074</v>
      </c>
      <c r="AC29" s="185">
        <f t="shared" si="2"/>
        <v>24</v>
      </c>
      <c r="AD29" s="494"/>
      <c r="AE29" s="169">
        <v>18</v>
      </c>
      <c r="AF29" s="169">
        <v>1164.4067796610179</v>
      </c>
      <c r="AG29" s="169">
        <v>64.689265536723212</v>
      </c>
      <c r="AH29" s="185">
        <f t="shared" si="3"/>
        <v>24</v>
      </c>
      <c r="AI29" s="494"/>
      <c r="AJ29" s="169">
        <v>17</v>
      </c>
      <c r="AK29" s="169">
        <v>1164.7999999999993</v>
      </c>
      <c r="AL29" s="169">
        <v>68.517647058823485</v>
      </c>
      <c r="AM29" s="185">
        <f t="shared" si="4"/>
        <v>21</v>
      </c>
      <c r="AN29" s="494"/>
      <c r="AO29" s="169">
        <v>18</v>
      </c>
      <c r="AP29" s="169">
        <v>1168.1012658227842</v>
      </c>
      <c r="AQ29" s="169">
        <v>64.894514767932449</v>
      </c>
      <c r="AR29" s="185">
        <f t="shared" si="5"/>
        <v>22</v>
      </c>
      <c r="AS29" s="494"/>
      <c r="AT29" s="169">
        <v>17</v>
      </c>
      <c r="AU29" s="169">
        <v>1205.5263157894728</v>
      </c>
      <c r="AV29" s="169">
        <v>70.913312693498398</v>
      </c>
      <c r="AW29" s="185">
        <f t="shared" si="6"/>
        <v>17</v>
      </c>
      <c r="AX29" s="494"/>
      <c r="AZ29" s="169" t="e">
        <f>RANK(AX29, $K$7:AX$36)</f>
        <v>#N/A</v>
      </c>
      <c r="BB29" s="185" t="e">
        <f t="shared" si="7"/>
        <v>#N/A</v>
      </c>
    </row>
    <row r="30" spans="2:54">
      <c r="B30" s="471"/>
      <c r="C30" s="185">
        <v>24</v>
      </c>
      <c r="D30" s="206" t="s">
        <v>283</v>
      </c>
      <c r="E30" s="169">
        <v>18</v>
      </c>
      <c r="F30" s="185">
        <v>1440</v>
      </c>
      <c r="G30" s="183">
        <v>80</v>
      </c>
      <c r="H30" s="452"/>
      <c r="I30" s="169">
        <f t="shared" si="8"/>
        <v>17.571428571428573</v>
      </c>
      <c r="J30" s="169">
        <f t="shared" si="9"/>
        <v>1171.724036872562</v>
      </c>
      <c r="K30" s="183">
        <f t="shared" si="10"/>
        <v>66.728322601125882</v>
      </c>
      <c r="L30" s="452"/>
      <c r="M30" s="169">
        <f>RANK(K30, $K$7:K$36)</f>
        <v>21</v>
      </c>
      <c r="N30" s="454"/>
      <c r="O30" s="454"/>
      <c r="P30" s="185">
        <v>18</v>
      </c>
      <c r="Q30" s="183">
        <v>1170.8999999999996</v>
      </c>
      <c r="R30" s="183">
        <v>65.049999999999983</v>
      </c>
      <c r="S30" s="185">
        <f t="shared" si="0"/>
        <v>22</v>
      </c>
      <c r="T30" s="494"/>
      <c r="U30" s="185">
        <v>18</v>
      </c>
      <c r="V30" s="183">
        <v>1177.0529801324508</v>
      </c>
      <c r="W30" s="183">
        <v>65.391832229580601</v>
      </c>
      <c r="X30" s="185">
        <f t="shared" si="1"/>
        <v>21</v>
      </c>
      <c r="Y30" s="494"/>
      <c r="Z30" s="185">
        <v>18</v>
      </c>
      <c r="AA30" s="183">
        <v>1173.5049504950498</v>
      </c>
      <c r="AB30" s="183">
        <v>65.194719471947209</v>
      </c>
      <c r="AC30" s="185">
        <f t="shared" si="2"/>
        <v>22</v>
      </c>
      <c r="AD30" s="494"/>
      <c r="AE30" s="185">
        <v>18</v>
      </c>
      <c r="AF30" s="183">
        <v>1183.7037037037032</v>
      </c>
      <c r="AG30" s="183">
        <v>65.761316872427955</v>
      </c>
      <c r="AH30" s="185">
        <f t="shared" si="3"/>
        <v>21</v>
      </c>
      <c r="AI30" s="494"/>
      <c r="AJ30" s="185">
        <v>17</v>
      </c>
      <c r="AK30" s="183">
        <v>1166.6249999999995</v>
      </c>
      <c r="AL30" s="183">
        <v>68.624999999999972</v>
      </c>
      <c r="AM30" s="185">
        <f t="shared" si="4"/>
        <v>19</v>
      </c>
      <c r="AN30" s="494"/>
      <c r="AO30" s="185">
        <v>17</v>
      </c>
      <c r="AP30" s="183">
        <v>1151.7977528089887</v>
      </c>
      <c r="AQ30" s="183">
        <v>67.752808988764045</v>
      </c>
      <c r="AR30" s="185">
        <f t="shared" si="5"/>
        <v>19</v>
      </c>
      <c r="AS30" s="494"/>
      <c r="AT30" s="185">
        <v>17</v>
      </c>
      <c r="AU30" s="183">
        <v>1178.4838709677422</v>
      </c>
      <c r="AV30" s="183">
        <v>69.32258064516131</v>
      </c>
      <c r="AW30" s="185">
        <f t="shared" si="6"/>
        <v>19</v>
      </c>
      <c r="AX30" s="494"/>
      <c r="AZ30" s="169" t="e">
        <f>RANK(AX30, $K$7:AX$36)</f>
        <v>#N/A</v>
      </c>
      <c r="BB30" s="185" t="e">
        <f t="shared" si="7"/>
        <v>#N/A</v>
      </c>
    </row>
    <row r="31" spans="2:54">
      <c r="B31" s="471"/>
      <c r="C31" s="185">
        <v>25</v>
      </c>
      <c r="D31" s="206" t="s">
        <v>298</v>
      </c>
      <c r="E31" s="169">
        <v>17</v>
      </c>
      <c r="F31" s="185">
        <v>1440</v>
      </c>
      <c r="G31" s="183">
        <v>84.705882352941174</v>
      </c>
      <c r="H31" s="452"/>
      <c r="I31" s="169">
        <f t="shared" si="8"/>
        <v>17</v>
      </c>
      <c r="J31" s="169">
        <f t="shared" si="9"/>
        <v>1283.0855514490663</v>
      </c>
      <c r="K31" s="183">
        <f t="shared" si="10"/>
        <v>75.475620673474481</v>
      </c>
      <c r="L31" s="452"/>
      <c r="M31" s="169">
        <f>RANK(K31, $K$7:K$36)</f>
        <v>10</v>
      </c>
      <c r="N31" s="454"/>
      <c r="O31" s="454"/>
      <c r="P31" s="185">
        <v>17</v>
      </c>
      <c r="Q31" s="183">
        <v>1270.7027027027029</v>
      </c>
      <c r="R31" s="183">
        <v>74.747217806041348</v>
      </c>
      <c r="S31" s="185">
        <f t="shared" si="0"/>
        <v>14</v>
      </c>
      <c r="T31" s="494"/>
      <c r="U31" s="185">
        <v>17</v>
      </c>
      <c r="V31" s="183">
        <v>1310.2499999999995</v>
      </c>
      <c r="W31" s="183">
        <v>77.073529411764682</v>
      </c>
      <c r="X31" s="185">
        <f t="shared" si="1"/>
        <v>9</v>
      </c>
      <c r="Y31" s="494"/>
      <c r="Z31" s="185">
        <v>17</v>
      </c>
      <c r="AA31" s="183">
        <v>1294.4347826086948</v>
      </c>
      <c r="AB31" s="183">
        <v>76.143222506393812</v>
      </c>
      <c r="AC31" s="185">
        <f t="shared" si="2"/>
        <v>11</v>
      </c>
      <c r="AD31" s="494"/>
      <c r="AE31" s="185">
        <v>17</v>
      </c>
      <c r="AF31" s="183">
        <v>1283.1818181818182</v>
      </c>
      <c r="AG31" s="183">
        <v>75.481283422459896</v>
      </c>
      <c r="AH31" s="185">
        <f t="shared" si="3"/>
        <v>12</v>
      </c>
      <c r="AI31" s="494"/>
      <c r="AJ31" s="185">
        <v>17</v>
      </c>
      <c r="AK31" s="183">
        <v>1299.9999999999995</v>
      </c>
      <c r="AL31" s="183">
        <v>76.470588235294088</v>
      </c>
      <c r="AM31" s="185">
        <f t="shared" si="4"/>
        <v>10</v>
      </c>
      <c r="AN31" s="494"/>
      <c r="AO31" s="185">
        <v>17</v>
      </c>
      <c r="AP31" s="183">
        <v>1257.8571428571438</v>
      </c>
      <c r="AQ31" s="183">
        <v>73.991596638655523</v>
      </c>
      <c r="AR31" s="185">
        <f t="shared" si="5"/>
        <v>14</v>
      </c>
      <c r="AS31" s="494"/>
      <c r="AT31" s="185">
        <v>17</v>
      </c>
      <c r="AU31" s="183">
        <v>1265.1724137931044</v>
      </c>
      <c r="AV31" s="183">
        <v>74.421906693712017</v>
      </c>
      <c r="AW31" s="185">
        <f t="shared" si="6"/>
        <v>15</v>
      </c>
      <c r="AX31" s="494"/>
      <c r="AZ31" s="169" t="e">
        <f>RANK(AX31, $K$7:AX$36)</f>
        <v>#N/A</v>
      </c>
      <c r="BB31" s="185" t="e">
        <f t="shared" si="7"/>
        <v>#N/A</v>
      </c>
    </row>
    <row r="32" spans="2:54">
      <c r="B32" s="471"/>
      <c r="C32" s="185">
        <v>26</v>
      </c>
      <c r="D32" s="206"/>
      <c r="E32" s="169"/>
      <c r="F32" s="185"/>
      <c r="G32" s="183"/>
      <c r="H32" s="452"/>
      <c r="I32" s="169"/>
      <c r="J32" s="169"/>
      <c r="K32" s="183"/>
      <c r="L32" s="452"/>
      <c r="M32" s="169" t="e">
        <f>RANK(K32, $K$7:K$36)</f>
        <v>#N/A</v>
      </c>
      <c r="N32" s="454"/>
      <c r="O32" s="454"/>
      <c r="P32" s="185"/>
      <c r="Q32" s="183"/>
      <c r="R32" s="183"/>
      <c r="S32" s="185" t="e">
        <f t="shared" si="0"/>
        <v>#N/A</v>
      </c>
      <c r="T32" s="494"/>
      <c r="U32" s="185"/>
      <c r="V32" s="183"/>
      <c r="W32" s="183"/>
      <c r="X32" s="185" t="e">
        <f t="shared" si="1"/>
        <v>#N/A</v>
      </c>
      <c r="Y32" s="494"/>
      <c r="Z32" s="185"/>
      <c r="AA32" s="183"/>
      <c r="AB32" s="183"/>
      <c r="AC32" s="185" t="e">
        <f t="shared" si="2"/>
        <v>#N/A</v>
      </c>
      <c r="AD32" s="494"/>
      <c r="AE32" s="185"/>
      <c r="AF32" s="183"/>
      <c r="AG32" s="183"/>
      <c r="AH32" s="185" t="e">
        <f t="shared" si="3"/>
        <v>#N/A</v>
      </c>
      <c r="AI32" s="494"/>
      <c r="AJ32" s="185"/>
      <c r="AK32" s="183"/>
      <c r="AL32" s="183"/>
      <c r="AM32" s="185" t="e">
        <f t="shared" si="4"/>
        <v>#N/A</v>
      </c>
      <c r="AN32" s="494"/>
      <c r="AO32" s="185"/>
      <c r="AP32" s="183"/>
      <c r="AQ32" s="183"/>
      <c r="AR32" s="185" t="e">
        <f t="shared" si="5"/>
        <v>#N/A</v>
      </c>
      <c r="AS32" s="494"/>
      <c r="AT32" s="185"/>
      <c r="AU32" s="183"/>
      <c r="AV32" s="183"/>
      <c r="AW32" s="185" t="e">
        <f t="shared" si="6"/>
        <v>#N/A</v>
      </c>
      <c r="AX32" s="494"/>
      <c r="AZ32" s="169" t="e">
        <f>RANK(AX32, $K$7:AX$36)</f>
        <v>#N/A</v>
      </c>
      <c r="BB32" s="185" t="e">
        <f t="shared" si="7"/>
        <v>#N/A</v>
      </c>
    </row>
    <row r="33" spans="2:54">
      <c r="B33" s="471"/>
      <c r="C33" s="185">
        <v>27</v>
      </c>
      <c r="D33" s="206"/>
      <c r="E33" s="169"/>
      <c r="F33" s="185"/>
      <c r="G33" s="183"/>
      <c r="H33" s="452"/>
      <c r="I33" s="169"/>
      <c r="J33" s="169"/>
      <c r="K33" s="183"/>
      <c r="L33" s="452"/>
      <c r="M33" s="169" t="e">
        <f>RANK(K33, $K$7:K$36)</f>
        <v>#N/A</v>
      </c>
      <c r="N33" s="454"/>
      <c r="O33" s="454"/>
      <c r="P33" s="185"/>
      <c r="Q33" s="183"/>
      <c r="R33" s="183"/>
      <c r="S33" s="185" t="e">
        <f t="shared" si="0"/>
        <v>#N/A</v>
      </c>
      <c r="T33" s="494"/>
      <c r="U33" s="185"/>
      <c r="V33" s="183"/>
      <c r="W33" s="183"/>
      <c r="X33" s="185" t="e">
        <f t="shared" si="1"/>
        <v>#N/A</v>
      </c>
      <c r="Y33" s="494"/>
      <c r="Z33" s="185"/>
      <c r="AA33" s="183"/>
      <c r="AB33" s="183"/>
      <c r="AC33" s="185" t="e">
        <f t="shared" si="2"/>
        <v>#N/A</v>
      </c>
      <c r="AD33" s="494"/>
      <c r="AE33" s="185"/>
      <c r="AF33" s="183"/>
      <c r="AG33" s="183"/>
      <c r="AH33" s="185" t="e">
        <f t="shared" si="3"/>
        <v>#N/A</v>
      </c>
      <c r="AI33" s="494"/>
      <c r="AJ33" s="185"/>
      <c r="AK33" s="183"/>
      <c r="AL33" s="183"/>
      <c r="AM33" s="185" t="e">
        <f t="shared" si="4"/>
        <v>#N/A</v>
      </c>
      <c r="AN33" s="494"/>
      <c r="AO33" s="185"/>
      <c r="AP33" s="183"/>
      <c r="AQ33" s="183"/>
      <c r="AR33" s="185" t="e">
        <f t="shared" si="5"/>
        <v>#N/A</v>
      </c>
      <c r="AS33" s="494"/>
      <c r="AT33" s="185"/>
      <c r="AU33" s="183"/>
      <c r="AV33" s="183"/>
      <c r="AW33" s="185" t="e">
        <f t="shared" si="6"/>
        <v>#N/A</v>
      </c>
      <c r="AX33" s="494"/>
      <c r="AZ33" s="169" t="e">
        <f>RANK(AX33, $K$7:AX$36)</f>
        <v>#N/A</v>
      </c>
      <c r="BB33" s="185" t="e">
        <f t="shared" si="7"/>
        <v>#N/A</v>
      </c>
    </row>
    <row r="34" spans="2:54">
      <c r="B34" s="471"/>
      <c r="C34" s="185">
        <v>28</v>
      </c>
      <c r="D34" s="206"/>
      <c r="E34" s="169"/>
      <c r="F34" s="185"/>
      <c r="G34" s="183"/>
      <c r="H34" s="452"/>
      <c r="I34" s="169"/>
      <c r="J34" s="169"/>
      <c r="K34" s="183"/>
      <c r="L34" s="452"/>
      <c r="M34" s="169" t="e">
        <f>RANK(K34, $K$7:K$36)</f>
        <v>#N/A</v>
      </c>
      <c r="N34" s="454"/>
      <c r="O34" s="454"/>
      <c r="P34" s="185"/>
      <c r="Q34" s="183"/>
      <c r="R34" s="183"/>
      <c r="S34" s="185" t="e">
        <f t="shared" si="0"/>
        <v>#N/A</v>
      </c>
      <c r="T34" s="494"/>
      <c r="U34" s="185"/>
      <c r="V34" s="183"/>
      <c r="W34" s="183"/>
      <c r="X34" s="185" t="e">
        <f t="shared" si="1"/>
        <v>#N/A</v>
      </c>
      <c r="Y34" s="494"/>
      <c r="Z34" s="185"/>
      <c r="AA34" s="183"/>
      <c r="AB34" s="183"/>
      <c r="AC34" s="185" t="e">
        <f t="shared" si="2"/>
        <v>#N/A</v>
      </c>
      <c r="AD34" s="494"/>
      <c r="AE34" s="185"/>
      <c r="AF34" s="183"/>
      <c r="AG34" s="183"/>
      <c r="AH34" s="185" t="e">
        <f t="shared" si="3"/>
        <v>#N/A</v>
      </c>
      <c r="AI34" s="494"/>
      <c r="AJ34" s="185"/>
      <c r="AK34" s="183"/>
      <c r="AL34" s="183"/>
      <c r="AM34" s="185" t="e">
        <f t="shared" si="4"/>
        <v>#N/A</v>
      </c>
      <c r="AN34" s="494"/>
      <c r="AO34" s="185"/>
      <c r="AP34" s="185"/>
      <c r="AQ34" s="185"/>
      <c r="AR34" s="185" t="e">
        <f t="shared" si="5"/>
        <v>#N/A</v>
      </c>
      <c r="AS34" s="494"/>
      <c r="AT34" s="185"/>
      <c r="AU34" s="183"/>
      <c r="AV34" s="183"/>
      <c r="AW34" s="185" t="e">
        <f t="shared" si="6"/>
        <v>#N/A</v>
      </c>
      <c r="AX34" s="494"/>
      <c r="AZ34" s="169" t="e">
        <f>RANK(AX34, $K$7:AX$36)</f>
        <v>#N/A</v>
      </c>
      <c r="BB34" s="185" t="e">
        <f t="shared" si="7"/>
        <v>#N/A</v>
      </c>
    </row>
    <row r="35" spans="2:54">
      <c r="B35" s="471"/>
      <c r="C35" s="185">
        <v>29</v>
      </c>
      <c r="D35" s="206"/>
      <c r="E35" s="169"/>
      <c r="F35" s="185"/>
      <c r="G35" s="183"/>
      <c r="H35" s="452"/>
      <c r="I35" s="185"/>
      <c r="J35" s="185"/>
      <c r="K35" s="185"/>
      <c r="L35" s="452"/>
      <c r="M35" s="169" t="e">
        <f>RANK(K35, $K$7:K$36)</f>
        <v>#N/A</v>
      </c>
      <c r="N35" s="454"/>
      <c r="O35" s="454"/>
      <c r="P35" s="185"/>
      <c r="Q35" s="185"/>
      <c r="R35" s="185"/>
      <c r="S35" s="185" t="e">
        <f t="shared" si="0"/>
        <v>#N/A</v>
      </c>
      <c r="T35" s="494"/>
      <c r="U35" s="185"/>
      <c r="V35" s="185"/>
      <c r="W35" s="185"/>
      <c r="X35" s="185" t="e">
        <f t="shared" si="1"/>
        <v>#N/A</v>
      </c>
      <c r="Y35" s="494"/>
      <c r="Z35" s="185"/>
      <c r="AA35" s="185"/>
      <c r="AB35" s="185"/>
      <c r="AC35" s="185" t="e">
        <f t="shared" si="2"/>
        <v>#N/A</v>
      </c>
      <c r="AD35" s="494"/>
      <c r="AE35" s="185"/>
      <c r="AF35" s="185"/>
      <c r="AG35" s="185"/>
      <c r="AH35" s="185" t="e">
        <f t="shared" si="3"/>
        <v>#N/A</v>
      </c>
      <c r="AI35" s="494"/>
      <c r="AJ35" s="185"/>
      <c r="AK35" s="185"/>
      <c r="AL35" s="185"/>
      <c r="AM35" s="185" t="e">
        <f t="shared" si="4"/>
        <v>#N/A</v>
      </c>
      <c r="AN35" s="494"/>
      <c r="AO35" s="185"/>
      <c r="AP35" s="185"/>
      <c r="AQ35" s="185"/>
      <c r="AR35" s="185" t="e">
        <f t="shared" si="5"/>
        <v>#N/A</v>
      </c>
      <c r="AS35" s="494"/>
      <c r="AT35" s="185"/>
      <c r="AU35" s="185"/>
      <c r="AV35" s="185"/>
      <c r="AW35" s="185" t="e">
        <f t="shared" si="6"/>
        <v>#N/A</v>
      </c>
      <c r="AX35" s="494"/>
      <c r="AZ35" s="169" t="e">
        <f>RANK(AX35, $K$7:AX$36)</f>
        <v>#N/A</v>
      </c>
      <c r="BB35" s="185" t="e">
        <f t="shared" si="7"/>
        <v>#N/A</v>
      </c>
    </row>
    <row r="36" spans="2:54">
      <c r="B36" s="471"/>
      <c r="C36" s="185">
        <v>30</v>
      </c>
      <c r="D36" s="206"/>
      <c r="E36" s="169"/>
      <c r="F36" s="185"/>
      <c r="G36" s="183"/>
      <c r="H36" s="453"/>
      <c r="I36" s="185"/>
      <c r="J36" s="185"/>
      <c r="K36" s="185"/>
      <c r="L36" s="453"/>
      <c r="M36" s="169" t="e">
        <f>RANK(K36, $K$7:K$36)</f>
        <v>#N/A</v>
      </c>
      <c r="N36" s="454"/>
      <c r="O36" s="454"/>
      <c r="P36" s="185"/>
      <c r="Q36" s="185"/>
      <c r="R36" s="185"/>
      <c r="S36" s="185" t="e">
        <f t="shared" si="0"/>
        <v>#N/A</v>
      </c>
      <c r="T36" s="494"/>
      <c r="U36" s="185"/>
      <c r="V36" s="185"/>
      <c r="W36" s="185"/>
      <c r="X36" s="185" t="e">
        <f t="shared" si="1"/>
        <v>#N/A</v>
      </c>
      <c r="Y36" s="494"/>
      <c r="Z36" s="185"/>
      <c r="AA36" s="185"/>
      <c r="AB36" s="185"/>
      <c r="AC36" s="185" t="e">
        <f t="shared" si="2"/>
        <v>#N/A</v>
      </c>
      <c r="AD36" s="494"/>
      <c r="AE36" s="185"/>
      <c r="AF36" s="185"/>
      <c r="AG36" s="185"/>
      <c r="AH36" s="185" t="e">
        <f t="shared" si="3"/>
        <v>#N/A</v>
      </c>
      <c r="AI36" s="494"/>
      <c r="AJ36" s="185"/>
      <c r="AK36" s="185"/>
      <c r="AL36" s="185"/>
      <c r="AM36" s="185" t="e">
        <f t="shared" si="4"/>
        <v>#N/A</v>
      </c>
      <c r="AN36" s="494"/>
      <c r="AO36" s="185"/>
      <c r="AP36" s="185"/>
      <c r="AQ36" s="185"/>
      <c r="AR36" s="185" t="e">
        <f t="shared" si="5"/>
        <v>#N/A</v>
      </c>
      <c r="AS36" s="494"/>
      <c r="AT36" s="185"/>
      <c r="AU36" s="185"/>
      <c r="AV36" s="185"/>
      <c r="AW36" s="185" t="e">
        <f t="shared" si="6"/>
        <v>#N/A</v>
      </c>
      <c r="AX36" s="494"/>
      <c r="AZ36" s="169" t="e">
        <f>RANK(AX36, $K$7:AX$36)</f>
        <v>#N/A</v>
      </c>
      <c r="BB36" s="185" t="e">
        <f t="shared" si="7"/>
        <v>#N/A</v>
      </c>
    </row>
    <row r="37" spans="2:54" ht="15.75">
      <c r="B37" s="481" t="s">
        <v>201</v>
      </c>
      <c r="C37" s="482"/>
      <c r="D37" s="482"/>
      <c r="E37" s="482"/>
      <c r="F37" s="482"/>
      <c r="G37" s="482"/>
      <c r="H37" s="482"/>
      <c r="I37" s="186"/>
      <c r="J37" s="186"/>
      <c r="K37" s="186"/>
      <c r="L37" s="186"/>
      <c r="M37" s="181"/>
      <c r="N37" s="461" t="s">
        <v>202</v>
      </c>
      <c r="O37" s="461" t="s">
        <v>150</v>
      </c>
      <c r="P37" s="497">
        <f>AT2+1</f>
        <v>45965</v>
      </c>
      <c r="Q37" s="498"/>
      <c r="R37" s="498"/>
      <c r="S37" s="498"/>
      <c r="T37" s="498"/>
      <c r="U37" s="470">
        <f>P37+1</f>
        <v>45966</v>
      </c>
      <c r="V37" s="471"/>
      <c r="W37" s="471"/>
      <c r="X37" s="471"/>
      <c r="Y37" s="471"/>
      <c r="Z37" s="470">
        <f>U37+1</f>
        <v>45967</v>
      </c>
      <c r="AA37" s="471"/>
      <c r="AB37" s="471"/>
      <c r="AC37" s="471"/>
      <c r="AD37" s="471"/>
      <c r="AE37" s="470">
        <f>Z37+1</f>
        <v>45968</v>
      </c>
      <c r="AF37" s="471"/>
      <c r="AG37" s="471"/>
      <c r="AH37" s="471"/>
      <c r="AI37" s="471"/>
      <c r="AJ37" s="470">
        <f>AE37+1</f>
        <v>45969</v>
      </c>
      <c r="AK37" s="471"/>
      <c r="AL37" s="471"/>
      <c r="AM37" s="471"/>
      <c r="AN37" s="471"/>
      <c r="AO37" s="470">
        <f>AJ37+1</f>
        <v>45970</v>
      </c>
      <c r="AP37" s="471"/>
      <c r="AQ37" s="471"/>
      <c r="AR37" s="471"/>
      <c r="AS37" s="471"/>
      <c r="AT37" s="470">
        <f>AO37+1</f>
        <v>45971</v>
      </c>
      <c r="AU37" s="471"/>
      <c r="AV37" s="471"/>
      <c r="AW37" s="471"/>
      <c r="AX37" s="471"/>
    </row>
    <row r="38" spans="2:54" ht="15.75">
      <c r="B38" s="474"/>
      <c r="C38" s="474"/>
      <c r="D38" s="474"/>
      <c r="E38" s="474"/>
      <c r="F38" s="474"/>
      <c r="G38" s="474"/>
      <c r="H38" s="474"/>
      <c r="I38" s="187"/>
      <c r="J38" s="187"/>
      <c r="K38" s="187"/>
      <c r="L38" s="187"/>
      <c r="M38" s="182"/>
      <c r="N38" s="463"/>
      <c r="O38" s="463"/>
      <c r="P38" s="470" t="s">
        <v>203</v>
      </c>
      <c r="Q38" s="471"/>
      <c r="R38" s="471"/>
      <c r="S38" s="471"/>
      <c r="T38" s="471"/>
      <c r="U38" s="470" t="s">
        <v>204</v>
      </c>
      <c r="V38" s="471"/>
      <c r="W38" s="471"/>
      <c r="X38" s="471"/>
      <c r="Y38" s="471"/>
      <c r="Z38" s="470" t="s">
        <v>205</v>
      </c>
      <c r="AA38" s="471"/>
      <c r="AB38" s="471"/>
      <c r="AC38" s="471"/>
      <c r="AD38" s="471"/>
      <c r="AE38" s="470" t="s">
        <v>206</v>
      </c>
      <c r="AF38" s="471"/>
      <c r="AG38" s="471"/>
      <c r="AH38" s="471"/>
      <c r="AI38" s="471"/>
      <c r="AJ38" s="470" t="s">
        <v>207</v>
      </c>
      <c r="AK38" s="471"/>
      <c r="AL38" s="471"/>
      <c r="AM38" s="471"/>
      <c r="AN38" s="471"/>
      <c r="AO38" s="470" t="s">
        <v>157</v>
      </c>
      <c r="AP38" s="471"/>
      <c r="AQ38" s="471"/>
      <c r="AR38" s="471"/>
      <c r="AS38" s="471"/>
      <c r="AT38" s="470" t="s">
        <v>208</v>
      </c>
      <c r="AU38" s="471"/>
      <c r="AV38" s="471"/>
      <c r="AW38" s="471"/>
      <c r="AX38" s="471"/>
    </row>
    <row r="39" spans="2:54">
      <c r="B39" s="454" t="s">
        <v>209</v>
      </c>
      <c r="C39" s="454" t="s">
        <v>210</v>
      </c>
      <c r="D39" s="454"/>
      <c r="E39" s="454" t="s">
        <v>211</v>
      </c>
      <c r="F39" s="454"/>
      <c r="G39" s="454"/>
      <c r="H39" s="455" t="s">
        <v>212</v>
      </c>
      <c r="I39" s="454" t="s">
        <v>213</v>
      </c>
      <c r="J39" s="454"/>
      <c r="K39" s="454"/>
      <c r="L39" s="455" t="s">
        <v>212</v>
      </c>
      <c r="M39" s="461" t="s">
        <v>214</v>
      </c>
      <c r="N39" s="454"/>
      <c r="O39" s="454" t="s">
        <v>215</v>
      </c>
      <c r="P39" s="458" t="s">
        <v>216</v>
      </c>
      <c r="Q39" s="459"/>
      <c r="R39" s="459"/>
      <c r="S39" s="460"/>
      <c r="T39" s="454" t="s">
        <v>212</v>
      </c>
      <c r="U39" s="458" t="s">
        <v>216</v>
      </c>
      <c r="V39" s="459"/>
      <c r="W39" s="459"/>
      <c r="X39" s="460"/>
      <c r="Y39" s="454" t="s">
        <v>212</v>
      </c>
      <c r="Z39" s="458" t="s">
        <v>216</v>
      </c>
      <c r="AA39" s="459"/>
      <c r="AB39" s="459"/>
      <c r="AC39" s="460"/>
      <c r="AD39" s="454" t="s">
        <v>212</v>
      </c>
      <c r="AE39" s="458" t="s">
        <v>216</v>
      </c>
      <c r="AF39" s="459"/>
      <c r="AG39" s="459"/>
      <c r="AH39" s="460"/>
      <c r="AI39" s="454" t="s">
        <v>212</v>
      </c>
      <c r="AJ39" s="458" t="s">
        <v>216</v>
      </c>
      <c r="AK39" s="459"/>
      <c r="AL39" s="459"/>
      <c r="AM39" s="460"/>
      <c r="AN39" s="454" t="s">
        <v>212</v>
      </c>
      <c r="AO39" s="458" t="s">
        <v>216</v>
      </c>
      <c r="AP39" s="459"/>
      <c r="AQ39" s="459"/>
      <c r="AR39" s="460"/>
      <c r="AS39" s="454" t="s">
        <v>212</v>
      </c>
      <c r="AT39" s="458" t="s">
        <v>216</v>
      </c>
      <c r="AU39" s="459"/>
      <c r="AV39" s="459"/>
      <c r="AW39" s="460"/>
      <c r="AX39" s="454" t="s">
        <v>212</v>
      </c>
    </row>
    <row r="40" spans="2:54">
      <c r="B40" s="454"/>
      <c r="C40" s="454"/>
      <c r="D40" s="454"/>
      <c r="E40" s="454" t="s">
        <v>217</v>
      </c>
      <c r="F40" s="454"/>
      <c r="G40" s="454"/>
      <c r="H40" s="456"/>
      <c r="I40" s="454" t="s">
        <v>217</v>
      </c>
      <c r="J40" s="454"/>
      <c r="K40" s="454"/>
      <c r="L40" s="456"/>
      <c r="M40" s="462"/>
      <c r="N40" s="454"/>
      <c r="O40" s="454"/>
      <c r="P40" s="458" t="s">
        <v>218</v>
      </c>
      <c r="Q40" s="459"/>
      <c r="R40" s="459"/>
      <c r="S40" s="460"/>
      <c r="T40" s="454"/>
      <c r="U40" s="458" t="s">
        <v>218</v>
      </c>
      <c r="V40" s="459"/>
      <c r="W40" s="459"/>
      <c r="X40" s="460"/>
      <c r="Y40" s="454"/>
      <c r="Z40" s="458" t="s">
        <v>218</v>
      </c>
      <c r="AA40" s="459"/>
      <c r="AB40" s="459"/>
      <c r="AC40" s="460"/>
      <c r="AD40" s="454"/>
      <c r="AE40" s="458" t="s">
        <v>218</v>
      </c>
      <c r="AF40" s="459"/>
      <c r="AG40" s="459"/>
      <c r="AH40" s="460"/>
      <c r="AI40" s="454"/>
      <c r="AJ40" s="458" t="s">
        <v>218</v>
      </c>
      <c r="AK40" s="459"/>
      <c r="AL40" s="459"/>
      <c r="AM40" s="460"/>
      <c r="AN40" s="454"/>
      <c r="AO40" s="458" t="s">
        <v>218</v>
      </c>
      <c r="AP40" s="459"/>
      <c r="AQ40" s="459"/>
      <c r="AR40" s="460"/>
      <c r="AS40" s="454"/>
      <c r="AT40" s="458" t="s">
        <v>218</v>
      </c>
      <c r="AU40" s="459"/>
      <c r="AV40" s="459"/>
      <c r="AW40" s="460"/>
      <c r="AX40" s="454"/>
    </row>
    <row r="41" spans="2:54">
      <c r="B41" s="454"/>
      <c r="C41" s="454"/>
      <c r="D41" s="454"/>
      <c r="E41" s="275" t="s">
        <v>219</v>
      </c>
      <c r="F41" s="275" t="s">
        <v>220</v>
      </c>
      <c r="G41" s="275" t="s">
        <v>221</v>
      </c>
      <c r="H41" s="457"/>
      <c r="I41" s="275" t="s">
        <v>219</v>
      </c>
      <c r="J41" s="275" t="s">
        <v>220</v>
      </c>
      <c r="K41" s="275" t="s">
        <v>221</v>
      </c>
      <c r="L41" s="457"/>
      <c r="M41" s="463"/>
      <c r="N41" s="454"/>
      <c r="O41" s="454"/>
      <c r="P41" s="275" t="s">
        <v>219</v>
      </c>
      <c r="Q41" s="275" t="s">
        <v>220</v>
      </c>
      <c r="R41" s="275" t="s">
        <v>221</v>
      </c>
      <c r="S41" s="275" t="s">
        <v>214</v>
      </c>
      <c r="T41" s="454"/>
      <c r="U41" s="275" t="s">
        <v>219</v>
      </c>
      <c r="V41" s="275" t="s">
        <v>220</v>
      </c>
      <c r="W41" s="275" t="s">
        <v>221</v>
      </c>
      <c r="X41" s="275" t="s">
        <v>214</v>
      </c>
      <c r="Y41" s="454"/>
      <c r="Z41" s="275" t="s">
        <v>219</v>
      </c>
      <c r="AA41" s="275" t="s">
        <v>220</v>
      </c>
      <c r="AB41" s="275" t="s">
        <v>221</v>
      </c>
      <c r="AC41" s="275" t="s">
        <v>214</v>
      </c>
      <c r="AD41" s="454"/>
      <c r="AE41" s="275" t="s">
        <v>219</v>
      </c>
      <c r="AF41" s="275" t="s">
        <v>220</v>
      </c>
      <c r="AG41" s="275" t="s">
        <v>221</v>
      </c>
      <c r="AH41" s="275" t="s">
        <v>214</v>
      </c>
      <c r="AI41" s="454"/>
      <c r="AJ41" s="275" t="s">
        <v>219</v>
      </c>
      <c r="AK41" s="275" t="s">
        <v>220</v>
      </c>
      <c r="AL41" s="275" t="s">
        <v>221</v>
      </c>
      <c r="AM41" s="275" t="s">
        <v>214</v>
      </c>
      <c r="AN41" s="454"/>
      <c r="AO41" s="275" t="s">
        <v>219</v>
      </c>
      <c r="AP41" s="275" t="s">
        <v>220</v>
      </c>
      <c r="AQ41" s="275" t="s">
        <v>221</v>
      </c>
      <c r="AR41" s="275" t="s">
        <v>214</v>
      </c>
      <c r="AS41" s="454"/>
      <c r="AT41" s="275" t="s">
        <v>219</v>
      </c>
      <c r="AU41" s="275" t="s">
        <v>220</v>
      </c>
      <c r="AV41" s="275" t="s">
        <v>221</v>
      </c>
      <c r="AW41" s="275" t="s">
        <v>214</v>
      </c>
      <c r="AX41" s="454"/>
    </row>
    <row r="42" spans="2:54">
      <c r="B42" s="454" t="s">
        <v>186</v>
      </c>
      <c r="C42" s="185">
        <v>1</v>
      </c>
      <c r="D42" s="206" t="s">
        <v>275</v>
      </c>
      <c r="E42" s="169">
        <v>6</v>
      </c>
      <c r="F42" s="185">
        <v>1600</v>
      </c>
      <c r="G42" s="183">
        <v>266.66666666666669</v>
      </c>
      <c r="H42" s="451">
        <f>AVERAGE(G42:G71)</f>
        <v>100.9778650312464</v>
      </c>
      <c r="I42" s="169">
        <f>AVERAGE(P42,U42,Z42,AE42,AJ42,AO42,AT42)</f>
        <v>6</v>
      </c>
      <c r="J42" s="169">
        <f>AVERAGE(Q42,V42,AA42,AF42,AK42,AP42,AU42)</f>
        <v>1481.7615843750823</v>
      </c>
      <c r="K42" s="183">
        <f>AVERAGE(R42,W42,AB42,AG42,AL42,AQ42,AV42)</f>
        <v>246.96026406251369</v>
      </c>
      <c r="L42" s="451">
        <f>IFERROR(AVERAGE(K42:K71),"-")</f>
        <v>88.921658287275605</v>
      </c>
      <c r="M42" s="184">
        <f>RANK(K42, K$42:$K$71)</f>
        <v>1</v>
      </c>
      <c r="N42" s="454"/>
      <c r="O42" s="454"/>
      <c r="P42" s="169">
        <v>6</v>
      </c>
      <c r="Q42" s="169">
        <v>1459.7748691099473</v>
      </c>
      <c r="R42" s="169">
        <v>243.29581151832454</v>
      </c>
      <c r="S42" s="185">
        <f t="shared" ref="S42:S71" si="11">RANK(R42, R$42:R$71)</f>
        <v>2</v>
      </c>
      <c r="T42" s="494">
        <f>AVERAGE(R42:R71)</f>
        <v>89.661453431579446</v>
      </c>
      <c r="U42" s="169">
        <v>6</v>
      </c>
      <c r="V42" s="169">
        <v>1486.6923076923076</v>
      </c>
      <c r="W42" s="169">
        <v>247.78205128205127</v>
      </c>
      <c r="X42" s="185">
        <f t="shared" ref="X42:X71" si="12">RANK(W42, W$42:W$71)</f>
        <v>1</v>
      </c>
      <c r="Y42" s="494">
        <f>AVERAGE(W42:W71)</f>
        <v>90.647018899020296</v>
      </c>
      <c r="Z42" s="169">
        <v>6</v>
      </c>
      <c r="AA42" s="169">
        <v>1505.5737704918033</v>
      </c>
      <c r="AB42" s="169">
        <v>250.9289617486339</v>
      </c>
      <c r="AC42" s="185">
        <f t="shared" ref="AC42:AC71" si="13">RANK(AB42, AB$42:AB$71)</f>
        <v>1</v>
      </c>
      <c r="AD42" s="494">
        <f>AVERAGE(AB42:AB71)</f>
        <v>89.617808729337924</v>
      </c>
      <c r="AE42" s="169">
        <v>6</v>
      </c>
      <c r="AF42" s="169">
        <v>1494.6627906976742</v>
      </c>
      <c r="AG42" s="169">
        <v>249.11046511627902</v>
      </c>
      <c r="AH42" s="185">
        <f t="shared" ref="AH42:AH71" si="14">RANK(AG42, AG$42:AG$71)</f>
        <v>1</v>
      </c>
      <c r="AI42" s="494">
        <f>AVERAGE(AG42:AG71)</f>
        <v>93.692034380781237</v>
      </c>
      <c r="AJ42" s="169">
        <v>6</v>
      </c>
      <c r="AK42" s="169">
        <v>1483.8352941176468</v>
      </c>
      <c r="AL42" s="169">
        <v>247.30588235294113</v>
      </c>
      <c r="AM42" s="185">
        <f t="shared" ref="AM42:AM71" si="15">RANK(AL42, AL$42:AL$71)</f>
        <v>2</v>
      </c>
      <c r="AN42" s="494">
        <f>AVERAGE(AL42:AL71)</f>
        <v>94.064911230019774</v>
      </c>
      <c r="AO42" s="169">
        <v>6</v>
      </c>
      <c r="AP42" s="169">
        <v>1462.0344827586205</v>
      </c>
      <c r="AQ42" s="169">
        <v>243.6724137931034</v>
      </c>
      <c r="AR42" s="185">
        <f t="shared" ref="AR42:AR71" si="16">RANK(AQ42, AQ$42:AQ$71)</f>
        <v>2</v>
      </c>
      <c r="AS42" s="494">
        <f>AVERAGE(AQ42:AQ71)</f>
        <v>93.666768896841134</v>
      </c>
      <c r="AT42" s="169">
        <v>6</v>
      </c>
      <c r="AU42" s="169">
        <v>1479.7575757575755</v>
      </c>
      <c r="AV42" s="169">
        <v>246.62626262626259</v>
      </c>
      <c r="AW42" s="185">
        <f t="shared" ref="AW42:AW71" si="17">RANK(AV42, AV$42:AV$71)</f>
        <v>1</v>
      </c>
      <c r="AX42" s="494">
        <f>AVERAGE(AV42:AV71)</f>
        <v>88.45902314148988</v>
      </c>
    </row>
    <row r="43" spans="2:54">
      <c r="B43" s="471"/>
      <c r="C43" s="185">
        <v>2</v>
      </c>
      <c r="D43" s="206" t="s">
        <v>276</v>
      </c>
      <c r="E43" s="169">
        <v>6</v>
      </c>
      <c r="F43" s="185">
        <v>1500</v>
      </c>
      <c r="G43" s="183">
        <v>250</v>
      </c>
      <c r="H43" s="452"/>
      <c r="I43" s="169">
        <f t="shared" ref="I43:I65" si="18">AVERAGE(P43,U43,Z43,AE43,AJ43,AO43,AT43)</f>
        <v>6</v>
      </c>
      <c r="J43" s="169">
        <f t="shared" ref="J43:J65" si="19">AVERAGE(Q43,V43,AA43,AF43,AK43,AP43,AU43)</f>
        <v>1478.933187615409</v>
      </c>
      <c r="K43" s="183">
        <f t="shared" ref="K43:K65" si="20">AVERAGE(R43,W43,AB43,AG43,AL43,AQ43,AV43)</f>
        <v>246.48886460256816</v>
      </c>
      <c r="L43" s="452"/>
      <c r="M43" s="184">
        <f>RANK(K43, K$42:$K$71)</f>
        <v>2</v>
      </c>
      <c r="N43" s="454"/>
      <c r="O43" s="454"/>
      <c r="P43" s="169">
        <v>6</v>
      </c>
      <c r="Q43" s="169">
        <v>1491.2621359223301</v>
      </c>
      <c r="R43" s="169">
        <v>248.54368932038835</v>
      </c>
      <c r="S43" s="185">
        <f t="shared" si="11"/>
        <v>1</v>
      </c>
      <c r="T43" s="494"/>
      <c r="U43" s="169">
        <v>6</v>
      </c>
      <c r="V43" s="169">
        <v>1447.6363636363635</v>
      </c>
      <c r="W43" s="169">
        <v>241.27272727272725</v>
      </c>
      <c r="X43" s="185">
        <f t="shared" si="12"/>
        <v>2</v>
      </c>
      <c r="Y43" s="494"/>
      <c r="Z43" s="169">
        <v>6</v>
      </c>
      <c r="AA43" s="169">
        <v>1480.6249999999998</v>
      </c>
      <c r="AB43" s="169">
        <v>246.77083333333329</v>
      </c>
      <c r="AC43" s="185">
        <f t="shared" si="13"/>
        <v>2</v>
      </c>
      <c r="AD43" s="494"/>
      <c r="AE43" s="169">
        <v>6</v>
      </c>
      <c r="AF43" s="169">
        <v>1474.38202247191</v>
      </c>
      <c r="AG43" s="169">
        <v>245.73033707865167</v>
      </c>
      <c r="AH43" s="185">
        <f t="shared" si="14"/>
        <v>2</v>
      </c>
      <c r="AI43" s="494"/>
      <c r="AJ43" s="169">
        <v>6</v>
      </c>
      <c r="AK43" s="169">
        <v>1507.3333333333335</v>
      </c>
      <c r="AL43" s="169">
        <v>251.22222222222226</v>
      </c>
      <c r="AM43" s="185">
        <f t="shared" si="15"/>
        <v>1</v>
      </c>
      <c r="AN43" s="494"/>
      <c r="AO43" s="169">
        <v>6</v>
      </c>
      <c r="AP43" s="169">
        <v>1501.2</v>
      </c>
      <c r="AQ43" s="169">
        <v>250.20000000000002</v>
      </c>
      <c r="AR43" s="185">
        <f t="shared" si="16"/>
        <v>1</v>
      </c>
      <c r="AS43" s="494"/>
      <c r="AT43" s="169">
        <v>6</v>
      </c>
      <c r="AU43" s="169">
        <v>1450.0934579439256</v>
      </c>
      <c r="AV43" s="169">
        <v>241.68224299065426</v>
      </c>
      <c r="AW43" s="185">
        <f t="shared" si="17"/>
        <v>2</v>
      </c>
      <c r="AX43" s="494"/>
    </row>
    <row r="44" spans="2:54">
      <c r="B44" s="471"/>
      <c r="C44" s="185">
        <v>3</v>
      </c>
      <c r="D44" s="206" t="s">
        <v>277</v>
      </c>
      <c r="E44" s="169">
        <v>17</v>
      </c>
      <c r="F44" s="185">
        <v>1500</v>
      </c>
      <c r="G44" s="183">
        <v>88.235294117647058</v>
      </c>
      <c r="H44" s="452"/>
      <c r="I44" s="169">
        <f t="shared" si="18"/>
        <v>17.285714285714285</v>
      </c>
      <c r="J44" s="169">
        <f t="shared" si="19"/>
        <v>1291.4784664940432</v>
      </c>
      <c r="K44" s="183">
        <f t="shared" si="20"/>
        <v>74.769225562912951</v>
      </c>
      <c r="L44" s="452"/>
      <c r="M44" s="184">
        <f>RANK(K44, K$42:$K$71)</f>
        <v>15</v>
      </c>
      <c r="N44" s="454"/>
      <c r="O44" s="454"/>
      <c r="P44" s="169">
        <v>17</v>
      </c>
      <c r="Q44" s="169">
        <v>1297.6595744680851</v>
      </c>
      <c r="R44" s="169">
        <v>76.332916145181471</v>
      </c>
      <c r="S44" s="185">
        <f t="shared" si="11"/>
        <v>11</v>
      </c>
      <c r="T44" s="494"/>
      <c r="U44" s="169">
        <v>17</v>
      </c>
      <c r="V44" s="169">
        <v>1310.4255319148938</v>
      </c>
      <c r="W44" s="169">
        <v>77.083854818523164</v>
      </c>
      <c r="X44" s="185">
        <f t="shared" si="12"/>
        <v>11</v>
      </c>
      <c r="Y44" s="494"/>
      <c r="Z44" s="169">
        <v>18</v>
      </c>
      <c r="AA44" s="169">
        <v>1297.3333333333335</v>
      </c>
      <c r="AB44" s="169">
        <v>72.074074074074076</v>
      </c>
      <c r="AC44" s="185">
        <f t="shared" si="13"/>
        <v>14</v>
      </c>
      <c r="AD44" s="494"/>
      <c r="AE44" s="169">
        <v>17</v>
      </c>
      <c r="AF44" s="169">
        <v>1278.3529411764703</v>
      </c>
      <c r="AG44" s="169">
        <v>75.19723183391001</v>
      </c>
      <c r="AH44" s="185">
        <f t="shared" si="14"/>
        <v>12</v>
      </c>
      <c r="AI44" s="494"/>
      <c r="AJ44" s="169">
        <v>17</v>
      </c>
      <c r="AK44" s="169">
        <v>1313.6470588235297</v>
      </c>
      <c r="AL44" s="169">
        <v>77.273356401384106</v>
      </c>
      <c r="AM44" s="185">
        <f t="shared" si="15"/>
        <v>9</v>
      </c>
      <c r="AN44" s="494"/>
      <c r="AO44" s="169">
        <v>17</v>
      </c>
      <c r="AP44" s="169">
        <v>1269.6585365853655</v>
      </c>
      <c r="AQ44" s="169">
        <v>74.685796269727376</v>
      </c>
      <c r="AR44" s="185">
        <f t="shared" si="16"/>
        <v>12</v>
      </c>
      <c r="AS44" s="494"/>
      <c r="AT44" s="169">
        <v>18</v>
      </c>
      <c r="AU44" s="169">
        <v>1273.2722891566261</v>
      </c>
      <c r="AV44" s="169">
        <v>70.737349397590336</v>
      </c>
      <c r="AW44" s="185">
        <f t="shared" si="17"/>
        <v>16</v>
      </c>
      <c r="AX44" s="494"/>
    </row>
    <row r="45" spans="2:54">
      <c r="B45" s="471"/>
      <c r="C45" s="185">
        <v>4</v>
      </c>
      <c r="D45" s="206" t="s">
        <v>278</v>
      </c>
      <c r="E45" s="169">
        <v>19</v>
      </c>
      <c r="F45" s="185">
        <v>1500</v>
      </c>
      <c r="G45" s="183">
        <v>78.94736842105263</v>
      </c>
      <c r="H45" s="452"/>
      <c r="I45" s="169">
        <f t="shared" si="18"/>
        <v>20</v>
      </c>
      <c r="J45" s="169">
        <f t="shared" si="19"/>
        <v>1272.439871904284</v>
      </c>
      <c r="K45" s="183">
        <f t="shared" si="20"/>
        <v>63.6219935952142</v>
      </c>
      <c r="L45" s="452"/>
      <c r="M45" s="184">
        <f>RANK(K45, K$42:$K$71)</f>
        <v>24</v>
      </c>
      <c r="N45" s="454"/>
      <c r="O45" s="454"/>
      <c r="P45" s="169">
        <v>20</v>
      </c>
      <c r="Q45" s="169">
        <v>1265.1724137931044</v>
      </c>
      <c r="R45" s="169">
        <v>63.258620689655217</v>
      </c>
      <c r="S45" s="185">
        <f t="shared" si="11"/>
        <v>21</v>
      </c>
      <c r="T45" s="494"/>
      <c r="U45" s="169">
        <v>20</v>
      </c>
      <c r="V45" s="169">
        <v>1269.8181818181827</v>
      </c>
      <c r="W45" s="169">
        <v>63.490909090909135</v>
      </c>
      <c r="X45" s="185">
        <f t="shared" si="12"/>
        <v>22</v>
      </c>
      <c r="Y45" s="494"/>
      <c r="Z45" s="169">
        <v>20</v>
      </c>
      <c r="AA45" s="169">
        <v>1281.5094339622649</v>
      </c>
      <c r="AB45" s="169">
        <v>64.075471698113247</v>
      </c>
      <c r="AC45" s="185">
        <f t="shared" si="13"/>
        <v>22</v>
      </c>
      <c r="AD45" s="494"/>
      <c r="AE45" s="169">
        <v>20</v>
      </c>
      <c r="AF45" s="169">
        <v>1279.2000000000005</v>
      </c>
      <c r="AG45" s="169">
        <v>63.960000000000022</v>
      </c>
      <c r="AH45" s="185">
        <f t="shared" si="14"/>
        <v>17</v>
      </c>
      <c r="AI45" s="494"/>
      <c r="AJ45" s="169">
        <v>20</v>
      </c>
      <c r="AK45" s="169">
        <v>1267.9245283018877</v>
      </c>
      <c r="AL45" s="169">
        <v>63.396226415094382</v>
      </c>
      <c r="AM45" s="185">
        <f t="shared" si="15"/>
        <v>18</v>
      </c>
      <c r="AN45" s="494"/>
      <c r="AO45" s="169">
        <v>20</v>
      </c>
      <c r="AP45" s="169">
        <v>1289.4545454545464</v>
      </c>
      <c r="AQ45" s="169">
        <v>64.472727272727326</v>
      </c>
      <c r="AR45" s="185">
        <f t="shared" si="16"/>
        <v>18</v>
      </c>
      <c r="AS45" s="494"/>
      <c r="AT45" s="169">
        <v>20</v>
      </c>
      <c r="AU45" s="169">
        <v>1254.0000000000011</v>
      </c>
      <c r="AV45" s="169">
        <v>62.70000000000006</v>
      </c>
      <c r="AW45" s="185">
        <f t="shared" si="17"/>
        <v>23</v>
      </c>
      <c r="AX45" s="494"/>
    </row>
    <row r="46" spans="2:54">
      <c r="B46" s="471"/>
      <c r="C46" s="185">
        <v>5</v>
      </c>
      <c r="D46" s="206" t="s">
        <v>279</v>
      </c>
      <c r="E46" s="169">
        <v>16</v>
      </c>
      <c r="F46" s="185">
        <v>1500</v>
      </c>
      <c r="G46" s="183">
        <v>93.75</v>
      </c>
      <c r="H46" s="452"/>
      <c r="I46" s="169">
        <f t="shared" si="18"/>
        <v>16.571428571428573</v>
      </c>
      <c r="J46" s="169">
        <f t="shared" si="19"/>
        <v>1323.8677948239874</v>
      </c>
      <c r="K46" s="183">
        <f t="shared" si="20"/>
        <v>79.958144593487859</v>
      </c>
      <c r="L46" s="452"/>
      <c r="M46" s="184">
        <f>RANK(K46, K$42:$K$71)</f>
        <v>7</v>
      </c>
      <c r="N46" s="454"/>
      <c r="O46" s="454"/>
      <c r="P46" s="169">
        <v>16</v>
      </c>
      <c r="Q46" s="169">
        <v>1300.7142857142849</v>
      </c>
      <c r="R46" s="169">
        <v>81.294642857142804</v>
      </c>
      <c r="S46" s="185">
        <f t="shared" si="11"/>
        <v>5</v>
      </c>
      <c r="T46" s="494"/>
      <c r="U46" s="169">
        <v>16</v>
      </c>
      <c r="V46" s="169">
        <v>1319.9999999999991</v>
      </c>
      <c r="W46" s="169">
        <v>82.499999999999943</v>
      </c>
      <c r="X46" s="185">
        <f t="shared" si="12"/>
        <v>6</v>
      </c>
      <c r="Y46" s="494"/>
      <c r="Z46" s="169">
        <v>17</v>
      </c>
      <c r="AA46" s="169">
        <v>1323.396226415095</v>
      </c>
      <c r="AB46" s="169">
        <v>77.846836847946761</v>
      </c>
      <c r="AC46" s="185">
        <f t="shared" si="13"/>
        <v>8</v>
      </c>
      <c r="AD46" s="494"/>
      <c r="AE46" s="169">
        <v>16</v>
      </c>
      <c r="AF46" s="169">
        <v>1346.4000000000003</v>
      </c>
      <c r="AG46" s="169">
        <v>84.15000000000002</v>
      </c>
      <c r="AH46" s="185">
        <f t="shared" si="14"/>
        <v>4</v>
      </c>
      <c r="AI46" s="494"/>
      <c r="AJ46" s="169">
        <v>17</v>
      </c>
      <c r="AK46" s="169">
        <v>1346.0377358490573</v>
      </c>
      <c r="AL46" s="169">
        <v>79.17869034406219</v>
      </c>
      <c r="AM46" s="185">
        <f t="shared" si="15"/>
        <v>7</v>
      </c>
      <c r="AN46" s="494"/>
      <c r="AO46" s="169">
        <v>17</v>
      </c>
      <c r="AP46" s="169">
        <v>1304.2105263157905</v>
      </c>
      <c r="AQ46" s="169">
        <v>76.718266253870027</v>
      </c>
      <c r="AR46" s="185">
        <f t="shared" si="16"/>
        <v>8</v>
      </c>
      <c r="AS46" s="494"/>
      <c r="AT46" s="169">
        <v>17</v>
      </c>
      <c r="AU46" s="169">
        <v>1326.3157894736853</v>
      </c>
      <c r="AV46" s="169">
        <v>78.018575851393251</v>
      </c>
      <c r="AW46" s="185">
        <f t="shared" si="17"/>
        <v>9</v>
      </c>
      <c r="AX46" s="494"/>
    </row>
    <row r="47" spans="2:54">
      <c r="B47" s="471"/>
      <c r="C47" s="185">
        <v>6</v>
      </c>
      <c r="D47" s="206" t="s">
        <v>280</v>
      </c>
      <c r="E47" s="169">
        <v>16</v>
      </c>
      <c r="F47" s="185">
        <v>1565</v>
      </c>
      <c r="G47" s="183">
        <v>97.8125</v>
      </c>
      <c r="H47" s="452"/>
      <c r="I47" s="169">
        <f t="shared" si="18"/>
        <v>16.571428571428573</v>
      </c>
      <c r="J47" s="169">
        <f t="shared" si="19"/>
        <v>1397.5233129290775</v>
      </c>
      <c r="K47" s="183">
        <f t="shared" si="20"/>
        <v>84.411946296362473</v>
      </c>
      <c r="L47" s="452"/>
      <c r="M47" s="184">
        <f>RANK(K47, K$42:$K$71)</f>
        <v>3</v>
      </c>
      <c r="N47" s="454"/>
      <c r="O47" s="454"/>
      <c r="P47" s="169">
        <v>16</v>
      </c>
      <c r="Q47" s="169">
        <v>1398.6666666666665</v>
      </c>
      <c r="R47" s="169">
        <v>87.416666666666657</v>
      </c>
      <c r="S47" s="185">
        <f t="shared" si="11"/>
        <v>3</v>
      </c>
      <c r="T47" s="494"/>
      <c r="U47" s="169">
        <v>16</v>
      </c>
      <c r="V47" s="169">
        <v>1420.6896551724135</v>
      </c>
      <c r="W47" s="169">
        <v>88.793103448275843</v>
      </c>
      <c r="X47" s="185">
        <f t="shared" si="12"/>
        <v>3</v>
      </c>
      <c r="Y47" s="494"/>
      <c r="Z47" s="169">
        <v>17</v>
      </c>
      <c r="AA47" s="169">
        <v>1400.5063291139249</v>
      </c>
      <c r="AB47" s="169">
        <v>82.382725241995587</v>
      </c>
      <c r="AC47" s="185">
        <f t="shared" si="13"/>
        <v>4</v>
      </c>
      <c r="AD47" s="494"/>
      <c r="AE47" s="169">
        <v>16</v>
      </c>
      <c r="AF47" s="169">
        <v>1378.3783783783772</v>
      </c>
      <c r="AG47" s="169">
        <v>86.148648648648575</v>
      </c>
      <c r="AH47" s="185">
        <f t="shared" si="14"/>
        <v>3</v>
      </c>
      <c r="AI47" s="494"/>
      <c r="AJ47" s="169">
        <v>17</v>
      </c>
      <c r="AK47" s="169">
        <v>1373.2499999999995</v>
      </c>
      <c r="AL47" s="169">
        <v>80.779411764705856</v>
      </c>
      <c r="AM47" s="185">
        <f t="shared" si="15"/>
        <v>4</v>
      </c>
      <c r="AN47" s="494"/>
      <c r="AO47" s="169">
        <v>17</v>
      </c>
      <c r="AP47" s="169">
        <v>1394.5054945054944</v>
      </c>
      <c r="AQ47" s="169">
        <v>82.029734970911434</v>
      </c>
      <c r="AR47" s="185">
        <f t="shared" si="16"/>
        <v>4</v>
      </c>
      <c r="AS47" s="494"/>
      <c r="AT47" s="169">
        <v>17</v>
      </c>
      <c r="AU47" s="169">
        <v>1416.6666666666667</v>
      </c>
      <c r="AV47" s="169">
        <v>83.333333333333343</v>
      </c>
      <c r="AW47" s="185">
        <f t="shared" si="17"/>
        <v>3</v>
      </c>
      <c r="AX47" s="494"/>
    </row>
    <row r="48" spans="2:54">
      <c r="B48" s="471"/>
      <c r="C48" s="185">
        <v>7</v>
      </c>
      <c r="D48" s="206" t="s">
        <v>281</v>
      </c>
      <c r="E48" s="169">
        <v>16</v>
      </c>
      <c r="F48" s="185">
        <v>1440</v>
      </c>
      <c r="G48" s="183">
        <v>90</v>
      </c>
      <c r="H48" s="452"/>
      <c r="I48" s="169">
        <f t="shared" si="18"/>
        <v>16</v>
      </c>
      <c r="J48" s="169">
        <f t="shared" si="19"/>
        <v>1281.3681497216869</v>
      </c>
      <c r="K48" s="183">
        <f t="shared" si="20"/>
        <v>80.085509357605432</v>
      </c>
      <c r="L48" s="452"/>
      <c r="M48" s="184">
        <f>RANK(K48, K$42:$K$71)</f>
        <v>6</v>
      </c>
      <c r="N48" s="454"/>
      <c r="O48" s="454"/>
      <c r="P48" s="169">
        <v>16</v>
      </c>
      <c r="Q48" s="169">
        <v>1280.6249999999982</v>
      </c>
      <c r="R48" s="169">
        <v>80.039062499999886</v>
      </c>
      <c r="S48" s="185">
        <f t="shared" si="11"/>
        <v>7</v>
      </c>
      <c r="T48" s="494"/>
      <c r="U48" s="169">
        <v>16</v>
      </c>
      <c r="V48" s="169">
        <v>1270.5882352941162</v>
      </c>
      <c r="W48" s="169">
        <v>79.411764705882263</v>
      </c>
      <c r="X48" s="185">
        <f t="shared" si="12"/>
        <v>8</v>
      </c>
      <c r="Y48" s="494"/>
      <c r="Z48" s="169">
        <v>16</v>
      </c>
      <c r="AA48" s="169">
        <v>1290.8571428571415</v>
      </c>
      <c r="AB48" s="169">
        <v>80.678571428571345</v>
      </c>
      <c r="AC48" s="185">
        <f t="shared" si="13"/>
        <v>5</v>
      </c>
      <c r="AD48" s="494"/>
      <c r="AE48" s="169">
        <v>16</v>
      </c>
      <c r="AF48" s="169">
        <v>1277.3684210526305</v>
      </c>
      <c r="AG48" s="169">
        <v>79.835526315789409</v>
      </c>
      <c r="AH48" s="185">
        <f t="shared" si="14"/>
        <v>5</v>
      </c>
      <c r="AI48" s="494"/>
      <c r="AJ48" s="169">
        <v>16</v>
      </c>
      <c r="AK48" s="169">
        <v>1291.4285714285709</v>
      </c>
      <c r="AL48" s="169">
        <v>80.71428571428568</v>
      </c>
      <c r="AM48" s="185">
        <f t="shared" si="15"/>
        <v>5</v>
      </c>
      <c r="AN48" s="494"/>
      <c r="AO48" s="169">
        <v>16</v>
      </c>
      <c r="AP48" s="169">
        <v>1298.7096774193526</v>
      </c>
      <c r="AQ48" s="169">
        <v>81.169354838709538</v>
      </c>
      <c r="AR48" s="185">
        <f t="shared" si="16"/>
        <v>5</v>
      </c>
      <c r="AS48" s="494"/>
      <c r="AT48" s="169">
        <v>16</v>
      </c>
      <c r="AU48" s="169">
        <v>1259.9999999999986</v>
      </c>
      <c r="AV48" s="169">
        <v>78.749999999999915</v>
      </c>
      <c r="AW48" s="185">
        <f t="shared" si="17"/>
        <v>8</v>
      </c>
      <c r="AX48" s="494"/>
    </row>
    <row r="49" spans="2:50">
      <c r="B49" s="471"/>
      <c r="C49" s="185">
        <v>8</v>
      </c>
      <c r="D49" s="206" t="s">
        <v>282</v>
      </c>
      <c r="E49" s="169">
        <v>17</v>
      </c>
      <c r="F49" s="185">
        <v>1440</v>
      </c>
      <c r="G49" s="183">
        <v>84.705882352941174</v>
      </c>
      <c r="H49" s="452"/>
      <c r="I49" s="169">
        <f t="shared" si="18"/>
        <v>17</v>
      </c>
      <c r="J49" s="169">
        <f t="shared" si="19"/>
        <v>1283.3125929707016</v>
      </c>
      <c r="K49" s="183">
        <f t="shared" si="20"/>
        <v>75.488976057100103</v>
      </c>
      <c r="L49" s="452"/>
      <c r="M49" s="184">
        <f>RANK(K49, K$42:$K$71)</f>
        <v>14</v>
      </c>
      <c r="N49" s="454"/>
      <c r="O49" s="454"/>
      <c r="P49" s="169">
        <v>17</v>
      </c>
      <c r="Q49" s="169">
        <v>1316.0869565217392</v>
      </c>
      <c r="R49" s="169">
        <v>77.416879795396426</v>
      </c>
      <c r="S49" s="185">
        <f t="shared" si="11"/>
        <v>9</v>
      </c>
      <c r="T49" s="494"/>
      <c r="U49" s="169">
        <v>17</v>
      </c>
      <c r="V49" s="169">
        <v>1258.7500000000002</v>
      </c>
      <c r="W49" s="169">
        <v>74.04411764705884</v>
      </c>
      <c r="X49" s="185">
        <f t="shared" si="12"/>
        <v>14</v>
      </c>
      <c r="Y49" s="494"/>
      <c r="Z49" s="169">
        <v>17</v>
      </c>
      <c r="AA49" s="169">
        <v>1304.1509433962271</v>
      </c>
      <c r="AB49" s="169">
        <v>76.71476137624866</v>
      </c>
      <c r="AC49" s="185">
        <f t="shared" si="13"/>
        <v>9</v>
      </c>
      <c r="AD49" s="494"/>
      <c r="AE49" s="169">
        <v>17</v>
      </c>
      <c r="AF49" s="169">
        <v>1278.5454545454554</v>
      </c>
      <c r="AG49" s="169">
        <v>75.208556149732672</v>
      </c>
      <c r="AH49" s="185">
        <f t="shared" si="14"/>
        <v>11</v>
      </c>
      <c r="AI49" s="494"/>
      <c r="AJ49" s="169">
        <v>17</v>
      </c>
      <c r="AK49" s="169">
        <v>1264.2105263157905</v>
      </c>
      <c r="AL49" s="169">
        <v>74.365325077399447</v>
      </c>
      <c r="AM49" s="185">
        <f t="shared" si="15"/>
        <v>12</v>
      </c>
      <c r="AN49" s="494"/>
      <c r="AO49" s="169">
        <v>17</v>
      </c>
      <c r="AP49" s="169">
        <v>1278.3673469387759</v>
      </c>
      <c r="AQ49" s="169">
        <v>75.198079231692702</v>
      </c>
      <c r="AR49" s="185">
        <f t="shared" si="16"/>
        <v>10</v>
      </c>
      <c r="AS49" s="494"/>
      <c r="AT49" s="169">
        <v>17</v>
      </c>
      <c r="AU49" s="169">
        <v>1283.0769230769238</v>
      </c>
      <c r="AV49" s="169">
        <v>75.47511312217199</v>
      </c>
      <c r="AW49" s="185">
        <f t="shared" si="17"/>
        <v>13</v>
      </c>
      <c r="AX49" s="494"/>
    </row>
    <row r="50" spans="2:50">
      <c r="B50" s="471"/>
      <c r="C50" s="185">
        <v>9</v>
      </c>
      <c r="D50" s="206" t="s">
        <v>283</v>
      </c>
      <c r="E50" s="169">
        <v>18</v>
      </c>
      <c r="F50" s="185">
        <v>1440</v>
      </c>
      <c r="G50" s="183">
        <v>80</v>
      </c>
      <c r="H50" s="452"/>
      <c r="I50" s="169">
        <f t="shared" si="18"/>
        <v>18</v>
      </c>
      <c r="J50" s="169">
        <f t="shared" si="19"/>
        <v>1177.9128929416904</v>
      </c>
      <c r="K50" s="183">
        <f t="shared" si="20"/>
        <v>65.439605163427245</v>
      </c>
      <c r="L50" s="452"/>
      <c r="M50" s="184">
        <f>RANK(K50, K$42:$K$71)</f>
        <v>22</v>
      </c>
      <c r="N50" s="454"/>
      <c r="O50" s="454"/>
      <c r="P50" s="169">
        <v>18</v>
      </c>
      <c r="Q50" s="169">
        <v>1206.6666666666672</v>
      </c>
      <c r="R50" s="169">
        <v>67.037037037037067</v>
      </c>
      <c r="S50" s="185">
        <f t="shared" si="11"/>
        <v>18</v>
      </c>
      <c r="T50" s="494"/>
      <c r="U50" s="169">
        <v>18</v>
      </c>
      <c r="V50" s="169">
        <v>1163.5714285714278</v>
      </c>
      <c r="W50" s="169">
        <v>64.642857142857096</v>
      </c>
      <c r="X50" s="185">
        <f t="shared" si="12"/>
        <v>21</v>
      </c>
      <c r="Y50" s="494"/>
      <c r="Z50" s="169">
        <v>18</v>
      </c>
      <c r="AA50" s="169">
        <v>1198.8047808764936</v>
      </c>
      <c r="AB50" s="169">
        <v>66.600265604249643</v>
      </c>
      <c r="AC50" s="185">
        <f t="shared" si="13"/>
        <v>18</v>
      </c>
      <c r="AD50" s="494"/>
      <c r="AE50" s="169"/>
      <c r="AF50" s="169"/>
      <c r="AG50" s="169"/>
      <c r="AH50" s="185" t="e">
        <f t="shared" si="14"/>
        <v>#N/A</v>
      </c>
      <c r="AI50" s="494"/>
      <c r="AJ50" s="169"/>
      <c r="AK50" s="169"/>
      <c r="AL50" s="169"/>
      <c r="AM50" s="185" t="e">
        <f t="shared" si="15"/>
        <v>#N/A</v>
      </c>
      <c r="AN50" s="494"/>
      <c r="AO50" s="169"/>
      <c r="AP50" s="169"/>
      <c r="AQ50" s="169"/>
      <c r="AR50" s="185" t="e">
        <f t="shared" si="16"/>
        <v>#N/A</v>
      </c>
      <c r="AS50" s="494"/>
      <c r="AT50" s="169">
        <v>18</v>
      </c>
      <c r="AU50" s="169">
        <v>1142.6086956521731</v>
      </c>
      <c r="AV50" s="169">
        <v>63.478260869565169</v>
      </c>
      <c r="AW50" s="185">
        <f t="shared" si="17"/>
        <v>22</v>
      </c>
      <c r="AX50" s="494"/>
    </row>
    <row r="51" spans="2:50">
      <c r="B51" s="471"/>
      <c r="C51" s="185">
        <v>10</v>
      </c>
      <c r="D51" s="206" t="s">
        <v>284</v>
      </c>
      <c r="E51" s="169">
        <v>19</v>
      </c>
      <c r="F51" s="185">
        <v>1636</v>
      </c>
      <c r="G51" s="183">
        <v>86.10526315789474</v>
      </c>
      <c r="H51" s="452"/>
      <c r="I51" s="169">
        <f t="shared" si="18"/>
        <v>18.857142857142858</v>
      </c>
      <c r="J51" s="169">
        <f t="shared" si="19"/>
        <v>1276.3604116780868</v>
      </c>
      <c r="K51" s="183">
        <f t="shared" si="20"/>
        <v>67.708192093332897</v>
      </c>
      <c r="L51" s="452"/>
      <c r="M51" s="184">
        <f>RANK(K51, K$42:$K$71)</f>
        <v>19</v>
      </c>
      <c r="N51" s="454"/>
      <c r="O51" s="454"/>
      <c r="P51" s="169">
        <v>19</v>
      </c>
      <c r="Q51" s="169">
        <v>1285.9259259259254</v>
      </c>
      <c r="R51" s="169">
        <v>67.680311890838183</v>
      </c>
      <c r="S51" s="185">
        <f t="shared" si="11"/>
        <v>17</v>
      </c>
      <c r="T51" s="494"/>
      <c r="U51" s="169">
        <v>19</v>
      </c>
      <c r="V51" s="169">
        <v>1245.9259259259254</v>
      </c>
      <c r="W51" s="169">
        <v>65.575048732943443</v>
      </c>
      <c r="X51" s="185">
        <f t="shared" si="12"/>
        <v>20</v>
      </c>
      <c r="Y51" s="494"/>
      <c r="Z51" s="169">
        <v>19</v>
      </c>
      <c r="AA51" s="169">
        <v>1257.6923076923069</v>
      </c>
      <c r="AB51" s="169">
        <v>66.194331983805625</v>
      </c>
      <c r="AC51" s="185">
        <f t="shared" si="13"/>
        <v>19</v>
      </c>
      <c r="AD51" s="494"/>
      <c r="AE51" s="169">
        <v>19</v>
      </c>
      <c r="AF51" s="169">
        <v>1289.6296296296291</v>
      </c>
      <c r="AG51" s="169">
        <v>67.875243664717317</v>
      </c>
      <c r="AH51" s="185">
        <f t="shared" si="14"/>
        <v>16</v>
      </c>
      <c r="AI51" s="494"/>
      <c r="AJ51" s="169">
        <v>19</v>
      </c>
      <c r="AK51" s="169">
        <v>1283.8554216867465</v>
      </c>
      <c r="AL51" s="169">
        <v>67.571337983512976</v>
      </c>
      <c r="AM51" s="185">
        <f t="shared" si="15"/>
        <v>16</v>
      </c>
      <c r="AN51" s="494"/>
      <c r="AO51" s="169">
        <v>19</v>
      </c>
      <c r="AP51" s="169">
        <v>1299.4936708860753</v>
      </c>
      <c r="AQ51" s="169">
        <v>68.394403730846065</v>
      </c>
      <c r="AR51" s="185">
        <f t="shared" si="16"/>
        <v>15</v>
      </c>
      <c r="AS51" s="494"/>
      <c r="AT51" s="169">
        <v>18</v>
      </c>
      <c r="AU51" s="169">
        <v>1271.9999999999998</v>
      </c>
      <c r="AV51" s="169">
        <v>70.666666666666657</v>
      </c>
      <c r="AW51" s="185">
        <f t="shared" si="17"/>
        <v>17</v>
      </c>
      <c r="AX51" s="494"/>
    </row>
    <row r="52" spans="2:50">
      <c r="B52" s="471"/>
      <c r="C52" s="185">
        <v>11</v>
      </c>
      <c r="D52" s="206" t="s">
        <v>285</v>
      </c>
      <c r="E52" s="169">
        <v>19</v>
      </c>
      <c r="F52" s="185">
        <v>1636</v>
      </c>
      <c r="G52" s="183">
        <v>86.10526315789474</v>
      </c>
      <c r="H52" s="452"/>
      <c r="I52" s="169">
        <f t="shared" si="18"/>
        <v>18.857142857142858</v>
      </c>
      <c r="J52" s="169">
        <f t="shared" si="19"/>
        <v>1272.4039471544809</v>
      </c>
      <c r="K52" s="183">
        <f t="shared" si="20"/>
        <v>67.499957118406243</v>
      </c>
      <c r="L52" s="452"/>
      <c r="M52" s="184">
        <f>RANK(K52, K$42:$K$71)</f>
        <v>20</v>
      </c>
      <c r="N52" s="454"/>
      <c r="O52" s="454"/>
      <c r="P52" s="169">
        <v>19</v>
      </c>
      <c r="Q52" s="169">
        <v>1270.9090909090924</v>
      </c>
      <c r="R52" s="169">
        <v>66.88995215311013</v>
      </c>
      <c r="S52" s="185">
        <f t="shared" si="11"/>
        <v>19</v>
      </c>
      <c r="T52" s="494"/>
      <c r="U52" s="169">
        <v>19</v>
      </c>
      <c r="V52" s="169">
        <v>1266.0000000000011</v>
      </c>
      <c r="W52" s="169">
        <v>66.631578947368482</v>
      </c>
      <c r="X52" s="185">
        <f t="shared" si="12"/>
        <v>19</v>
      </c>
      <c r="Y52" s="494"/>
      <c r="Z52" s="169">
        <v>19</v>
      </c>
      <c r="AA52" s="169">
        <v>1249.5238095238108</v>
      </c>
      <c r="AB52" s="169">
        <v>65.764411027568983</v>
      </c>
      <c r="AC52" s="185">
        <f t="shared" si="13"/>
        <v>20</v>
      </c>
      <c r="AD52" s="494"/>
      <c r="AE52" s="169">
        <v>19</v>
      </c>
      <c r="AF52" s="169">
        <v>1292.3809523809537</v>
      </c>
      <c r="AG52" s="169">
        <v>68.020050125313347</v>
      </c>
      <c r="AH52" s="185">
        <f t="shared" si="14"/>
        <v>15</v>
      </c>
      <c r="AI52" s="494"/>
      <c r="AJ52" s="169">
        <v>19</v>
      </c>
      <c r="AK52" s="169">
        <v>1289.5522388059685</v>
      </c>
      <c r="AL52" s="169">
        <v>67.871170463472026</v>
      </c>
      <c r="AM52" s="185">
        <f t="shared" si="15"/>
        <v>15</v>
      </c>
      <c r="AN52" s="494"/>
      <c r="AO52" s="169">
        <v>19</v>
      </c>
      <c r="AP52" s="169">
        <v>1266.4615384615399</v>
      </c>
      <c r="AQ52" s="169">
        <v>66.655870445344206</v>
      </c>
      <c r="AR52" s="185">
        <f t="shared" si="16"/>
        <v>16</v>
      </c>
      <c r="AS52" s="494"/>
      <c r="AT52" s="169">
        <v>18</v>
      </c>
      <c r="AU52" s="169">
        <v>1271.9999999999986</v>
      </c>
      <c r="AV52" s="169">
        <v>70.666666666666586</v>
      </c>
      <c r="AW52" s="185">
        <f t="shared" si="17"/>
        <v>18</v>
      </c>
      <c r="AX52" s="494"/>
    </row>
    <row r="53" spans="2:50">
      <c r="B53" s="471"/>
      <c r="C53" s="185">
        <v>12</v>
      </c>
      <c r="D53" s="206" t="s">
        <v>287</v>
      </c>
      <c r="E53" s="169">
        <v>17</v>
      </c>
      <c r="F53" s="185">
        <v>1500</v>
      </c>
      <c r="G53" s="183">
        <v>88.235294117647058</v>
      </c>
      <c r="H53" s="452"/>
      <c r="I53" s="169">
        <f t="shared" si="18"/>
        <v>17</v>
      </c>
      <c r="J53" s="169">
        <f t="shared" si="19"/>
        <v>1270.2135727249149</v>
      </c>
      <c r="K53" s="183">
        <f t="shared" si="20"/>
        <v>74.718445454406762</v>
      </c>
      <c r="L53" s="452"/>
      <c r="M53" s="184">
        <f>RANK(K53, K$42:$K$71)</f>
        <v>16</v>
      </c>
      <c r="N53" s="454"/>
      <c r="O53" s="454"/>
      <c r="P53" s="169">
        <v>17</v>
      </c>
      <c r="Q53" s="169">
        <v>1282.1052631578939</v>
      </c>
      <c r="R53" s="169">
        <v>75.417956656346703</v>
      </c>
      <c r="S53" s="185">
        <f t="shared" si="11"/>
        <v>12</v>
      </c>
      <c r="T53" s="494"/>
      <c r="U53" s="169">
        <v>17</v>
      </c>
      <c r="V53" s="169">
        <v>1263.1578947368412</v>
      </c>
      <c r="W53" s="169">
        <v>74.303405572755366</v>
      </c>
      <c r="X53" s="185">
        <f t="shared" si="12"/>
        <v>13</v>
      </c>
      <c r="Y53" s="494"/>
      <c r="Z53" s="169">
        <v>17</v>
      </c>
      <c r="AA53" s="169">
        <v>1288.4482758620682</v>
      </c>
      <c r="AB53" s="169">
        <v>75.791075050709892</v>
      </c>
      <c r="AC53" s="185">
        <f t="shared" si="13"/>
        <v>12</v>
      </c>
      <c r="AD53" s="494"/>
      <c r="AE53" s="169"/>
      <c r="AF53" s="169"/>
      <c r="AG53" s="169"/>
      <c r="AH53" s="185" t="e">
        <f t="shared" si="14"/>
        <v>#N/A</v>
      </c>
      <c r="AI53" s="494"/>
      <c r="AJ53" s="169"/>
      <c r="AK53" s="169"/>
      <c r="AL53" s="169"/>
      <c r="AM53" s="185" t="e">
        <f t="shared" si="15"/>
        <v>#N/A</v>
      </c>
      <c r="AN53" s="494"/>
      <c r="AO53" s="169"/>
      <c r="AP53" s="169"/>
      <c r="AQ53" s="169"/>
      <c r="AR53" s="185" t="e">
        <f t="shared" si="16"/>
        <v>#N/A</v>
      </c>
      <c r="AS53" s="494"/>
      <c r="AT53" s="169">
        <v>17</v>
      </c>
      <c r="AU53" s="169">
        <v>1247.1428571428567</v>
      </c>
      <c r="AV53" s="169">
        <v>73.3613445378151</v>
      </c>
      <c r="AW53" s="185">
        <f t="shared" si="17"/>
        <v>15</v>
      </c>
      <c r="AX53" s="494"/>
    </row>
    <row r="54" spans="2:50">
      <c r="B54" s="471"/>
      <c r="C54" s="185">
        <v>13</v>
      </c>
      <c r="D54" s="206" t="s">
        <v>288</v>
      </c>
      <c r="E54" s="169">
        <v>17</v>
      </c>
      <c r="F54" s="185">
        <v>1500</v>
      </c>
      <c r="G54" s="183">
        <v>88.235294117647058</v>
      </c>
      <c r="H54" s="452"/>
      <c r="I54" s="169">
        <f t="shared" si="18"/>
        <v>17</v>
      </c>
      <c r="J54" s="169">
        <f t="shared" si="19"/>
        <v>1291.612817499954</v>
      </c>
      <c r="K54" s="183">
        <f t="shared" si="20"/>
        <v>75.977224558820808</v>
      </c>
      <c r="L54" s="452"/>
      <c r="M54" s="184">
        <f>RANK(K54, K$42:$K$71)</f>
        <v>13</v>
      </c>
      <c r="N54" s="454"/>
      <c r="O54" s="454"/>
      <c r="P54" s="169">
        <v>17</v>
      </c>
      <c r="Q54" s="169">
        <v>1274.7169811320762</v>
      </c>
      <c r="R54" s="169">
        <v>74.983351831298592</v>
      </c>
      <c r="S54" s="185">
        <f t="shared" si="11"/>
        <v>13</v>
      </c>
      <c r="T54" s="494"/>
      <c r="U54" s="169">
        <v>17</v>
      </c>
      <c r="V54" s="169">
        <v>1310.2040816326535</v>
      </c>
      <c r="W54" s="169">
        <v>77.070828331332564</v>
      </c>
      <c r="X54" s="185">
        <f t="shared" si="12"/>
        <v>12</v>
      </c>
      <c r="Y54" s="494"/>
      <c r="Z54" s="169">
        <v>17</v>
      </c>
      <c r="AA54" s="169">
        <v>1296.2264150943402</v>
      </c>
      <c r="AB54" s="169">
        <v>76.248612652608244</v>
      </c>
      <c r="AC54" s="185">
        <f t="shared" si="13"/>
        <v>10</v>
      </c>
      <c r="AD54" s="494"/>
      <c r="AE54" s="169">
        <v>17</v>
      </c>
      <c r="AF54" s="169">
        <v>1323.0000000000014</v>
      </c>
      <c r="AG54" s="169">
        <v>77.823529411764781</v>
      </c>
      <c r="AH54" s="185">
        <f t="shared" si="14"/>
        <v>7</v>
      </c>
      <c r="AI54" s="494"/>
      <c r="AJ54" s="169">
        <v>17</v>
      </c>
      <c r="AK54" s="169">
        <v>1301.3114754098372</v>
      </c>
      <c r="AL54" s="169">
        <v>76.547733847637474</v>
      </c>
      <c r="AM54" s="185">
        <f t="shared" si="15"/>
        <v>11</v>
      </c>
      <c r="AN54" s="494"/>
      <c r="AO54" s="169">
        <v>17</v>
      </c>
      <c r="AP54" s="169">
        <v>1281.6000000000004</v>
      </c>
      <c r="AQ54" s="169">
        <v>75.388235294117663</v>
      </c>
      <c r="AR54" s="185">
        <f t="shared" si="16"/>
        <v>9</v>
      </c>
      <c r="AS54" s="494"/>
      <c r="AT54" s="169">
        <v>17</v>
      </c>
      <c r="AU54" s="169">
        <v>1254.2307692307697</v>
      </c>
      <c r="AV54" s="169">
        <v>73.778280542986451</v>
      </c>
      <c r="AW54" s="185">
        <f t="shared" si="17"/>
        <v>14</v>
      </c>
      <c r="AX54" s="494"/>
    </row>
    <row r="55" spans="2:50">
      <c r="B55" s="471"/>
      <c r="C55" s="185">
        <v>14</v>
      </c>
      <c r="D55" s="206" t="s">
        <v>289</v>
      </c>
      <c r="E55" s="169">
        <v>17</v>
      </c>
      <c r="F55" s="185">
        <v>1440</v>
      </c>
      <c r="G55" s="183">
        <v>84.705882352941174</v>
      </c>
      <c r="H55" s="452"/>
      <c r="I55" s="169">
        <f t="shared" si="18"/>
        <v>17</v>
      </c>
      <c r="J55" s="169">
        <f t="shared" si="19"/>
        <v>1337.9174386949437</v>
      </c>
      <c r="K55" s="183">
        <f t="shared" si="20"/>
        <v>78.701025805584933</v>
      </c>
      <c r="L55" s="452"/>
      <c r="M55" s="184">
        <f>RANK(K55, K$42:$K$71)</f>
        <v>10</v>
      </c>
      <c r="N55" s="454"/>
      <c r="O55" s="454"/>
      <c r="P55" s="169">
        <v>17</v>
      </c>
      <c r="Q55" s="169">
        <v>1344.705882352941</v>
      </c>
      <c r="R55" s="169">
        <v>79.100346020761236</v>
      </c>
      <c r="S55" s="185">
        <f t="shared" si="11"/>
        <v>8</v>
      </c>
      <c r="T55" s="494"/>
      <c r="U55" s="169">
        <v>17</v>
      </c>
      <c r="V55" s="169">
        <v>1342.4999999999995</v>
      </c>
      <c r="W55" s="169">
        <v>78.970588235294088</v>
      </c>
      <c r="X55" s="185">
        <f t="shared" si="12"/>
        <v>9</v>
      </c>
      <c r="Y55" s="494"/>
      <c r="Z55" s="169">
        <v>17</v>
      </c>
      <c r="AA55" s="169">
        <v>1335.1578947368423</v>
      </c>
      <c r="AB55" s="169">
        <v>78.538699690402495</v>
      </c>
      <c r="AC55" s="185">
        <f t="shared" si="13"/>
        <v>7</v>
      </c>
      <c r="AD55" s="494"/>
      <c r="AE55" s="169">
        <v>17</v>
      </c>
      <c r="AF55" s="169">
        <v>1311.515151515152</v>
      </c>
      <c r="AG55" s="169">
        <v>77.147950089126581</v>
      </c>
      <c r="AH55" s="185">
        <f t="shared" si="14"/>
        <v>8</v>
      </c>
      <c r="AI55" s="494"/>
      <c r="AJ55" s="169">
        <v>17</v>
      </c>
      <c r="AK55" s="169">
        <v>1335.5769230769238</v>
      </c>
      <c r="AL55" s="169">
        <v>78.563348416289628</v>
      </c>
      <c r="AM55" s="185">
        <f t="shared" si="15"/>
        <v>8</v>
      </c>
      <c r="AN55" s="494"/>
      <c r="AO55" s="169">
        <v>17</v>
      </c>
      <c r="AP55" s="169">
        <v>1358.0487804878044</v>
      </c>
      <c r="AQ55" s="169">
        <v>79.885222381635558</v>
      </c>
      <c r="AR55" s="185">
        <f t="shared" si="16"/>
        <v>7</v>
      </c>
      <c r="AS55" s="494"/>
      <c r="AT55" s="169" t="s">
        <v>270</v>
      </c>
      <c r="AU55" s="169" t="s">
        <v>270</v>
      </c>
      <c r="AV55" s="169" t="s">
        <v>270</v>
      </c>
      <c r="AW55" s="185" t="e">
        <f t="shared" si="17"/>
        <v>#VALUE!</v>
      </c>
      <c r="AX55" s="494"/>
    </row>
    <row r="56" spans="2:50">
      <c r="B56" s="471"/>
      <c r="C56" s="185">
        <v>15</v>
      </c>
      <c r="D56" s="206" t="s">
        <v>290</v>
      </c>
      <c r="E56" s="169">
        <v>15</v>
      </c>
      <c r="F56" s="185">
        <v>1440</v>
      </c>
      <c r="G56" s="183">
        <v>96</v>
      </c>
      <c r="H56" s="452"/>
      <c r="I56" s="169">
        <f t="shared" si="18"/>
        <v>15.5</v>
      </c>
      <c r="J56" s="169">
        <f t="shared" si="19"/>
        <v>1275.1288016381773</v>
      </c>
      <c r="K56" s="183">
        <f t="shared" si="20"/>
        <v>82.354459171711795</v>
      </c>
      <c r="L56" s="452"/>
      <c r="M56" s="169">
        <f>RANK(K56, K$42:$K$71)</f>
        <v>4</v>
      </c>
      <c r="N56" s="454"/>
      <c r="O56" s="454"/>
      <c r="P56" s="169">
        <v>16</v>
      </c>
      <c r="Q56" s="169">
        <v>1281.5625000000016</v>
      </c>
      <c r="R56" s="169">
        <v>80.097656250000099</v>
      </c>
      <c r="S56" s="185">
        <f t="shared" si="11"/>
        <v>6</v>
      </c>
      <c r="T56" s="494"/>
      <c r="U56" s="169">
        <v>15</v>
      </c>
      <c r="V56" s="169">
        <v>1272.9230769230783</v>
      </c>
      <c r="W56" s="169">
        <v>84.861538461538558</v>
      </c>
      <c r="X56" s="185">
        <f t="shared" si="12"/>
        <v>5</v>
      </c>
      <c r="Y56" s="494"/>
      <c r="Z56" s="169">
        <v>15</v>
      </c>
      <c r="AA56" s="169">
        <v>1279.6296296296293</v>
      </c>
      <c r="AB56" s="169">
        <v>85.308641975308618</v>
      </c>
      <c r="AC56" s="185">
        <f t="shared" si="13"/>
        <v>3</v>
      </c>
      <c r="AD56" s="494"/>
      <c r="AE56" s="169"/>
      <c r="AF56" s="169"/>
      <c r="AG56" s="169"/>
      <c r="AH56" s="185" t="e">
        <f t="shared" si="14"/>
        <v>#N/A</v>
      </c>
      <c r="AI56" s="494"/>
      <c r="AJ56" s="169"/>
      <c r="AK56" s="169"/>
      <c r="AL56" s="169"/>
      <c r="AM56" s="185" t="e">
        <f t="shared" si="15"/>
        <v>#N/A</v>
      </c>
      <c r="AN56" s="494"/>
      <c r="AO56" s="169"/>
      <c r="AP56" s="169"/>
      <c r="AQ56" s="169"/>
      <c r="AR56" s="185" t="e">
        <f t="shared" si="16"/>
        <v>#N/A</v>
      </c>
      <c r="AS56" s="494"/>
      <c r="AT56" s="169">
        <v>16</v>
      </c>
      <c r="AU56" s="169">
        <v>1266.3999999999992</v>
      </c>
      <c r="AV56" s="169">
        <v>79.149999999999949</v>
      </c>
      <c r="AW56" s="185">
        <f t="shared" si="17"/>
        <v>6</v>
      </c>
      <c r="AX56" s="494"/>
    </row>
    <row r="57" spans="2:50">
      <c r="B57" s="471"/>
      <c r="C57" s="185">
        <v>16</v>
      </c>
      <c r="D57" s="206" t="s">
        <v>291</v>
      </c>
      <c r="E57" s="169">
        <v>16</v>
      </c>
      <c r="F57" s="185">
        <v>1440</v>
      </c>
      <c r="G57" s="183">
        <v>90</v>
      </c>
      <c r="H57" s="452"/>
      <c r="I57" s="169">
        <f t="shared" si="18"/>
        <v>16.714285714285715</v>
      </c>
      <c r="J57" s="169">
        <f t="shared" si="19"/>
        <v>1337.8105448461961</v>
      </c>
      <c r="K57" s="183">
        <f t="shared" si="20"/>
        <v>80.107156463409027</v>
      </c>
      <c r="L57" s="452"/>
      <c r="M57" s="169">
        <f>RANK(K57, K$42:$K$71)</f>
        <v>5</v>
      </c>
      <c r="N57" s="454"/>
      <c r="O57" s="454"/>
      <c r="P57" s="169">
        <v>16</v>
      </c>
      <c r="Q57" s="169">
        <v>1361.5384615384623</v>
      </c>
      <c r="R57" s="169">
        <v>85.096153846153896</v>
      </c>
      <c r="S57" s="185">
        <f t="shared" si="11"/>
        <v>4</v>
      </c>
      <c r="T57" s="494"/>
      <c r="U57" s="169">
        <v>17</v>
      </c>
      <c r="V57" s="169">
        <v>1336.0396039603966</v>
      </c>
      <c r="W57" s="169">
        <v>78.590564938846853</v>
      </c>
      <c r="X57" s="185">
        <f t="shared" si="12"/>
        <v>10</v>
      </c>
      <c r="Y57" s="494"/>
      <c r="Z57" s="169">
        <v>17</v>
      </c>
      <c r="AA57" s="169">
        <v>1347.9310344827577</v>
      </c>
      <c r="AB57" s="169">
        <v>79.290060851926924</v>
      </c>
      <c r="AC57" s="185">
        <f t="shared" si="13"/>
        <v>6</v>
      </c>
      <c r="AD57" s="494"/>
      <c r="AE57" s="169">
        <v>17</v>
      </c>
      <c r="AF57" s="169">
        <v>1310.7692307692303</v>
      </c>
      <c r="AG57" s="169">
        <v>77.104072398190013</v>
      </c>
      <c r="AH57" s="185">
        <f t="shared" si="14"/>
        <v>9</v>
      </c>
      <c r="AI57" s="494"/>
      <c r="AJ57" s="169">
        <v>17</v>
      </c>
      <c r="AK57" s="169">
        <v>1308.8372093023254</v>
      </c>
      <c r="AL57" s="169">
        <v>76.990424076607383</v>
      </c>
      <c r="AM57" s="185">
        <f t="shared" si="15"/>
        <v>10</v>
      </c>
      <c r="AN57" s="494"/>
      <c r="AO57" s="169">
        <v>16</v>
      </c>
      <c r="AP57" s="169">
        <v>1327.7064220183495</v>
      </c>
      <c r="AQ57" s="169">
        <v>82.981651376146843</v>
      </c>
      <c r="AR57" s="185">
        <f t="shared" si="16"/>
        <v>3</v>
      </c>
      <c r="AS57" s="494"/>
      <c r="AT57" s="169">
        <v>17</v>
      </c>
      <c r="AU57" s="169">
        <v>1371.8518518518513</v>
      </c>
      <c r="AV57" s="169">
        <v>80.697167755991245</v>
      </c>
      <c r="AW57" s="185">
        <f t="shared" si="17"/>
        <v>4</v>
      </c>
      <c r="AX57" s="494"/>
    </row>
    <row r="58" spans="2:50">
      <c r="B58" s="471"/>
      <c r="C58" s="185">
        <v>17</v>
      </c>
      <c r="D58" s="206" t="s">
        <v>292</v>
      </c>
      <c r="E58" s="169">
        <v>17</v>
      </c>
      <c r="F58" s="185">
        <v>1636</v>
      </c>
      <c r="G58" s="183">
        <v>96.235294117647058</v>
      </c>
      <c r="H58" s="452"/>
      <c r="I58" s="169">
        <f t="shared" si="18"/>
        <v>16.428571428571427</v>
      </c>
      <c r="J58" s="169">
        <f t="shared" si="19"/>
        <v>1287.3205964023484</v>
      </c>
      <c r="K58" s="183">
        <f t="shared" si="20"/>
        <v>78.412539471249602</v>
      </c>
      <c r="L58" s="452"/>
      <c r="M58" s="169">
        <f>RANK(K58, K$42:$K$71)</f>
        <v>11</v>
      </c>
      <c r="N58" s="454"/>
      <c r="O58" s="454"/>
      <c r="P58" s="169">
        <v>17</v>
      </c>
      <c r="Q58" s="169">
        <v>1300.4651162790694</v>
      </c>
      <c r="R58" s="169">
        <v>76.497948016415847</v>
      </c>
      <c r="S58" s="185">
        <f t="shared" si="11"/>
        <v>10</v>
      </c>
      <c r="T58" s="494"/>
      <c r="U58" s="169">
        <v>16</v>
      </c>
      <c r="V58" s="169">
        <v>1306.4999999999995</v>
      </c>
      <c r="W58" s="169">
        <v>81.656249999999972</v>
      </c>
      <c r="X58" s="185">
        <f t="shared" si="12"/>
        <v>7</v>
      </c>
      <c r="Y58" s="494"/>
      <c r="Z58" s="169">
        <v>17</v>
      </c>
      <c r="AA58" s="169">
        <v>1295.3846153846146</v>
      </c>
      <c r="AB58" s="169">
        <v>76.199095022624391</v>
      </c>
      <c r="AC58" s="185">
        <f t="shared" si="13"/>
        <v>11</v>
      </c>
      <c r="AD58" s="494"/>
      <c r="AE58" s="169">
        <v>16</v>
      </c>
      <c r="AF58" s="169">
        <v>1248.2608695652175</v>
      </c>
      <c r="AG58" s="169">
        <v>78.016304347826093</v>
      </c>
      <c r="AH58" s="185">
        <f t="shared" si="14"/>
        <v>6</v>
      </c>
      <c r="AI58" s="494"/>
      <c r="AJ58" s="169">
        <v>16</v>
      </c>
      <c r="AK58" s="169">
        <v>1282.3529411764712</v>
      </c>
      <c r="AL58" s="169">
        <v>80.147058823529449</v>
      </c>
      <c r="AM58" s="185">
        <f t="shared" si="15"/>
        <v>6</v>
      </c>
      <c r="AN58" s="494"/>
      <c r="AO58" s="169">
        <v>16</v>
      </c>
      <c r="AP58" s="169">
        <v>1280.4545454545455</v>
      </c>
      <c r="AQ58" s="169">
        <v>80.028409090909093</v>
      </c>
      <c r="AR58" s="185">
        <f t="shared" si="16"/>
        <v>6</v>
      </c>
      <c r="AS58" s="494"/>
      <c r="AT58" s="169">
        <v>17</v>
      </c>
      <c r="AU58" s="169">
        <v>1297.8260869565217</v>
      </c>
      <c r="AV58" s="169">
        <v>76.342710997442452</v>
      </c>
      <c r="AW58" s="185">
        <f t="shared" si="17"/>
        <v>10</v>
      </c>
      <c r="AX58" s="494"/>
    </row>
    <row r="59" spans="2:50">
      <c r="B59" s="471"/>
      <c r="C59" s="185">
        <v>18</v>
      </c>
      <c r="D59" s="206" t="s">
        <v>293</v>
      </c>
      <c r="E59" s="169">
        <v>18</v>
      </c>
      <c r="F59" s="185">
        <v>1440</v>
      </c>
      <c r="G59" s="183">
        <v>80</v>
      </c>
      <c r="H59" s="452"/>
      <c r="I59" s="169">
        <f t="shared" si="18"/>
        <v>17.857142857142858</v>
      </c>
      <c r="J59" s="169">
        <f t="shared" si="19"/>
        <v>1288.7955787302965</v>
      </c>
      <c r="K59" s="183">
        <f t="shared" si="20"/>
        <v>72.201684034658555</v>
      </c>
      <c r="L59" s="452"/>
      <c r="M59" s="169">
        <f>RANK(K59, K$42:$K$71)</f>
        <v>17</v>
      </c>
      <c r="N59" s="454"/>
      <c r="O59" s="454"/>
      <c r="P59" s="169">
        <v>18</v>
      </c>
      <c r="Q59" s="169">
        <v>1262.9999999999995</v>
      </c>
      <c r="R59" s="169">
        <v>70.166666666666643</v>
      </c>
      <c r="S59" s="185">
        <f t="shared" si="11"/>
        <v>16</v>
      </c>
      <c r="T59" s="494"/>
      <c r="U59" s="169">
        <v>18</v>
      </c>
      <c r="V59" s="169">
        <v>1296.1643835616428</v>
      </c>
      <c r="W59" s="169">
        <v>72.009132420091262</v>
      </c>
      <c r="X59" s="185">
        <f t="shared" si="12"/>
        <v>15</v>
      </c>
      <c r="Y59" s="494"/>
      <c r="Z59" s="169">
        <v>18</v>
      </c>
      <c r="AA59" s="169">
        <v>1289.599999999999</v>
      </c>
      <c r="AB59" s="169">
        <v>71.644444444444389</v>
      </c>
      <c r="AC59" s="185">
        <f t="shared" si="13"/>
        <v>15</v>
      </c>
      <c r="AD59" s="494"/>
      <c r="AE59" s="169">
        <v>18</v>
      </c>
      <c r="AF59" s="169">
        <v>1292.3076923076915</v>
      </c>
      <c r="AG59" s="169">
        <v>71.794871794871753</v>
      </c>
      <c r="AH59" s="185">
        <f t="shared" si="14"/>
        <v>13</v>
      </c>
      <c r="AI59" s="494"/>
      <c r="AJ59" s="169">
        <v>18</v>
      </c>
      <c r="AK59" s="169">
        <v>1279.5180722891562</v>
      </c>
      <c r="AL59" s="169">
        <v>71.084337349397572</v>
      </c>
      <c r="AM59" s="185">
        <f t="shared" si="15"/>
        <v>14</v>
      </c>
      <c r="AN59" s="494"/>
      <c r="AO59" s="169">
        <v>18</v>
      </c>
      <c r="AP59" s="169">
        <v>1311.6455696202524</v>
      </c>
      <c r="AQ59" s="169">
        <v>72.86919831223625</v>
      </c>
      <c r="AR59" s="185">
        <f t="shared" si="16"/>
        <v>13</v>
      </c>
      <c r="AS59" s="494"/>
      <c r="AT59" s="169">
        <v>17</v>
      </c>
      <c r="AU59" s="169">
        <v>1289.3333333333333</v>
      </c>
      <c r="AV59" s="169">
        <v>75.843137254901961</v>
      </c>
      <c r="AW59" s="185">
        <f t="shared" si="17"/>
        <v>11</v>
      </c>
      <c r="AX59" s="494"/>
    </row>
    <row r="60" spans="2:50">
      <c r="B60" s="471"/>
      <c r="C60" s="185">
        <v>19</v>
      </c>
      <c r="D60" s="206" t="s">
        <v>294</v>
      </c>
      <c r="E60" s="169">
        <v>18</v>
      </c>
      <c r="F60" s="185">
        <v>1500</v>
      </c>
      <c r="G60" s="183">
        <v>83.333333333333329</v>
      </c>
      <c r="H60" s="452"/>
      <c r="I60" s="169">
        <f t="shared" si="18"/>
        <v>16.857142857142858</v>
      </c>
      <c r="J60" s="169">
        <f t="shared" si="19"/>
        <v>1088.9599328051556</v>
      </c>
      <c r="K60" s="183">
        <f t="shared" si="20"/>
        <v>64.632842347172343</v>
      </c>
      <c r="L60" s="452"/>
      <c r="M60" s="169">
        <f>RANK(K60, K$42:$K$71)</f>
        <v>23</v>
      </c>
      <c r="N60" s="454"/>
      <c r="O60" s="454"/>
      <c r="P60" s="169">
        <v>17</v>
      </c>
      <c r="Q60" s="169">
        <v>1061.999999999998</v>
      </c>
      <c r="R60" s="169">
        <v>62.470588235293995</v>
      </c>
      <c r="S60" s="185">
        <f t="shared" si="11"/>
        <v>22</v>
      </c>
      <c r="T60" s="494"/>
      <c r="U60" s="169">
        <v>16</v>
      </c>
      <c r="V60" s="169">
        <v>1097.4193548387079</v>
      </c>
      <c r="W60" s="169">
        <v>68.588709677419246</v>
      </c>
      <c r="X60" s="185">
        <f t="shared" si="12"/>
        <v>18</v>
      </c>
      <c r="Y60" s="494"/>
      <c r="Z60" s="169">
        <v>17</v>
      </c>
      <c r="AA60" s="169">
        <v>1095.4838709677401</v>
      </c>
      <c r="AB60" s="169">
        <v>64.440227703984718</v>
      </c>
      <c r="AC60" s="185">
        <f t="shared" si="13"/>
        <v>21</v>
      </c>
      <c r="AD60" s="494"/>
      <c r="AE60" s="169">
        <v>17</v>
      </c>
      <c r="AF60" s="169">
        <v>1071.7241379310324</v>
      </c>
      <c r="AG60" s="169">
        <v>63.04259634888426</v>
      </c>
      <c r="AH60" s="185">
        <f t="shared" si="14"/>
        <v>18</v>
      </c>
      <c r="AI60" s="494"/>
      <c r="AJ60" s="169">
        <v>17</v>
      </c>
      <c r="AK60" s="169">
        <v>1095.999999999998</v>
      </c>
      <c r="AL60" s="169">
        <v>64.470588235294002</v>
      </c>
      <c r="AM60" s="185">
        <f t="shared" si="15"/>
        <v>17</v>
      </c>
      <c r="AN60" s="494"/>
      <c r="AO60" s="169">
        <v>17</v>
      </c>
      <c r="AP60" s="169">
        <v>1114.2857142857117</v>
      </c>
      <c r="AQ60" s="169">
        <v>65.54621848739481</v>
      </c>
      <c r="AR60" s="185">
        <f t="shared" si="16"/>
        <v>17</v>
      </c>
      <c r="AS60" s="494"/>
      <c r="AT60" s="169">
        <v>17</v>
      </c>
      <c r="AU60" s="169">
        <v>1085.8064516129016</v>
      </c>
      <c r="AV60" s="169">
        <v>63.870967741935388</v>
      </c>
      <c r="AW60" s="185">
        <f t="shared" si="17"/>
        <v>21</v>
      </c>
      <c r="AX60" s="494"/>
    </row>
    <row r="61" spans="2:50">
      <c r="B61" s="471"/>
      <c r="C61" s="185">
        <v>20</v>
      </c>
      <c r="D61" s="206" t="s">
        <v>295</v>
      </c>
      <c r="E61" s="169">
        <v>18</v>
      </c>
      <c r="F61" s="185">
        <v>1500</v>
      </c>
      <c r="G61" s="183">
        <v>83.333333333333329</v>
      </c>
      <c r="H61" s="452"/>
      <c r="I61" s="169">
        <f t="shared" si="18"/>
        <v>18</v>
      </c>
      <c r="J61" s="169">
        <f t="shared" si="19"/>
        <v>1277.9619647992624</v>
      </c>
      <c r="K61" s="183">
        <f t="shared" si="20"/>
        <v>70.997886933292349</v>
      </c>
      <c r="L61" s="452"/>
      <c r="M61" s="169">
        <f>RANK(K61, K$42:$K$71)</f>
        <v>18</v>
      </c>
      <c r="N61" s="454"/>
      <c r="O61" s="454"/>
      <c r="P61" s="169">
        <v>18</v>
      </c>
      <c r="Q61" s="169">
        <v>1279.7142857142844</v>
      </c>
      <c r="R61" s="169">
        <v>71.095238095238017</v>
      </c>
      <c r="S61" s="185">
        <f t="shared" si="11"/>
        <v>15</v>
      </c>
      <c r="T61" s="494"/>
      <c r="U61" s="169">
        <v>18</v>
      </c>
      <c r="V61" s="169">
        <v>1286.9565217391291</v>
      </c>
      <c r="W61" s="169">
        <v>71.497584541062736</v>
      </c>
      <c r="X61" s="185">
        <f t="shared" si="12"/>
        <v>16</v>
      </c>
      <c r="Y61" s="494"/>
      <c r="Z61" s="169">
        <v>18</v>
      </c>
      <c r="AA61" s="169">
        <v>1267.5949367088601</v>
      </c>
      <c r="AB61" s="169">
        <v>70.421940928270004</v>
      </c>
      <c r="AC61" s="185">
        <f t="shared" si="13"/>
        <v>16</v>
      </c>
      <c r="AD61" s="494"/>
      <c r="AE61" s="169">
        <v>18</v>
      </c>
      <c r="AF61" s="169">
        <v>1278.7951807228912</v>
      </c>
      <c r="AG61" s="169">
        <v>71.044176706827287</v>
      </c>
      <c r="AH61" s="185">
        <f t="shared" si="14"/>
        <v>14</v>
      </c>
      <c r="AI61" s="494"/>
      <c r="AJ61" s="169">
        <v>18</v>
      </c>
      <c r="AK61" s="169">
        <v>1284.8275862068965</v>
      </c>
      <c r="AL61" s="169">
        <v>71.379310344827587</v>
      </c>
      <c r="AM61" s="185">
        <f t="shared" si="15"/>
        <v>13</v>
      </c>
      <c r="AN61" s="494"/>
      <c r="AO61" s="169">
        <v>18</v>
      </c>
      <c r="AP61" s="169">
        <v>1280.5479452054785</v>
      </c>
      <c r="AQ61" s="169">
        <v>71.141552511415469</v>
      </c>
      <c r="AR61" s="185">
        <f t="shared" si="16"/>
        <v>14</v>
      </c>
      <c r="AS61" s="494"/>
      <c r="AT61" s="169">
        <v>18</v>
      </c>
      <c r="AU61" s="169">
        <v>1267.2972972972964</v>
      </c>
      <c r="AV61" s="169">
        <v>70.405405405405361</v>
      </c>
      <c r="AW61" s="185">
        <f t="shared" si="17"/>
        <v>19</v>
      </c>
      <c r="AX61" s="494"/>
    </row>
    <row r="62" spans="2:50">
      <c r="B62" s="471"/>
      <c r="C62" s="185">
        <v>21</v>
      </c>
      <c r="D62" s="206" t="s">
        <v>296</v>
      </c>
      <c r="E62" s="169">
        <v>17</v>
      </c>
      <c r="F62" s="185">
        <v>1440</v>
      </c>
      <c r="G62" s="183">
        <v>84.705882352941174</v>
      </c>
      <c r="H62" s="452"/>
      <c r="I62" s="169">
        <f t="shared" si="18"/>
        <v>16.428571428571427</v>
      </c>
      <c r="J62" s="169">
        <f t="shared" si="19"/>
        <v>1270.2258002866704</v>
      </c>
      <c r="K62" s="183">
        <f t="shared" si="20"/>
        <v>77.562479975267721</v>
      </c>
      <c r="L62" s="452"/>
      <c r="M62" s="169">
        <f>RANK(K62, K$42:$K$71)</f>
        <v>12</v>
      </c>
      <c r="N62" s="454"/>
      <c r="O62" s="454"/>
      <c r="P62" s="169">
        <v>17</v>
      </c>
      <c r="Q62" s="169">
        <v>1245.0000000000005</v>
      </c>
      <c r="R62" s="169">
        <v>73.235294117647086</v>
      </c>
      <c r="S62" s="185">
        <f t="shared" si="11"/>
        <v>14</v>
      </c>
      <c r="T62" s="494"/>
      <c r="U62" s="169">
        <v>15</v>
      </c>
      <c r="V62" s="169">
        <v>1273.0434782608695</v>
      </c>
      <c r="W62" s="169">
        <v>84.869565217391298</v>
      </c>
      <c r="X62" s="185">
        <f t="shared" si="12"/>
        <v>4</v>
      </c>
      <c r="Y62" s="494"/>
      <c r="Z62" s="169">
        <v>17</v>
      </c>
      <c r="AA62" s="169">
        <v>1266.5217391304348</v>
      </c>
      <c r="AB62" s="169">
        <v>74.501278772378512</v>
      </c>
      <c r="AC62" s="185">
        <f t="shared" si="13"/>
        <v>13</v>
      </c>
      <c r="AD62" s="494"/>
      <c r="AE62" s="169">
        <v>17</v>
      </c>
      <c r="AF62" s="169">
        <v>1279.2000000000005</v>
      </c>
      <c r="AG62" s="169">
        <v>75.247058823529443</v>
      </c>
      <c r="AH62" s="185">
        <f t="shared" si="14"/>
        <v>10</v>
      </c>
      <c r="AI62" s="494"/>
      <c r="AJ62" s="169">
        <v>15</v>
      </c>
      <c r="AK62" s="169">
        <v>1264.6153846153852</v>
      </c>
      <c r="AL62" s="169">
        <v>84.307692307692349</v>
      </c>
      <c r="AM62" s="185">
        <f t="shared" si="15"/>
        <v>3</v>
      </c>
      <c r="AN62" s="494"/>
      <c r="AO62" s="169">
        <v>17</v>
      </c>
      <c r="AP62" s="169">
        <v>1274.4000000000003</v>
      </c>
      <c r="AQ62" s="169">
        <v>74.964705882352959</v>
      </c>
      <c r="AR62" s="185">
        <f t="shared" si="16"/>
        <v>11</v>
      </c>
      <c r="AS62" s="494"/>
      <c r="AT62" s="169">
        <v>17</v>
      </c>
      <c r="AU62" s="169">
        <v>1288.8000000000004</v>
      </c>
      <c r="AV62" s="169">
        <v>75.811764705882382</v>
      </c>
      <c r="AW62" s="185">
        <f t="shared" si="17"/>
        <v>12</v>
      </c>
      <c r="AX62" s="494"/>
    </row>
    <row r="63" spans="2:50">
      <c r="B63" s="471"/>
      <c r="C63" s="185">
        <v>22</v>
      </c>
      <c r="D63" s="206" t="s">
        <v>297</v>
      </c>
      <c r="E63" s="169">
        <v>18</v>
      </c>
      <c r="F63" s="185">
        <v>1385</v>
      </c>
      <c r="G63" s="183">
        <v>76.944444444444443</v>
      </c>
      <c r="H63" s="452"/>
      <c r="I63" s="169">
        <f t="shared" si="18"/>
        <v>17.5</v>
      </c>
      <c r="J63" s="169">
        <f t="shared" si="19"/>
        <v>1177.6036036036035</v>
      </c>
      <c r="K63" s="183">
        <f t="shared" si="20"/>
        <v>67.363598893010661</v>
      </c>
      <c r="L63" s="452"/>
      <c r="M63" s="169">
        <f>RANK(K63, K$42:$K$71)</f>
        <v>21</v>
      </c>
      <c r="N63" s="454"/>
      <c r="O63" s="454"/>
      <c r="P63" s="169">
        <v>18</v>
      </c>
      <c r="Q63" s="169">
        <v>1173.3333333333323</v>
      </c>
      <c r="R63" s="169">
        <v>65.185185185185134</v>
      </c>
      <c r="S63" s="185">
        <f t="shared" si="11"/>
        <v>20</v>
      </c>
      <c r="T63" s="494"/>
      <c r="U63" s="169">
        <v>17</v>
      </c>
      <c r="V63" s="169">
        <v>1200.0000000000016</v>
      </c>
      <c r="W63" s="169">
        <v>70.588235294117737</v>
      </c>
      <c r="X63" s="185">
        <f t="shared" si="12"/>
        <v>17</v>
      </c>
      <c r="Y63" s="494"/>
      <c r="Z63" s="169">
        <v>17</v>
      </c>
      <c r="AA63" s="169">
        <v>1176.0000000000002</v>
      </c>
      <c r="AB63" s="169">
        <v>69.176470588235304</v>
      </c>
      <c r="AC63" s="185">
        <f t="shared" si="13"/>
        <v>17</v>
      </c>
      <c r="AD63" s="494"/>
      <c r="AE63" s="169"/>
      <c r="AF63" s="169"/>
      <c r="AG63" s="169"/>
      <c r="AH63" s="185" t="e">
        <f t="shared" si="14"/>
        <v>#N/A</v>
      </c>
      <c r="AI63" s="494"/>
      <c r="AJ63" s="169"/>
      <c r="AK63" s="169"/>
      <c r="AL63" s="169"/>
      <c r="AM63" s="185" t="e">
        <f t="shared" si="15"/>
        <v>#N/A</v>
      </c>
      <c r="AN63" s="494"/>
      <c r="AO63" s="169"/>
      <c r="AP63" s="169"/>
      <c r="AQ63" s="169"/>
      <c r="AR63" s="185" t="e">
        <f t="shared" si="16"/>
        <v>#N/A</v>
      </c>
      <c r="AS63" s="494"/>
      <c r="AT63" s="169">
        <v>18</v>
      </c>
      <c r="AU63" s="169">
        <v>1161.0810810810801</v>
      </c>
      <c r="AV63" s="169">
        <v>64.504504504504453</v>
      </c>
      <c r="AW63" s="185">
        <f t="shared" si="17"/>
        <v>20</v>
      </c>
      <c r="AX63" s="494"/>
    </row>
    <row r="64" spans="2:50">
      <c r="B64" s="471"/>
      <c r="C64" s="185">
        <v>23</v>
      </c>
      <c r="D64" s="206" t="s">
        <v>299</v>
      </c>
      <c r="E64" s="169">
        <v>17</v>
      </c>
      <c r="F64" s="185">
        <v>1440</v>
      </c>
      <c r="G64" s="183">
        <v>84.705882352941174</v>
      </c>
      <c r="H64" s="452"/>
      <c r="I64" s="169">
        <f t="shared" si="18"/>
        <v>17</v>
      </c>
      <c r="J64" s="169">
        <f t="shared" si="19"/>
        <v>1356.9536423841064</v>
      </c>
      <c r="K64" s="183">
        <f t="shared" si="20"/>
        <v>79.820802493182725</v>
      </c>
      <c r="L64" s="452"/>
      <c r="M64" s="169">
        <f>RANK(K64, K$42:$K$71)</f>
        <v>8</v>
      </c>
      <c r="N64" s="454"/>
      <c r="O64" s="454"/>
      <c r="P64" s="169"/>
      <c r="Q64" s="169"/>
      <c r="R64" s="169"/>
      <c r="S64" s="185" t="e">
        <f t="shared" si="11"/>
        <v>#N/A</v>
      </c>
      <c r="T64" s="494"/>
      <c r="U64" s="169"/>
      <c r="V64" s="169"/>
      <c r="W64" s="169"/>
      <c r="X64" s="185" t="e">
        <f t="shared" si="12"/>
        <v>#N/A</v>
      </c>
      <c r="Y64" s="494"/>
      <c r="Z64" s="169"/>
      <c r="AA64" s="169"/>
      <c r="AB64" s="169"/>
      <c r="AC64" s="185" t="e">
        <f t="shared" si="13"/>
        <v>#N/A</v>
      </c>
      <c r="AD64" s="494"/>
      <c r="AE64" s="169"/>
      <c r="AF64" s="169"/>
      <c r="AG64" s="169"/>
      <c r="AH64" s="185" t="e">
        <f t="shared" si="14"/>
        <v>#N/A</v>
      </c>
      <c r="AI64" s="494"/>
      <c r="AJ64" s="169"/>
      <c r="AK64" s="169"/>
      <c r="AL64" s="169"/>
      <c r="AM64" s="185" t="e">
        <f t="shared" si="15"/>
        <v>#N/A</v>
      </c>
      <c r="AN64" s="494"/>
      <c r="AO64" s="169"/>
      <c r="AP64" s="169"/>
      <c r="AQ64" s="169"/>
      <c r="AR64" s="185" t="e">
        <f t="shared" si="16"/>
        <v>#N/A</v>
      </c>
      <c r="AS64" s="494"/>
      <c r="AT64" s="169">
        <v>17</v>
      </c>
      <c r="AU64" s="169">
        <v>1356.9536423841064</v>
      </c>
      <c r="AV64" s="169">
        <v>79.820802493182725</v>
      </c>
      <c r="AW64" s="185">
        <f t="shared" si="17"/>
        <v>5</v>
      </c>
      <c r="AX64" s="494"/>
    </row>
    <row r="65" spans="2:50">
      <c r="B65" s="471"/>
      <c r="C65" s="185">
        <v>24</v>
      </c>
      <c r="D65" s="206" t="s">
        <v>300</v>
      </c>
      <c r="E65" s="169">
        <v>17</v>
      </c>
      <c r="F65" s="185">
        <v>1440</v>
      </c>
      <c r="G65" s="183">
        <v>84.705882352941174</v>
      </c>
      <c r="H65" s="452"/>
      <c r="I65" s="169">
        <f t="shared" si="18"/>
        <v>17</v>
      </c>
      <c r="J65" s="169">
        <f t="shared" si="19"/>
        <v>1340.2285714285713</v>
      </c>
      <c r="K65" s="183">
        <f t="shared" si="20"/>
        <v>78.836974789915956</v>
      </c>
      <c r="L65" s="452"/>
      <c r="M65" s="169">
        <f>RANK(K65, K$42:$K$71)</f>
        <v>9</v>
      </c>
      <c r="N65" s="454"/>
      <c r="O65" s="454"/>
      <c r="P65" s="185"/>
      <c r="Q65" s="183"/>
      <c r="R65" s="183"/>
      <c r="S65" s="185" t="e">
        <f t="shared" si="11"/>
        <v>#N/A</v>
      </c>
      <c r="T65" s="494"/>
      <c r="U65" s="185"/>
      <c r="V65" s="183"/>
      <c r="W65" s="183"/>
      <c r="X65" s="185" t="e">
        <f t="shared" si="12"/>
        <v>#N/A</v>
      </c>
      <c r="Y65" s="494"/>
      <c r="Z65" s="185"/>
      <c r="AA65" s="183"/>
      <c r="AB65" s="183"/>
      <c r="AC65" s="185" t="e">
        <f t="shared" si="13"/>
        <v>#N/A</v>
      </c>
      <c r="AD65" s="494"/>
      <c r="AE65" s="185"/>
      <c r="AF65" s="183"/>
      <c r="AG65" s="183"/>
      <c r="AH65" s="185" t="e">
        <f t="shared" si="14"/>
        <v>#N/A</v>
      </c>
      <c r="AI65" s="494"/>
      <c r="AJ65" s="185"/>
      <c r="AK65" s="183"/>
      <c r="AL65" s="183"/>
      <c r="AM65" s="185" t="e">
        <f t="shared" si="15"/>
        <v>#N/A</v>
      </c>
      <c r="AN65" s="494"/>
      <c r="AO65" s="169"/>
      <c r="AP65" s="169"/>
      <c r="AQ65" s="169"/>
      <c r="AR65" s="185" t="e">
        <f t="shared" si="16"/>
        <v>#N/A</v>
      </c>
      <c r="AS65" s="494"/>
      <c r="AT65" s="185">
        <v>17</v>
      </c>
      <c r="AU65" s="183">
        <v>1340.2285714285713</v>
      </c>
      <c r="AV65" s="183">
        <v>78.836974789915956</v>
      </c>
      <c r="AW65" s="185">
        <f t="shared" si="17"/>
        <v>7</v>
      </c>
      <c r="AX65" s="494"/>
    </row>
    <row r="66" spans="2:50">
      <c r="B66" s="471"/>
      <c r="C66" s="185">
        <v>25</v>
      </c>
      <c r="D66" s="206"/>
      <c r="E66" s="169"/>
      <c r="F66" s="185"/>
      <c r="G66" s="183"/>
      <c r="H66" s="452"/>
      <c r="I66" s="169"/>
      <c r="J66" s="169"/>
      <c r="K66" s="183"/>
      <c r="L66" s="452"/>
      <c r="M66" s="169" t="e">
        <f>RANK(K66, K$42:$K$71)</f>
        <v>#N/A</v>
      </c>
      <c r="N66" s="454"/>
      <c r="O66" s="454"/>
      <c r="P66" s="185"/>
      <c r="Q66" s="183"/>
      <c r="R66" s="183"/>
      <c r="S66" s="185" t="e">
        <f t="shared" si="11"/>
        <v>#N/A</v>
      </c>
      <c r="T66" s="494"/>
      <c r="U66" s="185"/>
      <c r="V66" s="183"/>
      <c r="W66" s="183"/>
      <c r="X66" s="185" t="e">
        <f t="shared" si="12"/>
        <v>#N/A</v>
      </c>
      <c r="Y66" s="494"/>
      <c r="Z66" s="185"/>
      <c r="AA66" s="183"/>
      <c r="AB66" s="183"/>
      <c r="AC66" s="185" t="e">
        <f t="shared" si="13"/>
        <v>#N/A</v>
      </c>
      <c r="AD66" s="494"/>
      <c r="AE66" s="185"/>
      <c r="AF66" s="183"/>
      <c r="AG66" s="183"/>
      <c r="AH66" s="185" t="e">
        <f t="shared" si="14"/>
        <v>#N/A</v>
      </c>
      <c r="AI66" s="494"/>
      <c r="AJ66" s="185"/>
      <c r="AK66" s="183"/>
      <c r="AL66" s="183"/>
      <c r="AM66" s="185" t="e">
        <f t="shared" si="15"/>
        <v>#N/A</v>
      </c>
      <c r="AN66" s="494"/>
      <c r="AO66" s="169"/>
      <c r="AP66" s="169"/>
      <c r="AQ66" s="169"/>
      <c r="AR66" s="185" t="e">
        <f t="shared" si="16"/>
        <v>#N/A</v>
      </c>
      <c r="AS66" s="494"/>
      <c r="AT66" s="185"/>
      <c r="AU66" s="183"/>
      <c r="AV66" s="183"/>
      <c r="AW66" s="185" t="e">
        <f t="shared" si="17"/>
        <v>#N/A</v>
      </c>
      <c r="AX66" s="494"/>
    </row>
    <row r="67" spans="2:50">
      <c r="B67" s="471"/>
      <c r="C67" s="185">
        <v>26</v>
      </c>
      <c r="D67" s="206"/>
      <c r="E67" s="169"/>
      <c r="F67" s="185"/>
      <c r="G67" s="183"/>
      <c r="H67" s="452"/>
      <c r="I67" s="169"/>
      <c r="J67" s="169"/>
      <c r="K67" s="183"/>
      <c r="L67" s="452"/>
      <c r="M67" s="169" t="e">
        <f>RANK(K67, K$42:$K$71)</f>
        <v>#N/A</v>
      </c>
      <c r="N67" s="454"/>
      <c r="O67" s="454"/>
      <c r="P67" s="185"/>
      <c r="Q67" s="183"/>
      <c r="R67" s="183"/>
      <c r="S67" s="185" t="e">
        <f t="shared" si="11"/>
        <v>#N/A</v>
      </c>
      <c r="T67" s="494"/>
      <c r="U67" s="185"/>
      <c r="V67" s="183"/>
      <c r="W67" s="183"/>
      <c r="X67" s="185" t="e">
        <f t="shared" si="12"/>
        <v>#N/A</v>
      </c>
      <c r="Y67" s="494"/>
      <c r="Z67" s="185"/>
      <c r="AA67" s="183"/>
      <c r="AB67" s="183"/>
      <c r="AC67" s="185" t="e">
        <f t="shared" si="13"/>
        <v>#N/A</v>
      </c>
      <c r="AD67" s="494"/>
      <c r="AE67" s="185"/>
      <c r="AF67" s="183"/>
      <c r="AG67" s="183"/>
      <c r="AH67" s="185" t="e">
        <f t="shared" si="14"/>
        <v>#N/A</v>
      </c>
      <c r="AI67" s="494"/>
      <c r="AJ67" s="185"/>
      <c r="AK67" s="183"/>
      <c r="AL67" s="183"/>
      <c r="AM67" s="185" t="e">
        <f t="shared" si="15"/>
        <v>#N/A</v>
      </c>
      <c r="AN67" s="494"/>
      <c r="AO67" s="169"/>
      <c r="AP67" s="169"/>
      <c r="AQ67" s="169"/>
      <c r="AR67" s="185" t="e">
        <f t="shared" si="16"/>
        <v>#N/A</v>
      </c>
      <c r="AS67" s="494"/>
      <c r="AT67" s="185"/>
      <c r="AU67" s="183"/>
      <c r="AV67" s="183"/>
      <c r="AW67" s="185" t="e">
        <f t="shared" si="17"/>
        <v>#N/A</v>
      </c>
      <c r="AX67" s="494"/>
    </row>
    <row r="68" spans="2:50">
      <c r="B68" s="471"/>
      <c r="C68" s="185">
        <v>27</v>
      </c>
      <c r="D68" s="206"/>
      <c r="E68" s="169"/>
      <c r="F68" s="185"/>
      <c r="G68" s="183"/>
      <c r="H68" s="452"/>
      <c r="I68" s="169"/>
      <c r="J68" s="169"/>
      <c r="K68" s="183"/>
      <c r="L68" s="452"/>
      <c r="M68" s="169" t="e">
        <f>RANK(K68, K$42:$K$71)</f>
        <v>#N/A</v>
      </c>
      <c r="N68" s="454"/>
      <c r="O68" s="454"/>
      <c r="P68" s="185"/>
      <c r="Q68" s="183"/>
      <c r="R68" s="183"/>
      <c r="S68" s="185" t="e">
        <f t="shared" si="11"/>
        <v>#N/A</v>
      </c>
      <c r="T68" s="494"/>
      <c r="U68" s="185"/>
      <c r="V68" s="183"/>
      <c r="W68" s="183"/>
      <c r="X68" s="185" t="e">
        <f t="shared" si="12"/>
        <v>#N/A</v>
      </c>
      <c r="Y68" s="494"/>
      <c r="Z68" s="185"/>
      <c r="AA68" s="183"/>
      <c r="AB68" s="183"/>
      <c r="AC68" s="185" t="e">
        <f t="shared" si="13"/>
        <v>#N/A</v>
      </c>
      <c r="AD68" s="494"/>
      <c r="AE68" s="185"/>
      <c r="AF68" s="183"/>
      <c r="AG68" s="183"/>
      <c r="AH68" s="185" t="e">
        <f t="shared" si="14"/>
        <v>#N/A</v>
      </c>
      <c r="AI68" s="494"/>
      <c r="AJ68" s="185"/>
      <c r="AK68" s="183"/>
      <c r="AL68" s="183"/>
      <c r="AM68" s="185" t="e">
        <f t="shared" si="15"/>
        <v>#N/A</v>
      </c>
      <c r="AN68" s="494"/>
      <c r="AO68" s="169"/>
      <c r="AP68" s="169"/>
      <c r="AQ68" s="169"/>
      <c r="AR68" s="185" t="e">
        <f t="shared" si="16"/>
        <v>#N/A</v>
      </c>
      <c r="AS68" s="494"/>
      <c r="AT68" s="185"/>
      <c r="AU68" s="183"/>
      <c r="AV68" s="183"/>
      <c r="AW68" s="185" t="e">
        <f t="shared" si="17"/>
        <v>#N/A</v>
      </c>
      <c r="AX68" s="494"/>
    </row>
    <row r="69" spans="2:50">
      <c r="B69" s="471"/>
      <c r="C69" s="185">
        <v>28</v>
      </c>
      <c r="D69" s="206"/>
      <c r="E69" s="169"/>
      <c r="F69" s="185"/>
      <c r="G69" s="183"/>
      <c r="H69" s="452"/>
      <c r="I69" s="169"/>
      <c r="J69" s="169"/>
      <c r="K69" s="183"/>
      <c r="L69" s="452"/>
      <c r="M69" s="169" t="e">
        <f>RANK(K69, K$42:$K$71)</f>
        <v>#N/A</v>
      </c>
      <c r="N69" s="454"/>
      <c r="O69" s="454"/>
      <c r="P69" s="185"/>
      <c r="Q69" s="183"/>
      <c r="R69" s="183"/>
      <c r="S69" s="185" t="e">
        <f t="shared" si="11"/>
        <v>#N/A</v>
      </c>
      <c r="T69" s="494"/>
      <c r="U69" s="185"/>
      <c r="V69" s="183"/>
      <c r="W69" s="183"/>
      <c r="X69" s="185" t="e">
        <f t="shared" si="12"/>
        <v>#N/A</v>
      </c>
      <c r="Y69" s="494"/>
      <c r="Z69" s="185"/>
      <c r="AA69" s="183"/>
      <c r="AB69" s="183"/>
      <c r="AC69" s="185" t="e">
        <f t="shared" si="13"/>
        <v>#N/A</v>
      </c>
      <c r="AD69" s="494"/>
      <c r="AE69" s="185"/>
      <c r="AF69" s="183"/>
      <c r="AG69" s="183"/>
      <c r="AH69" s="185" t="e">
        <f t="shared" si="14"/>
        <v>#N/A</v>
      </c>
      <c r="AI69" s="494"/>
      <c r="AJ69" s="185"/>
      <c r="AK69" s="183"/>
      <c r="AL69" s="183"/>
      <c r="AM69" s="185" t="e">
        <f t="shared" si="15"/>
        <v>#N/A</v>
      </c>
      <c r="AN69" s="494"/>
      <c r="AO69" s="185"/>
      <c r="AP69" s="183"/>
      <c r="AQ69" s="183"/>
      <c r="AR69" s="185" t="e">
        <f t="shared" si="16"/>
        <v>#N/A</v>
      </c>
      <c r="AS69" s="494"/>
      <c r="AT69" s="185"/>
      <c r="AU69" s="183"/>
      <c r="AV69" s="183"/>
      <c r="AW69" s="185" t="e">
        <f t="shared" si="17"/>
        <v>#N/A</v>
      </c>
      <c r="AX69" s="494"/>
    </row>
    <row r="70" spans="2:50">
      <c r="B70" s="471"/>
      <c r="C70" s="185">
        <v>29</v>
      </c>
      <c r="D70" s="206"/>
      <c r="E70" s="169"/>
      <c r="F70" s="185"/>
      <c r="G70" s="183"/>
      <c r="H70" s="452"/>
      <c r="I70" s="185"/>
      <c r="J70" s="185"/>
      <c r="K70" s="185"/>
      <c r="L70" s="452"/>
      <c r="M70" s="169" t="e">
        <f>RANK(K70, K$42:$K$71)</f>
        <v>#N/A</v>
      </c>
      <c r="N70" s="454"/>
      <c r="O70" s="454"/>
      <c r="P70" s="185"/>
      <c r="Q70" s="185"/>
      <c r="R70" s="185"/>
      <c r="S70" s="185" t="e">
        <f t="shared" si="11"/>
        <v>#N/A</v>
      </c>
      <c r="T70" s="494"/>
      <c r="U70" s="185"/>
      <c r="V70" s="185"/>
      <c r="W70" s="185"/>
      <c r="X70" s="185" t="e">
        <f t="shared" si="12"/>
        <v>#N/A</v>
      </c>
      <c r="Y70" s="494"/>
      <c r="Z70" s="185"/>
      <c r="AA70" s="185"/>
      <c r="AB70" s="185"/>
      <c r="AC70" s="185" t="e">
        <f t="shared" si="13"/>
        <v>#N/A</v>
      </c>
      <c r="AD70" s="494"/>
      <c r="AE70" s="185"/>
      <c r="AF70" s="185"/>
      <c r="AG70" s="185"/>
      <c r="AH70" s="185" t="e">
        <f t="shared" si="14"/>
        <v>#N/A</v>
      </c>
      <c r="AI70" s="494"/>
      <c r="AJ70" s="185"/>
      <c r="AK70" s="185"/>
      <c r="AL70" s="185"/>
      <c r="AM70" s="185" t="e">
        <f t="shared" si="15"/>
        <v>#N/A</v>
      </c>
      <c r="AN70" s="494"/>
      <c r="AO70" s="185"/>
      <c r="AP70" s="185"/>
      <c r="AQ70" s="185"/>
      <c r="AR70" s="185" t="e">
        <f t="shared" si="16"/>
        <v>#N/A</v>
      </c>
      <c r="AS70" s="494"/>
      <c r="AT70" s="185"/>
      <c r="AU70" s="185"/>
      <c r="AV70" s="185"/>
      <c r="AW70" s="185" t="e">
        <f t="shared" si="17"/>
        <v>#N/A</v>
      </c>
      <c r="AX70" s="494"/>
    </row>
    <row r="71" spans="2:50">
      <c r="B71" s="471"/>
      <c r="C71" s="185">
        <v>30</v>
      </c>
      <c r="D71" s="206"/>
      <c r="E71" s="169"/>
      <c r="F71" s="185"/>
      <c r="G71" s="183"/>
      <c r="H71" s="453"/>
      <c r="I71" s="185"/>
      <c r="J71" s="185"/>
      <c r="K71" s="185"/>
      <c r="L71" s="453"/>
      <c r="M71" s="169" t="e">
        <f>RANK(K71, K$42:$K$71)</f>
        <v>#N/A</v>
      </c>
      <c r="N71" s="454"/>
      <c r="O71" s="454"/>
      <c r="P71" s="185"/>
      <c r="Q71" s="185"/>
      <c r="R71" s="185"/>
      <c r="S71" s="185" t="e">
        <f t="shared" si="11"/>
        <v>#N/A</v>
      </c>
      <c r="T71" s="494"/>
      <c r="U71" s="185"/>
      <c r="V71" s="185"/>
      <c r="W71" s="185"/>
      <c r="X71" s="185" t="e">
        <f t="shared" si="12"/>
        <v>#N/A</v>
      </c>
      <c r="Y71" s="494"/>
      <c r="Z71" s="185"/>
      <c r="AA71" s="185"/>
      <c r="AB71" s="185"/>
      <c r="AC71" s="185" t="e">
        <f t="shared" si="13"/>
        <v>#N/A</v>
      </c>
      <c r="AD71" s="494"/>
      <c r="AE71" s="185"/>
      <c r="AF71" s="185"/>
      <c r="AG71" s="185"/>
      <c r="AH71" s="185" t="e">
        <f t="shared" si="14"/>
        <v>#N/A</v>
      </c>
      <c r="AI71" s="494"/>
      <c r="AJ71" s="185"/>
      <c r="AK71" s="185"/>
      <c r="AL71" s="185"/>
      <c r="AM71" s="185" t="e">
        <f t="shared" si="15"/>
        <v>#N/A</v>
      </c>
      <c r="AN71" s="494"/>
      <c r="AO71" s="185"/>
      <c r="AP71" s="185"/>
      <c r="AQ71" s="185"/>
      <c r="AR71" s="185" t="e">
        <f t="shared" si="16"/>
        <v>#N/A</v>
      </c>
      <c r="AS71" s="494"/>
      <c r="AT71" s="185"/>
      <c r="AU71" s="185"/>
      <c r="AV71" s="185"/>
      <c r="AW71" s="185" t="e">
        <f t="shared" si="17"/>
        <v>#N/A</v>
      </c>
      <c r="AX71" s="494"/>
    </row>
    <row r="72" spans="2:50" ht="15.75">
      <c r="B72" s="481" t="s">
        <v>201</v>
      </c>
      <c r="C72" s="482"/>
      <c r="D72" s="482"/>
      <c r="E72" s="482"/>
      <c r="F72" s="482"/>
      <c r="G72" s="482"/>
      <c r="H72" s="482"/>
      <c r="I72" s="189"/>
      <c r="J72" s="186"/>
      <c r="K72" s="189"/>
      <c r="L72" s="189"/>
      <c r="M72" s="181"/>
      <c r="N72" s="461" t="s">
        <v>202</v>
      </c>
      <c r="O72" s="461" t="s">
        <v>150</v>
      </c>
      <c r="P72" s="470">
        <f>P37+7</f>
        <v>45972</v>
      </c>
      <c r="Q72" s="471"/>
      <c r="R72" s="471"/>
      <c r="S72" s="471"/>
      <c r="T72" s="471"/>
      <c r="U72" s="467">
        <f>P72+1</f>
        <v>45973</v>
      </c>
      <c r="V72" s="468"/>
      <c r="W72" s="468"/>
      <c r="X72" s="468"/>
      <c r="Y72" s="469"/>
      <c r="Z72" s="467">
        <f>U72+1</f>
        <v>45974</v>
      </c>
      <c r="AA72" s="468"/>
      <c r="AB72" s="468"/>
      <c r="AC72" s="468"/>
      <c r="AD72" s="469"/>
      <c r="AE72" s="467">
        <f>Z72+1</f>
        <v>45975</v>
      </c>
      <c r="AF72" s="468"/>
      <c r="AG72" s="468"/>
      <c r="AH72" s="468"/>
      <c r="AI72" s="469"/>
      <c r="AJ72" s="467">
        <f>AE72+1</f>
        <v>45976</v>
      </c>
      <c r="AK72" s="468"/>
      <c r="AL72" s="468"/>
      <c r="AM72" s="468"/>
      <c r="AN72" s="469"/>
      <c r="AO72" s="467">
        <f>AJ72+1</f>
        <v>45977</v>
      </c>
      <c r="AP72" s="468"/>
      <c r="AQ72" s="468"/>
      <c r="AR72" s="468"/>
      <c r="AS72" s="469"/>
      <c r="AT72" s="467">
        <f>AO72+1</f>
        <v>45978</v>
      </c>
      <c r="AU72" s="468"/>
      <c r="AV72" s="468"/>
      <c r="AW72" s="468"/>
      <c r="AX72" s="469"/>
    </row>
    <row r="73" spans="2:50" ht="15.75">
      <c r="B73" s="474"/>
      <c r="C73" s="474"/>
      <c r="D73" s="474"/>
      <c r="E73" s="474"/>
      <c r="F73" s="474"/>
      <c r="G73" s="474"/>
      <c r="H73" s="474"/>
      <c r="I73" s="187"/>
      <c r="J73" s="187"/>
      <c r="K73" s="187"/>
      <c r="L73" s="187"/>
      <c r="M73" s="182"/>
      <c r="N73" s="463"/>
      <c r="O73" s="463"/>
      <c r="P73" s="470" t="s">
        <v>203</v>
      </c>
      <c r="Q73" s="471"/>
      <c r="R73" s="471"/>
      <c r="S73" s="471"/>
      <c r="T73" s="471"/>
      <c r="U73" s="470" t="s">
        <v>204</v>
      </c>
      <c r="V73" s="471"/>
      <c r="W73" s="471"/>
      <c r="X73" s="471"/>
      <c r="Y73" s="471"/>
      <c r="Z73" s="470" t="s">
        <v>205</v>
      </c>
      <c r="AA73" s="471"/>
      <c r="AB73" s="471"/>
      <c r="AC73" s="471"/>
      <c r="AD73" s="471"/>
      <c r="AE73" s="470" t="s">
        <v>206</v>
      </c>
      <c r="AF73" s="471"/>
      <c r="AG73" s="471"/>
      <c r="AH73" s="471"/>
      <c r="AI73" s="471"/>
      <c r="AJ73" s="470" t="s">
        <v>207</v>
      </c>
      <c r="AK73" s="471"/>
      <c r="AL73" s="471"/>
      <c r="AM73" s="471"/>
      <c r="AN73" s="471"/>
      <c r="AO73" s="470" t="s">
        <v>157</v>
      </c>
      <c r="AP73" s="471"/>
      <c r="AQ73" s="471"/>
      <c r="AR73" s="471"/>
      <c r="AS73" s="471"/>
      <c r="AT73" s="470" t="s">
        <v>208</v>
      </c>
      <c r="AU73" s="471"/>
      <c r="AV73" s="471"/>
      <c r="AW73" s="471"/>
      <c r="AX73" s="471"/>
    </row>
    <row r="74" spans="2:50">
      <c r="B74" s="454" t="s">
        <v>209</v>
      </c>
      <c r="C74" s="454" t="s">
        <v>210</v>
      </c>
      <c r="D74" s="454"/>
      <c r="E74" s="454" t="s">
        <v>211</v>
      </c>
      <c r="F74" s="454"/>
      <c r="G74" s="454"/>
      <c r="H74" s="455" t="s">
        <v>212</v>
      </c>
      <c r="I74" s="454" t="s">
        <v>213</v>
      </c>
      <c r="J74" s="454"/>
      <c r="K74" s="454"/>
      <c r="L74" s="455" t="s">
        <v>212</v>
      </c>
      <c r="M74" s="461" t="s">
        <v>214</v>
      </c>
      <c r="N74" s="454"/>
      <c r="O74" s="454" t="s">
        <v>215</v>
      </c>
      <c r="P74" s="458" t="s">
        <v>216</v>
      </c>
      <c r="Q74" s="459"/>
      <c r="R74" s="459"/>
      <c r="S74" s="460"/>
      <c r="T74" s="454" t="s">
        <v>212</v>
      </c>
      <c r="U74" s="458" t="s">
        <v>216</v>
      </c>
      <c r="V74" s="459"/>
      <c r="W74" s="459"/>
      <c r="X74" s="460"/>
      <c r="Y74" s="454" t="s">
        <v>212</v>
      </c>
      <c r="Z74" s="458" t="s">
        <v>216</v>
      </c>
      <c r="AA74" s="459"/>
      <c r="AB74" s="459"/>
      <c r="AC74" s="460"/>
      <c r="AD74" s="454" t="s">
        <v>212</v>
      </c>
      <c r="AE74" s="458" t="s">
        <v>216</v>
      </c>
      <c r="AF74" s="459"/>
      <c r="AG74" s="459"/>
      <c r="AH74" s="460"/>
      <c r="AI74" s="454" t="s">
        <v>212</v>
      </c>
      <c r="AJ74" s="458" t="s">
        <v>216</v>
      </c>
      <c r="AK74" s="459"/>
      <c r="AL74" s="459"/>
      <c r="AM74" s="460"/>
      <c r="AN74" s="454" t="s">
        <v>212</v>
      </c>
      <c r="AO74" s="458" t="s">
        <v>216</v>
      </c>
      <c r="AP74" s="459"/>
      <c r="AQ74" s="459"/>
      <c r="AR74" s="460"/>
      <c r="AS74" s="454" t="s">
        <v>212</v>
      </c>
      <c r="AT74" s="458" t="s">
        <v>216</v>
      </c>
      <c r="AU74" s="459"/>
      <c r="AV74" s="459"/>
      <c r="AW74" s="460"/>
      <c r="AX74" s="454" t="s">
        <v>212</v>
      </c>
    </row>
    <row r="75" spans="2:50">
      <c r="B75" s="454"/>
      <c r="C75" s="454"/>
      <c r="D75" s="454"/>
      <c r="E75" s="454" t="s">
        <v>217</v>
      </c>
      <c r="F75" s="454"/>
      <c r="G75" s="454"/>
      <c r="H75" s="456"/>
      <c r="I75" s="454" t="s">
        <v>217</v>
      </c>
      <c r="J75" s="454"/>
      <c r="K75" s="454"/>
      <c r="L75" s="456"/>
      <c r="M75" s="462"/>
      <c r="N75" s="454"/>
      <c r="O75" s="454"/>
      <c r="P75" s="458" t="s">
        <v>218</v>
      </c>
      <c r="Q75" s="459"/>
      <c r="R75" s="459"/>
      <c r="S75" s="460"/>
      <c r="T75" s="454"/>
      <c r="U75" s="458" t="s">
        <v>218</v>
      </c>
      <c r="V75" s="459"/>
      <c r="W75" s="459"/>
      <c r="X75" s="460"/>
      <c r="Y75" s="454"/>
      <c r="Z75" s="458" t="s">
        <v>218</v>
      </c>
      <c r="AA75" s="459"/>
      <c r="AB75" s="459"/>
      <c r="AC75" s="460"/>
      <c r="AD75" s="454"/>
      <c r="AE75" s="458" t="s">
        <v>218</v>
      </c>
      <c r="AF75" s="459"/>
      <c r="AG75" s="459"/>
      <c r="AH75" s="460"/>
      <c r="AI75" s="454"/>
      <c r="AJ75" s="458" t="s">
        <v>218</v>
      </c>
      <c r="AK75" s="459"/>
      <c r="AL75" s="459"/>
      <c r="AM75" s="460"/>
      <c r="AN75" s="454"/>
      <c r="AO75" s="458" t="s">
        <v>218</v>
      </c>
      <c r="AP75" s="459"/>
      <c r="AQ75" s="459"/>
      <c r="AR75" s="460"/>
      <c r="AS75" s="454"/>
      <c r="AT75" s="458" t="s">
        <v>218</v>
      </c>
      <c r="AU75" s="459"/>
      <c r="AV75" s="459"/>
      <c r="AW75" s="460"/>
      <c r="AX75" s="454"/>
    </row>
    <row r="76" spans="2:50">
      <c r="B76" s="454"/>
      <c r="C76" s="454"/>
      <c r="D76" s="454"/>
      <c r="E76" s="275" t="s">
        <v>219</v>
      </c>
      <c r="F76" s="275" t="s">
        <v>220</v>
      </c>
      <c r="G76" s="275" t="s">
        <v>221</v>
      </c>
      <c r="H76" s="457"/>
      <c r="I76" s="275" t="s">
        <v>219</v>
      </c>
      <c r="J76" s="275" t="s">
        <v>220</v>
      </c>
      <c r="K76" s="275" t="s">
        <v>221</v>
      </c>
      <c r="L76" s="457"/>
      <c r="M76" s="463"/>
      <c r="N76" s="454"/>
      <c r="O76" s="454"/>
      <c r="P76" s="275" t="s">
        <v>219</v>
      </c>
      <c r="Q76" s="275" t="s">
        <v>220</v>
      </c>
      <c r="R76" s="275" t="s">
        <v>221</v>
      </c>
      <c r="S76" s="275" t="s">
        <v>214</v>
      </c>
      <c r="T76" s="454"/>
      <c r="U76" s="275" t="s">
        <v>219</v>
      </c>
      <c r="V76" s="275" t="s">
        <v>220</v>
      </c>
      <c r="W76" s="275" t="s">
        <v>221</v>
      </c>
      <c r="X76" s="275" t="s">
        <v>214</v>
      </c>
      <c r="Y76" s="454"/>
      <c r="Z76" s="275" t="s">
        <v>219</v>
      </c>
      <c r="AA76" s="275" t="s">
        <v>220</v>
      </c>
      <c r="AB76" s="275" t="s">
        <v>221</v>
      </c>
      <c r="AC76" s="275" t="s">
        <v>214</v>
      </c>
      <c r="AD76" s="454"/>
      <c r="AE76" s="275" t="s">
        <v>219</v>
      </c>
      <c r="AF76" s="275" t="s">
        <v>220</v>
      </c>
      <c r="AG76" s="275" t="s">
        <v>221</v>
      </c>
      <c r="AH76" s="275" t="s">
        <v>214</v>
      </c>
      <c r="AI76" s="454"/>
      <c r="AJ76" s="275" t="s">
        <v>219</v>
      </c>
      <c r="AK76" s="275" t="s">
        <v>220</v>
      </c>
      <c r="AL76" s="275" t="s">
        <v>221</v>
      </c>
      <c r="AM76" s="275" t="s">
        <v>214</v>
      </c>
      <c r="AN76" s="454"/>
      <c r="AO76" s="275" t="s">
        <v>219</v>
      </c>
      <c r="AP76" s="275" t="s">
        <v>220</v>
      </c>
      <c r="AQ76" s="275" t="s">
        <v>221</v>
      </c>
      <c r="AR76" s="275" t="s">
        <v>214</v>
      </c>
      <c r="AS76" s="454"/>
      <c r="AT76" s="275" t="s">
        <v>219</v>
      </c>
      <c r="AU76" s="275" t="s">
        <v>220</v>
      </c>
      <c r="AV76" s="275" t="s">
        <v>221</v>
      </c>
      <c r="AW76" s="275" t="s">
        <v>214</v>
      </c>
      <c r="AX76" s="454"/>
    </row>
    <row r="77" spans="2:50">
      <c r="B77" s="454" t="s">
        <v>186</v>
      </c>
      <c r="C77" s="185">
        <v>1</v>
      </c>
      <c r="D77" s="206"/>
      <c r="E77" s="169"/>
      <c r="F77" s="185"/>
      <c r="G77" s="183"/>
      <c r="H77" s="451" t="e">
        <f>AVERAGE(G77:G106)</f>
        <v>#DIV/0!</v>
      </c>
      <c r="I77" s="169" t="e">
        <f>AVERAGE(P77,U77,Z77,AE77,AJ77,AO77,AT77)</f>
        <v>#DIV/0!</v>
      </c>
      <c r="J77" s="169" t="e">
        <f>AVERAGE(Q77,V77,AA77,AF77,AK77,AP77,AU77)</f>
        <v>#DIV/0!</v>
      </c>
      <c r="K77" s="183" t="e">
        <f>AVERAGE(R77,W77,AB77,AG77,AL77,AQ77,AV77)</f>
        <v>#DIV/0!</v>
      </c>
      <c r="L77" s="451" t="str">
        <f>IFERROR(AVERAGE(K77:K106),"-")</f>
        <v>-</v>
      </c>
      <c r="M77" s="184" t="e">
        <f>RANK(K77, K$77:$K$106)</f>
        <v>#DIV/0!</v>
      </c>
      <c r="N77" s="454"/>
      <c r="O77" s="454"/>
      <c r="P77" s="169"/>
      <c r="Q77" s="169"/>
      <c r="R77" s="169"/>
      <c r="S77" s="185" t="e">
        <f>RANK(R77, R$77:R$106)</f>
        <v>#N/A</v>
      </c>
      <c r="T77" s="494" t="e">
        <f>AVERAGE(R77:R106)</f>
        <v>#DIV/0!</v>
      </c>
      <c r="U77" s="169"/>
      <c r="V77" s="169"/>
      <c r="W77" s="169"/>
      <c r="X77" s="185" t="e">
        <f>RANK(W77, W$77:W$106)</f>
        <v>#N/A</v>
      </c>
      <c r="Y77" s="494" t="e">
        <f>AVERAGE(W77:W106)</f>
        <v>#DIV/0!</v>
      </c>
      <c r="Z77" s="169"/>
      <c r="AA77" s="169"/>
      <c r="AB77" s="169"/>
      <c r="AC77" s="185" t="e">
        <f>RANK(AB77, AB$77:AB$106)</f>
        <v>#N/A</v>
      </c>
      <c r="AD77" s="494" t="e">
        <f>AVERAGE(AB77:AB106)</f>
        <v>#DIV/0!</v>
      </c>
      <c r="AE77" s="169"/>
      <c r="AF77" s="169"/>
      <c r="AG77" s="169"/>
      <c r="AH77" s="185" t="e">
        <f>RANK(AG77, AG$77:AG$106)</f>
        <v>#N/A</v>
      </c>
      <c r="AI77" s="494" t="e">
        <f>AVERAGE(AG77:AG106)</f>
        <v>#DIV/0!</v>
      </c>
      <c r="AJ77" s="169"/>
      <c r="AK77" s="169"/>
      <c r="AL77" s="169"/>
      <c r="AM77" s="185" t="e">
        <f>RANK(AL77, AL$77:AL$106)</f>
        <v>#N/A</v>
      </c>
      <c r="AN77" s="494" t="e">
        <f>AVERAGE(AL77:AL106)</f>
        <v>#DIV/0!</v>
      </c>
      <c r="AO77" s="169"/>
      <c r="AP77" s="169"/>
      <c r="AQ77" s="169"/>
      <c r="AR77" s="185" t="e">
        <f>RANK(AQ77, AQ$77:AQ$106)</f>
        <v>#N/A</v>
      </c>
      <c r="AS77" s="494" t="e">
        <f>AVERAGE(AQ77:AQ106)</f>
        <v>#DIV/0!</v>
      </c>
      <c r="AT77" s="169"/>
      <c r="AU77" s="169"/>
      <c r="AV77" s="169"/>
      <c r="AW77" s="185" t="e">
        <f>RANK(AV77, AV$77:AV$106)</f>
        <v>#N/A</v>
      </c>
      <c r="AX77" s="494" t="e">
        <f>AVERAGE(AV77:AV106)</f>
        <v>#DIV/0!</v>
      </c>
    </row>
    <row r="78" spans="2:50">
      <c r="B78" s="471"/>
      <c r="C78" s="185">
        <v>2</v>
      </c>
      <c r="D78" s="206"/>
      <c r="E78" s="169"/>
      <c r="F78" s="185"/>
      <c r="G78" s="183"/>
      <c r="H78" s="452"/>
      <c r="I78" s="169" t="e">
        <f t="shared" ref="I78:I99" si="21">AVERAGE(P78,U78,Z78,AE78,AJ78,AO78,AT78)</f>
        <v>#DIV/0!</v>
      </c>
      <c r="J78" s="169" t="e">
        <f t="shared" ref="J78:J99" si="22">AVERAGE(Q78,V78,AA78,AF78,AK78,AP78,AU78)</f>
        <v>#DIV/0!</v>
      </c>
      <c r="K78" s="183" t="e">
        <f t="shared" ref="K78:K99" si="23">AVERAGE(R78,W78,AB78,AG78,AL78,AQ78,AV78)</f>
        <v>#DIV/0!</v>
      </c>
      <c r="L78" s="452"/>
      <c r="M78" s="184" t="e">
        <f>RANK(K78, K$77:$K$106)</f>
        <v>#DIV/0!</v>
      </c>
      <c r="N78" s="454"/>
      <c r="O78" s="454"/>
      <c r="P78" s="169"/>
      <c r="Q78" s="169"/>
      <c r="R78" s="169"/>
      <c r="S78" s="185" t="e">
        <f t="shared" ref="S78:S106" si="24">RANK(R78, R$77:R$106)</f>
        <v>#N/A</v>
      </c>
      <c r="T78" s="494"/>
      <c r="U78" s="169"/>
      <c r="V78" s="169"/>
      <c r="W78" s="169"/>
      <c r="X78" s="185" t="e">
        <f t="shared" ref="X78:X106" si="25">RANK(W78, W$77:W$106)</f>
        <v>#N/A</v>
      </c>
      <c r="Y78" s="494"/>
      <c r="Z78" s="169"/>
      <c r="AA78" s="169"/>
      <c r="AB78" s="169"/>
      <c r="AC78" s="185" t="e">
        <f t="shared" ref="AC78:AC106" si="26">RANK(AB78, AB$77:AB$106)</f>
        <v>#N/A</v>
      </c>
      <c r="AD78" s="494"/>
      <c r="AE78" s="169"/>
      <c r="AF78" s="169"/>
      <c r="AG78" s="169"/>
      <c r="AH78" s="185" t="e">
        <f t="shared" ref="AH78:AH106" si="27">RANK(AG78, AG$77:AG$106)</f>
        <v>#N/A</v>
      </c>
      <c r="AI78" s="494"/>
      <c r="AJ78" s="169"/>
      <c r="AK78" s="169"/>
      <c r="AL78" s="169"/>
      <c r="AM78" s="185" t="e">
        <f t="shared" ref="AM78:AM106" si="28">RANK(AL78, AL$77:AL$106)</f>
        <v>#N/A</v>
      </c>
      <c r="AN78" s="494"/>
      <c r="AO78" s="169"/>
      <c r="AP78" s="169"/>
      <c r="AQ78" s="169"/>
      <c r="AR78" s="185" t="e">
        <f t="shared" ref="AR78:AR106" si="29">RANK(AQ78, AQ$77:AQ$106)</f>
        <v>#N/A</v>
      </c>
      <c r="AS78" s="494"/>
      <c r="AT78" s="169"/>
      <c r="AU78" s="169"/>
      <c r="AV78" s="169"/>
      <c r="AW78" s="185" t="e">
        <f t="shared" ref="AW78:AW106" si="30">RANK(AV78, AV$77:AV$106)</f>
        <v>#N/A</v>
      </c>
      <c r="AX78" s="494"/>
    </row>
    <row r="79" spans="2:50">
      <c r="B79" s="471"/>
      <c r="C79" s="185">
        <v>3</v>
      </c>
      <c r="D79" s="206"/>
      <c r="E79" s="169"/>
      <c r="F79" s="185"/>
      <c r="G79" s="183"/>
      <c r="H79" s="452"/>
      <c r="I79" s="169" t="e">
        <f t="shared" si="21"/>
        <v>#DIV/0!</v>
      </c>
      <c r="J79" s="169" t="e">
        <f t="shared" si="22"/>
        <v>#DIV/0!</v>
      </c>
      <c r="K79" s="183" t="e">
        <f t="shared" si="23"/>
        <v>#DIV/0!</v>
      </c>
      <c r="L79" s="452"/>
      <c r="M79" s="184" t="e">
        <f>RANK(K79, K$77:$K$106)</f>
        <v>#DIV/0!</v>
      </c>
      <c r="N79" s="454"/>
      <c r="O79" s="454"/>
      <c r="P79" s="169"/>
      <c r="Q79" s="169"/>
      <c r="R79" s="169"/>
      <c r="S79" s="185" t="e">
        <f t="shared" si="24"/>
        <v>#N/A</v>
      </c>
      <c r="T79" s="494"/>
      <c r="U79" s="169"/>
      <c r="V79" s="169"/>
      <c r="W79" s="169"/>
      <c r="X79" s="185" t="e">
        <f t="shared" si="25"/>
        <v>#N/A</v>
      </c>
      <c r="Y79" s="494"/>
      <c r="Z79" s="169"/>
      <c r="AA79" s="169"/>
      <c r="AB79" s="169"/>
      <c r="AC79" s="185" t="e">
        <f t="shared" si="26"/>
        <v>#N/A</v>
      </c>
      <c r="AD79" s="494"/>
      <c r="AE79" s="169"/>
      <c r="AF79" s="169"/>
      <c r="AG79" s="169"/>
      <c r="AH79" s="185" t="e">
        <f t="shared" si="27"/>
        <v>#N/A</v>
      </c>
      <c r="AI79" s="494"/>
      <c r="AJ79" s="169"/>
      <c r="AK79" s="169"/>
      <c r="AL79" s="169"/>
      <c r="AM79" s="185" t="e">
        <f t="shared" si="28"/>
        <v>#N/A</v>
      </c>
      <c r="AN79" s="494"/>
      <c r="AO79" s="169"/>
      <c r="AP79" s="169"/>
      <c r="AQ79" s="169"/>
      <c r="AR79" s="185" t="e">
        <f t="shared" si="29"/>
        <v>#N/A</v>
      </c>
      <c r="AS79" s="494"/>
      <c r="AT79" s="169"/>
      <c r="AU79" s="169"/>
      <c r="AV79" s="169"/>
      <c r="AW79" s="185" t="e">
        <f t="shared" si="30"/>
        <v>#N/A</v>
      </c>
      <c r="AX79" s="494"/>
    </row>
    <row r="80" spans="2:50">
      <c r="B80" s="471"/>
      <c r="C80" s="185">
        <v>4</v>
      </c>
      <c r="D80" s="206"/>
      <c r="E80" s="169"/>
      <c r="F80" s="185"/>
      <c r="G80" s="183"/>
      <c r="H80" s="452"/>
      <c r="I80" s="169" t="e">
        <f t="shared" si="21"/>
        <v>#DIV/0!</v>
      </c>
      <c r="J80" s="169" t="e">
        <f t="shared" si="22"/>
        <v>#DIV/0!</v>
      </c>
      <c r="K80" s="183" t="e">
        <f t="shared" si="23"/>
        <v>#DIV/0!</v>
      </c>
      <c r="L80" s="452"/>
      <c r="M80" s="184" t="e">
        <f>RANK(K80, K$77:$K$106)</f>
        <v>#DIV/0!</v>
      </c>
      <c r="N80" s="454"/>
      <c r="O80" s="454"/>
      <c r="P80" s="169"/>
      <c r="Q80" s="169"/>
      <c r="R80" s="169"/>
      <c r="S80" s="185" t="e">
        <f t="shared" si="24"/>
        <v>#N/A</v>
      </c>
      <c r="T80" s="494"/>
      <c r="U80" s="169"/>
      <c r="V80" s="169"/>
      <c r="W80" s="169"/>
      <c r="X80" s="185" t="e">
        <f t="shared" si="25"/>
        <v>#N/A</v>
      </c>
      <c r="Y80" s="494"/>
      <c r="Z80" s="169"/>
      <c r="AA80" s="169"/>
      <c r="AB80" s="169"/>
      <c r="AC80" s="185" t="e">
        <f t="shared" si="26"/>
        <v>#N/A</v>
      </c>
      <c r="AD80" s="494"/>
      <c r="AE80" s="169"/>
      <c r="AF80" s="169"/>
      <c r="AG80" s="169"/>
      <c r="AH80" s="185" t="e">
        <f t="shared" si="27"/>
        <v>#N/A</v>
      </c>
      <c r="AI80" s="494"/>
      <c r="AJ80" s="169"/>
      <c r="AK80" s="169"/>
      <c r="AL80" s="169"/>
      <c r="AM80" s="185" t="e">
        <f t="shared" si="28"/>
        <v>#N/A</v>
      </c>
      <c r="AN80" s="494"/>
      <c r="AO80" s="169"/>
      <c r="AP80" s="169"/>
      <c r="AQ80" s="169"/>
      <c r="AR80" s="185" t="e">
        <f t="shared" si="29"/>
        <v>#N/A</v>
      </c>
      <c r="AS80" s="494"/>
      <c r="AT80" s="169"/>
      <c r="AU80" s="169"/>
      <c r="AV80" s="169"/>
      <c r="AW80" s="185" t="e">
        <f t="shared" si="30"/>
        <v>#N/A</v>
      </c>
      <c r="AX80" s="494"/>
    </row>
    <row r="81" spans="2:50">
      <c r="B81" s="471"/>
      <c r="C81" s="185">
        <v>5</v>
      </c>
      <c r="D81" s="206"/>
      <c r="E81" s="169"/>
      <c r="F81" s="185"/>
      <c r="G81" s="183"/>
      <c r="H81" s="452"/>
      <c r="I81" s="169" t="e">
        <f t="shared" si="21"/>
        <v>#DIV/0!</v>
      </c>
      <c r="J81" s="169" t="e">
        <f t="shared" si="22"/>
        <v>#DIV/0!</v>
      </c>
      <c r="K81" s="183" t="e">
        <f t="shared" si="23"/>
        <v>#DIV/0!</v>
      </c>
      <c r="L81" s="452"/>
      <c r="M81" s="184" t="e">
        <f>RANK(K81, K$77:$K$106)</f>
        <v>#DIV/0!</v>
      </c>
      <c r="N81" s="454"/>
      <c r="O81" s="454"/>
      <c r="P81" s="169"/>
      <c r="Q81" s="169"/>
      <c r="R81" s="169"/>
      <c r="S81" s="185" t="e">
        <f t="shared" si="24"/>
        <v>#N/A</v>
      </c>
      <c r="T81" s="494"/>
      <c r="U81" s="169"/>
      <c r="V81" s="169"/>
      <c r="W81" s="169"/>
      <c r="X81" s="185" t="e">
        <f t="shared" si="25"/>
        <v>#N/A</v>
      </c>
      <c r="Y81" s="494"/>
      <c r="Z81" s="169"/>
      <c r="AA81" s="169"/>
      <c r="AB81" s="169"/>
      <c r="AC81" s="185" t="e">
        <f t="shared" si="26"/>
        <v>#N/A</v>
      </c>
      <c r="AD81" s="494"/>
      <c r="AE81" s="169"/>
      <c r="AF81" s="169"/>
      <c r="AG81" s="169"/>
      <c r="AH81" s="185" t="e">
        <f t="shared" si="27"/>
        <v>#N/A</v>
      </c>
      <c r="AI81" s="494"/>
      <c r="AJ81" s="169"/>
      <c r="AK81" s="169"/>
      <c r="AL81" s="169"/>
      <c r="AM81" s="185" t="e">
        <f t="shared" si="28"/>
        <v>#N/A</v>
      </c>
      <c r="AN81" s="494"/>
      <c r="AO81" s="169"/>
      <c r="AP81" s="169"/>
      <c r="AQ81" s="169"/>
      <c r="AR81" s="185" t="e">
        <f t="shared" si="29"/>
        <v>#N/A</v>
      </c>
      <c r="AS81" s="494"/>
      <c r="AT81" s="169"/>
      <c r="AU81" s="169"/>
      <c r="AV81" s="169"/>
      <c r="AW81" s="185" t="e">
        <f t="shared" si="30"/>
        <v>#N/A</v>
      </c>
      <c r="AX81" s="494"/>
    </row>
    <row r="82" spans="2:50">
      <c r="B82" s="471"/>
      <c r="C82" s="185">
        <v>6</v>
      </c>
      <c r="D82" s="206"/>
      <c r="E82" s="169"/>
      <c r="F82" s="185"/>
      <c r="G82" s="183"/>
      <c r="H82" s="452"/>
      <c r="I82" s="169" t="e">
        <f t="shared" si="21"/>
        <v>#DIV/0!</v>
      </c>
      <c r="J82" s="169" t="e">
        <f t="shared" si="22"/>
        <v>#DIV/0!</v>
      </c>
      <c r="K82" s="183" t="e">
        <f t="shared" si="23"/>
        <v>#DIV/0!</v>
      </c>
      <c r="L82" s="452"/>
      <c r="M82" s="184" t="e">
        <f>RANK(K82, K$77:$K$106)</f>
        <v>#DIV/0!</v>
      </c>
      <c r="N82" s="454"/>
      <c r="O82" s="454"/>
      <c r="P82" s="169"/>
      <c r="Q82" s="169"/>
      <c r="R82" s="169"/>
      <c r="S82" s="185" t="e">
        <f t="shared" si="24"/>
        <v>#N/A</v>
      </c>
      <c r="T82" s="494"/>
      <c r="U82" s="169"/>
      <c r="V82" s="169"/>
      <c r="W82" s="169"/>
      <c r="X82" s="185" t="e">
        <f t="shared" si="25"/>
        <v>#N/A</v>
      </c>
      <c r="Y82" s="494"/>
      <c r="Z82" s="169"/>
      <c r="AA82" s="169"/>
      <c r="AB82" s="169"/>
      <c r="AC82" s="185" t="e">
        <f t="shared" si="26"/>
        <v>#N/A</v>
      </c>
      <c r="AD82" s="494"/>
      <c r="AE82" s="169"/>
      <c r="AF82" s="169"/>
      <c r="AG82" s="169"/>
      <c r="AH82" s="185" t="e">
        <f t="shared" si="27"/>
        <v>#N/A</v>
      </c>
      <c r="AI82" s="494"/>
      <c r="AJ82" s="169"/>
      <c r="AK82" s="169"/>
      <c r="AL82" s="169"/>
      <c r="AM82" s="185" t="e">
        <f t="shared" si="28"/>
        <v>#N/A</v>
      </c>
      <c r="AN82" s="494"/>
      <c r="AO82" s="169"/>
      <c r="AP82" s="169"/>
      <c r="AQ82" s="169"/>
      <c r="AR82" s="185" t="e">
        <f t="shared" si="29"/>
        <v>#N/A</v>
      </c>
      <c r="AS82" s="494"/>
      <c r="AT82" s="169"/>
      <c r="AU82" s="169"/>
      <c r="AV82" s="169"/>
      <c r="AW82" s="185" t="e">
        <f t="shared" si="30"/>
        <v>#N/A</v>
      </c>
      <c r="AX82" s="494"/>
    </row>
    <row r="83" spans="2:50">
      <c r="B83" s="471"/>
      <c r="C83" s="185">
        <v>7</v>
      </c>
      <c r="D83" s="206"/>
      <c r="E83" s="169"/>
      <c r="F83" s="185"/>
      <c r="G83" s="183"/>
      <c r="H83" s="452"/>
      <c r="I83" s="169" t="e">
        <f t="shared" si="21"/>
        <v>#DIV/0!</v>
      </c>
      <c r="J83" s="169" t="e">
        <f t="shared" si="22"/>
        <v>#DIV/0!</v>
      </c>
      <c r="K83" s="183" t="e">
        <f t="shared" si="23"/>
        <v>#DIV/0!</v>
      </c>
      <c r="L83" s="452"/>
      <c r="M83" s="184" t="e">
        <f>RANK(K83, K$77:$K$106)</f>
        <v>#DIV/0!</v>
      </c>
      <c r="N83" s="454"/>
      <c r="O83" s="454"/>
      <c r="P83" s="169"/>
      <c r="Q83" s="169"/>
      <c r="R83" s="169"/>
      <c r="S83" s="185" t="e">
        <f t="shared" si="24"/>
        <v>#N/A</v>
      </c>
      <c r="T83" s="494"/>
      <c r="U83" s="169"/>
      <c r="V83" s="169"/>
      <c r="W83" s="169"/>
      <c r="X83" s="185" t="e">
        <f t="shared" si="25"/>
        <v>#N/A</v>
      </c>
      <c r="Y83" s="494"/>
      <c r="Z83" s="169"/>
      <c r="AA83" s="169"/>
      <c r="AB83" s="169"/>
      <c r="AC83" s="185" t="e">
        <f t="shared" si="26"/>
        <v>#N/A</v>
      </c>
      <c r="AD83" s="494"/>
      <c r="AE83" s="169"/>
      <c r="AF83" s="169"/>
      <c r="AG83" s="169"/>
      <c r="AH83" s="185" t="e">
        <f t="shared" si="27"/>
        <v>#N/A</v>
      </c>
      <c r="AI83" s="494"/>
      <c r="AJ83" s="169"/>
      <c r="AK83" s="169"/>
      <c r="AL83" s="169"/>
      <c r="AM83" s="185" t="e">
        <f t="shared" si="28"/>
        <v>#N/A</v>
      </c>
      <c r="AN83" s="494"/>
      <c r="AO83" s="169"/>
      <c r="AP83" s="169"/>
      <c r="AQ83" s="169"/>
      <c r="AR83" s="185" t="e">
        <f t="shared" si="29"/>
        <v>#N/A</v>
      </c>
      <c r="AS83" s="494"/>
      <c r="AT83" s="169"/>
      <c r="AU83" s="169"/>
      <c r="AV83" s="169"/>
      <c r="AW83" s="185" t="e">
        <f t="shared" si="30"/>
        <v>#N/A</v>
      </c>
      <c r="AX83" s="494"/>
    </row>
    <row r="84" spans="2:50">
      <c r="B84" s="471"/>
      <c r="C84" s="185">
        <v>8</v>
      </c>
      <c r="D84" s="206"/>
      <c r="E84" s="169"/>
      <c r="F84" s="185"/>
      <c r="G84" s="183"/>
      <c r="H84" s="452"/>
      <c r="I84" s="169" t="e">
        <f t="shared" si="21"/>
        <v>#DIV/0!</v>
      </c>
      <c r="J84" s="169" t="e">
        <f t="shared" si="22"/>
        <v>#DIV/0!</v>
      </c>
      <c r="K84" s="183" t="e">
        <f t="shared" si="23"/>
        <v>#DIV/0!</v>
      </c>
      <c r="L84" s="452"/>
      <c r="M84" s="184" t="e">
        <f>RANK(K84, K$77:$K$106)</f>
        <v>#DIV/0!</v>
      </c>
      <c r="N84" s="454"/>
      <c r="O84" s="454"/>
      <c r="P84" s="169"/>
      <c r="Q84" s="169"/>
      <c r="R84" s="169"/>
      <c r="S84" s="185" t="e">
        <f t="shared" si="24"/>
        <v>#N/A</v>
      </c>
      <c r="T84" s="494"/>
      <c r="U84" s="169"/>
      <c r="V84" s="169"/>
      <c r="W84" s="169"/>
      <c r="X84" s="185" t="e">
        <f t="shared" si="25"/>
        <v>#N/A</v>
      </c>
      <c r="Y84" s="494"/>
      <c r="Z84" s="169"/>
      <c r="AA84" s="169"/>
      <c r="AB84" s="169"/>
      <c r="AC84" s="185" t="e">
        <f t="shared" si="26"/>
        <v>#N/A</v>
      </c>
      <c r="AD84" s="494"/>
      <c r="AE84" s="169"/>
      <c r="AF84" s="169"/>
      <c r="AG84" s="169"/>
      <c r="AH84" s="185" t="e">
        <f t="shared" si="27"/>
        <v>#N/A</v>
      </c>
      <c r="AI84" s="494"/>
      <c r="AJ84" s="169"/>
      <c r="AK84" s="169"/>
      <c r="AL84" s="169"/>
      <c r="AM84" s="185" t="e">
        <f t="shared" si="28"/>
        <v>#N/A</v>
      </c>
      <c r="AN84" s="494"/>
      <c r="AO84" s="169"/>
      <c r="AP84" s="169"/>
      <c r="AQ84" s="169"/>
      <c r="AR84" s="185" t="e">
        <f t="shared" si="29"/>
        <v>#N/A</v>
      </c>
      <c r="AS84" s="494"/>
      <c r="AT84" s="169"/>
      <c r="AU84" s="169"/>
      <c r="AV84" s="169"/>
      <c r="AW84" s="185" t="e">
        <f t="shared" si="30"/>
        <v>#N/A</v>
      </c>
      <c r="AX84" s="494"/>
    </row>
    <row r="85" spans="2:50">
      <c r="B85" s="471"/>
      <c r="C85" s="185">
        <v>9</v>
      </c>
      <c r="D85" s="206"/>
      <c r="E85" s="169"/>
      <c r="F85" s="185"/>
      <c r="G85" s="183"/>
      <c r="H85" s="452"/>
      <c r="I85" s="169" t="e">
        <f t="shared" si="21"/>
        <v>#DIV/0!</v>
      </c>
      <c r="J85" s="169" t="e">
        <f t="shared" si="22"/>
        <v>#DIV/0!</v>
      </c>
      <c r="K85" s="183" t="e">
        <f t="shared" si="23"/>
        <v>#DIV/0!</v>
      </c>
      <c r="L85" s="452"/>
      <c r="M85" s="184" t="e">
        <f>RANK(K85, K$77:$K$106)</f>
        <v>#DIV/0!</v>
      </c>
      <c r="N85" s="454"/>
      <c r="O85" s="454"/>
      <c r="P85" s="169"/>
      <c r="Q85" s="169"/>
      <c r="R85" s="169"/>
      <c r="S85" s="185" t="e">
        <f t="shared" si="24"/>
        <v>#N/A</v>
      </c>
      <c r="T85" s="494"/>
      <c r="U85" s="169"/>
      <c r="V85" s="169"/>
      <c r="W85" s="169"/>
      <c r="X85" s="185" t="e">
        <f t="shared" si="25"/>
        <v>#N/A</v>
      </c>
      <c r="Y85" s="494"/>
      <c r="Z85" s="169"/>
      <c r="AA85" s="169"/>
      <c r="AB85" s="169"/>
      <c r="AC85" s="185" t="e">
        <f t="shared" si="26"/>
        <v>#N/A</v>
      </c>
      <c r="AD85" s="494"/>
      <c r="AE85" s="169"/>
      <c r="AF85" s="169"/>
      <c r="AG85" s="169"/>
      <c r="AH85" s="185" t="e">
        <f t="shared" si="27"/>
        <v>#N/A</v>
      </c>
      <c r="AI85" s="494"/>
      <c r="AJ85" s="169"/>
      <c r="AK85" s="169"/>
      <c r="AL85" s="169"/>
      <c r="AM85" s="185" t="e">
        <f t="shared" si="28"/>
        <v>#N/A</v>
      </c>
      <c r="AN85" s="494"/>
      <c r="AO85" s="169"/>
      <c r="AP85" s="169"/>
      <c r="AQ85" s="169"/>
      <c r="AR85" s="185" t="e">
        <f t="shared" si="29"/>
        <v>#N/A</v>
      </c>
      <c r="AS85" s="494"/>
      <c r="AT85" s="169"/>
      <c r="AU85" s="169"/>
      <c r="AV85" s="169"/>
      <c r="AW85" s="185" t="e">
        <f t="shared" si="30"/>
        <v>#N/A</v>
      </c>
      <c r="AX85" s="494"/>
    </row>
    <row r="86" spans="2:50">
      <c r="B86" s="471"/>
      <c r="C86" s="185">
        <v>10</v>
      </c>
      <c r="D86" s="206"/>
      <c r="E86" s="169"/>
      <c r="F86" s="185"/>
      <c r="G86" s="183"/>
      <c r="H86" s="452"/>
      <c r="I86" s="169" t="e">
        <f t="shared" si="21"/>
        <v>#DIV/0!</v>
      </c>
      <c r="J86" s="169" t="e">
        <f t="shared" si="22"/>
        <v>#DIV/0!</v>
      </c>
      <c r="K86" s="183" t="e">
        <f t="shared" si="23"/>
        <v>#DIV/0!</v>
      </c>
      <c r="L86" s="452"/>
      <c r="M86" s="184" t="e">
        <f>RANK(K86, K$77:$K$106)</f>
        <v>#DIV/0!</v>
      </c>
      <c r="N86" s="454"/>
      <c r="O86" s="454"/>
      <c r="P86" s="169"/>
      <c r="Q86" s="169"/>
      <c r="R86" s="169"/>
      <c r="S86" s="185" t="e">
        <f t="shared" si="24"/>
        <v>#N/A</v>
      </c>
      <c r="T86" s="494"/>
      <c r="U86" s="169"/>
      <c r="V86" s="169"/>
      <c r="W86" s="169"/>
      <c r="X86" s="185" t="e">
        <f t="shared" si="25"/>
        <v>#N/A</v>
      </c>
      <c r="Y86" s="494"/>
      <c r="Z86" s="169"/>
      <c r="AA86" s="169"/>
      <c r="AB86" s="169"/>
      <c r="AC86" s="185" t="e">
        <f t="shared" si="26"/>
        <v>#N/A</v>
      </c>
      <c r="AD86" s="494"/>
      <c r="AE86" s="169"/>
      <c r="AF86" s="169"/>
      <c r="AG86" s="169"/>
      <c r="AH86" s="185" t="e">
        <f t="shared" si="27"/>
        <v>#N/A</v>
      </c>
      <c r="AI86" s="494"/>
      <c r="AJ86" s="169"/>
      <c r="AK86" s="169"/>
      <c r="AL86" s="169"/>
      <c r="AM86" s="185" t="e">
        <f t="shared" si="28"/>
        <v>#N/A</v>
      </c>
      <c r="AN86" s="494"/>
      <c r="AO86" s="169"/>
      <c r="AP86" s="169"/>
      <c r="AQ86" s="169"/>
      <c r="AR86" s="185" t="e">
        <f t="shared" si="29"/>
        <v>#N/A</v>
      </c>
      <c r="AS86" s="494"/>
      <c r="AT86" s="169"/>
      <c r="AU86" s="169"/>
      <c r="AV86" s="169"/>
      <c r="AW86" s="185" t="e">
        <f t="shared" si="30"/>
        <v>#N/A</v>
      </c>
      <c r="AX86" s="494"/>
    </row>
    <row r="87" spans="2:50">
      <c r="B87" s="471"/>
      <c r="C87" s="185">
        <v>11</v>
      </c>
      <c r="D87" s="206"/>
      <c r="E87" s="169"/>
      <c r="F87" s="185"/>
      <c r="G87" s="183"/>
      <c r="H87" s="452"/>
      <c r="I87" s="169" t="e">
        <f t="shared" si="21"/>
        <v>#DIV/0!</v>
      </c>
      <c r="J87" s="169" t="e">
        <f t="shared" si="22"/>
        <v>#DIV/0!</v>
      </c>
      <c r="K87" s="183" t="e">
        <f t="shared" si="23"/>
        <v>#DIV/0!</v>
      </c>
      <c r="L87" s="452"/>
      <c r="M87" s="184" t="e">
        <f>RANK(K87, K$77:$K$106)</f>
        <v>#DIV/0!</v>
      </c>
      <c r="N87" s="454"/>
      <c r="O87" s="454"/>
      <c r="P87" s="169"/>
      <c r="Q87" s="169"/>
      <c r="R87" s="169"/>
      <c r="S87" s="185" t="e">
        <f t="shared" si="24"/>
        <v>#N/A</v>
      </c>
      <c r="T87" s="494"/>
      <c r="U87" s="169"/>
      <c r="V87" s="169"/>
      <c r="W87" s="169"/>
      <c r="X87" s="185" t="e">
        <f t="shared" si="25"/>
        <v>#N/A</v>
      </c>
      <c r="Y87" s="494"/>
      <c r="Z87" s="169"/>
      <c r="AA87" s="169"/>
      <c r="AB87" s="169"/>
      <c r="AC87" s="185" t="e">
        <f t="shared" si="26"/>
        <v>#N/A</v>
      </c>
      <c r="AD87" s="494"/>
      <c r="AE87" s="169"/>
      <c r="AF87" s="169"/>
      <c r="AG87" s="169"/>
      <c r="AH87" s="185" t="e">
        <f t="shared" si="27"/>
        <v>#N/A</v>
      </c>
      <c r="AI87" s="494"/>
      <c r="AJ87" s="169"/>
      <c r="AK87" s="169"/>
      <c r="AL87" s="169"/>
      <c r="AM87" s="185" t="e">
        <f t="shared" si="28"/>
        <v>#N/A</v>
      </c>
      <c r="AN87" s="494"/>
      <c r="AO87" s="169"/>
      <c r="AP87" s="169"/>
      <c r="AQ87" s="169"/>
      <c r="AR87" s="185" t="e">
        <f t="shared" si="29"/>
        <v>#N/A</v>
      </c>
      <c r="AS87" s="494"/>
      <c r="AT87" s="169"/>
      <c r="AU87" s="169"/>
      <c r="AV87" s="169"/>
      <c r="AW87" s="185" t="e">
        <f t="shared" si="30"/>
        <v>#N/A</v>
      </c>
      <c r="AX87" s="494"/>
    </row>
    <row r="88" spans="2:50">
      <c r="B88" s="471"/>
      <c r="C88" s="185">
        <v>12</v>
      </c>
      <c r="D88" s="206"/>
      <c r="E88" s="169"/>
      <c r="F88" s="185"/>
      <c r="G88" s="183"/>
      <c r="H88" s="452"/>
      <c r="I88" s="169" t="e">
        <f t="shared" si="21"/>
        <v>#DIV/0!</v>
      </c>
      <c r="J88" s="169" t="e">
        <f t="shared" si="22"/>
        <v>#DIV/0!</v>
      </c>
      <c r="K88" s="183" t="e">
        <f t="shared" si="23"/>
        <v>#DIV/0!</v>
      </c>
      <c r="L88" s="452"/>
      <c r="M88" s="184" t="e">
        <f>RANK(K88, K$77:$K$106)</f>
        <v>#DIV/0!</v>
      </c>
      <c r="N88" s="454"/>
      <c r="O88" s="454"/>
      <c r="P88" s="169"/>
      <c r="Q88" s="169"/>
      <c r="R88" s="169"/>
      <c r="S88" s="185" t="e">
        <f t="shared" si="24"/>
        <v>#N/A</v>
      </c>
      <c r="T88" s="494"/>
      <c r="U88" s="169"/>
      <c r="V88" s="169"/>
      <c r="W88" s="169"/>
      <c r="X88" s="185" t="e">
        <f t="shared" si="25"/>
        <v>#N/A</v>
      </c>
      <c r="Y88" s="494"/>
      <c r="Z88" s="169"/>
      <c r="AA88" s="169"/>
      <c r="AB88" s="169"/>
      <c r="AC88" s="185" t="e">
        <f t="shared" si="26"/>
        <v>#N/A</v>
      </c>
      <c r="AD88" s="494"/>
      <c r="AE88" s="169"/>
      <c r="AF88" s="169"/>
      <c r="AG88" s="169"/>
      <c r="AH88" s="185" t="e">
        <f t="shared" si="27"/>
        <v>#N/A</v>
      </c>
      <c r="AI88" s="494"/>
      <c r="AJ88" s="169"/>
      <c r="AK88" s="169"/>
      <c r="AL88" s="169"/>
      <c r="AM88" s="185" t="e">
        <f t="shared" si="28"/>
        <v>#N/A</v>
      </c>
      <c r="AN88" s="494"/>
      <c r="AO88" s="169"/>
      <c r="AP88" s="169"/>
      <c r="AQ88" s="169"/>
      <c r="AR88" s="185" t="e">
        <f t="shared" si="29"/>
        <v>#N/A</v>
      </c>
      <c r="AS88" s="494"/>
      <c r="AT88" s="169"/>
      <c r="AU88" s="169"/>
      <c r="AV88" s="169"/>
      <c r="AW88" s="185" t="e">
        <f t="shared" si="30"/>
        <v>#N/A</v>
      </c>
      <c r="AX88" s="494"/>
    </row>
    <row r="89" spans="2:50">
      <c r="B89" s="471"/>
      <c r="C89" s="185">
        <v>13</v>
      </c>
      <c r="D89" s="206"/>
      <c r="E89" s="169"/>
      <c r="F89" s="185"/>
      <c r="G89" s="183"/>
      <c r="H89" s="452"/>
      <c r="I89" s="169" t="e">
        <f t="shared" si="21"/>
        <v>#DIV/0!</v>
      </c>
      <c r="J89" s="169" t="e">
        <f t="shared" si="22"/>
        <v>#DIV/0!</v>
      </c>
      <c r="K89" s="183" t="e">
        <f t="shared" si="23"/>
        <v>#DIV/0!</v>
      </c>
      <c r="L89" s="452"/>
      <c r="M89" s="184" t="e">
        <f>RANK(K89, K$77:$K$106)</f>
        <v>#DIV/0!</v>
      </c>
      <c r="N89" s="454"/>
      <c r="O89" s="454"/>
      <c r="P89" s="169"/>
      <c r="Q89" s="169"/>
      <c r="R89" s="169"/>
      <c r="S89" s="185" t="e">
        <f t="shared" si="24"/>
        <v>#N/A</v>
      </c>
      <c r="T89" s="494"/>
      <c r="U89" s="169"/>
      <c r="V89" s="169"/>
      <c r="W89" s="169"/>
      <c r="X89" s="185" t="e">
        <f t="shared" si="25"/>
        <v>#N/A</v>
      </c>
      <c r="Y89" s="494"/>
      <c r="Z89" s="169"/>
      <c r="AA89" s="169"/>
      <c r="AB89" s="169"/>
      <c r="AC89" s="185" t="e">
        <f t="shared" si="26"/>
        <v>#N/A</v>
      </c>
      <c r="AD89" s="494"/>
      <c r="AE89" s="169"/>
      <c r="AF89" s="169"/>
      <c r="AG89" s="169"/>
      <c r="AH89" s="185" t="e">
        <f t="shared" si="27"/>
        <v>#N/A</v>
      </c>
      <c r="AI89" s="494"/>
      <c r="AJ89" s="169"/>
      <c r="AK89" s="169"/>
      <c r="AL89" s="169"/>
      <c r="AM89" s="185" t="e">
        <f t="shared" si="28"/>
        <v>#N/A</v>
      </c>
      <c r="AN89" s="494"/>
      <c r="AO89" s="169"/>
      <c r="AP89" s="169"/>
      <c r="AQ89" s="169"/>
      <c r="AR89" s="185" t="e">
        <f t="shared" si="29"/>
        <v>#N/A</v>
      </c>
      <c r="AS89" s="494"/>
      <c r="AT89" s="169"/>
      <c r="AU89" s="169"/>
      <c r="AV89" s="169"/>
      <c r="AW89" s="185" t="e">
        <f t="shared" si="30"/>
        <v>#N/A</v>
      </c>
      <c r="AX89" s="494"/>
    </row>
    <row r="90" spans="2:50">
      <c r="B90" s="471"/>
      <c r="C90" s="185">
        <v>14</v>
      </c>
      <c r="D90" s="206"/>
      <c r="E90" s="169"/>
      <c r="F90" s="185"/>
      <c r="G90" s="183"/>
      <c r="H90" s="452"/>
      <c r="I90" s="169" t="e">
        <f t="shared" si="21"/>
        <v>#DIV/0!</v>
      </c>
      <c r="J90" s="169" t="e">
        <f t="shared" si="22"/>
        <v>#DIV/0!</v>
      </c>
      <c r="K90" s="183" t="e">
        <f t="shared" si="23"/>
        <v>#DIV/0!</v>
      </c>
      <c r="L90" s="452"/>
      <c r="M90" s="184" t="e">
        <f>RANK(K90, K$77:$K$106)</f>
        <v>#DIV/0!</v>
      </c>
      <c r="N90" s="454"/>
      <c r="O90" s="454"/>
      <c r="P90" s="169"/>
      <c r="Q90" s="169"/>
      <c r="R90" s="169"/>
      <c r="S90" s="185" t="e">
        <f t="shared" si="24"/>
        <v>#N/A</v>
      </c>
      <c r="T90" s="494"/>
      <c r="U90" s="169"/>
      <c r="V90" s="169"/>
      <c r="W90" s="169"/>
      <c r="X90" s="185" t="e">
        <f t="shared" si="25"/>
        <v>#N/A</v>
      </c>
      <c r="Y90" s="494"/>
      <c r="Z90" s="169"/>
      <c r="AA90" s="169"/>
      <c r="AB90" s="169"/>
      <c r="AC90" s="185" t="e">
        <f t="shared" si="26"/>
        <v>#N/A</v>
      </c>
      <c r="AD90" s="494"/>
      <c r="AE90" s="169"/>
      <c r="AF90" s="169"/>
      <c r="AG90" s="169"/>
      <c r="AH90" s="185" t="e">
        <f t="shared" si="27"/>
        <v>#N/A</v>
      </c>
      <c r="AI90" s="494"/>
      <c r="AJ90" s="169"/>
      <c r="AK90" s="169"/>
      <c r="AL90" s="169"/>
      <c r="AM90" s="185" t="e">
        <f t="shared" si="28"/>
        <v>#N/A</v>
      </c>
      <c r="AN90" s="494"/>
      <c r="AO90" s="169"/>
      <c r="AP90" s="169"/>
      <c r="AQ90" s="169"/>
      <c r="AR90" s="185" t="e">
        <f t="shared" si="29"/>
        <v>#N/A</v>
      </c>
      <c r="AS90" s="494"/>
      <c r="AT90" s="169"/>
      <c r="AU90" s="169"/>
      <c r="AV90" s="169"/>
      <c r="AW90" s="185" t="e">
        <f t="shared" si="30"/>
        <v>#N/A</v>
      </c>
      <c r="AX90" s="494"/>
    </row>
    <row r="91" spans="2:50">
      <c r="B91" s="471"/>
      <c r="C91" s="185">
        <v>15</v>
      </c>
      <c r="D91" s="206"/>
      <c r="E91" s="169"/>
      <c r="F91" s="185"/>
      <c r="G91" s="183"/>
      <c r="H91" s="452"/>
      <c r="I91" s="169" t="e">
        <f t="shared" si="21"/>
        <v>#DIV/0!</v>
      </c>
      <c r="J91" s="169" t="e">
        <f t="shared" si="22"/>
        <v>#DIV/0!</v>
      </c>
      <c r="K91" s="183" t="e">
        <f t="shared" si="23"/>
        <v>#DIV/0!</v>
      </c>
      <c r="L91" s="452"/>
      <c r="M91" s="184" t="e">
        <f>RANK(K91, K$77:$K$106)</f>
        <v>#DIV/0!</v>
      </c>
      <c r="N91" s="454"/>
      <c r="O91" s="454"/>
      <c r="P91" s="169"/>
      <c r="Q91" s="169"/>
      <c r="R91" s="169"/>
      <c r="S91" s="185" t="e">
        <f t="shared" si="24"/>
        <v>#N/A</v>
      </c>
      <c r="T91" s="494"/>
      <c r="U91" s="169"/>
      <c r="V91" s="169"/>
      <c r="W91" s="169"/>
      <c r="X91" s="185" t="e">
        <f t="shared" si="25"/>
        <v>#N/A</v>
      </c>
      <c r="Y91" s="494"/>
      <c r="Z91" s="169"/>
      <c r="AA91" s="169"/>
      <c r="AB91" s="169"/>
      <c r="AC91" s="185" t="e">
        <f t="shared" si="26"/>
        <v>#N/A</v>
      </c>
      <c r="AD91" s="494"/>
      <c r="AE91" s="169"/>
      <c r="AF91" s="169"/>
      <c r="AG91" s="169"/>
      <c r="AH91" s="185" t="e">
        <f t="shared" si="27"/>
        <v>#N/A</v>
      </c>
      <c r="AI91" s="494"/>
      <c r="AJ91" s="169"/>
      <c r="AK91" s="169"/>
      <c r="AL91" s="169"/>
      <c r="AM91" s="185" t="e">
        <f t="shared" si="28"/>
        <v>#N/A</v>
      </c>
      <c r="AN91" s="494"/>
      <c r="AO91" s="169"/>
      <c r="AP91" s="169"/>
      <c r="AQ91" s="169"/>
      <c r="AR91" s="185" t="e">
        <f t="shared" si="29"/>
        <v>#N/A</v>
      </c>
      <c r="AS91" s="494"/>
      <c r="AT91" s="169"/>
      <c r="AU91" s="169"/>
      <c r="AV91" s="169"/>
      <c r="AW91" s="185" t="e">
        <f t="shared" si="30"/>
        <v>#N/A</v>
      </c>
      <c r="AX91" s="494"/>
    </row>
    <row r="92" spans="2:50">
      <c r="B92" s="471"/>
      <c r="C92" s="185">
        <v>16</v>
      </c>
      <c r="D92" s="206"/>
      <c r="E92" s="169"/>
      <c r="F92" s="185"/>
      <c r="G92" s="183"/>
      <c r="H92" s="452"/>
      <c r="I92" s="169" t="e">
        <f t="shared" si="21"/>
        <v>#DIV/0!</v>
      </c>
      <c r="J92" s="169" t="e">
        <f t="shared" si="22"/>
        <v>#DIV/0!</v>
      </c>
      <c r="K92" s="183" t="e">
        <f t="shared" si="23"/>
        <v>#DIV/0!</v>
      </c>
      <c r="L92" s="452"/>
      <c r="M92" s="184" t="e">
        <f>RANK(K92, K$77:$K$106)</f>
        <v>#DIV/0!</v>
      </c>
      <c r="N92" s="454"/>
      <c r="O92" s="454"/>
      <c r="P92" s="169"/>
      <c r="Q92" s="169"/>
      <c r="R92" s="169"/>
      <c r="S92" s="185" t="e">
        <f t="shared" si="24"/>
        <v>#N/A</v>
      </c>
      <c r="T92" s="494"/>
      <c r="U92" s="169"/>
      <c r="V92" s="169"/>
      <c r="W92" s="169"/>
      <c r="X92" s="185" t="e">
        <f t="shared" si="25"/>
        <v>#N/A</v>
      </c>
      <c r="Y92" s="494"/>
      <c r="Z92" s="169"/>
      <c r="AA92" s="169"/>
      <c r="AB92" s="169"/>
      <c r="AC92" s="185" t="e">
        <f t="shared" si="26"/>
        <v>#N/A</v>
      </c>
      <c r="AD92" s="494"/>
      <c r="AE92" s="169"/>
      <c r="AF92" s="169"/>
      <c r="AG92" s="169"/>
      <c r="AH92" s="185" t="e">
        <f t="shared" si="27"/>
        <v>#N/A</v>
      </c>
      <c r="AI92" s="494"/>
      <c r="AJ92" s="169"/>
      <c r="AK92" s="169"/>
      <c r="AL92" s="169"/>
      <c r="AM92" s="185" t="e">
        <f t="shared" si="28"/>
        <v>#N/A</v>
      </c>
      <c r="AN92" s="494"/>
      <c r="AO92" s="169"/>
      <c r="AP92" s="169"/>
      <c r="AQ92" s="169"/>
      <c r="AR92" s="185" t="e">
        <f t="shared" si="29"/>
        <v>#N/A</v>
      </c>
      <c r="AS92" s="494"/>
      <c r="AT92" s="169"/>
      <c r="AU92" s="169"/>
      <c r="AV92" s="169"/>
      <c r="AW92" s="185" t="e">
        <f t="shared" si="30"/>
        <v>#N/A</v>
      </c>
      <c r="AX92" s="494"/>
    </row>
    <row r="93" spans="2:50">
      <c r="B93" s="471"/>
      <c r="C93" s="185">
        <v>17</v>
      </c>
      <c r="D93" s="206"/>
      <c r="E93" s="169"/>
      <c r="F93" s="185"/>
      <c r="G93" s="183"/>
      <c r="H93" s="452"/>
      <c r="I93" s="169" t="e">
        <f t="shared" si="21"/>
        <v>#DIV/0!</v>
      </c>
      <c r="J93" s="169" t="e">
        <f t="shared" si="22"/>
        <v>#DIV/0!</v>
      </c>
      <c r="K93" s="183" t="e">
        <f t="shared" si="23"/>
        <v>#DIV/0!</v>
      </c>
      <c r="L93" s="452"/>
      <c r="M93" s="184" t="e">
        <f>RANK(K93, K$77:$K$106)</f>
        <v>#DIV/0!</v>
      </c>
      <c r="N93" s="454"/>
      <c r="O93" s="454"/>
      <c r="P93" s="169"/>
      <c r="Q93" s="169"/>
      <c r="R93" s="169"/>
      <c r="S93" s="185" t="e">
        <f t="shared" si="24"/>
        <v>#N/A</v>
      </c>
      <c r="T93" s="494"/>
      <c r="U93" s="169"/>
      <c r="V93" s="169"/>
      <c r="W93" s="169"/>
      <c r="X93" s="185" t="e">
        <f t="shared" si="25"/>
        <v>#N/A</v>
      </c>
      <c r="Y93" s="494"/>
      <c r="Z93" s="169"/>
      <c r="AA93" s="169"/>
      <c r="AB93" s="169"/>
      <c r="AC93" s="185" t="e">
        <f t="shared" si="26"/>
        <v>#N/A</v>
      </c>
      <c r="AD93" s="494"/>
      <c r="AE93" s="169"/>
      <c r="AF93" s="169"/>
      <c r="AG93" s="169"/>
      <c r="AH93" s="185" t="e">
        <f t="shared" si="27"/>
        <v>#N/A</v>
      </c>
      <c r="AI93" s="494"/>
      <c r="AJ93" s="169"/>
      <c r="AK93" s="169"/>
      <c r="AL93" s="169"/>
      <c r="AM93" s="185" t="e">
        <f t="shared" si="28"/>
        <v>#N/A</v>
      </c>
      <c r="AN93" s="494"/>
      <c r="AO93" s="169"/>
      <c r="AP93" s="169"/>
      <c r="AQ93" s="169"/>
      <c r="AR93" s="185" t="e">
        <f t="shared" si="29"/>
        <v>#N/A</v>
      </c>
      <c r="AS93" s="494"/>
      <c r="AT93" s="169"/>
      <c r="AU93" s="169"/>
      <c r="AV93" s="169"/>
      <c r="AW93" s="185" t="e">
        <f t="shared" si="30"/>
        <v>#N/A</v>
      </c>
      <c r="AX93" s="494"/>
    </row>
    <row r="94" spans="2:50">
      <c r="B94" s="471"/>
      <c r="C94" s="185">
        <v>18</v>
      </c>
      <c r="D94" s="206"/>
      <c r="E94" s="169"/>
      <c r="F94" s="185"/>
      <c r="G94" s="183"/>
      <c r="H94" s="452"/>
      <c r="I94" s="169" t="e">
        <f t="shared" si="21"/>
        <v>#DIV/0!</v>
      </c>
      <c r="J94" s="169" t="e">
        <f t="shared" si="22"/>
        <v>#DIV/0!</v>
      </c>
      <c r="K94" s="183" t="e">
        <f t="shared" si="23"/>
        <v>#DIV/0!</v>
      </c>
      <c r="L94" s="452"/>
      <c r="M94" s="184" t="e">
        <f>RANK(K94, K$77:$K$106)</f>
        <v>#DIV/0!</v>
      </c>
      <c r="N94" s="454"/>
      <c r="O94" s="454"/>
      <c r="P94" s="169"/>
      <c r="Q94" s="169"/>
      <c r="R94" s="169"/>
      <c r="S94" s="185" t="e">
        <f t="shared" si="24"/>
        <v>#N/A</v>
      </c>
      <c r="T94" s="494"/>
      <c r="U94" s="169"/>
      <c r="V94" s="169"/>
      <c r="W94" s="169"/>
      <c r="X94" s="185" t="e">
        <f t="shared" si="25"/>
        <v>#N/A</v>
      </c>
      <c r="Y94" s="494"/>
      <c r="Z94" s="169"/>
      <c r="AA94" s="169"/>
      <c r="AB94" s="169"/>
      <c r="AC94" s="185" t="e">
        <f t="shared" si="26"/>
        <v>#N/A</v>
      </c>
      <c r="AD94" s="494"/>
      <c r="AE94" s="169"/>
      <c r="AF94" s="169"/>
      <c r="AG94" s="169"/>
      <c r="AH94" s="185" t="e">
        <f t="shared" si="27"/>
        <v>#N/A</v>
      </c>
      <c r="AI94" s="494"/>
      <c r="AJ94" s="169"/>
      <c r="AK94" s="169"/>
      <c r="AL94" s="169"/>
      <c r="AM94" s="185" t="e">
        <f t="shared" si="28"/>
        <v>#N/A</v>
      </c>
      <c r="AN94" s="494"/>
      <c r="AO94" s="169"/>
      <c r="AP94" s="169"/>
      <c r="AQ94" s="169"/>
      <c r="AR94" s="185" t="e">
        <f t="shared" si="29"/>
        <v>#N/A</v>
      </c>
      <c r="AS94" s="494"/>
      <c r="AT94" s="169"/>
      <c r="AU94" s="169"/>
      <c r="AV94" s="169"/>
      <c r="AW94" s="185" t="e">
        <f t="shared" si="30"/>
        <v>#N/A</v>
      </c>
      <c r="AX94" s="494"/>
    </row>
    <row r="95" spans="2:50">
      <c r="B95" s="471"/>
      <c r="C95" s="185">
        <v>19</v>
      </c>
      <c r="D95" s="206"/>
      <c r="E95" s="169"/>
      <c r="F95" s="185"/>
      <c r="G95" s="183"/>
      <c r="H95" s="452"/>
      <c r="I95" s="169" t="e">
        <f t="shared" si="21"/>
        <v>#DIV/0!</v>
      </c>
      <c r="J95" s="169" t="e">
        <f t="shared" si="22"/>
        <v>#DIV/0!</v>
      </c>
      <c r="K95" s="183" t="e">
        <f t="shared" si="23"/>
        <v>#DIV/0!</v>
      </c>
      <c r="L95" s="452"/>
      <c r="M95" s="184" t="e">
        <f>RANK(K95, K$77:$K$106)</f>
        <v>#DIV/0!</v>
      </c>
      <c r="N95" s="454"/>
      <c r="O95" s="454"/>
      <c r="P95" s="169"/>
      <c r="Q95" s="169"/>
      <c r="R95" s="169"/>
      <c r="S95" s="185" t="e">
        <f t="shared" si="24"/>
        <v>#N/A</v>
      </c>
      <c r="T95" s="494"/>
      <c r="U95" s="169"/>
      <c r="V95" s="169"/>
      <c r="W95" s="169"/>
      <c r="X95" s="185" t="e">
        <f t="shared" si="25"/>
        <v>#N/A</v>
      </c>
      <c r="Y95" s="494"/>
      <c r="Z95" s="169"/>
      <c r="AA95" s="169"/>
      <c r="AB95" s="169"/>
      <c r="AC95" s="185" t="e">
        <f t="shared" si="26"/>
        <v>#N/A</v>
      </c>
      <c r="AD95" s="494"/>
      <c r="AE95" s="169"/>
      <c r="AF95" s="169"/>
      <c r="AG95" s="169"/>
      <c r="AH95" s="185" t="e">
        <f t="shared" si="27"/>
        <v>#N/A</v>
      </c>
      <c r="AI95" s="494"/>
      <c r="AJ95" s="169"/>
      <c r="AK95" s="169"/>
      <c r="AL95" s="169"/>
      <c r="AM95" s="185" t="e">
        <f t="shared" si="28"/>
        <v>#N/A</v>
      </c>
      <c r="AN95" s="494"/>
      <c r="AO95" s="169"/>
      <c r="AP95" s="169"/>
      <c r="AQ95" s="169"/>
      <c r="AR95" s="185" t="e">
        <f t="shared" si="29"/>
        <v>#N/A</v>
      </c>
      <c r="AS95" s="494"/>
      <c r="AT95" s="169"/>
      <c r="AU95" s="169"/>
      <c r="AV95" s="169"/>
      <c r="AW95" s="185" t="e">
        <f t="shared" si="30"/>
        <v>#N/A</v>
      </c>
      <c r="AX95" s="494"/>
    </row>
    <row r="96" spans="2:50">
      <c r="B96" s="471"/>
      <c r="C96" s="185">
        <v>20</v>
      </c>
      <c r="D96" s="206"/>
      <c r="E96" s="169"/>
      <c r="F96" s="185"/>
      <c r="G96" s="183"/>
      <c r="H96" s="452"/>
      <c r="I96" s="169" t="e">
        <f t="shared" si="21"/>
        <v>#DIV/0!</v>
      </c>
      <c r="J96" s="169" t="e">
        <f t="shared" si="22"/>
        <v>#DIV/0!</v>
      </c>
      <c r="K96" s="183" t="e">
        <f t="shared" si="23"/>
        <v>#DIV/0!</v>
      </c>
      <c r="L96" s="452"/>
      <c r="M96" s="184" t="e">
        <f>RANK(K96, K$77:$K$106)</f>
        <v>#DIV/0!</v>
      </c>
      <c r="N96" s="454"/>
      <c r="O96" s="454"/>
      <c r="P96" s="169"/>
      <c r="Q96" s="169"/>
      <c r="R96" s="169"/>
      <c r="S96" s="185" t="e">
        <f t="shared" si="24"/>
        <v>#N/A</v>
      </c>
      <c r="T96" s="494"/>
      <c r="U96" s="169"/>
      <c r="V96" s="169"/>
      <c r="W96" s="169"/>
      <c r="X96" s="185" t="e">
        <f t="shared" si="25"/>
        <v>#N/A</v>
      </c>
      <c r="Y96" s="494"/>
      <c r="Z96" s="169"/>
      <c r="AA96" s="169"/>
      <c r="AB96" s="169"/>
      <c r="AC96" s="185" t="e">
        <f t="shared" si="26"/>
        <v>#N/A</v>
      </c>
      <c r="AD96" s="494"/>
      <c r="AE96" s="169"/>
      <c r="AF96" s="169"/>
      <c r="AG96" s="169"/>
      <c r="AH96" s="185" t="e">
        <f t="shared" si="27"/>
        <v>#N/A</v>
      </c>
      <c r="AI96" s="494"/>
      <c r="AJ96" s="169"/>
      <c r="AK96" s="169"/>
      <c r="AL96" s="169"/>
      <c r="AM96" s="185" t="e">
        <f t="shared" si="28"/>
        <v>#N/A</v>
      </c>
      <c r="AN96" s="494"/>
      <c r="AO96" s="169"/>
      <c r="AP96" s="169"/>
      <c r="AQ96" s="169"/>
      <c r="AR96" s="185" t="e">
        <f t="shared" si="29"/>
        <v>#N/A</v>
      </c>
      <c r="AS96" s="494"/>
      <c r="AT96" s="169"/>
      <c r="AU96" s="169"/>
      <c r="AV96" s="169"/>
      <c r="AW96" s="185" t="e">
        <f t="shared" si="30"/>
        <v>#N/A</v>
      </c>
      <c r="AX96" s="494"/>
    </row>
    <row r="97" spans="2:50">
      <c r="B97" s="471"/>
      <c r="C97" s="185">
        <v>21</v>
      </c>
      <c r="D97" s="206"/>
      <c r="E97" s="169"/>
      <c r="F97" s="185"/>
      <c r="G97" s="183"/>
      <c r="H97" s="452"/>
      <c r="I97" s="169" t="e">
        <f t="shared" si="21"/>
        <v>#DIV/0!</v>
      </c>
      <c r="J97" s="169" t="e">
        <f t="shared" si="22"/>
        <v>#DIV/0!</v>
      </c>
      <c r="K97" s="183" t="e">
        <f t="shared" si="23"/>
        <v>#DIV/0!</v>
      </c>
      <c r="L97" s="452"/>
      <c r="M97" s="184" t="e">
        <f>RANK(K97, K$77:$K$106)</f>
        <v>#DIV/0!</v>
      </c>
      <c r="N97" s="454"/>
      <c r="O97" s="454"/>
      <c r="P97" s="169"/>
      <c r="Q97" s="169"/>
      <c r="R97" s="169"/>
      <c r="S97" s="185" t="e">
        <f t="shared" si="24"/>
        <v>#N/A</v>
      </c>
      <c r="T97" s="494"/>
      <c r="U97" s="169"/>
      <c r="V97" s="169"/>
      <c r="W97" s="169"/>
      <c r="X97" s="185" t="e">
        <f t="shared" si="25"/>
        <v>#N/A</v>
      </c>
      <c r="Y97" s="494"/>
      <c r="Z97" s="169"/>
      <c r="AA97" s="169"/>
      <c r="AB97" s="169"/>
      <c r="AC97" s="185" t="e">
        <f t="shared" si="26"/>
        <v>#N/A</v>
      </c>
      <c r="AD97" s="494"/>
      <c r="AE97" s="169"/>
      <c r="AF97" s="169"/>
      <c r="AG97" s="169"/>
      <c r="AH97" s="185" t="e">
        <f t="shared" si="27"/>
        <v>#N/A</v>
      </c>
      <c r="AI97" s="494"/>
      <c r="AJ97" s="169"/>
      <c r="AK97" s="169"/>
      <c r="AL97" s="169"/>
      <c r="AM97" s="185" t="e">
        <f t="shared" si="28"/>
        <v>#N/A</v>
      </c>
      <c r="AN97" s="494"/>
      <c r="AO97" s="169"/>
      <c r="AP97" s="169"/>
      <c r="AQ97" s="169"/>
      <c r="AR97" s="185" t="e">
        <f t="shared" si="29"/>
        <v>#N/A</v>
      </c>
      <c r="AS97" s="494"/>
      <c r="AT97" s="169"/>
      <c r="AU97" s="169"/>
      <c r="AV97" s="169"/>
      <c r="AW97" s="185" t="e">
        <f t="shared" si="30"/>
        <v>#N/A</v>
      </c>
      <c r="AX97" s="494"/>
    </row>
    <row r="98" spans="2:50">
      <c r="B98" s="471"/>
      <c r="C98" s="185">
        <v>22</v>
      </c>
      <c r="D98" s="206"/>
      <c r="E98" s="169"/>
      <c r="F98" s="185"/>
      <c r="G98" s="183"/>
      <c r="H98" s="452"/>
      <c r="I98" s="169" t="e">
        <f t="shared" si="21"/>
        <v>#DIV/0!</v>
      </c>
      <c r="J98" s="169" t="e">
        <f t="shared" si="22"/>
        <v>#DIV/0!</v>
      </c>
      <c r="K98" s="183" t="e">
        <f t="shared" si="23"/>
        <v>#DIV/0!</v>
      </c>
      <c r="L98" s="452"/>
      <c r="M98" s="184" t="e">
        <f>RANK(K98, K$77:$K$106)</f>
        <v>#DIV/0!</v>
      </c>
      <c r="N98" s="454"/>
      <c r="O98" s="454"/>
      <c r="P98" s="169"/>
      <c r="Q98" s="169"/>
      <c r="R98" s="169"/>
      <c r="S98" s="185" t="e">
        <f t="shared" si="24"/>
        <v>#N/A</v>
      </c>
      <c r="T98" s="494"/>
      <c r="U98" s="169"/>
      <c r="V98" s="169"/>
      <c r="W98" s="169"/>
      <c r="X98" s="185" t="e">
        <f t="shared" si="25"/>
        <v>#N/A</v>
      </c>
      <c r="Y98" s="494"/>
      <c r="Z98" s="169"/>
      <c r="AA98" s="169"/>
      <c r="AB98" s="169"/>
      <c r="AC98" s="185" t="e">
        <f t="shared" si="26"/>
        <v>#N/A</v>
      </c>
      <c r="AD98" s="494"/>
      <c r="AE98" s="169"/>
      <c r="AF98" s="169"/>
      <c r="AG98" s="169"/>
      <c r="AH98" s="185" t="e">
        <f t="shared" si="27"/>
        <v>#N/A</v>
      </c>
      <c r="AI98" s="494"/>
      <c r="AJ98" s="169"/>
      <c r="AK98" s="169"/>
      <c r="AL98" s="169"/>
      <c r="AM98" s="185" t="e">
        <f t="shared" si="28"/>
        <v>#N/A</v>
      </c>
      <c r="AN98" s="494"/>
      <c r="AO98" s="169"/>
      <c r="AP98" s="169"/>
      <c r="AQ98" s="169"/>
      <c r="AR98" s="185" t="e">
        <f t="shared" si="29"/>
        <v>#N/A</v>
      </c>
      <c r="AS98" s="494"/>
      <c r="AT98" s="169"/>
      <c r="AU98" s="169"/>
      <c r="AV98" s="169"/>
      <c r="AW98" s="185" t="e">
        <f t="shared" si="30"/>
        <v>#N/A</v>
      </c>
      <c r="AX98" s="494"/>
    </row>
    <row r="99" spans="2:50">
      <c r="B99" s="471"/>
      <c r="C99" s="185">
        <v>23</v>
      </c>
      <c r="D99" s="206"/>
      <c r="E99" s="169"/>
      <c r="F99" s="185"/>
      <c r="G99" s="183"/>
      <c r="H99" s="452"/>
      <c r="I99" s="169" t="e">
        <f t="shared" si="21"/>
        <v>#DIV/0!</v>
      </c>
      <c r="J99" s="169" t="e">
        <f t="shared" si="22"/>
        <v>#DIV/0!</v>
      </c>
      <c r="K99" s="183" t="e">
        <f t="shared" si="23"/>
        <v>#DIV/0!</v>
      </c>
      <c r="L99" s="452"/>
      <c r="M99" s="184" t="e">
        <f>RANK(K99, K$77:$K$106)</f>
        <v>#DIV/0!</v>
      </c>
      <c r="N99" s="454"/>
      <c r="O99" s="454"/>
      <c r="P99" s="169"/>
      <c r="Q99" s="169"/>
      <c r="R99" s="169"/>
      <c r="S99" s="185" t="e">
        <f t="shared" si="24"/>
        <v>#N/A</v>
      </c>
      <c r="T99" s="494"/>
      <c r="U99" s="169"/>
      <c r="V99" s="169"/>
      <c r="W99" s="169"/>
      <c r="X99" s="185" t="e">
        <f t="shared" si="25"/>
        <v>#N/A</v>
      </c>
      <c r="Y99" s="494"/>
      <c r="Z99" s="169"/>
      <c r="AA99" s="169"/>
      <c r="AB99" s="169"/>
      <c r="AC99" s="185" t="e">
        <f t="shared" si="26"/>
        <v>#N/A</v>
      </c>
      <c r="AD99" s="494"/>
      <c r="AE99" s="169"/>
      <c r="AF99" s="169"/>
      <c r="AG99" s="169"/>
      <c r="AH99" s="185" t="e">
        <f t="shared" si="27"/>
        <v>#N/A</v>
      </c>
      <c r="AI99" s="494"/>
      <c r="AJ99" s="169"/>
      <c r="AK99" s="169"/>
      <c r="AL99" s="169"/>
      <c r="AM99" s="185" t="e">
        <f t="shared" si="28"/>
        <v>#N/A</v>
      </c>
      <c r="AN99" s="494"/>
      <c r="AO99" s="169"/>
      <c r="AP99" s="169"/>
      <c r="AQ99" s="169"/>
      <c r="AR99" s="185" t="e">
        <f t="shared" si="29"/>
        <v>#N/A</v>
      </c>
      <c r="AS99" s="494"/>
      <c r="AT99" s="169"/>
      <c r="AU99" s="169"/>
      <c r="AV99" s="169"/>
      <c r="AW99" s="185" t="e">
        <f t="shared" si="30"/>
        <v>#N/A</v>
      </c>
      <c r="AX99" s="494"/>
    </row>
    <row r="100" spans="2:50">
      <c r="B100" s="471"/>
      <c r="C100" s="185">
        <v>24</v>
      </c>
      <c r="D100" s="206"/>
      <c r="E100" s="169"/>
      <c r="F100" s="185"/>
      <c r="G100" s="183"/>
      <c r="H100" s="452"/>
      <c r="I100" s="169"/>
      <c r="J100" s="169"/>
      <c r="K100" s="183"/>
      <c r="L100" s="452"/>
      <c r="M100" s="184" t="e">
        <f>RANK(K100, K$77:$K$106)</f>
        <v>#DIV/0!</v>
      </c>
      <c r="N100" s="454"/>
      <c r="O100" s="454"/>
      <c r="P100" s="185"/>
      <c r="Q100" s="183"/>
      <c r="R100" s="183"/>
      <c r="S100" s="185" t="e">
        <f t="shared" si="24"/>
        <v>#N/A</v>
      </c>
      <c r="T100" s="494"/>
      <c r="U100" s="185"/>
      <c r="V100" s="183"/>
      <c r="W100" s="183"/>
      <c r="X100" s="185" t="e">
        <f t="shared" si="25"/>
        <v>#N/A</v>
      </c>
      <c r="Y100" s="494"/>
      <c r="Z100" s="185"/>
      <c r="AA100" s="183"/>
      <c r="AB100" s="183"/>
      <c r="AC100" s="185" t="e">
        <f t="shared" si="26"/>
        <v>#N/A</v>
      </c>
      <c r="AD100" s="494"/>
      <c r="AE100" s="185"/>
      <c r="AF100" s="183"/>
      <c r="AG100" s="183"/>
      <c r="AH100" s="185" t="e">
        <f t="shared" si="27"/>
        <v>#N/A</v>
      </c>
      <c r="AI100" s="494"/>
      <c r="AJ100" s="185"/>
      <c r="AK100" s="183"/>
      <c r="AL100" s="183"/>
      <c r="AM100" s="185" t="e">
        <f t="shared" si="28"/>
        <v>#N/A</v>
      </c>
      <c r="AN100" s="494"/>
      <c r="AO100" s="185"/>
      <c r="AP100" s="183"/>
      <c r="AQ100" s="183"/>
      <c r="AR100" s="185" t="e">
        <f t="shared" si="29"/>
        <v>#N/A</v>
      </c>
      <c r="AS100" s="494"/>
      <c r="AT100" s="185"/>
      <c r="AU100" s="183"/>
      <c r="AV100" s="183"/>
      <c r="AW100" s="185" t="e">
        <f t="shared" si="30"/>
        <v>#N/A</v>
      </c>
      <c r="AX100" s="494"/>
    </row>
    <row r="101" spans="2:50">
      <c r="B101" s="471"/>
      <c r="C101" s="185">
        <v>25</v>
      </c>
      <c r="D101" s="206"/>
      <c r="E101" s="169"/>
      <c r="F101" s="185"/>
      <c r="G101" s="183"/>
      <c r="H101" s="452"/>
      <c r="I101" s="169"/>
      <c r="J101" s="169"/>
      <c r="K101" s="183"/>
      <c r="L101" s="452"/>
      <c r="M101" s="184" t="e">
        <f>RANK(K101, K$77:$K$106)</f>
        <v>#DIV/0!</v>
      </c>
      <c r="N101" s="454"/>
      <c r="O101" s="454"/>
      <c r="P101" s="185"/>
      <c r="Q101" s="183"/>
      <c r="R101" s="183"/>
      <c r="S101" s="185" t="e">
        <f t="shared" si="24"/>
        <v>#N/A</v>
      </c>
      <c r="T101" s="494"/>
      <c r="U101" s="185"/>
      <c r="V101" s="183"/>
      <c r="W101" s="183"/>
      <c r="X101" s="185" t="e">
        <f t="shared" si="25"/>
        <v>#N/A</v>
      </c>
      <c r="Y101" s="494"/>
      <c r="Z101" s="185"/>
      <c r="AA101" s="183"/>
      <c r="AB101" s="183"/>
      <c r="AC101" s="185" t="e">
        <f t="shared" si="26"/>
        <v>#N/A</v>
      </c>
      <c r="AD101" s="494"/>
      <c r="AE101" s="185"/>
      <c r="AF101" s="183"/>
      <c r="AG101" s="183"/>
      <c r="AH101" s="185" t="e">
        <f t="shared" si="27"/>
        <v>#N/A</v>
      </c>
      <c r="AI101" s="494"/>
      <c r="AJ101" s="185"/>
      <c r="AK101" s="183"/>
      <c r="AL101" s="183"/>
      <c r="AM101" s="185" t="e">
        <f t="shared" si="28"/>
        <v>#N/A</v>
      </c>
      <c r="AN101" s="494"/>
      <c r="AO101" s="185"/>
      <c r="AP101" s="183"/>
      <c r="AQ101" s="183"/>
      <c r="AR101" s="185" t="e">
        <f t="shared" si="29"/>
        <v>#N/A</v>
      </c>
      <c r="AS101" s="494"/>
      <c r="AT101" s="185"/>
      <c r="AU101" s="183"/>
      <c r="AV101" s="183"/>
      <c r="AW101" s="185" t="e">
        <f t="shared" si="30"/>
        <v>#N/A</v>
      </c>
      <c r="AX101" s="494"/>
    </row>
    <row r="102" spans="2:50">
      <c r="B102" s="471"/>
      <c r="C102" s="185">
        <v>26</v>
      </c>
      <c r="D102" s="206"/>
      <c r="E102" s="169"/>
      <c r="F102" s="185"/>
      <c r="G102" s="183"/>
      <c r="H102" s="452"/>
      <c r="I102" s="169"/>
      <c r="J102" s="169"/>
      <c r="K102" s="183"/>
      <c r="L102" s="452"/>
      <c r="M102" s="184" t="e">
        <f>RANK(K102, K$77:$K$106)</f>
        <v>#DIV/0!</v>
      </c>
      <c r="N102" s="454"/>
      <c r="O102" s="454"/>
      <c r="P102" s="185"/>
      <c r="Q102" s="183"/>
      <c r="R102" s="183"/>
      <c r="S102" s="185" t="e">
        <f t="shared" si="24"/>
        <v>#N/A</v>
      </c>
      <c r="T102" s="494"/>
      <c r="U102" s="185"/>
      <c r="V102" s="183"/>
      <c r="W102" s="183"/>
      <c r="X102" s="185" t="e">
        <f t="shared" si="25"/>
        <v>#N/A</v>
      </c>
      <c r="Y102" s="494"/>
      <c r="Z102" s="185"/>
      <c r="AA102" s="183"/>
      <c r="AB102" s="183"/>
      <c r="AC102" s="185" t="e">
        <f t="shared" si="26"/>
        <v>#N/A</v>
      </c>
      <c r="AD102" s="494"/>
      <c r="AE102" s="185"/>
      <c r="AF102" s="183"/>
      <c r="AG102" s="183"/>
      <c r="AH102" s="185" t="e">
        <f t="shared" si="27"/>
        <v>#N/A</v>
      </c>
      <c r="AI102" s="494"/>
      <c r="AJ102" s="185"/>
      <c r="AK102" s="183"/>
      <c r="AL102" s="183"/>
      <c r="AM102" s="185" t="e">
        <f t="shared" si="28"/>
        <v>#N/A</v>
      </c>
      <c r="AN102" s="494"/>
      <c r="AO102" s="185"/>
      <c r="AP102" s="183"/>
      <c r="AQ102" s="183"/>
      <c r="AR102" s="185" t="e">
        <f t="shared" si="29"/>
        <v>#N/A</v>
      </c>
      <c r="AS102" s="494"/>
      <c r="AT102" s="185"/>
      <c r="AU102" s="183"/>
      <c r="AV102" s="183"/>
      <c r="AW102" s="185" t="e">
        <f t="shared" si="30"/>
        <v>#N/A</v>
      </c>
      <c r="AX102" s="494"/>
    </row>
    <row r="103" spans="2:50">
      <c r="B103" s="471"/>
      <c r="C103" s="185">
        <v>27</v>
      </c>
      <c r="D103" s="206"/>
      <c r="E103" s="169"/>
      <c r="F103" s="185"/>
      <c r="G103" s="183"/>
      <c r="H103" s="452"/>
      <c r="I103" s="169"/>
      <c r="J103" s="169"/>
      <c r="K103" s="183"/>
      <c r="L103" s="452"/>
      <c r="M103" s="184" t="e">
        <f>RANK(K103, K$77:$K$106)</f>
        <v>#DIV/0!</v>
      </c>
      <c r="N103" s="454"/>
      <c r="O103" s="454"/>
      <c r="P103" s="185"/>
      <c r="Q103" s="183"/>
      <c r="R103" s="183"/>
      <c r="S103" s="185" t="e">
        <f t="shared" si="24"/>
        <v>#N/A</v>
      </c>
      <c r="T103" s="494"/>
      <c r="U103" s="185"/>
      <c r="V103" s="183"/>
      <c r="W103" s="183"/>
      <c r="X103" s="185" t="e">
        <f t="shared" si="25"/>
        <v>#N/A</v>
      </c>
      <c r="Y103" s="494"/>
      <c r="Z103" s="185"/>
      <c r="AA103" s="183"/>
      <c r="AB103" s="183"/>
      <c r="AC103" s="185" t="e">
        <f t="shared" si="26"/>
        <v>#N/A</v>
      </c>
      <c r="AD103" s="494"/>
      <c r="AE103" s="185"/>
      <c r="AF103" s="183"/>
      <c r="AG103" s="183"/>
      <c r="AH103" s="185" t="e">
        <f t="shared" si="27"/>
        <v>#N/A</v>
      </c>
      <c r="AI103" s="494"/>
      <c r="AJ103" s="185"/>
      <c r="AK103" s="183"/>
      <c r="AL103" s="183"/>
      <c r="AM103" s="185" t="e">
        <f t="shared" si="28"/>
        <v>#N/A</v>
      </c>
      <c r="AN103" s="494"/>
      <c r="AO103" s="185"/>
      <c r="AP103" s="183"/>
      <c r="AQ103" s="183"/>
      <c r="AR103" s="185" t="e">
        <f t="shared" si="29"/>
        <v>#N/A</v>
      </c>
      <c r="AS103" s="494"/>
      <c r="AT103" s="185"/>
      <c r="AU103" s="183"/>
      <c r="AV103" s="183"/>
      <c r="AW103" s="185" t="e">
        <f t="shared" si="30"/>
        <v>#N/A</v>
      </c>
      <c r="AX103" s="494"/>
    </row>
    <row r="104" spans="2:50">
      <c r="B104" s="471"/>
      <c r="C104" s="185">
        <v>28</v>
      </c>
      <c r="D104" s="206"/>
      <c r="E104" s="169"/>
      <c r="F104" s="185"/>
      <c r="G104" s="183"/>
      <c r="H104" s="452"/>
      <c r="I104" s="169"/>
      <c r="J104" s="169"/>
      <c r="K104" s="183"/>
      <c r="L104" s="452"/>
      <c r="M104" s="184" t="e">
        <f>RANK(K104, K$77:$K$106)</f>
        <v>#DIV/0!</v>
      </c>
      <c r="N104" s="454"/>
      <c r="O104" s="454"/>
      <c r="P104" s="185"/>
      <c r="Q104" s="183"/>
      <c r="R104" s="183"/>
      <c r="S104" s="185" t="e">
        <f t="shared" si="24"/>
        <v>#N/A</v>
      </c>
      <c r="T104" s="494"/>
      <c r="U104" s="185"/>
      <c r="V104" s="183"/>
      <c r="W104" s="183"/>
      <c r="X104" s="185" t="e">
        <f t="shared" si="25"/>
        <v>#N/A</v>
      </c>
      <c r="Y104" s="494"/>
      <c r="Z104" s="185"/>
      <c r="AA104" s="183"/>
      <c r="AB104" s="183"/>
      <c r="AC104" s="185" t="e">
        <f t="shared" si="26"/>
        <v>#N/A</v>
      </c>
      <c r="AD104" s="494"/>
      <c r="AE104" s="185"/>
      <c r="AF104" s="183"/>
      <c r="AG104" s="183"/>
      <c r="AH104" s="185" t="e">
        <f t="shared" si="27"/>
        <v>#N/A</v>
      </c>
      <c r="AI104" s="494"/>
      <c r="AJ104" s="185"/>
      <c r="AK104" s="183"/>
      <c r="AL104" s="183"/>
      <c r="AM104" s="185" t="e">
        <f t="shared" si="28"/>
        <v>#N/A</v>
      </c>
      <c r="AN104" s="494"/>
      <c r="AO104" s="185"/>
      <c r="AP104" s="183"/>
      <c r="AQ104" s="183"/>
      <c r="AR104" s="185" t="e">
        <f t="shared" si="29"/>
        <v>#N/A</v>
      </c>
      <c r="AS104" s="494"/>
      <c r="AT104" s="185"/>
      <c r="AU104" s="183"/>
      <c r="AV104" s="183"/>
      <c r="AW104" s="185" t="e">
        <f t="shared" si="30"/>
        <v>#N/A</v>
      </c>
      <c r="AX104" s="494"/>
    </row>
    <row r="105" spans="2:50">
      <c r="B105" s="471"/>
      <c r="C105" s="185">
        <v>29</v>
      </c>
      <c r="D105" s="206"/>
      <c r="E105" s="169"/>
      <c r="F105" s="185"/>
      <c r="G105" s="183"/>
      <c r="H105" s="452"/>
      <c r="I105" s="185"/>
      <c r="J105" s="185"/>
      <c r="K105" s="185"/>
      <c r="L105" s="452"/>
      <c r="M105" s="184" t="e">
        <f>RANK(K105, K$77:$K$106)</f>
        <v>#DIV/0!</v>
      </c>
      <c r="N105" s="454"/>
      <c r="O105" s="454"/>
      <c r="P105" s="185"/>
      <c r="Q105" s="185"/>
      <c r="R105" s="185"/>
      <c r="S105" s="185" t="e">
        <f t="shared" si="24"/>
        <v>#N/A</v>
      </c>
      <c r="T105" s="494"/>
      <c r="U105" s="185"/>
      <c r="V105" s="185"/>
      <c r="W105" s="185"/>
      <c r="X105" s="185" t="e">
        <f t="shared" si="25"/>
        <v>#N/A</v>
      </c>
      <c r="Y105" s="494"/>
      <c r="Z105" s="185"/>
      <c r="AA105" s="185"/>
      <c r="AB105" s="185"/>
      <c r="AC105" s="185" t="e">
        <f t="shared" si="26"/>
        <v>#N/A</v>
      </c>
      <c r="AD105" s="494"/>
      <c r="AE105" s="185"/>
      <c r="AF105" s="185"/>
      <c r="AG105" s="185"/>
      <c r="AH105" s="185" t="e">
        <f t="shared" si="27"/>
        <v>#N/A</v>
      </c>
      <c r="AI105" s="494"/>
      <c r="AJ105" s="185"/>
      <c r="AK105" s="185"/>
      <c r="AL105" s="185"/>
      <c r="AM105" s="185" t="e">
        <f t="shared" si="28"/>
        <v>#N/A</v>
      </c>
      <c r="AN105" s="494"/>
      <c r="AO105" s="185"/>
      <c r="AP105" s="185"/>
      <c r="AQ105" s="185"/>
      <c r="AR105" s="185" t="e">
        <f t="shared" si="29"/>
        <v>#N/A</v>
      </c>
      <c r="AS105" s="494"/>
      <c r="AT105" s="185"/>
      <c r="AU105" s="185"/>
      <c r="AV105" s="185"/>
      <c r="AW105" s="185" t="e">
        <f t="shared" si="30"/>
        <v>#N/A</v>
      </c>
      <c r="AX105" s="494"/>
    </row>
    <row r="106" spans="2:50">
      <c r="B106" s="471"/>
      <c r="C106" s="185">
        <v>30</v>
      </c>
      <c r="D106" s="206"/>
      <c r="E106" s="169"/>
      <c r="F106" s="185"/>
      <c r="G106" s="183"/>
      <c r="H106" s="453"/>
      <c r="I106" s="185"/>
      <c r="J106" s="185"/>
      <c r="K106" s="185"/>
      <c r="L106" s="453"/>
      <c r="M106" s="184" t="e">
        <f>RANK(K106, K$77:$K$106)</f>
        <v>#DIV/0!</v>
      </c>
      <c r="N106" s="454"/>
      <c r="O106" s="454"/>
      <c r="P106" s="185"/>
      <c r="Q106" s="185"/>
      <c r="R106" s="185"/>
      <c r="S106" s="185" t="e">
        <f t="shared" si="24"/>
        <v>#N/A</v>
      </c>
      <c r="T106" s="494"/>
      <c r="U106" s="185"/>
      <c r="V106" s="185"/>
      <c r="W106" s="185"/>
      <c r="X106" s="185" t="e">
        <f t="shared" si="25"/>
        <v>#N/A</v>
      </c>
      <c r="Y106" s="494"/>
      <c r="Z106" s="185"/>
      <c r="AA106" s="185"/>
      <c r="AB106" s="185"/>
      <c r="AC106" s="185" t="e">
        <f t="shared" si="26"/>
        <v>#N/A</v>
      </c>
      <c r="AD106" s="494"/>
      <c r="AE106" s="185"/>
      <c r="AF106" s="185"/>
      <c r="AG106" s="185"/>
      <c r="AH106" s="185" t="e">
        <f t="shared" si="27"/>
        <v>#N/A</v>
      </c>
      <c r="AI106" s="494"/>
      <c r="AJ106" s="185"/>
      <c r="AK106" s="185"/>
      <c r="AL106" s="185"/>
      <c r="AM106" s="185" t="e">
        <f t="shared" si="28"/>
        <v>#N/A</v>
      </c>
      <c r="AN106" s="494"/>
      <c r="AO106" s="185"/>
      <c r="AP106" s="185"/>
      <c r="AQ106" s="185"/>
      <c r="AR106" s="185" t="e">
        <f t="shared" si="29"/>
        <v>#N/A</v>
      </c>
      <c r="AS106" s="494"/>
      <c r="AT106" s="185"/>
      <c r="AU106" s="185"/>
      <c r="AV106" s="185"/>
      <c r="AW106" s="185" t="e">
        <f t="shared" si="30"/>
        <v>#N/A</v>
      </c>
      <c r="AX106" s="494"/>
    </row>
    <row r="107" spans="2:50" ht="15.75">
      <c r="B107" s="472" t="s">
        <v>201</v>
      </c>
      <c r="C107" s="473"/>
      <c r="D107" s="473"/>
      <c r="E107" s="473"/>
      <c r="F107" s="473"/>
      <c r="G107" s="473"/>
      <c r="H107" s="473"/>
      <c r="I107" s="189"/>
      <c r="J107" s="189"/>
      <c r="K107" s="189"/>
      <c r="L107" s="189"/>
      <c r="M107" s="188"/>
      <c r="N107" s="461" t="s">
        <v>202</v>
      </c>
      <c r="O107" s="461" t="s">
        <v>150</v>
      </c>
      <c r="P107" s="470">
        <f>P72+7</f>
        <v>45979</v>
      </c>
      <c r="Q107" s="471"/>
      <c r="R107" s="471"/>
      <c r="S107" s="471"/>
      <c r="T107" s="471"/>
      <c r="U107" s="467">
        <f>P107+1</f>
        <v>45980</v>
      </c>
      <c r="V107" s="468"/>
      <c r="W107" s="468"/>
      <c r="X107" s="468"/>
      <c r="Y107" s="469"/>
      <c r="Z107" s="467">
        <f>U107+1</f>
        <v>45981</v>
      </c>
      <c r="AA107" s="468"/>
      <c r="AB107" s="468"/>
      <c r="AC107" s="468"/>
      <c r="AD107" s="469"/>
      <c r="AE107" s="467">
        <f>Z107+1</f>
        <v>45982</v>
      </c>
      <c r="AF107" s="468"/>
      <c r="AG107" s="468"/>
      <c r="AH107" s="468"/>
      <c r="AI107" s="469"/>
      <c r="AJ107" s="467">
        <f>AE107+1</f>
        <v>45983</v>
      </c>
      <c r="AK107" s="468"/>
      <c r="AL107" s="468"/>
      <c r="AM107" s="468"/>
      <c r="AN107" s="469"/>
      <c r="AO107" s="467">
        <f>AJ107+1</f>
        <v>45984</v>
      </c>
      <c r="AP107" s="468"/>
      <c r="AQ107" s="468"/>
      <c r="AR107" s="468"/>
      <c r="AS107" s="469"/>
      <c r="AT107" s="467">
        <f>AO107+1</f>
        <v>45985</v>
      </c>
      <c r="AU107" s="468"/>
      <c r="AV107" s="468"/>
      <c r="AW107" s="468"/>
      <c r="AX107" s="469"/>
    </row>
    <row r="108" spans="2:50" ht="15.75">
      <c r="B108" s="474"/>
      <c r="C108" s="474"/>
      <c r="D108" s="474"/>
      <c r="E108" s="474"/>
      <c r="F108" s="474"/>
      <c r="G108" s="474"/>
      <c r="H108" s="474"/>
      <c r="I108" s="187"/>
      <c r="J108" s="187"/>
      <c r="K108" s="187"/>
      <c r="L108" s="187"/>
      <c r="M108" s="182"/>
      <c r="N108" s="463"/>
      <c r="O108" s="463"/>
      <c r="P108" s="470" t="s">
        <v>203</v>
      </c>
      <c r="Q108" s="471"/>
      <c r="R108" s="471"/>
      <c r="S108" s="471"/>
      <c r="T108" s="471"/>
      <c r="U108" s="470" t="s">
        <v>204</v>
      </c>
      <c r="V108" s="471"/>
      <c r="W108" s="471"/>
      <c r="X108" s="471"/>
      <c r="Y108" s="471"/>
      <c r="Z108" s="470" t="s">
        <v>205</v>
      </c>
      <c r="AA108" s="471"/>
      <c r="AB108" s="471"/>
      <c r="AC108" s="471"/>
      <c r="AD108" s="471"/>
      <c r="AE108" s="470" t="s">
        <v>206</v>
      </c>
      <c r="AF108" s="471"/>
      <c r="AG108" s="471"/>
      <c r="AH108" s="471"/>
      <c r="AI108" s="471"/>
      <c r="AJ108" s="470" t="s">
        <v>207</v>
      </c>
      <c r="AK108" s="471"/>
      <c r="AL108" s="471"/>
      <c r="AM108" s="471"/>
      <c r="AN108" s="471"/>
      <c r="AO108" s="470" t="s">
        <v>157</v>
      </c>
      <c r="AP108" s="471"/>
      <c r="AQ108" s="471"/>
      <c r="AR108" s="471"/>
      <c r="AS108" s="471"/>
      <c r="AT108" s="470" t="s">
        <v>208</v>
      </c>
      <c r="AU108" s="471"/>
      <c r="AV108" s="471"/>
      <c r="AW108" s="471"/>
      <c r="AX108" s="471"/>
    </row>
    <row r="109" spans="2:50">
      <c r="B109" s="454" t="s">
        <v>209</v>
      </c>
      <c r="C109" s="454" t="s">
        <v>210</v>
      </c>
      <c r="D109" s="454"/>
      <c r="E109" s="454" t="s">
        <v>211</v>
      </c>
      <c r="F109" s="454"/>
      <c r="G109" s="454"/>
      <c r="H109" s="455" t="s">
        <v>212</v>
      </c>
      <c r="I109" s="454" t="s">
        <v>213</v>
      </c>
      <c r="J109" s="454"/>
      <c r="K109" s="454"/>
      <c r="L109" s="455" t="s">
        <v>212</v>
      </c>
      <c r="M109" s="461" t="s">
        <v>214</v>
      </c>
      <c r="N109" s="454"/>
      <c r="O109" s="454" t="s">
        <v>215</v>
      </c>
      <c r="P109" s="458" t="s">
        <v>216</v>
      </c>
      <c r="Q109" s="459"/>
      <c r="R109" s="459"/>
      <c r="S109" s="460"/>
      <c r="T109" s="454" t="s">
        <v>212</v>
      </c>
      <c r="U109" s="458" t="s">
        <v>216</v>
      </c>
      <c r="V109" s="459"/>
      <c r="W109" s="459"/>
      <c r="X109" s="460"/>
      <c r="Y109" s="454" t="s">
        <v>212</v>
      </c>
      <c r="Z109" s="458" t="s">
        <v>216</v>
      </c>
      <c r="AA109" s="459"/>
      <c r="AB109" s="459"/>
      <c r="AC109" s="460"/>
      <c r="AD109" s="454" t="s">
        <v>212</v>
      </c>
      <c r="AE109" s="458" t="s">
        <v>216</v>
      </c>
      <c r="AF109" s="459"/>
      <c r="AG109" s="459"/>
      <c r="AH109" s="460"/>
      <c r="AI109" s="454" t="s">
        <v>212</v>
      </c>
      <c r="AJ109" s="458" t="s">
        <v>216</v>
      </c>
      <c r="AK109" s="459"/>
      <c r="AL109" s="459"/>
      <c r="AM109" s="460"/>
      <c r="AN109" s="454" t="s">
        <v>212</v>
      </c>
      <c r="AO109" s="458" t="s">
        <v>216</v>
      </c>
      <c r="AP109" s="459"/>
      <c r="AQ109" s="459"/>
      <c r="AR109" s="460"/>
      <c r="AS109" s="454" t="s">
        <v>212</v>
      </c>
      <c r="AT109" s="458" t="s">
        <v>216</v>
      </c>
      <c r="AU109" s="459"/>
      <c r="AV109" s="459"/>
      <c r="AW109" s="460"/>
      <c r="AX109" s="454" t="s">
        <v>212</v>
      </c>
    </row>
    <row r="110" spans="2:50">
      <c r="B110" s="454"/>
      <c r="C110" s="454"/>
      <c r="D110" s="454"/>
      <c r="E110" s="454" t="s">
        <v>217</v>
      </c>
      <c r="F110" s="454"/>
      <c r="G110" s="454"/>
      <c r="H110" s="456"/>
      <c r="I110" s="454" t="s">
        <v>217</v>
      </c>
      <c r="J110" s="454"/>
      <c r="K110" s="454"/>
      <c r="L110" s="456"/>
      <c r="M110" s="462"/>
      <c r="N110" s="454"/>
      <c r="O110" s="454"/>
      <c r="P110" s="458" t="s">
        <v>218</v>
      </c>
      <c r="Q110" s="459"/>
      <c r="R110" s="459"/>
      <c r="S110" s="460"/>
      <c r="T110" s="454"/>
      <c r="U110" s="458" t="s">
        <v>218</v>
      </c>
      <c r="V110" s="459"/>
      <c r="W110" s="459"/>
      <c r="X110" s="460"/>
      <c r="Y110" s="454"/>
      <c r="Z110" s="458" t="s">
        <v>218</v>
      </c>
      <c r="AA110" s="459"/>
      <c r="AB110" s="459"/>
      <c r="AC110" s="460"/>
      <c r="AD110" s="454"/>
      <c r="AE110" s="458" t="s">
        <v>218</v>
      </c>
      <c r="AF110" s="459"/>
      <c r="AG110" s="459"/>
      <c r="AH110" s="460"/>
      <c r="AI110" s="454"/>
      <c r="AJ110" s="458" t="s">
        <v>218</v>
      </c>
      <c r="AK110" s="459"/>
      <c r="AL110" s="459"/>
      <c r="AM110" s="460"/>
      <c r="AN110" s="454"/>
      <c r="AO110" s="458" t="s">
        <v>218</v>
      </c>
      <c r="AP110" s="459"/>
      <c r="AQ110" s="459"/>
      <c r="AR110" s="460"/>
      <c r="AS110" s="454"/>
      <c r="AT110" s="458" t="s">
        <v>218</v>
      </c>
      <c r="AU110" s="459"/>
      <c r="AV110" s="459"/>
      <c r="AW110" s="460"/>
      <c r="AX110" s="454"/>
    </row>
    <row r="111" spans="2:50">
      <c r="B111" s="454"/>
      <c r="C111" s="454"/>
      <c r="D111" s="454"/>
      <c r="E111" s="275" t="s">
        <v>219</v>
      </c>
      <c r="F111" s="275" t="s">
        <v>220</v>
      </c>
      <c r="G111" s="275" t="s">
        <v>221</v>
      </c>
      <c r="H111" s="457"/>
      <c r="I111" s="275" t="s">
        <v>219</v>
      </c>
      <c r="J111" s="275" t="s">
        <v>220</v>
      </c>
      <c r="K111" s="275" t="s">
        <v>221</v>
      </c>
      <c r="L111" s="457"/>
      <c r="M111" s="463"/>
      <c r="N111" s="454"/>
      <c r="O111" s="454"/>
      <c r="P111" s="275" t="s">
        <v>219</v>
      </c>
      <c r="Q111" s="275" t="s">
        <v>220</v>
      </c>
      <c r="R111" s="275" t="s">
        <v>221</v>
      </c>
      <c r="S111" s="275" t="s">
        <v>214</v>
      </c>
      <c r="T111" s="454"/>
      <c r="U111" s="275" t="s">
        <v>219</v>
      </c>
      <c r="V111" s="275" t="s">
        <v>220</v>
      </c>
      <c r="W111" s="275" t="s">
        <v>221</v>
      </c>
      <c r="X111" s="275" t="s">
        <v>214</v>
      </c>
      <c r="Y111" s="454"/>
      <c r="Z111" s="275" t="s">
        <v>219</v>
      </c>
      <c r="AA111" s="275" t="s">
        <v>220</v>
      </c>
      <c r="AB111" s="275" t="s">
        <v>221</v>
      </c>
      <c r="AC111" s="275" t="s">
        <v>214</v>
      </c>
      <c r="AD111" s="454"/>
      <c r="AE111" s="275" t="s">
        <v>219</v>
      </c>
      <c r="AF111" s="275" t="s">
        <v>220</v>
      </c>
      <c r="AG111" s="275" t="s">
        <v>221</v>
      </c>
      <c r="AH111" s="275" t="s">
        <v>214</v>
      </c>
      <c r="AI111" s="454"/>
      <c r="AJ111" s="275" t="s">
        <v>219</v>
      </c>
      <c r="AK111" s="275" t="s">
        <v>220</v>
      </c>
      <c r="AL111" s="275" t="s">
        <v>221</v>
      </c>
      <c r="AM111" s="275" t="s">
        <v>214</v>
      </c>
      <c r="AN111" s="454"/>
      <c r="AO111" s="275" t="s">
        <v>219</v>
      </c>
      <c r="AP111" s="275" t="s">
        <v>220</v>
      </c>
      <c r="AQ111" s="275" t="s">
        <v>221</v>
      </c>
      <c r="AR111" s="275" t="s">
        <v>214</v>
      </c>
      <c r="AS111" s="454"/>
      <c r="AT111" s="275" t="s">
        <v>219</v>
      </c>
      <c r="AU111" s="275" t="s">
        <v>220</v>
      </c>
      <c r="AV111" s="275" t="s">
        <v>221</v>
      </c>
      <c r="AW111" s="275" t="s">
        <v>214</v>
      </c>
      <c r="AX111" s="454"/>
    </row>
    <row r="112" spans="2:50">
      <c r="B112" s="454" t="s">
        <v>186</v>
      </c>
      <c r="C112" s="185">
        <v>1</v>
      </c>
      <c r="D112" s="206"/>
      <c r="E112" s="169"/>
      <c r="F112" s="185"/>
      <c r="G112" s="183"/>
      <c r="H112" s="451" t="e">
        <f>AVERAGE(G112:G141)</f>
        <v>#DIV/0!</v>
      </c>
      <c r="I112" s="169" t="e">
        <f>AVERAGE(P112,U112,Z112,AE112,AJ112,AO112,AT112)</f>
        <v>#DIV/0!</v>
      </c>
      <c r="J112" s="169" t="e">
        <f>AVERAGE(Q112,V112,AA112,AF112,AK112,AP112,AU112)</f>
        <v>#DIV/0!</v>
      </c>
      <c r="K112" s="183" t="e">
        <f>AVERAGE(R112,W112,AB112,AG112,AL112,AQ112,AV112)</f>
        <v>#DIV/0!</v>
      </c>
      <c r="L112" s="451" t="str">
        <f>IFERROR(AVERAGE(K112:K141),"-")</f>
        <v>-</v>
      </c>
      <c r="M112" s="184" t="e">
        <f>RANK(K112, K$112:$K$141)</f>
        <v>#DIV/0!</v>
      </c>
      <c r="N112" s="454"/>
      <c r="O112" s="454"/>
      <c r="P112" s="356"/>
      <c r="Q112" s="169"/>
      <c r="R112" s="169"/>
      <c r="S112" s="185" t="e">
        <f>RANK(R112, R$112:R$141)</f>
        <v>#N/A</v>
      </c>
      <c r="T112" s="494" t="e">
        <f>AVERAGE(R112:R141)</f>
        <v>#DIV/0!</v>
      </c>
      <c r="U112" s="169"/>
      <c r="V112" s="169"/>
      <c r="W112" s="169"/>
      <c r="X112" s="185" t="e">
        <f>RANK(W112, W$112:W$141)</f>
        <v>#N/A</v>
      </c>
      <c r="Y112" s="494" t="e">
        <f>AVERAGE(W112:W141)</f>
        <v>#DIV/0!</v>
      </c>
      <c r="Z112" s="169"/>
      <c r="AA112" s="169"/>
      <c r="AB112" s="169"/>
      <c r="AC112" s="185" t="e">
        <f>RANK(AB112, AB$112:AB$141)</f>
        <v>#N/A</v>
      </c>
      <c r="AD112" s="494" t="e">
        <f>AVERAGE(AB112:AB141)</f>
        <v>#DIV/0!</v>
      </c>
      <c r="AE112" s="169"/>
      <c r="AF112" s="169"/>
      <c r="AG112" s="169"/>
      <c r="AH112" s="185" t="e">
        <f>RANK(AG112, AG$112:AG$141)</f>
        <v>#N/A</v>
      </c>
      <c r="AI112" s="494" t="e">
        <f>AVERAGE(AG112:AG141)</f>
        <v>#DIV/0!</v>
      </c>
      <c r="AJ112" s="169"/>
      <c r="AK112" s="169"/>
      <c r="AL112" s="169"/>
      <c r="AM112" s="185" t="e">
        <f>RANK(AL112, AL$112:AL$141)</f>
        <v>#N/A</v>
      </c>
      <c r="AN112" s="494" t="e">
        <f>AVERAGE(AL112:AL141)</f>
        <v>#DIV/0!</v>
      </c>
      <c r="AO112" s="169"/>
      <c r="AP112" s="169"/>
      <c r="AQ112" s="169"/>
      <c r="AR112" s="185" t="e">
        <f>RANK(AQ112, AQ$112:AQ$141)</f>
        <v>#N/A</v>
      </c>
      <c r="AS112" s="494" t="e">
        <f>AVERAGE(AQ112:AQ141)</f>
        <v>#DIV/0!</v>
      </c>
      <c r="AT112" s="169"/>
      <c r="AU112" s="169"/>
      <c r="AV112" s="169"/>
      <c r="AW112" s="185" t="e">
        <f>RANK(AV112, AV$112:AV$141)</f>
        <v>#N/A</v>
      </c>
      <c r="AX112" s="494" t="e">
        <f>AVERAGE(AV112:AV141)</f>
        <v>#DIV/0!</v>
      </c>
    </row>
    <row r="113" spans="2:50">
      <c r="B113" s="471"/>
      <c r="C113" s="185">
        <v>2</v>
      </c>
      <c r="D113" s="206"/>
      <c r="E113" s="169"/>
      <c r="F113" s="185"/>
      <c r="G113" s="183"/>
      <c r="H113" s="452"/>
      <c r="I113" s="169" t="e">
        <f t="shared" ref="I113:I135" si="31">AVERAGE(P113,U113,Z113,AE113,AJ113,AO113,AT113)</f>
        <v>#DIV/0!</v>
      </c>
      <c r="J113" s="169" t="e">
        <f t="shared" ref="J113:J135" si="32">AVERAGE(Q113,V113,AA113,AF113,AK113,AP113,AU113)</f>
        <v>#DIV/0!</v>
      </c>
      <c r="K113" s="183" t="e">
        <f t="shared" ref="K113:K135" si="33">AVERAGE(R113,W113,AB113,AG113,AL113,AQ113,AV113)</f>
        <v>#DIV/0!</v>
      </c>
      <c r="L113" s="452"/>
      <c r="M113" s="184" t="e">
        <f>RANK(K113, K$112:$K$141)</f>
        <v>#DIV/0!</v>
      </c>
      <c r="N113" s="454"/>
      <c r="O113" s="454"/>
      <c r="P113" s="169"/>
      <c r="Q113" s="169"/>
      <c r="R113" s="169"/>
      <c r="S113" s="185" t="e">
        <f t="shared" ref="S113:S141" si="34">RANK(R113, R$112:R$141)</f>
        <v>#N/A</v>
      </c>
      <c r="T113" s="494"/>
      <c r="U113" s="169"/>
      <c r="V113" s="169"/>
      <c r="W113" s="169"/>
      <c r="X113" s="185" t="e">
        <f t="shared" ref="X113:X141" si="35">RANK(W113, W$112:W$141)</f>
        <v>#N/A</v>
      </c>
      <c r="Y113" s="494"/>
      <c r="Z113" s="169"/>
      <c r="AA113" s="169"/>
      <c r="AB113" s="169"/>
      <c r="AC113" s="185" t="e">
        <f t="shared" ref="AC113:AC141" si="36">RANK(AB113, AB$112:AB$141)</f>
        <v>#N/A</v>
      </c>
      <c r="AD113" s="494"/>
      <c r="AE113" s="169"/>
      <c r="AF113" s="169"/>
      <c r="AG113" s="169"/>
      <c r="AH113" s="185" t="e">
        <f t="shared" ref="AH113:AH141" si="37">RANK(AG113, AG$112:AG$141)</f>
        <v>#N/A</v>
      </c>
      <c r="AI113" s="494"/>
      <c r="AJ113" s="169"/>
      <c r="AK113" s="169"/>
      <c r="AL113" s="169"/>
      <c r="AM113" s="185" t="e">
        <f t="shared" ref="AM113:AM141" si="38">RANK(AL113, AL$112:AL$141)</f>
        <v>#N/A</v>
      </c>
      <c r="AN113" s="494"/>
      <c r="AO113" s="169"/>
      <c r="AP113" s="169"/>
      <c r="AQ113" s="169"/>
      <c r="AR113" s="185" t="e">
        <f t="shared" ref="AR113:AR141" si="39">RANK(AQ113, AQ$112:AQ$141)</f>
        <v>#N/A</v>
      </c>
      <c r="AS113" s="494"/>
      <c r="AT113" s="169"/>
      <c r="AU113" s="169"/>
      <c r="AV113" s="169"/>
      <c r="AW113" s="185" t="e">
        <f t="shared" ref="AW113:AW141" si="40">RANK(AV113, AV$112:AV$141)</f>
        <v>#N/A</v>
      </c>
      <c r="AX113" s="494"/>
    </row>
    <row r="114" spans="2:50">
      <c r="B114" s="471"/>
      <c r="C114" s="185">
        <v>3</v>
      </c>
      <c r="D114" s="206"/>
      <c r="E114" s="169"/>
      <c r="F114" s="185"/>
      <c r="G114" s="183"/>
      <c r="H114" s="452"/>
      <c r="I114" s="169" t="e">
        <f t="shared" si="31"/>
        <v>#DIV/0!</v>
      </c>
      <c r="J114" s="169" t="e">
        <f t="shared" si="32"/>
        <v>#DIV/0!</v>
      </c>
      <c r="K114" s="183" t="e">
        <f t="shared" si="33"/>
        <v>#DIV/0!</v>
      </c>
      <c r="L114" s="452"/>
      <c r="M114" s="184" t="e">
        <f>RANK(K114, K$112:$K$141)</f>
        <v>#DIV/0!</v>
      </c>
      <c r="N114" s="454"/>
      <c r="O114" s="454"/>
      <c r="P114" s="169"/>
      <c r="Q114" s="169"/>
      <c r="R114" s="169"/>
      <c r="S114" s="185" t="e">
        <f t="shared" si="34"/>
        <v>#N/A</v>
      </c>
      <c r="T114" s="494"/>
      <c r="U114" s="169"/>
      <c r="V114" s="169"/>
      <c r="W114" s="169"/>
      <c r="X114" s="185" t="e">
        <f t="shared" si="35"/>
        <v>#N/A</v>
      </c>
      <c r="Y114" s="494"/>
      <c r="Z114" s="169"/>
      <c r="AA114" s="169"/>
      <c r="AB114" s="169"/>
      <c r="AC114" s="185" t="e">
        <f t="shared" si="36"/>
        <v>#N/A</v>
      </c>
      <c r="AD114" s="494"/>
      <c r="AE114" s="169"/>
      <c r="AF114" s="169"/>
      <c r="AG114" s="169"/>
      <c r="AH114" s="185" t="e">
        <f t="shared" si="37"/>
        <v>#N/A</v>
      </c>
      <c r="AI114" s="494"/>
      <c r="AJ114" s="169"/>
      <c r="AK114" s="169"/>
      <c r="AL114" s="169"/>
      <c r="AM114" s="185" t="e">
        <f t="shared" si="38"/>
        <v>#N/A</v>
      </c>
      <c r="AN114" s="494"/>
      <c r="AO114" s="169"/>
      <c r="AP114" s="169"/>
      <c r="AQ114" s="169"/>
      <c r="AR114" s="185" t="e">
        <f t="shared" si="39"/>
        <v>#N/A</v>
      </c>
      <c r="AS114" s="494"/>
      <c r="AT114" s="169"/>
      <c r="AU114" s="169"/>
      <c r="AV114" s="169"/>
      <c r="AW114" s="185" t="e">
        <f t="shared" si="40"/>
        <v>#N/A</v>
      </c>
      <c r="AX114" s="494"/>
    </row>
    <row r="115" spans="2:50">
      <c r="B115" s="471"/>
      <c r="C115" s="185">
        <v>4</v>
      </c>
      <c r="D115" s="206"/>
      <c r="E115" s="169"/>
      <c r="F115" s="185"/>
      <c r="G115" s="183"/>
      <c r="H115" s="452"/>
      <c r="I115" s="169" t="e">
        <f t="shared" si="31"/>
        <v>#DIV/0!</v>
      </c>
      <c r="J115" s="169" t="e">
        <f t="shared" si="32"/>
        <v>#DIV/0!</v>
      </c>
      <c r="K115" s="183" t="e">
        <f t="shared" si="33"/>
        <v>#DIV/0!</v>
      </c>
      <c r="L115" s="452"/>
      <c r="M115" s="184" t="e">
        <f>RANK(K115, K$112:$K$141)</f>
        <v>#DIV/0!</v>
      </c>
      <c r="N115" s="454"/>
      <c r="O115" s="454"/>
      <c r="P115" s="169"/>
      <c r="Q115" s="169"/>
      <c r="R115" s="169"/>
      <c r="S115" s="185" t="e">
        <f t="shared" si="34"/>
        <v>#N/A</v>
      </c>
      <c r="T115" s="494"/>
      <c r="U115" s="169"/>
      <c r="V115" s="169"/>
      <c r="W115" s="169"/>
      <c r="X115" s="185" t="e">
        <f t="shared" si="35"/>
        <v>#N/A</v>
      </c>
      <c r="Y115" s="494"/>
      <c r="Z115" s="169"/>
      <c r="AA115" s="169"/>
      <c r="AB115" s="169"/>
      <c r="AC115" s="185" t="e">
        <f t="shared" si="36"/>
        <v>#N/A</v>
      </c>
      <c r="AD115" s="494"/>
      <c r="AE115" s="169"/>
      <c r="AF115" s="169"/>
      <c r="AG115" s="169"/>
      <c r="AH115" s="185" t="e">
        <f t="shared" si="37"/>
        <v>#N/A</v>
      </c>
      <c r="AI115" s="494"/>
      <c r="AJ115" s="169"/>
      <c r="AK115" s="169"/>
      <c r="AL115" s="169"/>
      <c r="AM115" s="185" t="e">
        <f t="shared" si="38"/>
        <v>#N/A</v>
      </c>
      <c r="AN115" s="494"/>
      <c r="AO115" s="169"/>
      <c r="AP115" s="169"/>
      <c r="AQ115" s="169"/>
      <c r="AR115" s="185" t="e">
        <f t="shared" si="39"/>
        <v>#N/A</v>
      </c>
      <c r="AS115" s="494"/>
      <c r="AT115" s="169"/>
      <c r="AU115" s="169"/>
      <c r="AV115" s="169"/>
      <c r="AW115" s="185" t="e">
        <f t="shared" si="40"/>
        <v>#N/A</v>
      </c>
      <c r="AX115" s="494"/>
    </row>
    <row r="116" spans="2:50">
      <c r="B116" s="471"/>
      <c r="C116" s="185">
        <v>5</v>
      </c>
      <c r="D116" s="206"/>
      <c r="E116" s="169"/>
      <c r="F116" s="185"/>
      <c r="G116" s="183"/>
      <c r="H116" s="452"/>
      <c r="I116" s="169" t="e">
        <f t="shared" si="31"/>
        <v>#DIV/0!</v>
      </c>
      <c r="J116" s="169" t="e">
        <f t="shared" si="32"/>
        <v>#DIV/0!</v>
      </c>
      <c r="K116" s="183" t="e">
        <f t="shared" si="33"/>
        <v>#DIV/0!</v>
      </c>
      <c r="L116" s="452"/>
      <c r="M116" s="184" t="e">
        <f>RANK(K116, K$112:$K$141)</f>
        <v>#DIV/0!</v>
      </c>
      <c r="N116" s="454"/>
      <c r="O116" s="454"/>
      <c r="P116" s="169"/>
      <c r="Q116" s="169"/>
      <c r="R116" s="169"/>
      <c r="S116" s="185" t="e">
        <f t="shared" si="34"/>
        <v>#N/A</v>
      </c>
      <c r="T116" s="494"/>
      <c r="U116" s="169"/>
      <c r="V116" s="169"/>
      <c r="W116" s="169"/>
      <c r="X116" s="185" t="e">
        <f t="shared" si="35"/>
        <v>#N/A</v>
      </c>
      <c r="Y116" s="494"/>
      <c r="Z116" s="169"/>
      <c r="AA116" s="169"/>
      <c r="AB116" s="169"/>
      <c r="AC116" s="185" t="e">
        <f t="shared" si="36"/>
        <v>#N/A</v>
      </c>
      <c r="AD116" s="494"/>
      <c r="AE116" s="169"/>
      <c r="AF116" s="169"/>
      <c r="AG116" s="169"/>
      <c r="AH116" s="185" t="e">
        <f t="shared" si="37"/>
        <v>#N/A</v>
      </c>
      <c r="AI116" s="494"/>
      <c r="AJ116" s="169"/>
      <c r="AK116" s="169"/>
      <c r="AL116" s="169"/>
      <c r="AM116" s="185" t="e">
        <f t="shared" si="38"/>
        <v>#N/A</v>
      </c>
      <c r="AN116" s="494"/>
      <c r="AO116" s="169"/>
      <c r="AP116" s="169"/>
      <c r="AQ116" s="169"/>
      <c r="AR116" s="185" t="e">
        <f t="shared" si="39"/>
        <v>#N/A</v>
      </c>
      <c r="AS116" s="494"/>
      <c r="AT116" s="169"/>
      <c r="AU116" s="169"/>
      <c r="AV116" s="169"/>
      <c r="AW116" s="185" t="e">
        <f t="shared" si="40"/>
        <v>#N/A</v>
      </c>
      <c r="AX116" s="494"/>
    </row>
    <row r="117" spans="2:50">
      <c r="B117" s="471"/>
      <c r="C117" s="185">
        <v>6</v>
      </c>
      <c r="D117" s="206"/>
      <c r="E117" s="169"/>
      <c r="F117" s="185"/>
      <c r="G117" s="183"/>
      <c r="H117" s="452"/>
      <c r="I117" s="169" t="e">
        <f t="shared" si="31"/>
        <v>#DIV/0!</v>
      </c>
      <c r="J117" s="169" t="e">
        <f t="shared" si="32"/>
        <v>#DIV/0!</v>
      </c>
      <c r="K117" s="183" t="e">
        <f t="shared" si="33"/>
        <v>#DIV/0!</v>
      </c>
      <c r="L117" s="452"/>
      <c r="M117" s="184" t="e">
        <f>RANK(K117, K$112:$K$141)</f>
        <v>#DIV/0!</v>
      </c>
      <c r="N117" s="454"/>
      <c r="O117" s="454"/>
      <c r="P117" s="169"/>
      <c r="Q117" s="169"/>
      <c r="R117" s="169"/>
      <c r="S117" s="185" t="e">
        <f t="shared" si="34"/>
        <v>#N/A</v>
      </c>
      <c r="T117" s="494"/>
      <c r="U117" s="169"/>
      <c r="V117" s="169"/>
      <c r="W117" s="169"/>
      <c r="X117" s="185" t="e">
        <f t="shared" si="35"/>
        <v>#N/A</v>
      </c>
      <c r="Y117" s="494"/>
      <c r="Z117" s="169"/>
      <c r="AA117" s="169"/>
      <c r="AB117" s="169"/>
      <c r="AC117" s="185" t="e">
        <f t="shared" si="36"/>
        <v>#N/A</v>
      </c>
      <c r="AD117" s="494"/>
      <c r="AE117" s="169"/>
      <c r="AF117" s="169"/>
      <c r="AG117" s="169"/>
      <c r="AH117" s="185" t="e">
        <f t="shared" si="37"/>
        <v>#N/A</v>
      </c>
      <c r="AI117" s="494"/>
      <c r="AJ117" s="169"/>
      <c r="AK117" s="169"/>
      <c r="AL117" s="169"/>
      <c r="AM117" s="185" t="e">
        <f t="shared" si="38"/>
        <v>#N/A</v>
      </c>
      <c r="AN117" s="494"/>
      <c r="AO117" s="169"/>
      <c r="AP117" s="169"/>
      <c r="AQ117" s="169"/>
      <c r="AR117" s="185" t="e">
        <f t="shared" si="39"/>
        <v>#N/A</v>
      </c>
      <c r="AS117" s="494"/>
      <c r="AT117" s="169"/>
      <c r="AU117" s="169"/>
      <c r="AV117" s="169"/>
      <c r="AW117" s="185" t="e">
        <f t="shared" si="40"/>
        <v>#N/A</v>
      </c>
      <c r="AX117" s="494"/>
    </row>
    <row r="118" spans="2:50">
      <c r="B118" s="471"/>
      <c r="C118" s="185">
        <v>7</v>
      </c>
      <c r="D118" s="206"/>
      <c r="E118" s="169"/>
      <c r="F118" s="185"/>
      <c r="G118" s="183"/>
      <c r="H118" s="452"/>
      <c r="I118" s="169" t="e">
        <f t="shared" si="31"/>
        <v>#DIV/0!</v>
      </c>
      <c r="J118" s="169" t="e">
        <f t="shared" si="32"/>
        <v>#DIV/0!</v>
      </c>
      <c r="K118" s="183" t="e">
        <f t="shared" si="33"/>
        <v>#DIV/0!</v>
      </c>
      <c r="L118" s="452"/>
      <c r="M118" s="184" t="e">
        <f>RANK(K118, K$112:$K$141)</f>
        <v>#DIV/0!</v>
      </c>
      <c r="N118" s="454"/>
      <c r="O118" s="454"/>
      <c r="P118" s="169"/>
      <c r="Q118" s="169"/>
      <c r="R118" s="169"/>
      <c r="S118" s="185" t="e">
        <f t="shared" si="34"/>
        <v>#N/A</v>
      </c>
      <c r="T118" s="494"/>
      <c r="U118" s="169"/>
      <c r="V118" s="169"/>
      <c r="W118" s="169"/>
      <c r="X118" s="185" t="e">
        <f t="shared" si="35"/>
        <v>#N/A</v>
      </c>
      <c r="Y118" s="494"/>
      <c r="Z118" s="169"/>
      <c r="AA118" s="169"/>
      <c r="AB118" s="169"/>
      <c r="AC118" s="185" t="e">
        <f t="shared" si="36"/>
        <v>#N/A</v>
      </c>
      <c r="AD118" s="494"/>
      <c r="AE118" s="169"/>
      <c r="AF118" s="169"/>
      <c r="AG118" s="169"/>
      <c r="AH118" s="185" t="e">
        <f t="shared" si="37"/>
        <v>#N/A</v>
      </c>
      <c r="AI118" s="494"/>
      <c r="AJ118" s="169"/>
      <c r="AK118" s="169"/>
      <c r="AL118" s="169"/>
      <c r="AM118" s="185" t="e">
        <f t="shared" si="38"/>
        <v>#N/A</v>
      </c>
      <c r="AN118" s="494"/>
      <c r="AO118" s="169"/>
      <c r="AP118" s="169"/>
      <c r="AQ118" s="169"/>
      <c r="AR118" s="185" t="e">
        <f t="shared" si="39"/>
        <v>#N/A</v>
      </c>
      <c r="AS118" s="494"/>
      <c r="AT118" s="169"/>
      <c r="AU118" s="169"/>
      <c r="AV118" s="169"/>
      <c r="AW118" s="185" t="e">
        <f t="shared" si="40"/>
        <v>#N/A</v>
      </c>
      <c r="AX118" s="494"/>
    </row>
    <row r="119" spans="2:50">
      <c r="B119" s="471"/>
      <c r="C119" s="185">
        <v>8</v>
      </c>
      <c r="D119" s="206"/>
      <c r="E119" s="169"/>
      <c r="F119" s="185"/>
      <c r="G119" s="183"/>
      <c r="H119" s="452"/>
      <c r="I119" s="169" t="e">
        <f t="shared" si="31"/>
        <v>#DIV/0!</v>
      </c>
      <c r="J119" s="169" t="e">
        <f t="shared" si="32"/>
        <v>#DIV/0!</v>
      </c>
      <c r="K119" s="183" t="e">
        <f t="shared" si="33"/>
        <v>#DIV/0!</v>
      </c>
      <c r="L119" s="452"/>
      <c r="M119" s="184" t="e">
        <f>RANK(K119, K$112:$K$141)</f>
        <v>#DIV/0!</v>
      </c>
      <c r="N119" s="454"/>
      <c r="O119" s="454"/>
      <c r="P119" s="169"/>
      <c r="Q119" s="169"/>
      <c r="R119" s="169"/>
      <c r="S119" s="185" t="e">
        <f t="shared" si="34"/>
        <v>#N/A</v>
      </c>
      <c r="T119" s="494"/>
      <c r="U119" s="169"/>
      <c r="V119" s="169"/>
      <c r="W119" s="169"/>
      <c r="X119" s="185" t="e">
        <f t="shared" si="35"/>
        <v>#N/A</v>
      </c>
      <c r="Y119" s="494"/>
      <c r="Z119" s="169"/>
      <c r="AA119" s="169"/>
      <c r="AB119" s="169"/>
      <c r="AC119" s="185" t="e">
        <f t="shared" si="36"/>
        <v>#N/A</v>
      </c>
      <c r="AD119" s="494"/>
      <c r="AE119" s="169"/>
      <c r="AF119" s="169"/>
      <c r="AG119" s="169"/>
      <c r="AH119" s="185" t="e">
        <f t="shared" si="37"/>
        <v>#N/A</v>
      </c>
      <c r="AI119" s="494"/>
      <c r="AJ119" s="169"/>
      <c r="AK119" s="169"/>
      <c r="AL119" s="169"/>
      <c r="AM119" s="185" t="e">
        <f t="shared" si="38"/>
        <v>#N/A</v>
      </c>
      <c r="AN119" s="494"/>
      <c r="AO119" s="169"/>
      <c r="AP119" s="169"/>
      <c r="AQ119" s="169"/>
      <c r="AR119" s="185" t="e">
        <f t="shared" si="39"/>
        <v>#N/A</v>
      </c>
      <c r="AS119" s="494"/>
      <c r="AT119" s="169"/>
      <c r="AU119" s="169"/>
      <c r="AV119" s="169"/>
      <c r="AW119" s="185" t="e">
        <f t="shared" si="40"/>
        <v>#N/A</v>
      </c>
      <c r="AX119" s="494"/>
    </row>
    <row r="120" spans="2:50">
      <c r="B120" s="471"/>
      <c r="C120" s="185">
        <v>9</v>
      </c>
      <c r="D120" s="206"/>
      <c r="E120" s="169"/>
      <c r="F120" s="185"/>
      <c r="G120" s="183"/>
      <c r="H120" s="452"/>
      <c r="I120" s="169" t="e">
        <f t="shared" si="31"/>
        <v>#DIV/0!</v>
      </c>
      <c r="J120" s="169" t="e">
        <f t="shared" si="32"/>
        <v>#DIV/0!</v>
      </c>
      <c r="K120" s="183" t="e">
        <f t="shared" si="33"/>
        <v>#DIV/0!</v>
      </c>
      <c r="L120" s="452"/>
      <c r="M120" s="184" t="e">
        <f>RANK(K120, K$112:$K$141)</f>
        <v>#DIV/0!</v>
      </c>
      <c r="N120" s="454"/>
      <c r="O120" s="454"/>
      <c r="P120" s="169"/>
      <c r="Q120" s="169"/>
      <c r="R120" s="169"/>
      <c r="S120" s="185" t="e">
        <f t="shared" si="34"/>
        <v>#N/A</v>
      </c>
      <c r="T120" s="494"/>
      <c r="U120" s="169"/>
      <c r="V120" s="169"/>
      <c r="W120" s="169"/>
      <c r="X120" s="185" t="e">
        <f t="shared" si="35"/>
        <v>#N/A</v>
      </c>
      <c r="Y120" s="494"/>
      <c r="Z120" s="169"/>
      <c r="AA120" s="169"/>
      <c r="AB120" s="169"/>
      <c r="AC120" s="185" t="e">
        <f t="shared" si="36"/>
        <v>#N/A</v>
      </c>
      <c r="AD120" s="494"/>
      <c r="AE120" s="169"/>
      <c r="AF120" s="169"/>
      <c r="AG120" s="169"/>
      <c r="AH120" s="185" t="e">
        <f t="shared" si="37"/>
        <v>#N/A</v>
      </c>
      <c r="AI120" s="494"/>
      <c r="AJ120" s="169"/>
      <c r="AK120" s="169"/>
      <c r="AL120" s="169"/>
      <c r="AM120" s="185" t="e">
        <f t="shared" si="38"/>
        <v>#N/A</v>
      </c>
      <c r="AN120" s="494"/>
      <c r="AO120" s="169"/>
      <c r="AP120" s="169"/>
      <c r="AQ120" s="169"/>
      <c r="AR120" s="185" t="e">
        <f t="shared" si="39"/>
        <v>#N/A</v>
      </c>
      <c r="AS120" s="494"/>
      <c r="AT120" s="169"/>
      <c r="AU120" s="169"/>
      <c r="AV120" s="169"/>
      <c r="AW120" s="185" t="e">
        <f t="shared" si="40"/>
        <v>#N/A</v>
      </c>
      <c r="AX120" s="494"/>
    </row>
    <row r="121" spans="2:50">
      <c r="B121" s="471"/>
      <c r="C121" s="185">
        <v>10</v>
      </c>
      <c r="D121" s="206"/>
      <c r="E121" s="169"/>
      <c r="F121" s="185"/>
      <c r="G121" s="183"/>
      <c r="H121" s="452"/>
      <c r="I121" s="169" t="e">
        <f t="shared" si="31"/>
        <v>#DIV/0!</v>
      </c>
      <c r="J121" s="169" t="e">
        <f t="shared" si="32"/>
        <v>#DIV/0!</v>
      </c>
      <c r="K121" s="183" t="e">
        <f t="shared" si="33"/>
        <v>#DIV/0!</v>
      </c>
      <c r="L121" s="452"/>
      <c r="M121" s="184" t="e">
        <f>RANK(K121, K$112:$K$141)</f>
        <v>#DIV/0!</v>
      </c>
      <c r="N121" s="454"/>
      <c r="O121" s="454"/>
      <c r="P121" s="169"/>
      <c r="Q121" s="169"/>
      <c r="R121" s="169"/>
      <c r="S121" s="185" t="e">
        <f t="shared" si="34"/>
        <v>#N/A</v>
      </c>
      <c r="T121" s="494"/>
      <c r="U121" s="169"/>
      <c r="V121" s="169"/>
      <c r="W121" s="169"/>
      <c r="X121" s="185" t="e">
        <f t="shared" si="35"/>
        <v>#N/A</v>
      </c>
      <c r="Y121" s="494"/>
      <c r="Z121" s="169"/>
      <c r="AA121" s="169"/>
      <c r="AB121" s="169"/>
      <c r="AC121" s="185" t="e">
        <f t="shared" si="36"/>
        <v>#N/A</v>
      </c>
      <c r="AD121" s="494"/>
      <c r="AE121" s="169"/>
      <c r="AF121" s="169"/>
      <c r="AG121" s="169"/>
      <c r="AH121" s="185" t="e">
        <f t="shared" si="37"/>
        <v>#N/A</v>
      </c>
      <c r="AI121" s="494"/>
      <c r="AJ121" s="169"/>
      <c r="AK121" s="169"/>
      <c r="AL121" s="169"/>
      <c r="AM121" s="185" t="e">
        <f t="shared" si="38"/>
        <v>#N/A</v>
      </c>
      <c r="AN121" s="494"/>
      <c r="AO121" s="169"/>
      <c r="AP121" s="169"/>
      <c r="AQ121" s="169"/>
      <c r="AR121" s="185" t="e">
        <f t="shared" si="39"/>
        <v>#N/A</v>
      </c>
      <c r="AS121" s="494"/>
      <c r="AT121" s="169"/>
      <c r="AU121" s="169"/>
      <c r="AV121" s="169"/>
      <c r="AW121" s="185" t="e">
        <f t="shared" si="40"/>
        <v>#N/A</v>
      </c>
      <c r="AX121" s="494"/>
    </row>
    <row r="122" spans="2:50">
      <c r="B122" s="471"/>
      <c r="C122" s="185">
        <v>11</v>
      </c>
      <c r="D122" s="206"/>
      <c r="E122" s="169"/>
      <c r="F122" s="185"/>
      <c r="G122" s="183"/>
      <c r="H122" s="452"/>
      <c r="I122" s="169" t="e">
        <f t="shared" si="31"/>
        <v>#DIV/0!</v>
      </c>
      <c r="J122" s="169" t="e">
        <f t="shared" si="32"/>
        <v>#DIV/0!</v>
      </c>
      <c r="K122" s="183" t="e">
        <f t="shared" si="33"/>
        <v>#DIV/0!</v>
      </c>
      <c r="L122" s="452"/>
      <c r="M122" s="184" t="e">
        <f>RANK(K122, K$112:$K$141)</f>
        <v>#DIV/0!</v>
      </c>
      <c r="N122" s="454"/>
      <c r="O122" s="454"/>
      <c r="P122" s="169"/>
      <c r="Q122" s="169"/>
      <c r="R122" s="169"/>
      <c r="S122" s="185" t="e">
        <f t="shared" si="34"/>
        <v>#N/A</v>
      </c>
      <c r="T122" s="494"/>
      <c r="U122" s="169"/>
      <c r="V122" s="169"/>
      <c r="W122" s="169"/>
      <c r="X122" s="185" t="e">
        <f t="shared" si="35"/>
        <v>#N/A</v>
      </c>
      <c r="Y122" s="494"/>
      <c r="Z122" s="169"/>
      <c r="AA122" s="169"/>
      <c r="AB122" s="169"/>
      <c r="AC122" s="185" t="e">
        <f t="shared" si="36"/>
        <v>#N/A</v>
      </c>
      <c r="AD122" s="494"/>
      <c r="AE122" s="169"/>
      <c r="AF122" s="169"/>
      <c r="AG122" s="169"/>
      <c r="AH122" s="185" t="e">
        <f t="shared" si="37"/>
        <v>#N/A</v>
      </c>
      <c r="AI122" s="494"/>
      <c r="AJ122" s="169"/>
      <c r="AK122" s="169"/>
      <c r="AL122" s="169"/>
      <c r="AM122" s="185" t="e">
        <f t="shared" si="38"/>
        <v>#N/A</v>
      </c>
      <c r="AN122" s="494"/>
      <c r="AO122" s="169"/>
      <c r="AP122" s="169"/>
      <c r="AQ122" s="169"/>
      <c r="AR122" s="185" t="e">
        <f t="shared" si="39"/>
        <v>#N/A</v>
      </c>
      <c r="AS122" s="494"/>
      <c r="AT122" s="169"/>
      <c r="AU122" s="169"/>
      <c r="AV122" s="169"/>
      <c r="AW122" s="185" t="e">
        <f t="shared" si="40"/>
        <v>#N/A</v>
      </c>
      <c r="AX122" s="494"/>
    </row>
    <row r="123" spans="2:50">
      <c r="B123" s="471"/>
      <c r="C123" s="185">
        <v>12</v>
      </c>
      <c r="D123" s="206"/>
      <c r="E123" s="169"/>
      <c r="F123" s="185"/>
      <c r="G123" s="183"/>
      <c r="H123" s="452"/>
      <c r="I123" s="169" t="e">
        <f t="shared" si="31"/>
        <v>#DIV/0!</v>
      </c>
      <c r="J123" s="169" t="e">
        <f t="shared" si="32"/>
        <v>#DIV/0!</v>
      </c>
      <c r="K123" s="183" t="e">
        <f t="shared" si="33"/>
        <v>#DIV/0!</v>
      </c>
      <c r="L123" s="452"/>
      <c r="M123" s="184" t="e">
        <f>RANK(K123, K$112:$K$141)</f>
        <v>#DIV/0!</v>
      </c>
      <c r="N123" s="454"/>
      <c r="O123" s="454"/>
      <c r="P123" s="169"/>
      <c r="Q123" s="169"/>
      <c r="R123" s="169"/>
      <c r="S123" s="185" t="e">
        <f t="shared" si="34"/>
        <v>#N/A</v>
      </c>
      <c r="T123" s="494"/>
      <c r="U123" s="169"/>
      <c r="V123" s="169"/>
      <c r="W123" s="169"/>
      <c r="X123" s="185" t="e">
        <f t="shared" si="35"/>
        <v>#N/A</v>
      </c>
      <c r="Y123" s="494"/>
      <c r="Z123" s="169"/>
      <c r="AA123" s="169"/>
      <c r="AB123" s="169"/>
      <c r="AC123" s="185" t="e">
        <f t="shared" si="36"/>
        <v>#N/A</v>
      </c>
      <c r="AD123" s="494"/>
      <c r="AE123" s="169"/>
      <c r="AF123" s="169"/>
      <c r="AG123" s="169"/>
      <c r="AH123" s="185" t="e">
        <f t="shared" si="37"/>
        <v>#N/A</v>
      </c>
      <c r="AI123" s="494"/>
      <c r="AJ123" s="169"/>
      <c r="AK123" s="169"/>
      <c r="AL123" s="169"/>
      <c r="AM123" s="185" t="e">
        <f t="shared" si="38"/>
        <v>#N/A</v>
      </c>
      <c r="AN123" s="494"/>
      <c r="AO123" s="169"/>
      <c r="AP123" s="169"/>
      <c r="AQ123" s="169"/>
      <c r="AR123" s="185" t="e">
        <f t="shared" si="39"/>
        <v>#N/A</v>
      </c>
      <c r="AS123" s="494"/>
      <c r="AT123" s="169"/>
      <c r="AU123" s="169"/>
      <c r="AV123" s="169"/>
      <c r="AW123" s="185" t="e">
        <f t="shared" si="40"/>
        <v>#N/A</v>
      </c>
      <c r="AX123" s="494"/>
    </row>
    <row r="124" spans="2:50">
      <c r="B124" s="471"/>
      <c r="C124" s="185">
        <v>13</v>
      </c>
      <c r="D124" s="206"/>
      <c r="E124" s="169"/>
      <c r="F124" s="185"/>
      <c r="G124" s="183"/>
      <c r="H124" s="452"/>
      <c r="I124" s="169" t="e">
        <f t="shared" si="31"/>
        <v>#DIV/0!</v>
      </c>
      <c r="J124" s="169" t="e">
        <f t="shared" si="32"/>
        <v>#DIV/0!</v>
      </c>
      <c r="K124" s="183" t="e">
        <f t="shared" si="33"/>
        <v>#DIV/0!</v>
      </c>
      <c r="L124" s="452"/>
      <c r="M124" s="184" t="e">
        <f>RANK(K124, K$112:$K$141)</f>
        <v>#DIV/0!</v>
      </c>
      <c r="N124" s="454"/>
      <c r="O124" s="454"/>
      <c r="P124" s="169"/>
      <c r="Q124" s="169"/>
      <c r="R124" s="169"/>
      <c r="S124" s="185" t="e">
        <f t="shared" si="34"/>
        <v>#N/A</v>
      </c>
      <c r="T124" s="494"/>
      <c r="U124" s="169"/>
      <c r="V124" s="169"/>
      <c r="W124" s="169"/>
      <c r="X124" s="185" t="e">
        <f t="shared" si="35"/>
        <v>#N/A</v>
      </c>
      <c r="Y124" s="494"/>
      <c r="Z124" s="169"/>
      <c r="AA124" s="169"/>
      <c r="AB124" s="169"/>
      <c r="AC124" s="185" t="e">
        <f t="shared" si="36"/>
        <v>#N/A</v>
      </c>
      <c r="AD124" s="494"/>
      <c r="AE124" s="169"/>
      <c r="AF124" s="169"/>
      <c r="AG124" s="169"/>
      <c r="AH124" s="185" t="e">
        <f t="shared" si="37"/>
        <v>#N/A</v>
      </c>
      <c r="AI124" s="494"/>
      <c r="AJ124" s="169"/>
      <c r="AK124" s="169"/>
      <c r="AL124" s="169"/>
      <c r="AM124" s="185" t="e">
        <f t="shared" si="38"/>
        <v>#N/A</v>
      </c>
      <c r="AN124" s="494"/>
      <c r="AO124" s="169"/>
      <c r="AP124" s="169"/>
      <c r="AQ124" s="169"/>
      <c r="AR124" s="185" t="e">
        <f t="shared" si="39"/>
        <v>#N/A</v>
      </c>
      <c r="AS124" s="494"/>
      <c r="AT124" s="169"/>
      <c r="AU124" s="169"/>
      <c r="AV124" s="169"/>
      <c r="AW124" s="185" t="e">
        <f t="shared" si="40"/>
        <v>#N/A</v>
      </c>
      <c r="AX124" s="494"/>
    </row>
    <row r="125" spans="2:50">
      <c r="B125" s="471"/>
      <c r="C125" s="185">
        <v>14</v>
      </c>
      <c r="D125" s="206"/>
      <c r="E125" s="169"/>
      <c r="F125" s="185"/>
      <c r="G125" s="183"/>
      <c r="H125" s="452"/>
      <c r="I125" s="169" t="e">
        <f t="shared" si="31"/>
        <v>#DIV/0!</v>
      </c>
      <c r="J125" s="169" t="e">
        <f t="shared" si="32"/>
        <v>#DIV/0!</v>
      </c>
      <c r="K125" s="183" t="e">
        <f t="shared" si="33"/>
        <v>#DIV/0!</v>
      </c>
      <c r="L125" s="452"/>
      <c r="M125" s="184" t="e">
        <f>RANK(K125, K$112:$K$141)</f>
        <v>#DIV/0!</v>
      </c>
      <c r="N125" s="454"/>
      <c r="O125" s="454"/>
      <c r="P125" s="169"/>
      <c r="Q125" s="169"/>
      <c r="R125" s="169"/>
      <c r="S125" s="185" t="e">
        <f t="shared" si="34"/>
        <v>#N/A</v>
      </c>
      <c r="T125" s="494"/>
      <c r="U125" s="169"/>
      <c r="V125" s="169"/>
      <c r="W125" s="169"/>
      <c r="X125" s="185" t="e">
        <f t="shared" si="35"/>
        <v>#N/A</v>
      </c>
      <c r="Y125" s="494"/>
      <c r="Z125" s="169"/>
      <c r="AA125" s="169"/>
      <c r="AB125" s="169"/>
      <c r="AC125" s="185" t="e">
        <f t="shared" si="36"/>
        <v>#N/A</v>
      </c>
      <c r="AD125" s="494"/>
      <c r="AE125" s="169"/>
      <c r="AF125" s="169"/>
      <c r="AG125" s="169"/>
      <c r="AH125" s="185" t="e">
        <f t="shared" si="37"/>
        <v>#N/A</v>
      </c>
      <c r="AI125" s="494"/>
      <c r="AJ125" s="169"/>
      <c r="AK125" s="169"/>
      <c r="AL125" s="169"/>
      <c r="AM125" s="185" t="e">
        <f t="shared" si="38"/>
        <v>#N/A</v>
      </c>
      <c r="AN125" s="494"/>
      <c r="AO125" s="169"/>
      <c r="AP125" s="169"/>
      <c r="AQ125" s="169"/>
      <c r="AR125" s="185" t="e">
        <f t="shared" si="39"/>
        <v>#N/A</v>
      </c>
      <c r="AS125" s="494"/>
      <c r="AT125" s="169"/>
      <c r="AU125" s="169"/>
      <c r="AV125" s="169"/>
      <c r="AW125" s="185" t="e">
        <f t="shared" si="40"/>
        <v>#N/A</v>
      </c>
      <c r="AX125" s="494"/>
    </row>
    <row r="126" spans="2:50">
      <c r="B126" s="471"/>
      <c r="C126" s="185">
        <v>15</v>
      </c>
      <c r="D126" s="206"/>
      <c r="E126" s="169"/>
      <c r="F126" s="185"/>
      <c r="G126" s="183"/>
      <c r="H126" s="452"/>
      <c r="I126" s="169" t="e">
        <f t="shared" si="31"/>
        <v>#DIV/0!</v>
      </c>
      <c r="J126" s="169" t="e">
        <f t="shared" si="32"/>
        <v>#DIV/0!</v>
      </c>
      <c r="K126" s="183" t="e">
        <f t="shared" si="33"/>
        <v>#DIV/0!</v>
      </c>
      <c r="L126" s="452"/>
      <c r="M126" s="184" t="e">
        <f>RANK(K126, K$112:$K$141)</f>
        <v>#DIV/0!</v>
      </c>
      <c r="N126" s="454"/>
      <c r="O126" s="454"/>
      <c r="P126" s="169"/>
      <c r="Q126" s="169"/>
      <c r="R126" s="169"/>
      <c r="S126" s="185" t="e">
        <f t="shared" si="34"/>
        <v>#N/A</v>
      </c>
      <c r="T126" s="494"/>
      <c r="U126" s="169"/>
      <c r="V126" s="169"/>
      <c r="W126" s="169"/>
      <c r="X126" s="185" t="e">
        <f t="shared" si="35"/>
        <v>#N/A</v>
      </c>
      <c r="Y126" s="494"/>
      <c r="Z126" s="169"/>
      <c r="AA126" s="169"/>
      <c r="AB126" s="169"/>
      <c r="AC126" s="185" t="e">
        <f t="shared" si="36"/>
        <v>#N/A</v>
      </c>
      <c r="AD126" s="494"/>
      <c r="AE126" s="169"/>
      <c r="AF126" s="169"/>
      <c r="AG126" s="169"/>
      <c r="AH126" s="185" t="e">
        <f t="shared" si="37"/>
        <v>#N/A</v>
      </c>
      <c r="AI126" s="494"/>
      <c r="AJ126" s="169"/>
      <c r="AK126" s="169"/>
      <c r="AL126" s="169"/>
      <c r="AM126" s="185" t="e">
        <f t="shared" si="38"/>
        <v>#N/A</v>
      </c>
      <c r="AN126" s="494"/>
      <c r="AO126" s="169"/>
      <c r="AP126" s="169"/>
      <c r="AQ126" s="169"/>
      <c r="AR126" s="185" t="e">
        <f t="shared" si="39"/>
        <v>#N/A</v>
      </c>
      <c r="AS126" s="494"/>
      <c r="AT126" s="169"/>
      <c r="AU126" s="169"/>
      <c r="AV126" s="169"/>
      <c r="AW126" s="185" t="e">
        <f t="shared" si="40"/>
        <v>#N/A</v>
      </c>
      <c r="AX126" s="494"/>
    </row>
    <row r="127" spans="2:50">
      <c r="B127" s="471"/>
      <c r="C127" s="185">
        <v>16</v>
      </c>
      <c r="D127" s="206"/>
      <c r="E127" s="169"/>
      <c r="F127" s="185"/>
      <c r="G127" s="183"/>
      <c r="H127" s="452"/>
      <c r="I127" s="169" t="e">
        <f t="shared" si="31"/>
        <v>#DIV/0!</v>
      </c>
      <c r="J127" s="169" t="e">
        <f t="shared" si="32"/>
        <v>#DIV/0!</v>
      </c>
      <c r="K127" s="183" t="e">
        <f t="shared" si="33"/>
        <v>#DIV/0!</v>
      </c>
      <c r="L127" s="452"/>
      <c r="M127" s="184" t="e">
        <f>RANK(K127, K$112:$K$141)</f>
        <v>#DIV/0!</v>
      </c>
      <c r="N127" s="454"/>
      <c r="O127" s="454"/>
      <c r="P127" s="169"/>
      <c r="Q127" s="169"/>
      <c r="R127" s="169"/>
      <c r="S127" s="185" t="e">
        <f t="shared" si="34"/>
        <v>#N/A</v>
      </c>
      <c r="T127" s="494"/>
      <c r="U127" s="169"/>
      <c r="V127" s="169"/>
      <c r="W127" s="169"/>
      <c r="X127" s="185" t="e">
        <f t="shared" si="35"/>
        <v>#N/A</v>
      </c>
      <c r="Y127" s="494"/>
      <c r="Z127" s="169"/>
      <c r="AA127" s="169"/>
      <c r="AB127" s="169"/>
      <c r="AC127" s="185" t="e">
        <f t="shared" si="36"/>
        <v>#N/A</v>
      </c>
      <c r="AD127" s="494"/>
      <c r="AE127" s="169"/>
      <c r="AF127" s="169"/>
      <c r="AG127" s="169"/>
      <c r="AH127" s="185" t="e">
        <f t="shared" si="37"/>
        <v>#N/A</v>
      </c>
      <c r="AI127" s="494"/>
      <c r="AJ127" s="169"/>
      <c r="AK127" s="169"/>
      <c r="AL127" s="169"/>
      <c r="AM127" s="185" t="e">
        <f t="shared" si="38"/>
        <v>#N/A</v>
      </c>
      <c r="AN127" s="494"/>
      <c r="AO127" s="169"/>
      <c r="AP127" s="169"/>
      <c r="AQ127" s="169"/>
      <c r="AR127" s="185" t="e">
        <f t="shared" si="39"/>
        <v>#N/A</v>
      </c>
      <c r="AS127" s="494"/>
      <c r="AT127" s="169"/>
      <c r="AU127" s="169"/>
      <c r="AV127" s="169"/>
      <c r="AW127" s="185" t="e">
        <f t="shared" si="40"/>
        <v>#N/A</v>
      </c>
      <c r="AX127" s="494"/>
    </row>
    <row r="128" spans="2:50">
      <c r="B128" s="471"/>
      <c r="C128" s="185">
        <v>17</v>
      </c>
      <c r="D128" s="206"/>
      <c r="E128" s="169"/>
      <c r="F128" s="185"/>
      <c r="G128" s="183"/>
      <c r="H128" s="452"/>
      <c r="I128" s="169" t="e">
        <f t="shared" si="31"/>
        <v>#DIV/0!</v>
      </c>
      <c r="J128" s="169" t="e">
        <f t="shared" si="32"/>
        <v>#DIV/0!</v>
      </c>
      <c r="K128" s="183" t="e">
        <f t="shared" si="33"/>
        <v>#DIV/0!</v>
      </c>
      <c r="L128" s="452"/>
      <c r="M128" s="184" t="e">
        <f>RANK(K128, K$112:$K$141)</f>
        <v>#DIV/0!</v>
      </c>
      <c r="N128" s="454"/>
      <c r="O128" s="454"/>
      <c r="P128" s="169"/>
      <c r="Q128" s="169"/>
      <c r="R128" s="169"/>
      <c r="S128" s="185" t="e">
        <f t="shared" si="34"/>
        <v>#N/A</v>
      </c>
      <c r="T128" s="494"/>
      <c r="U128" s="169"/>
      <c r="V128" s="169"/>
      <c r="W128" s="169"/>
      <c r="X128" s="185" t="e">
        <f t="shared" si="35"/>
        <v>#N/A</v>
      </c>
      <c r="Y128" s="494"/>
      <c r="Z128" s="169"/>
      <c r="AA128" s="169"/>
      <c r="AB128" s="169"/>
      <c r="AC128" s="185" t="e">
        <f t="shared" si="36"/>
        <v>#N/A</v>
      </c>
      <c r="AD128" s="494"/>
      <c r="AE128" s="169"/>
      <c r="AF128" s="169"/>
      <c r="AG128" s="169"/>
      <c r="AH128" s="185" t="e">
        <f t="shared" si="37"/>
        <v>#N/A</v>
      </c>
      <c r="AI128" s="494"/>
      <c r="AJ128" s="169"/>
      <c r="AK128" s="169"/>
      <c r="AL128" s="169"/>
      <c r="AM128" s="185" t="e">
        <f t="shared" si="38"/>
        <v>#N/A</v>
      </c>
      <c r="AN128" s="494"/>
      <c r="AO128" s="169"/>
      <c r="AP128" s="169"/>
      <c r="AQ128" s="169"/>
      <c r="AR128" s="185" t="e">
        <f t="shared" si="39"/>
        <v>#N/A</v>
      </c>
      <c r="AS128" s="494"/>
      <c r="AT128" s="169"/>
      <c r="AU128" s="169"/>
      <c r="AV128" s="169"/>
      <c r="AW128" s="185" t="e">
        <f t="shared" si="40"/>
        <v>#N/A</v>
      </c>
      <c r="AX128" s="494"/>
    </row>
    <row r="129" spans="2:50">
      <c r="B129" s="471"/>
      <c r="C129" s="185">
        <v>18</v>
      </c>
      <c r="D129" s="206"/>
      <c r="E129" s="169"/>
      <c r="F129" s="185"/>
      <c r="G129" s="183"/>
      <c r="H129" s="452"/>
      <c r="I129" s="169" t="e">
        <f t="shared" si="31"/>
        <v>#DIV/0!</v>
      </c>
      <c r="J129" s="169" t="e">
        <f t="shared" si="32"/>
        <v>#DIV/0!</v>
      </c>
      <c r="K129" s="183" t="e">
        <f t="shared" si="33"/>
        <v>#DIV/0!</v>
      </c>
      <c r="L129" s="452"/>
      <c r="M129" s="184" t="e">
        <f>RANK(K129, K$112:$K$141)</f>
        <v>#DIV/0!</v>
      </c>
      <c r="N129" s="454"/>
      <c r="O129" s="454"/>
      <c r="P129" s="169"/>
      <c r="Q129" s="169"/>
      <c r="R129" s="169"/>
      <c r="S129" s="185" t="e">
        <f t="shared" si="34"/>
        <v>#N/A</v>
      </c>
      <c r="T129" s="494"/>
      <c r="U129" s="169"/>
      <c r="V129" s="169"/>
      <c r="W129" s="169"/>
      <c r="X129" s="185" t="e">
        <f t="shared" si="35"/>
        <v>#N/A</v>
      </c>
      <c r="Y129" s="494"/>
      <c r="Z129" s="169"/>
      <c r="AA129" s="169"/>
      <c r="AB129" s="169"/>
      <c r="AC129" s="185" t="e">
        <f t="shared" si="36"/>
        <v>#N/A</v>
      </c>
      <c r="AD129" s="494"/>
      <c r="AE129" s="169"/>
      <c r="AF129" s="169"/>
      <c r="AG129" s="169"/>
      <c r="AH129" s="185" t="e">
        <f t="shared" si="37"/>
        <v>#N/A</v>
      </c>
      <c r="AI129" s="494"/>
      <c r="AJ129" s="169"/>
      <c r="AK129" s="169"/>
      <c r="AL129" s="169"/>
      <c r="AM129" s="185" t="e">
        <f t="shared" si="38"/>
        <v>#N/A</v>
      </c>
      <c r="AN129" s="494"/>
      <c r="AO129" s="169"/>
      <c r="AP129" s="169"/>
      <c r="AQ129" s="169"/>
      <c r="AR129" s="185" t="e">
        <f t="shared" si="39"/>
        <v>#N/A</v>
      </c>
      <c r="AS129" s="494"/>
      <c r="AT129" s="169"/>
      <c r="AU129" s="169"/>
      <c r="AV129" s="169"/>
      <c r="AW129" s="185" t="e">
        <f t="shared" si="40"/>
        <v>#N/A</v>
      </c>
      <c r="AX129" s="494"/>
    </row>
    <row r="130" spans="2:50">
      <c r="B130" s="471"/>
      <c r="C130" s="185">
        <v>19</v>
      </c>
      <c r="D130" s="206"/>
      <c r="E130" s="169"/>
      <c r="F130" s="185"/>
      <c r="G130" s="183"/>
      <c r="H130" s="452"/>
      <c r="I130" s="169" t="e">
        <f t="shared" si="31"/>
        <v>#DIV/0!</v>
      </c>
      <c r="J130" s="169" t="e">
        <f t="shared" si="32"/>
        <v>#DIV/0!</v>
      </c>
      <c r="K130" s="183" t="e">
        <f t="shared" si="33"/>
        <v>#DIV/0!</v>
      </c>
      <c r="L130" s="452"/>
      <c r="M130" s="184" t="e">
        <f>RANK(K130, K$112:$K$141)</f>
        <v>#DIV/0!</v>
      </c>
      <c r="N130" s="454"/>
      <c r="O130" s="454"/>
      <c r="P130" s="169"/>
      <c r="Q130" s="169"/>
      <c r="R130" s="169"/>
      <c r="S130" s="185" t="e">
        <f t="shared" si="34"/>
        <v>#N/A</v>
      </c>
      <c r="T130" s="494"/>
      <c r="U130" s="169"/>
      <c r="V130" s="169"/>
      <c r="W130" s="169"/>
      <c r="X130" s="185" t="e">
        <f t="shared" si="35"/>
        <v>#N/A</v>
      </c>
      <c r="Y130" s="494"/>
      <c r="Z130" s="169"/>
      <c r="AA130" s="169"/>
      <c r="AB130" s="169"/>
      <c r="AC130" s="185" t="e">
        <f t="shared" si="36"/>
        <v>#N/A</v>
      </c>
      <c r="AD130" s="494"/>
      <c r="AE130" s="169"/>
      <c r="AF130" s="169"/>
      <c r="AG130" s="169"/>
      <c r="AH130" s="185" t="e">
        <f t="shared" si="37"/>
        <v>#N/A</v>
      </c>
      <c r="AI130" s="494"/>
      <c r="AJ130" s="169"/>
      <c r="AK130" s="169"/>
      <c r="AL130" s="169"/>
      <c r="AM130" s="185" t="e">
        <f t="shared" si="38"/>
        <v>#N/A</v>
      </c>
      <c r="AN130" s="494"/>
      <c r="AO130" s="169"/>
      <c r="AP130" s="169"/>
      <c r="AQ130" s="169"/>
      <c r="AR130" s="185" t="e">
        <f t="shared" si="39"/>
        <v>#N/A</v>
      </c>
      <c r="AS130" s="494"/>
      <c r="AT130" s="169"/>
      <c r="AU130" s="169"/>
      <c r="AV130" s="169"/>
      <c r="AW130" s="185" t="e">
        <f t="shared" si="40"/>
        <v>#N/A</v>
      </c>
      <c r="AX130" s="494"/>
    </row>
    <row r="131" spans="2:50">
      <c r="B131" s="471"/>
      <c r="C131" s="185">
        <v>20</v>
      </c>
      <c r="D131" s="206"/>
      <c r="E131" s="169"/>
      <c r="F131" s="185"/>
      <c r="G131" s="183"/>
      <c r="H131" s="452"/>
      <c r="I131" s="169" t="e">
        <f t="shared" si="31"/>
        <v>#DIV/0!</v>
      </c>
      <c r="J131" s="169" t="e">
        <f t="shared" si="32"/>
        <v>#DIV/0!</v>
      </c>
      <c r="K131" s="183" t="e">
        <f t="shared" si="33"/>
        <v>#DIV/0!</v>
      </c>
      <c r="L131" s="452"/>
      <c r="M131" s="184" t="e">
        <f>RANK(K131, K$112:$K$141)</f>
        <v>#DIV/0!</v>
      </c>
      <c r="N131" s="454"/>
      <c r="O131" s="454"/>
      <c r="P131" s="169"/>
      <c r="Q131" s="169"/>
      <c r="R131" s="169"/>
      <c r="S131" s="185" t="e">
        <f t="shared" si="34"/>
        <v>#N/A</v>
      </c>
      <c r="T131" s="494"/>
      <c r="U131" s="169"/>
      <c r="V131" s="169"/>
      <c r="W131" s="169"/>
      <c r="X131" s="185" t="e">
        <f t="shared" si="35"/>
        <v>#N/A</v>
      </c>
      <c r="Y131" s="494"/>
      <c r="Z131" s="169"/>
      <c r="AA131" s="169"/>
      <c r="AB131" s="169"/>
      <c r="AC131" s="185" t="e">
        <f t="shared" si="36"/>
        <v>#N/A</v>
      </c>
      <c r="AD131" s="494"/>
      <c r="AE131" s="169"/>
      <c r="AF131" s="169"/>
      <c r="AG131" s="169"/>
      <c r="AH131" s="185" t="e">
        <f t="shared" si="37"/>
        <v>#N/A</v>
      </c>
      <c r="AI131" s="494"/>
      <c r="AJ131" s="169"/>
      <c r="AK131" s="169"/>
      <c r="AL131" s="169"/>
      <c r="AM131" s="185" t="e">
        <f t="shared" si="38"/>
        <v>#N/A</v>
      </c>
      <c r="AN131" s="494"/>
      <c r="AO131" s="169"/>
      <c r="AP131" s="169"/>
      <c r="AQ131" s="169"/>
      <c r="AR131" s="185" t="e">
        <f t="shared" si="39"/>
        <v>#N/A</v>
      </c>
      <c r="AS131" s="494"/>
      <c r="AT131" s="169"/>
      <c r="AU131" s="169"/>
      <c r="AV131" s="169"/>
      <c r="AW131" s="185" t="e">
        <f t="shared" si="40"/>
        <v>#N/A</v>
      </c>
      <c r="AX131" s="494"/>
    </row>
    <row r="132" spans="2:50">
      <c r="B132" s="471"/>
      <c r="C132" s="185">
        <v>21</v>
      </c>
      <c r="D132" s="206"/>
      <c r="E132" s="169"/>
      <c r="F132" s="185"/>
      <c r="G132" s="183"/>
      <c r="H132" s="452"/>
      <c r="I132" s="169" t="e">
        <f t="shared" si="31"/>
        <v>#DIV/0!</v>
      </c>
      <c r="J132" s="169" t="e">
        <f t="shared" si="32"/>
        <v>#DIV/0!</v>
      </c>
      <c r="K132" s="183" t="e">
        <f t="shared" si="33"/>
        <v>#DIV/0!</v>
      </c>
      <c r="L132" s="452"/>
      <c r="M132" s="184" t="e">
        <f>RANK(K132, K$112:$K$141)</f>
        <v>#DIV/0!</v>
      </c>
      <c r="N132" s="454"/>
      <c r="O132" s="454"/>
      <c r="P132" s="169"/>
      <c r="Q132" s="169"/>
      <c r="R132" s="169"/>
      <c r="S132" s="185" t="e">
        <f t="shared" si="34"/>
        <v>#N/A</v>
      </c>
      <c r="T132" s="494"/>
      <c r="U132" s="169"/>
      <c r="V132" s="169"/>
      <c r="W132" s="169"/>
      <c r="X132" s="185" t="e">
        <f t="shared" si="35"/>
        <v>#N/A</v>
      </c>
      <c r="Y132" s="494"/>
      <c r="Z132" s="169"/>
      <c r="AA132" s="169"/>
      <c r="AB132" s="169"/>
      <c r="AC132" s="185" t="e">
        <f t="shared" si="36"/>
        <v>#N/A</v>
      </c>
      <c r="AD132" s="494"/>
      <c r="AE132" s="169"/>
      <c r="AF132" s="169"/>
      <c r="AG132" s="169"/>
      <c r="AH132" s="185" t="e">
        <f t="shared" si="37"/>
        <v>#N/A</v>
      </c>
      <c r="AI132" s="494"/>
      <c r="AJ132" s="169"/>
      <c r="AK132" s="169"/>
      <c r="AL132" s="169"/>
      <c r="AM132" s="185" t="e">
        <f t="shared" si="38"/>
        <v>#N/A</v>
      </c>
      <c r="AN132" s="494"/>
      <c r="AO132" s="169"/>
      <c r="AP132" s="169"/>
      <c r="AQ132" s="169"/>
      <c r="AR132" s="185" t="e">
        <f t="shared" si="39"/>
        <v>#N/A</v>
      </c>
      <c r="AS132" s="494"/>
      <c r="AT132" s="169"/>
      <c r="AU132" s="169"/>
      <c r="AV132" s="169"/>
      <c r="AW132" s="185" t="e">
        <f t="shared" si="40"/>
        <v>#N/A</v>
      </c>
      <c r="AX132" s="494"/>
    </row>
    <row r="133" spans="2:50">
      <c r="B133" s="471"/>
      <c r="C133" s="185">
        <v>22</v>
      </c>
      <c r="D133" s="206"/>
      <c r="E133" s="169"/>
      <c r="F133" s="185"/>
      <c r="G133" s="183"/>
      <c r="H133" s="452"/>
      <c r="I133" s="169" t="e">
        <f t="shared" si="31"/>
        <v>#DIV/0!</v>
      </c>
      <c r="J133" s="169" t="e">
        <f t="shared" si="32"/>
        <v>#DIV/0!</v>
      </c>
      <c r="K133" s="183" t="e">
        <f t="shared" si="33"/>
        <v>#DIV/0!</v>
      </c>
      <c r="L133" s="452"/>
      <c r="M133" s="184" t="e">
        <f>RANK(K133, K$112:$K$141)</f>
        <v>#DIV/0!</v>
      </c>
      <c r="N133" s="454"/>
      <c r="O133" s="454"/>
      <c r="P133" s="169"/>
      <c r="Q133" s="169"/>
      <c r="R133" s="169"/>
      <c r="S133" s="185" t="e">
        <f t="shared" si="34"/>
        <v>#N/A</v>
      </c>
      <c r="T133" s="494"/>
      <c r="U133" s="169"/>
      <c r="V133" s="169"/>
      <c r="W133" s="169"/>
      <c r="X133" s="185" t="e">
        <f t="shared" si="35"/>
        <v>#N/A</v>
      </c>
      <c r="Y133" s="494"/>
      <c r="Z133" s="169"/>
      <c r="AA133" s="169"/>
      <c r="AB133" s="169"/>
      <c r="AC133" s="185" t="e">
        <f t="shared" si="36"/>
        <v>#N/A</v>
      </c>
      <c r="AD133" s="494"/>
      <c r="AE133" s="169"/>
      <c r="AF133" s="169"/>
      <c r="AG133" s="169"/>
      <c r="AH133" s="185" t="e">
        <f t="shared" si="37"/>
        <v>#N/A</v>
      </c>
      <c r="AI133" s="494"/>
      <c r="AJ133" s="169"/>
      <c r="AK133" s="169"/>
      <c r="AL133" s="169"/>
      <c r="AM133" s="185" t="e">
        <f t="shared" si="38"/>
        <v>#N/A</v>
      </c>
      <c r="AN133" s="494"/>
      <c r="AO133" s="169"/>
      <c r="AP133" s="169"/>
      <c r="AQ133" s="169"/>
      <c r="AR133" s="185" t="e">
        <f t="shared" si="39"/>
        <v>#N/A</v>
      </c>
      <c r="AS133" s="494"/>
      <c r="AT133" s="169"/>
      <c r="AU133" s="169"/>
      <c r="AV133" s="169"/>
      <c r="AW133" s="185" t="e">
        <f t="shared" si="40"/>
        <v>#N/A</v>
      </c>
      <c r="AX133" s="494"/>
    </row>
    <row r="134" spans="2:50">
      <c r="B134" s="471"/>
      <c r="C134" s="185">
        <v>23</v>
      </c>
      <c r="D134" s="206"/>
      <c r="E134" s="169"/>
      <c r="F134" s="185"/>
      <c r="G134" s="183"/>
      <c r="H134" s="452"/>
      <c r="I134" s="169" t="e">
        <f t="shared" si="31"/>
        <v>#DIV/0!</v>
      </c>
      <c r="J134" s="169" t="e">
        <f t="shared" si="32"/>
        <v>#DIV/0!</v>
      </c>
      <c r="K134" s="183" t="e">
        <f t="shared" si="33"/>
        <v>#DIV/0!</v>
      </c>
      <c r="L134" s="452"/>
      <c r="M134" s="184" t="e">
        <f>RANK(K134, K$112:$K$141)</f>
        <v>#DIV/0!</v>
      </c>
      <c r="N134" s="454"/>
      <c r="O134" s="454"/>
      <c r="P134" s="169"/>
      <c r="Q134" s="169"/>
      <c r="R134" s="169"/>
      <c r="S134" s="185" t="e">
        <f t="shared" si="34"/>
        <v>#N/A</v>
      </c>
      <c r="T134" s="494"/>
      <c r="U134" s="169"/>
      <c r="V134" s="169"/>
      <c r="W134" s="169"/>
      <c r="X134" s="185" t="e">
        <f t="shared" si="35"/>
        <v>#N/A</v>
      </c>
      <c r="Y134" s="494"/>
      <c r="Z134" s="169"/>
      <c r="AA134" s="169"/>
      <c r="AB134" s="169"/>
      <c r="AC134" s="185" t="e">
        <f t="shared" si="36"/>
        <v>#N/A</v>
      </c>
      <c r="AD134" s="494"/>
      <c r="AE134" s="169"/>
      <c r="AF134" s="169"/>
      <c r="AG134" s="169"/>
      <c r="AH134" s="185" t="e">
        <f t="shared" si="37"/>
        <v>#N/A</v>
      </c>
      <c r="AI134" s="494"/>
      <c r="AJ134" s="169"/>
      <c r="AK134" s="169"/>
      <c r="AL134" s="169"/>
      <c r="AM134" s="185" t="e">
        <f t="shared" si="38"/>
        <v>#N/A</v>
      </c>
      <c r="AN134" s="494"/>
      <c r="AO134" s="169"/>
      <c r="AP134" s="169"/>
      <c r="AQ134" s="169"/>
      <c r="AR134" s="185" t="e">
        <f t="shared" si="39"/>
        <v>#N/A</v>
      </c>
      <c r="AS134" s="494"/>
      <c r="AT134" s="169"/>
      <c r="AU134" s="169"/>
      <c r="AV134" s="169"/>
      <c r="AW134" s="185" t="e">
        <f t="shared" si="40"/>
        <v>#N/A</v>
      </c>
      <c r="AX134" s="494"/>
    </row>
    <row r="135" spans="2:50">
      <c r="B135" s="471"/>
      <c r="C135" s="185">
        <v>24</v>
      </c>
      <c r="D135" s="206"/>
      <c r="E135" s="169"/>
      <c r="F135" s="185"/>
      <c r="G135" s="183"/>
      <c r="H135" s="452"/>
      <c r="I135" s="169" t="e">
        <f t="shared" si="31"/>
        <v>#DIV/0!</v>
      </c>
      <c r="J135" s="169" t="e">
        <f t="shared" si="32"/>
        <v>#DIV/0!</v>
      </c>
      <c r="K135" s="183" t="e">
        <f t="shared" si="33"/>
        <v>#DIV/0!</v>
      </c>
      <c r="L135" s="452"/>
      <c r="M135" s="184" t="e">
        <f>RANK(K135, K$112:$K$141)</f>
        <v>#DIV/0!</v>
      </c>
      <c r="N135" s="454"/>
      <c r="O135" s="454"/>
      <c r="P135" s="185"/>
      <c r="Q135" s="183"/>
      <c r="R135" s="183"/>
      <c r="S135" s="185" t="e">
        <f t="shared" si="34"/>
        <v>#N/A</v>
      </c>
      <c r="T135" s="494"/>
      <c r="U135" s="185"/>
      <c r="V135" s="183"/>
      <c r="W135" s="183"/>
      <c r="X135" s="185" t="e">
        <f t="shared" si="35"/>
        <v>#N/A</v>
      </c>
      <c r="Y135" s="494"/>
      <c r="Z135" s="185"/>
      <c r="AA135" s="183"/>
      <c r="AB135" s="183"/>
      <c r="AC135" s="185" t="e">
        <f t="shared" si="36"/>
        <v>#N/A</v>
      </c>
      <c r="AD135" s="494"/>
      <c r="AE135" s="185"/>
      <c r="AF135" s="183"/>
      <c r="AG135" s="183"/>
      <c r="AH135" s="185" t="e">
        <f t="shared" si="37"/>
        <v>#N/A</v>
      </c>
      <c r="AI135" s="494"/>
      <c r="AJ135" s="185"/>
      <c r="AK135" s="183"/>
      <c r="AL135" s="183"/>
      <c r="AM135" s="185" t="e">
        <f t="shared" si="38"/>
        <v>#N/A</v>
      </c>
      <c r="AN135" s="494"/>
      <c r="AO135" s="185"/>
      <c r="AP135" s="183"/>
      <c r="AQ135" s="183"/>
      <c r="AR135" s="185" t="e">
        <f t="shared" si="39"/>
        <v>#N/A</v>
      </c>
      <c r="AS135" s="494"/>
      <c r="AT135" s="185"/>
      <c r="AU135" s="183"/>
      <c r="AV135" s="183"/>
      <c r="AW135" s="185" t="e">
        <f t="shared" si="40"/>
        <v>#N/A</v>
      </c>
      <c r="AX135" s="494"/>
    </row>
    <row r="136" spans="2:50">
      <c r="B136" s="471"/>
      <c r="C136" s="185">
        <v>25</v>
      </c>
      <c r="D136" s="206"/>
      <c r="E136" s="169"/>
      <c r="F136" s="185"/>
      <c r="G136" s="183"/>
      <c r="H136" s="452"/>
      <c r="I136" s="169"/>
      <c r="J136" s="169"/>
      <c r="K136" s="183"/>
      <c r="L136" s="452"/>
      <c r="M136" s="184" t="e">
        <f>RANK(K136, K$112:$K$141)</f>
        <v>#DIV/0!</v>
      </c>
      <c r="N136" s="454"/>
      <c r="O136" s="454"/>
      <c r="P136" s="185"/>
      <c r="Q136" s="183"/>
      <c r="R136" s="183"/>
      <c r="S136" s="185" t="e">
        <f t="shared" si="34"/>
        <v>#N/A</v>
      </c>
      <c r="T136" s="494"/>
      <c r="U136" s="185"/>
      <c r="V136" s="183"/>
      <c r="W136" s="183"/>
      <c r="X136" s="185" t="e">
        <f t="shared" si="35"/>
        <v>#N/A</v>
      </c>
      <c r="Y136" s="494"/>
      <c r="Z136" s="185"/>
      <c r="AA136" s="183"/>
      <c r="AB136" s="183"/>
      <c r="AC136" s="185" t="e">
        <f t="shared" si="36"/>
        <v>#N/A</v>
      </c>
      <c r="AD136" s="494"/>
      <c r="AE136" s="185"/>
      <c r="AF136" s="183"/>
      <c r="AG136" s="183"/>
      <c r="AH136" s="185" t="e">
        <f t="shared" si="37"/>
        <v>#N/A</v>
      </c>
      <c r="AI136" s="494"/>
      <c r="AJ136" s="185"/>
      <c r="AK136" s="183"/>
      <c r="AL136" s="183"/>
      <c r="AM136" s="185" t="e">
        <f t="shared" si="38"/>
        <v>#N/A</v>
      </c>
      <c r="AN136" s="494"/>
      <c r="AO136" s="185"/>
      <c r="AP136" s="183"/>
      <c r="AQ136" s="183"/>
      <c r="AR136" s="185" t="e">
        <f t="shared" si="39"/>
        <v>#N/A</v>
      </c>
      <c r="AS136" s="494"/>
      <c r="AT136" s="185"/>
      <c r="AU136" s="183"/>
      <c r="AV136" s="183"/>
      <c r="AW136" s="185" t="e">
        <f t="shared" si="40"/>
        <v>#N/A</v>
      </c>
      <c r="AX136" s="494"/>
    </row>
    <row r="137" spans="2:50">
      <c r="B137" s="471"/>
      <c r="C137" s="185">
        <v>26</v>
      </c>
      <c r="D137" s="206"/>
      <c r="E137" s="169"/>
      <c r="F137" s="185"/>
      <c r="G137" s="183"/>
      <c r="H137" s="452"/>
      <c r="I137" s="169"/>
      <c r="J137" s="169"/>
      <c r="K137" s="183"/>
      <c r="L137" s="452"/>
      <c r="M137" s="184" t="e">
        <f>RANK(K137, K$112:$K$141)</f>
        <v>#DIV/0!</v>
      </c>
      <c r="N137" s="454"/>
      <c r="O137" s="454"/>
      <c r="P137" s="185"/>
      <c r="Q137" s="183"/>
      <c r="R137" s="183"/>
      <c r="S137" s="185" t="e">
        <f t="shared" si="34"/>
        <v>#N/A</v>
      </c>
      <c r="T137" s="494"/>
      <c r="U137" s="185"/>
      <c r="V137" s="183"/>
      <c r="W137" s="183"/>
      <c r="X137" s="185" t="e">
        <f t="shared" si="35"/>
        <v>#N/A</v>
      </c>
      <c r="Y137" s="494"/>
      <c r="Z137" s="185"/>
      <c r="AA137" s="183"/>
      <c r="AB137" s="183"/>
      <c r="AC137" s="185" t="e">
        <f t="shared" si="36"/>
        <v>#N/A</v>
      </c>
      <c r="AD137" s="494"/>
      <c r="AE137" s="185"/>
      <c r="AF137" s="183"/>
      <c r="AG137" s="183"/>
      <c r="AH137" s="185" t="e">
        <f t="shared" si="37"/>
        <v>#N/A</v>
      </c>
      <c r="AI137" s="494"/>
      <c r="AJ137" s="185"/>
      <c r="AK137" s="183"/>
      <c r="AL137" s="183"/>
      <c r="AM137" s="185" t="e">
        <f t="shared" si="38"/>
        <v>#N/A</v>
      </c>
      <c r="AN137" s="494"/>
      <c r="AO137" s="185"/>
      <c r="AP137" s="183"/>
      <c r="AQ137" s="183"/>
      <c r="AR137" s="185" t="e">
        <f t="shared" si="39"/>
        <v>#N/A</v>
      </c>
      <c r="AS137" s="494"/>
      <c r="AT137" s="185"/>
      <c r="AU137" s="183"/>
      <c r="AV137" s="183"/>
      <c r="AW137" s="185" t="e">
        <f t="shared" si="40"/>
        <v>#N/A</v>
      </c>
      <c r="AX137" s="494"/>
    </row>
    <row r="138" spans="2:50">
      <c r="B138" s="471"/>
      <c r="C138" s="185">
        <v>27</v>
      </c>
      <c r="D138" s="206"/>
      <c r="E138" s="169"/>
      <c r="F138" s="185"/>
      <c r="G138" s="183"/>
      <c r="H138" s="452"/>
      <c r="I138" s="169"/>
      <c r="J138" s="169"/>
      <c r="K138" s="183"/>
      <c r="L138" s="452"/>
      <c r="M138" s="184" t="e">
        <f>RANK(K138, K$112:$K$141)</f>
        <v>#DIV/0!</v>
      </c>
      <c r="N138" s="454"/>
      <c r="O138" s="454"/>
      <c r="P138" s="185"/>
      <c r="Q138" s="183"/>
      <c r="R138" s="183"/>
      <c r="S138" s="185" t="e">
        <f t="shared" si="34"/>
        <v>#N/A</v>
      </c>
      <c r="T138" s="494"/>
      <c r="U138" s="185"/>
      <c r="V138" s="183"/>
      <c r="W138" s="183"/>
      <c r="X138" s="185" t="e">
        <f t="shared" si="35"/>
        <v>#N/A</v>
      </c>
      <c r="Y138" s="494"/>
      <c r="Z138" s="185"/>
      <c r="AA138" s="183"/>
      <c r="AB138" s="183"/>
      <c r="AC138" s="185" t="e">
        <f t="shared" si="36"/>
        <v>#N/A</v>
      </c>
      <c r="AD138" s="494"/>
      <c r="AE138" s="185"/>
      <c r="AF138" s="183"/>
      <c r="AG138" s="183"/>
      <c r="AH138" s="185" t="e">
        <f t="shared" si="37"/>
        <v>#N/A</v>
      </c>
      <c r="AI138" s="494"/>
      <c r="AJ138" s="185"/>
      <c r="AK138" s="183"/>
      <c r="AL138" s="183"/>
      <c r="AM138" s="185" t="e">
        <f t="shared" si="38"/>
        <v>#N/A</v>
      </c>
      <c r="AN138" s="494"/>
      <c r="AO138" s="185"/>
      <c r="AP138" s="183"/>
      <c r="AQ138" s="183"/>
      <c r="AR138" s="185" t="e">
        <f t="shared" si="39"/>
        <v>#N/A</v>
      </c>
      <c r="AS138" s="494"/>
      <c r="AT138" s="185"/>
      <c r="AU138" s="183"/>
      <c r="AV138" s="183"/>
      <c r="AW138" s="185" t="e">
        <f t="shared" si="40"/>
        <v>#N/A</v>
      </c>
      <c r="AX138" s="494"/>
    </row>
    <row r="139" spans="2:50">
      <c r="B139" s="471"/>
      <c r="C139" s="185">
        <v>28</v>
      </c>
      <c r="D139" s="206"/>
      <c r="E139" s="169"/>
      <c r="F139" s="185"/>
      <c r="G139" s="183"/>
      <c r="H139" s="452"/>
      <c r="I139" s="169"/>
      <c r="J139" s="169"/>
      <c r="K139" s="183"/>
      <c r="L139" s="452"/>
      <c r="M139" s="184" t="e">
        <f>RANK(K139, K$112:$K$141)</f>
        <v>#DIV/0!</v>
      </c>
      <c r="N139" s="454"/>
      <c r="O139" s="454"/>
      <c r="P139" s="185"/>
      <c r="Q139" s="183"/>
      <c r="R139" s="183"/>
      <c r="S139" s="185" t="e">
        <f t="shared" si="34"/>
        <v>#N/A</v>
      </c>
      <c r="T139" s="494"/>
      <c r="U139" s="185"/>
      <c r="V139" s="183"/>
      <c r="W139" s="183"/>
      <c r="X139" s="185" t="e">
        <f t="shared" si="35"/>
        <v>#N/A</v>
      </c>
      <c r="Y139" s="494"/>
      <c r="Z139" s="185"/>
      <c r="AA139" s="183"/>
      <c r="AB139" s="183"/>
      <c r="AC139" s="185" t="e">
        <f t="shared" si="36"/>
        <v>#N/A</v>
      </c>
      <c r="AD139" s="494"/>
      <c r="AE139" s="185"/>
      <c r="AF139" s="183"/>
      <c r="AG139" s="183"/>
      <c r="AH139" s="185" t="e">
        <f t="shared" si="37"/>
        <v>#N/A</v>
      </c>
      <c r="AI139" s="494"/>
      <c r="AJ139" s="185"/>
      <c r="AK139" s="183"/>
      <c r="AL139" s="183"/>
      <c r="AM139" s="185" t="e">
        <f t="shared" si="38"/>
        <v>#N/A</v>
      </c>
      <c r="AN139" s="494"/>
      <c r="AO139" s="185"/>
      <c r="AP139" s="183"/>
      <c r="AQ139" s="183"/>
      <c r="AR139" s="185" t="e">
        <f t="shared" si="39"/>
        <v>#N/A</v>
      </c>
      <c r="AS139" s="494"/>
      <c r="AT139" s="185"/>
      <c r="AU139" s="183"/>
      <c r="AV139" s="183"/>
      <c r="AW139" s="185" t="e">
        <f t="shared" si="40"/>
        <v>#N/A</v>
      </c>
      <c r="AX139" s="494"/>
    </row>
    <row r="140" spans="2:50">
      <c r="B140" s="471"/>
      <c r="C140" s="185">
        <v>29</v>
      </c>
      <c r="D140" s="206"/>
      <c r="E140" s="169"/>
      <c r="F140" s="185"/>
      <c r="G140" s="183"/>
      <c r="H140" s="452"/>
      <c r="I140" s="185"/>
      <c r="J140" s="185"/>
      <c r="K140" s="185"/>
      <c r="L140" s="452"/>
      <c r="M140" s="184" t="e">
        <f>RANK(K140, K$112:$K$141)</f>
        <v>#DIV/0!</v>
      </c>
      <c r="N140" s="454"/>
      <c r="O140" s="454"/>
      <c r="P140" s="185"/>
      <c r="Q140" s="185"/>
      <c r="R140" s="185"/>
      <c r="S140" s="185" t="e">
        <f t="shared" si="34"/>
        <v>#N/A</v>
      </c>
      <c r="T140" s="494"/>
      <c r="U140" s="185"/>
      <c r="V140" s="185"/>
      <c r="W140" s="185"/>
      <c r="X140" s="185" t="e">
        <f t="shared" si="35"/>
        <v>#N/A</v>
      </c>
      <c r="Y140" s="494"/>
      <c r="Z140" s="185"/>
      <c r="AA140" s="185"/>
      <c r="AB140" s="185"/>
      <c r="AC140" s="185" t="e">
        <f t="shared" si="36"/>
        <v>#N/A</v>
      </c>
      <c r="AD140" s="494"/>
      <c r="AE140" s="185"/>
      <c r="AF140" s="185"/>
      <c r="AG140" s="185"/>
      <c r="AH140" s="185" t="e">
        <f t="shared" si="37"/>
        <v>#N/A</v>
      </c>
      <c r="AI140" s="494"/>
      <c r="AJ140" s="185"/>
      <c r="AK140" s="185"/>
      <c r="AL140" s="185"/>
      <c r="AM140" s="185" t="e">
        <f t="shared" si="38"/>
        <v>#N/A</v>
      </c>
      <c r="AN140" s="494"/>
      <c r="AO140" s="185"/>
      <c r="AP140" s="185"/>
      <c r="AQ140" s="185"/>
      <c r="AR140" s="185" t="e">
        <f t="shared" si="39"/>
        <v>#N/A</v>
      </c>
      <c r="AS140" s="494"/>
      <c r="AT140" s="185"/>
      <c r="AU140" s="185"/>
      <c r="AV140" s="185"/>
      <c r="AW140" s="185" t="e">
        <f t="shared" si="40"/>
        <v>#N/A</v>
      </c>
      <c r="AX140" s="494"/>
    </row>
    <row r="141" spans="2:50">
      <c r="B141" s="471"/>
      <c r="C141" s="185">
        <v>30</v>
      </c>
      <c r="D141" s="206"/>
      <c r="E141" s="169"/>
      <c r="F141" s="185"/>
      <c r="G141" s="183"/>
      <c r="H141" s="453"/>
      <c r="I141" s="185"/>
      <c r="J141" s="185"/>
      <c r="K141" s="185"/>
      <c r="L141" s="453"/>
      <c r="M141" s="184" t="e">
        <f>RANK(K141, K$112:$K$141)</f>
        <v>#DIV/0!</v>
      </c>
      <c r="N141" s="454"/>
      <c r="O141" s="454"/>
      <c r="P141" s="185"/>
      <c r="Q141" s="185"/>
      <c r="R141" s="185"/>
      <c r="S141" s="185" t="e">
        <f t="shared" si="34"/>
        <v>#N/A</v>
      </c>
      <c r="T141" s="494"/>
      <c r="U141" s="185"/>
      <c r="V141" s="185"/>
      <c r="W141" s="185"/>
      <c r="X141" s="185" t="e">
        <f t="shared" si="35"/>
        <v>#N/A</v>
      </c>
      <c r="Y141" s="494"/>
      <c r="Z141" s="185"/>
      <c r="AA141" s="185"/>
      <c r="AB141" s="185"/>
      <c r="AC141" s="185" t="e">
        <f t="shared" si="36"/>
        <v>#N/A</v>
      </c>
      <c r="AD141" s="494"/>
      <c r="AE141" s="185"/>
      <c r="AF141" s="185"/>
      <c r="AG141" s="185"/>
      <c r="AH141" s="185" t="e">
        <f t="shared" si="37"/>
        <v>#N/A</v>
      </c>
      <c r="AI141" s="494"/>
      <c r="AJ141" s="185"/>
      <c r="AK141" s="185"/>
      <c r="AL141" s="185"/>
      <c r="AM141" s="185" t="e">
        <f t="shared" si="38"/>
        <v>#N/A</v>
      </c>
      <c r="AN141" s="494"/>
      <c r="AO141" s="185"/>
      <c r="AP141" s="185"/>
      <c r="AQ141" s="185"/>
      <c r="AR141" s="185" t="e">
        <f t="shared" si="39"/>
        <v>#N/A</v>
      </c>
      <c r="AS141" s="494"/>
      <c r="AT141" s="185"/>
      <c r="AU141" s="185"/>
      <c r="AV141" s="185"/>
      <c r="AW141" s="185" t="e">
        <f t="shared" si="40"/>
        <v>#N/A</v>
      </c>
      <c r="AX141" s="494"/>
    </row>
    <row r="142" spans="2:50" ht="15.75">
      <c r="B142" s="472" t="s">
        <v>201</v>
      </c>
      <c r="C142" s="473"/>
      <c r="D142" s="473"/>
      <c r="E142" s="473"/>
      <c r="F142" s="473"/>
      <c r="G142" s="473"/>
      <c r="H142" s="473"/>
      <c r="I142" s="189"/>
      <c r="J142" s="189"/>
      <c r="K142" s="189"/>
      <c r="L142" s="189"/>
      <c r="M142" s="188"/>
      <c r="N142" s="461" t="s">
        <v>202</v>
      </c>
      <c r="O142" s="461" t="s">
        <v>150</v>
      </c>
      <c r="P142" s="470">
        <f>P107+7</f>
        <v>45986</v>
      </c>
      <c r="Q142" s="471"/>
      <c r="R142" s="471"/>
      <c r="S142" s="471"/>
      <c r="T142" s="471"/>
      <c r="U142" s="467">
        <f>P142+1</f>
        <v>45987</v>
      </c>
      <c r="V142" s="468"/>
      <c r="W142" s="468"/>
      <c r="X142" s="468"/>
      <c r="Y142" s="469"/>
      <c r="Z142" s="467">
        <f>U142+1</f>
        <v>45988</v>
      </c>
      <c r="AA142" s="468"/>
      <c r="AB142" s="468"/>
      <c r="AC142" s="468"/>
      <c r="AD142" s="469"/>
      <c r="AE142" s="467">
        <f>Z142+1</f>
        <v>45989</v>
      </c>
      <c r="AF142" s="468"/>
      <c r="AG142" s="468"/>
      <c r="AH142" s="468"/>
      <c r="AI142" s="469"/>
      <c r="AJ142" s="467">
        <f>AE142+1</f>
        <v>45990</v>
      </c>
      <c r="AK142" s="468"/>
      <c r="AL142" s="468"/>
      <c r="AM142" s="468"/>
      <c r="AN142" s="469"/>
      <c r="AO142" s="467">
        <f>AJ142+1</f>
        <v>45991</v>
      </c>
      <c r="AP142" s="468"/>
      <c r="AQ142" s="468"/>
      <c r="AR142" s="468"/>
      <c r="AS142" s="469"/>
      <c r="AT142" s="467">
        <f>AO142+1</f>
        <v>45992</v>
      </c>
      <c r="AU142" s="468"/>
      <c r="AV142" s="468"/>
      <c r="AW142" s="468"/>
      <c r="AX142" s="469"/>
    </row>
    <row r="143" spans="2:50" ht="15.75">
      <c r="B143" s="474"/>
      <c r="C143" s="474"/>
      <c r="D143" s="474"/>
      <c r="E143" s="474"/>
      <c r="F143" s="474"/>
      <c r="G143" s="474"/>
      <c r="H143" s="474"/>
      <c r="I143" s="187"/>
      <c r="J143" s="187"/>
      <c r="K143" s="187"/>
      <c r="L143" s="187"/>
      <c r="M143" s="182"/>
      <c r="N143" s="463"/>
      <c r="O143" s="463"/>
      <c r="P143" s="470" t="s">
        <v>203</v>
      </c>
      <c r="Q143" s="471"/>
      <c r="R143" s="471"/>
      <c r="S143" s="471"/>
      <c r="T143" s="471"/>
      <c r="U143" s="470" t="s">
        <v>204</v>
      </c>
      <c r="V143" s="471"/>
      <c r="W143" s="471"/>
      <c r="X143" s="471"/>
      <c r="Y143" s="471"/>
      <c r="Z143" s="470" t="s">
        <v>205</v>
      </c>
      <c r="AA143" s="471"/>
      <c r="AB143" s="471"/>
      <c r="AC143" s="471"/>
      <c r="AD143" s="471"/>
      <c r="AE143" s="470" t="s">
        <v>206</v>
      </c>
      <c r="AF143" s="471"/>
      <c r="AG143" s="471"/>
      <c r="AH143" s="471"/>
      <c r="AI143" s="471"/>
      <c r="AJ143" s="470" t="s">
        <v>207</v>
      </c>
      <c r="AK143" s="471"/>
      <c r="AL143" s="471"/>
      <c r="AM143" s="471"/>
      <c r="AN143" s="471"/>
      <c r="AO143" s="470" t="s">
        <v>157</v>
      </c>
      <c r="AP143" s="471"/>
      <c r="AQ143" s="471"/>
      <c r="AR143" s="471"/>
      <c r="AS143" s="471"/>
      <c r="AT143" s="470" t="s">
        <v>208</v>
      </c>
      <c r="AU143" s="471"/>
      <c r="AV143" s="471"/>
      <c r="AW143" s="471"/>
      <c r="AX143" s="471"/>
    </row>
    <row r="144" spans="2:50">
      <c r="B144" s="454" t="s">
        <v>209</v>
      </c>
      <c r="C144" s="454" t="s">
        <v>210</v>
      </c>
      <c r="D144" s="454"/>
      <c r="E144" s="454" t="s">
        <v>211</v>
      </c>
      <c r="F144" s="454"/>
      <c r="G144" s="454"/>
      <c r="H144" s="455" t="s">
        <v>212</v>
      </c>
      <c r="I144" s="454" t="s">
        <v>213</v>
      </c>
      <c r="J144" s="454"/>
      <c r="K144" s="454"/>
      <c r="L144" s="455" t="s">
        <v>212</v>
      </c>
      <c r="M144" s="461" t="s">
        <v>214</v>
      </c>
      <c r="N144" s="454"/>
      <c r="O144" s="454" t="s">
        <v>215</v>
      </c>
      <c r="P144" s="458" t="s">
        <v>216</v>
      </c>
      <c r="Q144" s="459"/>
      <c r="R144" s="459"/>
      <c r="S144" s="460"/>
      <c r="T144" s="454" t="s">
        <v>212</v>
      </c>
      <c r="U144" s="458" t="s">
        <v>216</v>
      </c>
      <c r="V144" s="459"/>
      <c r="W144" s="459"/>
      <c r="X144" s="460"/>
      <c r="Y144" s="454" t="s">
        <v>212</v>
      </c>
      <c r="Z144" s="458" t="s">
        <v>216</v>
      </c>
      <c r="AA144" s="459"/>
      <c r="AB144" s="459"/>
      <c r="AC144" s="460"/>
      <c r="AD144" s="454" t="s">
        <v>212</v>
      </c>
      <c r="AE144" s="458" t="s">
        <v>216</v>
      </c>
      <c r="AF144" s="459"/>
      <c r="AG144" s="459"/>
      <c r="AH144" s="460"/>
      <c r="AI144" s="454" t="s">
        <v>212</v>
      </c>
      <c r="AJ144" s="458" t="s">
        <v>216</v>
      </c>
      <c r="AK144" s="459"/>
      <c r="AL144" s="459"/>
      <c r="AM144" s="460"/>
      <c r="AN144" s="454" t="s">
        <v>212</v>
      </c>
      <c r="AO144" s="458" t="s">
        <v>216</v>
      </c>
      <c r="AP144" s="459"/>
      <c r="AQ144" s="459"/>
      <c r="AR144" s="460"/>
      <c r="AS144" s="454" t="s">
        <v>212</v>
      </c>
      <c r="AT144" s="458" t="s">
        <v>216</v>
      </c>
      <c r="AU144" s="459"/>
      <c r="AV144" s="459"/>
      <c r="AW144" s="460"/>
      <c r="AX144" s="454" t="s">
        <v>212</v>
      </c>
    </row>
    <row r="145" spans="2:50">
      <c r="B145" s="454"/>
      <c r="C145" s="454"/>
      <c r="D145" s="454"/>
      <c r="E145" s="454" t="s">
        <v>217</v>
      </c>
      <c r="F145" s="454"/>
      <c r="G145" s="454"/>
      <c r="H145" s="456"/>
      <c r="I145" s="454" t="s">
        <v>217</v>
      </c>
      <c r="J145" s="454"/>
      <c r="K145" s="454"/>
      <c r="L145" s="456"/>
      <c r="M145" s="462"/>
      <c r="N145" s="454"/>
      <c r="O145" s="454"/>
      <c r="P145" s="458" t="s">
        <v>218</v>
      </c>
      <c r="Q145" s="459"/>
      <c r="R145" s="459"/>
      <c r="S145" s="460"/>
      <c r="T145" s="454"/>
      <c r="U145" s="458" t="s">
        <v>218</v>
      </c>
      <c r="V145" s="459"/>
      <c r="W145" s="459"/>
      <c r="X145" s="460"/>
      <c r="Y145" s="454"/>
      <c r="Z145" s="458" t="s">
        <v>218</v>
      </c>
      <c r="AA145" s="459"/>
      <c r="AB145" s="459"/>
      <c r="AC145" s="460"/>
      <c r="AD145" s="454"/>
      <c r="AE145" s="458" t="s">
        <v>218</v>
      </c>
      <c r="AF145" s="459"/>
      <c r="AG145" s="459"/>
      <c r="AH145" s="460"/>
      <c r="AI145" s="454"/>
      <c r="AJ145" s="458" t="s">
        <v>218</v>
      </c>
      <c r="AK145" s="459"/>
      <c r="AL145" s="459"/>
      <c r="AM145" s="460"/>
      <c r="AN145" s="454"/>
      <c r="AO145" s="458" t="s">
        <v>218</v>
      </c>
      <c r="AP145" s="459"/>
      <c r="AQ145" s="459"/>
      <c r="AR145" s="460"/>
      <c r="AS145" s="454"/>
      <c r="AT145" s="458" t="s">
        <v>218</v>
      </c>
      <c r="AU145" s="459"/>
      <c r="AV145" s="459"/>
      <c r="AW145" s="460"/>
      <c r="AX145" s="454"/>
    </row>
    <row r="146" spans="2:50">
      <c r="B146" s="454"/>
      <c r="C146" s="454"/>
      <c r="D146" s="454"/>
      <c r="E146" s="275" t="s">
        <v>219</v>
      </c>
      <c r="F146" s="275" t="s">
        <v>220</v>
      </c>
      <c r="G146" s="275" t="s">
        <v>221</v>
      </c>
      <c r="H146" s="457"/>
      <c r="I146" s="275" t="s">
        <v>219</v>
      </c>
      <c r="J146" s="275" t="s">
        <v>220</v>
      </c>
      <c r="K146" s="275" t="s">
        <v>221</v>
      </c>
      <c r="L146" s="457"/>
      <c r="M146" s="463"/>
      <c r="N146" s="454"/>
      <c r="O146" s="454"/>
      <c r="P146" s="275" t="s">
        <v>219</v>
      </c>
      <c r="Q146" s="275" t="s">
        <v>220</v>
      </c>
      <c r="R146" s="275" t="s">
        <v>221</v>
      </c>
      <c r="S146" s="275" t="s">
        <v>214</v>
      </c>
      <c r="T146" s="454"/>
      <c r="U146" s="275" t="s">
        <v>219</v>
      </c>
      <c r="V146" s="275" t="s">
        <v>220</v>
      </c>
      <c r="W146" s="275" t="s">
        <v>221</v>
      </c>
      <c r="X146" s="275" t="s">
        <v>214</v>
      </c>
      <c r="Y146" s="454"/>
      <c r="Z146" s="275" t="s">
        <v>219</v>
      </c>
      <c r="AA146" s="275" t="s">
        <v>220</v>
      </c>
      <c r="AB146" s="275" t="s">
        <v>221</v>
      </c>
      <c r="AC146" s="275" t="s">
        <v>214</v>
      </c>
      <c r="AD146" s="454"/>
      <c r="AE146" s="275" t="s">
        <v>219</v>
      </c>
      <c r="AF146" s="275" t="s">
        <v>220</v>
      </c>
      <c r="AG146" s="275" t="s">
        <v>221</v>
      </c>
      <c r="AH146" s="275" t="s">
        <v>214</v>
      </c>
      <c r="AI146" s="454"/>
      <c r="AJ146" s="275" t="s">
        <v>219</v>
      </c>
      <c r="AK146" s="275" t="s">
        <v>220</v>
      </c>
      <c r="AL146" s="275" t="s">
        <v>221</v>
      </c>
      <c r="AM146" s="275" t="s">
        <v>214</v>
      </c>
      <c r="AN146" s="454"/>
      <c r="AO146" s="275" t="s">
        <v>219</v>
      </c>
      <c r="AP146" s="275" t="s">
        <v>220</v>
      </c>
      <c r="AQ146" s="275" t="s">
        <v>221</v>
      </c>
      <c r="AR146" s="275" t="s">
        <v>214</v>
      </c>
      <c r="AS146" s="454"/>
      <c r="AT146" s="275" t="s">
        <v>219</v>
      </c>
      <c r="AU146" s="275" t="s">
        <v>220</v>
      </c>
      <c r="AV146" s="275" t="s">
        <v>221</v>
      </c>
      <c r="AW146" s="275" t="s">
        <v>214</v>
      </c>
      <c r="AX146" s="454"/>
    </row>
    <row r="147" spans="2:50">
      <c r="B147" s="454" t="s">
        <v>186</v>
      </c>
      <c r="C147" s="185">
        <v>1</v>
      </c>
      <c r="D147" s="206"/>
      <c r="E147" s="169"/>
      <c r="F147" s="185"/>
      <c r="G147" s="183"/>
      <c r="H147" s="451" t="e">
        <f>AVERAGE(G147:G176)</f>
        <v>#DIV/0!</v>
      </c>
      <c r="I147" s="169" t="e">
        <f>AVERAGE(P147,U147,Z147,AE147,AJ147,AO147,AT147)</f>
        <v>#DIV/0!</v>
      </c>
      <c r="J147" s="169" t="e">
        <f>AVERAGE(Q147,V147,AA147,AF147,AK147,AP147,AU147)</f>
        <v>#DIV/0!</v>
      </c>
      <c r="K147" s="183" t="e">
        <f>AVERAGE(R147,W147,AB147,AG147,AL147,AQ147,AV147)</f>
        <v>#DIV/0!</v>
      </c>
      <c r="L147" s="451" t="str">
        <f>IFERROR(AVERAGE(K147:K176),"-")</f>
        <v>-</v>
      </c>
      <c r="M147" s="184" t="e">
        <f>RANK(K147, K$147:$K$176)</f>
        <v>#DIV/0!</v>
      </c>
      <c r="N147" s="454"/>
      <c r="O147" s="454"/>
      <c r="P147" s="169"/>
      <c r="Q147" s="169"/>
      <c r="R147" s="169"/>
      <c r="S147" s="185" t="e">
        <f>RANK(R147, R$147:R$176)</f>
        <v>#N/A</v>
      </c>
      <c r="T147" s="494" t="e">
        <f>AVERAGE(R147:R176)</f>
        <v>#DIV/0!</v>
      </c>
      <c r="U147" s="169"/>
      <c r="V147" s="169"/>
      <c r="W147" s="169"/>
      <c r="X147" s="185" t="e">
        <f>RANK(W147, W$147:W$176)</f>
        <v>#N/A</v>
      </c>
      <c r="Y147" s="494" t="e">
        <f>AVERAGE(W147:W176)</f>
        <v>#DIV/0!</v>
      </c>
      <c r="Z147" s="169"/>
      <c r="AA147" s="169"/>
      <c r="AB147" s="169"/>
      <c r="AC147" s="185" t="e">
        <f>RANK(AB147, AB$147:AB$176)</f>
        <v>#N/A</v>
      </c>
      <c r="AD147" s="494" t="e">
        <f>AVERAGE(AB147:AB176)</f>
        <v>#DIV/0!</v>
      </c>
      <c r="AE147" s="169"/>
      <c r="AF147" s="169"/>
      <c r="AG147" s="169"/>
      <c r="AH147" s="185" t="e">
        <f>RANK(AG147, AG$147:AG$176)</f>
        <v>#N/A</v>
      </c>
      <c r="AI147" s="494" t="e">
        <f>AVERAGE(AG147:AG176)</f>
        <v>#DIV/0!</v>
      </c>
      <c r="AJ147" s="169"/>
      <c r="AK147" s="169"/>
      <c r="AL147" s="169"/>
      <c r="AM147" s="185" t="e">
        <f>RANK(AL147, AL$147:AL$176)</f>
        <v>#N/A</v>
      </c>
      <c r="AN147" s="494" t="e">
        <f>AVERAGE(AL147:AL176)</f>
        <v>#DIV/0!</v>
      </c>
      <c r="AO147" s="169"/>
      <c r="AP147" s="169"/>
      <c r="AQ147" s="169"/>
      <c r="AR147" s="185" t="e">
        <f>RANK(AQ147, AQ$147:AQ$176)</f>
        <v>#N/A</v>
      </c>
      <c r="AS147" s="494" t="e">
        <f>AVERAGE(AQ147:AQ176)</f>
        <v>#DIV/0!</v>
      </c>
      <c r="AT147" s="169"/>
      <c r="AU147" s="169"/>
      <c r="AV147" s="169"/>
      <c r="AW147" s="185" t="e">
        <f>RANK(AV147, AV$147:AV$176)</f>
        <v>#N/A</v>
      </c>
      <c r="AX147" s="494" t="e">
        <f>AVERAGE(AV147:AV176)</f>
        <v>#DIV/0!</v>
      </c>
    </row>
    <row r="148" spans="2:50">
      <c r="B148" s="471"/>
      <c r="C148" s="185">
        <v>2</v>
      </c>
      <c r="D148" s="206"/>
      <c r="E148" s="169"/>
      <c r="F148" s="185"/>
      <c r="G148" s="183"/>
      <c r="H148" s="452"/>
      <c r="I148" s="169" t="e">
        <f t="shared" ref="I148:I170" si="41">AVERAGE(P148,U148,Z148,AE148,AJ148,AO148,AT148)</f>
        <v>#DIV/0!</v>
      </c>
      <c r="J148" s="169" t="e">
        <f t="shared" ref="J148:J170" si="42">AVERAGE(Q148,V148,AA148,AF148,AK148,AP148,AU148)</f>
        <v>#DIV/0!</v>
      </c>
      <c r="K148" s="183" t="e">
        <f t="shared" ref="K148:K170" si="43">AVERAGE(R148,W148,AB148,AG148,AL148,AQ148,AV148)</f>
        <v>#DIV/0!</v>
      </c>
      <c r="L148" s="452"/>
      <c r="M148" s="184" t="e">
        <f>RANK(K148, K$147:$K$176)</f>
        <v>#DIV/0!</v>
      </c>
      <c r="N148" s="454"/>
      <c r="O148" s="454"/>
      <c r="P148" s="169"/>
      <c r="Q148" s="169"/>
      <c r="R148" s="169"/>
      <c r="S148" s="185" t="e">
        <f t="shared" ref="S148:S176" si="44">RANK(R148, R$147:R$176)</f>
        <v>#N/A</v>
      </c>
      <c r="T148" s="494"/>
      <c r="U148" s="169"/>
      <c r="V148" s="169"/>
      <c r="W148" s="169"/>
      <c r="X148" s="185" t="e">
        <f t="shared" ref="X148:X176" si="45">RANK(W148, W$147:W$176)</f>
        <v>#N/A</v>
      </c>
      <c r="Y148" s="494"/>
      <c r="Z148" s="169"/>
      <c r="AA148" s="169"/>
      <c r="AB148" s="169"/>
      <c r="AC148" s="185" t="e">
        <f t="shared" ref="AC148:AC176" si="46">RANK(AB148, AB$147:AB$176)</f>
        <v>#N/A</v>
      </c>
      <c r="AD148" s="494"/>
      <c r="AE148" s="169"/>
      <c r="AF148" s="169"/>
      <c r="AG148" s="169"/>
      <c r="AH148" s="185" t="e">
        <f t="shared" ref="AH148:AH176" si="47">RANK(AG148, AG$147:AG$176)</f>
        <v>#N/A</v>
      </c>
      <c r="AI148" s="494"/>
      <c r="AJ148" s="169"/>
      <c r="AK148" s="169"/>
      <c r="AL148" s="169"/>
      <c r="AM148" s="185" t="e">
        <f t="shared" ref="AM148:AM176" si="48">RANK(AL148, AL$147:AL$176)</f>
        <v>#N/A</v>
      </c>
      <c r="AN148" s="494"/>
      <c r="AO148" s="169"/>
      <c r="AP148" s="169"/>
      <c r="AQ148" s="169"/>
      <c r="AR148" s="185" t="e">
        <f t="shared" ref="AR148:AR176" si="49">RANK(AQ148, AQ$147:AQ$176)</f>
        <v>#N/A</v>
      </c>
      <c r="AS148" s="494"/>
      <c r="AT148" s="169"/>
      <c r="AU148" s="169"/>
      <c r="AV148" s="169"/>
      <c r="AW148" s="185" t="e">
        <f t="shared" ref="AW148:AW176" si="50">RANK(AV148, AV$147:AV$176)</f>
        <v>#N/A</v>
      </c>
      <c r="AX148" s="494"/>
    </row>
    <row r="149" spans="2:50">
      <c r="B149" s="471"/>
      <c r="C149" s="185">
        <v>3</v>
      </c>
      <c r="D149" s="206"/>
      <c r="E149" s="169"/>
      <c r="F149" s="185"/>
      <c r="G149" s="183"/>
      <c r="H149" s="452"/>
      <c r="I149" s="169" t="e">
        <f t="shared" si="41"/>
        <v>#DIV/0!</v>
      </c>
      <c r="J149" s="169" t="e">
        <f t="shared" si="42"/>
        <v>#DIV/0!</v>
      </c>
      <c r="K149" s="183" t="e">
        <f t="shared" si="43"/>
        <v>#DIV/0!</v>
      </c>
      <c r="L149" s="452"/>
      <c r="M149" s="184" t="e">
        <f>RANK(K149, K$147:$K$176)</f>
        <v>#DIV/0!</v>
      </c>
      <c r="N149" s="454"/>
      <c r="O149" s="454"/>
      <c r="P149" s="169"/>
      <c r="Q149" s="169"/>
      <c r="R149" s="169"/>
      <c r="S149" s="185" t="e">
        <f t="shared" si="44"/>
        <v>#N/A</v>
      </c>
      <c r="T149" s="494"/>
      <c r="U149" s="169"/>
      <c r="V149" s="169"/>
      <c r="W149" s="169"/>
      <c r="X149" s="185" t="e">
        <f t="shared" si="45"/>
        <v>#N/A</v>
      </c>
      <c r="Y149" s="494"/>
      <c r="Z149" s="169"/>
      <c r="AA149" s="169"/>
      <c r="AB149" s="169"/>
      <c r="AC149" s="185" t="e">
        <f t="shared" si="46"/>
        <v>#N/A</v>
      </c>
      <c r="AD149" s="494"/>
      <c r="AE149" s="169"/>
      <c r="AF149" s="169"/>
      <c r="AG149" s="169"/>
      <c r="AH149" s="185" t="e">
        <f t="shared" si="47"/>
        <v>#N/A</v>
      </c>
      <c r="AI149" s="494"/>
      <c r="AJ149" s="169"/>
      <c r="AK149" s="169"/>
      <c r="AL149" s="169"/>
      <c r="AM149" s="185" t="e">
        <f t="shared" si="48"/>
        <v>#N/A</v>
      </c>
      <c r="AN149" s="494"/>
      <c r="AO149" s="169"/>
      <c r="AP149" s="169"/>
      <c r="AQ149" s="169"/>
      <c r="AR149" s="185" t="e">
        <f t="shared" si="49"/>
        <v>#N/A</v>
      </c>
      <c r="AS149" s="494"/>
      <c r="AT149" s="169"/>
      <c r="AU149" s="169"/>
      <c r="AV149" s="169"/>
      <c r="AW149" s="185" t="e">
        <f t="shared" si="50"/>
        <v>#N/A</v>
      </c>
      <c r="AX149" s="494"/>
    </row>
    <row r="150" spans="2:50">
      <c r="B150" s="471"/>
      <c r="C150" s="185">
        <v>4</v>
      </c>
      <c r="D150" s="206"/>
      <c r="E150" s="169"/>
      <c r="F150" s="185"/>
      <c r="G150" s="183"/>
      <c r="H150" s="452"/>
      <c r="I150" s="169" t="e">
        <f t="shared" si="41"/>
        <v>#DIV/0!</v>
      </c>
      <c r="J150" s="169" t="e">
        <f t="shared" si="42"/>
        <v>#DIV/0!</v>
      </c>
      <c r="K150" s="183" t="e">
        <f t="shared" si="43"/>
        <v>#DIV/0!</v>
      </c>
      <c r="L150" s="452"/>
      <c r="M150" s="184" t="e">
        <f>RANK(K150, K$147:$K$176)</f>
        <v>#DIV/0!</v>
      </c>
      <c r="N150" s="454"/>
      <c r="O150" s="454"/>
      <c r="P150" s="169"/>
      <c r="Q150" s="169"/>
      <c r="R150" s="169"/>
      <c r="S150" s="185" t="e">
        <f t="shared" si="44"/>
        <v>#N/A</v>
      </c>
      <c r="T150" s="494"/>
      <c r="U150" s="169"/>
      <c r="V150" s="169"/>
      <c r="W150" s="169"/>
      <c r="X150" s="185" t="e">
        <f t="shared" si="45"/>
        <v>#N/A</v>
      </c>
      <c r="Y150" s="494"/>
      <c r="Z150" s="169"/>
      <c r="AA150" s="169"/>
      <c r="AB150" s="169"/>
      <c r="AC150" s="185" t="e">
        <f t="shared" si="46"/>
        <v>#N/A</v>
      </c>
      <c r="AD150" s="494"/>
      <c r="AE150" s="169"/>
      <c r="AF150" s="169"/>
      <c r="AG150" s="169"/>
      <c r="AH150" s="185" t="e">
        <f t="shared" si="47"/>
        <v>#N/A</v>
      </c>
      <c r="AI150" s="494"/>
      <c r="AJ150" s="169"/>
      <c r="AK150" s="169"/>
      <c r="AL150" s="169"/>
      <c r="AM150" s="185" t="e">
        <f t="shared" si="48"/>
        <v>#N/A</v>
      </c>
      <c r="AN150" s="494"/>
      <c r="AO150" s="169"/>
      <c r="AP150" s="169"/>
      <c r="AQ150" s="169"/>
      <c r="AR150" s="185" t="e">
        <f t="shared" si="49"/>
        <v>#N/A</v>
      </c>
      <c r="AS150" s="494"/>
      <c r="AT150" s="169"/>
      <c r="AU150" s="169"/>
      <c r="AV150" s="169"/>
      <c r="AW150" s="185" t="e">
        <f t="shared" si="50"/>
        <v>#N/A</v>
      </c>
      <c r="AX150" s="494"/>
    </row>
    <row r="151" spans="2:50">
      <c r="B151" s="471"/>
      <c r="C151" s="185">
        <v>5</v>
      </c>
      <c r="D151" s="206"/>
      <c r="E151" s="169"/>
      <c r="F151" s="185"/>
      <c r="G151" s="183"/>
      <c r="H151" s="452"/>
      <c r="I151" s="169" t="e">
        <f t="shared" si="41"/>
        <v>#DIV/0!</v>
      </c>
      <c r="J151" s="169" t="e">
        <f t="shared" si="42"/>
        <v>#DIV/0!</v>
      </c>
      <c r="K151" s="183" t="e">
        <f t="shared" si="43"/>
        <v>#DIV/0!</v>
      </c>
      <c r="L151" s="452"/>
      <c r="M151" s="184" t="e">
        <f>RANK(K151, K$147:$K$176)</f>
        <v>#DIV/0!</v>
      </c>
      <c r="N151" s="454"/>
      <c r="O151" s="454"/>
      <c r="P151" s="169"/>
      <c r="Q151" s="169"/>
      <c r="R151" s="169"/>
      <c r="S151" s="185" t="e">
        <f t="shared" si="44"/>
        <v>#N/A</v>
      </c>
      <c r="T151" s="494"/>
      <c r="U151" s="169"/>
      <c r="V151" s="169"/>
      <c r="W151" s="169"/>
      <c r="X151" s="185" t="e">
        <f t="shared" si="45"/>
        <v>#N/A</v>
      </c>
      <c r="Y151" s="494"/>
      <c r="Z151" s="169"/>
      <c r="AA151" s="169"/>
      <c r="AB151" s="169"/>
      <c r="AC151" s="185" t="e">
        <f t="shared" si="46"/>
        <v>#N/A</v>
      </c>
      <c r="AD151" s="494"/>
      <c r="AE151" s="169"/>
      <c r="AF151" s="169"/>
      <c r="AG151" s="169"/>
      <c r="AH151" s="185" t="e">
        <f t="shared" si="47"/>
        <v>#N/A</v>
      </c>
      <c r="AI151" s="494"/>
      <c r="AJ151" s="169"/>
      <c r="AK151" s="169"/>
      <c r="AL151" s="169"/>
      <c r="AM151" s="185" t="e">
        <f t="shared" si="48"/>
        <v>#N/A</v>
      </c>
      <c r="AN151" s="494"/>
      <c r="AO151" s="169"/>
      <c r="AP151" s="169"/>
      <c r="AQ151" s="169"/>
      <c r="AR151" s="185" t="e">
        <f t="shared" si="49"/>
        <v>#N/A</v>
      </c>
      <c r="AS151" s="494"/>
      <c r="AT151" s="169"/>
      <c r="AU151" s="169"/>
      <c r="AV151" s="169"/>
      <c r="AW151" s="185" t="e">
        <f t="shared" si="50"/>
        <v>#N/A</v>
      </c>
      <c r="AX151" s="494"/>
    </row>
    <row r="152" spans="2:50">
      <c r="B152" s="471"/>
      <c r="C152" s="185">
        <v>6</v>
      </c>
      <c r="D152" s="206"/>
      <c r="E152" s="169"/>
      <c r="F152" s="185"/>
      <c r="G152" s="183"/>
      <c r="H152" s="452"/>
      <c r="I152" s="169" t="e">
        <f t="shared" si="41"/>
        <v>#DIV/0!</v>
      </c>
      <c r="J152" s="169" t="e">
        <f t="shared" si="42"/>
        <v>#DIV/0!</v>
      </c>
      <c r="K152" s="183" t="e">
        <f t="shared" si="43"/>
        <v>#DIV/0!</v>
      </c>
      <c r="L152" s="452"/>
      <c r="M152" s="184" t="e">
        <f>RANK(K152, K$147:$K$176)</f>
        <v>#DIV/0!</v>
      </c>
      <c r="N152" s="454"/>
      <c r="O152" s="454"/>
      <c r="P152" s="169"/>
      <c r="Q152" s="169"/>
      <c r="R152" s="169"/>
      <c r="S152" s="185" t="e">
        <f t="shared" si="44"/>
        <v>#N/A</v>
      </c>
      <c r="T152" s="494"/>
      <c r="U152" s="169"/>
      <c r="V152" s="169"/>
      <c r="W152" s="169"/>
      <c r="X152" s="185" t="e">
        <f t="shared" si="45"/>
        <v>#N/A</v>
      </c>
      <c r="Y152" s="494"/>
      <c r="Z152" s="169"/>
      <c r="AA152" s="169"/>
      <c r="AB152" s="169"/>
      <c r="AC152" s="185" t="e">
        <f t="shared" si="46"/>
        <v>#N/A</v>
      </c>
      <c r="AD152" s="494"/>
      <c r="AE152" s="169"/>
      <c r="AF152" s="169"/>
      <c r="AG152" s="169"/>
      <c r="AH152" s="185" t="e">
        <f t="shared" si="47"/>
        <v>#N/A</v>
      </c>
      <c r="AI152" s="494"/>
      <c r="AJ152" s="169"/>
      <c r="AK152" s="169"/>
      <c r="AL152" s="169"/>
      <c r="AM152" s="185" t="e">
        <f t="shared" si="48"/>
        <v>#N/A</v>
      </c>
      <c r="AN152" s="494"/>
      <c r="AO152" s="169"/>
      <c r="AP152" s="169"/>
      <c r="AQ152" s="169"/>
      <c r="AR152" s="185" t="e">
        <f t="shared" si="49"/>
        <v>#N/A</v>
      </c>
      <c r="AS152" s="494"/>
      <c r="AT152" s="169"/>
      <c r="AU152" s="169"/>
      <c r="AV152" s="169"/>
      <c r="AW152" s="185" t="e">
        <f t="shared" si="50"/>
        <v>#N/A</v>
      </c>
      <c r="AX152" s="494"/>
    </row>
    <row r="153" spans="2:50">
      <c r="B153" s="471"/>
      <c r="C153" s="185">
        <v>7</v>
      </c>
      <c r="D153" s="206"/>
      <c r="E153" s="169"/>
      <c r="F153" s="185"/>
      <c r="G153" s="183"/>
      <c r="H153" s="452"/>
      <c r="I153" s="169" t="e">
        <f t="shared" si="41"/>
        <v>#DIV/0!</v>
      </c>
      <c r="J153" s="169" t="e">
        <f t="shared" si="42"/>
        <v>#DIV/0!</v>
      </c>
      <c r="K153" s="183" t="e">
        <f t="shared" si="43"/>
        <v>#DIV/0!</v>
      </c>
      <c r="L153" s="452"/>
      <c r="M153" s="184" t="e">
        <f>RANK(K153, K$147:$K$176)</f>
        <v>#DIV/0!</v>
      </c>
      <c r="N153" s="454"/>
      <c r="O153" s="454"/>
      <c r="P153" s="169"/>
      <c r="Q153" s="169"/>
      <c r="R153" s="169"/>
      <c r="S153" s="185" t="e">
        <f t="shared" si="44"/>
        <v>#N/A</v>
      </c>
      <c r="T153" s="494"/>
      <c r="U153" s="169"/>
      <c r="V153" s="169"/>
      <c r="W153" s="169"/>
      <c r="X153" s="185" t="e">
        <f t="shared" si="45"/>
        <v>#N/A</v>
      </c>
      <c r="Y153" s="494"/>
      <c r="Z153" s="169"/>
      <c r="AA153" s="169"/>
      <c r="AB153" s="169"/>
      <c r="AC153" s="185" t="e">
        <f t="shared" si="46"/>
        <v>#N/A</v>
      </c>
      <c r="AD153" s="494"/>
      <c r="AE153" s="169"/>
      <c r="AF153" s="169"/>
      <c r="AG153" s="169"/>
      <c r="AH153" s="185" t="e">
        <f t="shared" si="47"/>
        <v>#N/A</v>
      </c>
      <c r="AI153" s="494"/>
      <c r="AJ153" s="169"/>
      <c r="AK153" s="169"/>
      <c r="AL153" s="169"/>
      <c r="AM153" s="185" t="e">
        <f t="shared" si="48"/>
        <v>#N/A</v>
      </c>
      <c r="AN153" s="494"/>
      <c r="AO153" s="169"/>
      <c r="AP153" s="169"/>
      <c r="AQ153" s="169"/>
      <c r="AR153" s="185" t="e">
        <f t="shared" si="49"/>
        <v>#N/A</v>
      </c>
      <c r="AS153" s="494"/>
      <c r="AT153" s="169"/>
      <c r="AU153" s="169"/>
      <c r="AV153" s="169"/>
      <c r="AW153" s="185" t="e">
        <f t="shared" si="50"/>
        <v>#N/A</v>
      </c>
      <c r="AX153" s="494"/>
    </row>
    <row r="154" spans="2:50">
      <c r="B154" s="471"/>
      <c r="C154" s="185">
        <v>8</v>
      </c>
      <c r="D154" s="206"/>
      <c r="E154" s="169"/>
      <c r="F154" s="185"/>
      <c r="G154" s="183"/>
      <c r="H154" s="452"/>
      <c r="I154" s="169" t="e">
        <f t="shared" si="41"/>
        <v>#DIV/0!</v>
      </c>
      <c r="J154" s="169" t="e">
        <f t="shared" si="42"/>
        <v>#DIV/0!</v>
      </c>
      <c r="K154" s="183" t="e">
        <f t="shared" si="43"/>
        <v>#DIV/0!</v>
      </c>
      <c r="L154" s="452"/>
      <c r="M154" s="184" t="e">
        <f>RANK(K154, K$147:$K$176)</f>
        <v>#DIV/0!</v>
      </c>
      <c r="N154" s="454"/>
      <c r="O154" s="454"/>
      <c r="P154" s="169"/>
      <c r="Q154" s="169"/>
      <c r="R154" s="169"/>
      <c r="S154" s="185" t="e">
        <f t="shared" si="44"/>
        <v>#N/A</v>
      </c>
      <c r="T154" s="494"/>
      <c r="U154" s="169"/>
      <c r="V154" s="169"/>
      <c r="W154" s="169"/>
      <c r="X154" s="185" t="e">
        <f t="shared" si="45"/>
        <v>#N/A</v>
      </c>
      <c r="Y154" s="494"/>
      <c r="Z154" s="169"/>
      <c r="AA154" s="169"/>
      <c r="AB154" s="169"/>
      <c r="AC154" s="185" t="e">
        <f t="shared" si="46"/>
        <v>#N/A</v>
      </c>
      <c r="AD154" s="494"/>
      <c r="AE154" s="169"/>
      <c r="AF154" s="169"/>
      <c r="AG154" s="169"/>
      <c r="AH154" s="185" t="e">
        <f t="shared" si="47"/>
        <v>#N/A</v>
      </c>
      <c r="AI154" s="494"/>
      <c r="AJ154" s="169"/>
      <c r="AK154" s="169"/>
      <c r="AL154" s="169"/>
      <c r="AM154" s="185" t="e">
        <f t="shared" si="48"/>
        <v>#N/A</v>
      </c>
      <c r="AN154" s="494"/>
      <c r="AO154" s="169"/>
      <c r="AP154" s="169"/>
      <c r="AQ154" s="169"/>
      <c r="AR154" s="185" t="e">
        <f t="shared" si="49"/>
        <v>#N/A</v>
      </c>
      <c r="AS154" s="494"/>
      <c r="AT154" s="169"/>
      <c r="AU154" s="169"/>
      <c r="AV154" s="169"/>
      <c r="AW154" s="185" t="e">
        <f t="shared" si="50"/>
        <v>#N/A</v>
      </c>
      <c r="AX154" s="494"/>
    </row>
    <row r="155" spans="2:50">
      <c r="B155" s="471"/>
      <c r="C155" s="185">
        <v>9</v>
      </c>
      <c r="D155" s="206"/>
      <c r="E155" s="169"/>
      <c r="F155" s="185"/>
      <c r="G155" s="183"/>
      <c r="H155" s="452"/>
      <c r="I155" s="169" t="e">
        <f t="shared" si="41"/>
        <v>#DIV/0!</v>
      </c>
      <c r="J155" s="169" t="e">
        <f t="shared" si="42"/>
        <v>#DIV/0!</v>
      </c>
      <c r="K155" s="183" t="e">
        <f t="shared" si="43"/>
        <v>#DIV/0!</v>
      </c>
      <c r="L155" s="452"/>
      <c r="M155" s="184" t="e">
        <f>RANK(K155, K$147:$K$176)</f>
        <v>#DIV/0!</v>
      </c>
      <c r="N155" s="454"/>
      <c r="O155" s="454"/>
      <c r="P155" s="169"/>
      <c r="Q155" s="169"/>
      <c r="R155" s="169"/>
      <c r="S155" s="185" t="e">
        <f t="shared" si="44"/>
        <v>#N/A</v>
      </c>
      <c r="T155" s="494"/>
      <c r="U155" s="169"/>
      <c r="V155" s="169"/>
      <c r="W155" s="169"/>
      <c r="X155" s="185" t="e">
        <f t="shared" si="45"/>
        <v>#N/A</v>
      </c>
      <c r="Y155" s="494"/>
      <c r="Z155" s="169"/>
      <c r="AA155" s="169"/>
      <c r="AB155" s="169"/>
      <c r="AC155" s="185" t="e">
        <f t="shared" si="46"/>
        <v>#N/A</v>
      </c>
      <c r="AD155" s="494"/>
      <c r="AE155" s="169"/>
      <c r="AF155" s="169"/>
      <c r="AG155" s="169"/>
      <c r="AH155" s="185" t="e">
        <f t="shared" si="47"/>
        <v>#N/A</v>
      </c>
      <c r="AI155" s="494"/>
      <c r="AJ155" s="169"/>
      <c r="AK155" s="169"/>
      <c r="AL155" s="169"/>
      <c r="AM155" s="185" t="e">
        <f t="shared" si="48"/>
        <v>#N/A</v>
      </c>
      <c r="AN155" s="494"/>
      <c r="AO155" s="169"/>
      <c r="AP155" s="169"/>
      <c r="AQ155" s="169"/>
      <c r="AR155" s="185" t="e">
        <f t="shared" si="49"/>
        <v>#N/A</v>
      </c>
      <c r="AS155" s="494"/>
      <c r="AT155" s="169"/>
      <c r="AU155" s="169"/>
      <c r="AV155" s="169"/>
      <c r="AW155" s="185" t="e">
        <f t="shared" si="50"/>
        <v>#N/A</v>
      </c>
      <c r="AX155" s="494"/>
    </row>
    <row r="156" spans="2:50">
      <c r="B156" s="471"/>
      <c r="C156" s="185">
        <v>10</v>
      </c>
      <c r="D156" s="206"/>
      <c r="E156" s="169"/>
      <c r="F156" s="185"/>
      <c r="G156" s="183"/>
      <c r="H156" s="452"/>
      <c r="I156" s="169" t="e">
        <f t="shared" si="41"/>
        <v>#DIV/0!</v>
      </c>
      <c r="J156" s="169" t="e">
        <f t="shared" si="42"/>
        <v>#DIV/0!</v>
      </c>
      <c r="K156" s="183" t="e">
        <f t="shared" si="43"/>
        <v>#DIV/0!</v>
      </c>
      <c r="L156" s="452"/>
      <c r="M156" s="184" t="e">
        <f>RANK(K156, K$147:$K$176)</f>
        <v>#DIV/0!</v>
      </c>
      <c r="N156" s="454"/>
      <c r="O156" s="454"/>
      <c r="P156" s="169"/>
      <c r="Q156" s="169"/>
      <c r="R156" s="169"/>
      <c r="S156" s="185" t="e">
        <f t="shared" si="44"/>
        <v>#N/A</v>
      </c>
      <c r="T156" s="494"/>
      <c r="U156" s="169"/>
      <c r="V156" s="169"/>
      <c r="W156" s="169"/>
      <c r="X156" s="185" t="e">
        <f t="shared" si="45"/>
        <v>#N/A</v>
      </c>
      <c r="Y156" s="494"/>
      <c r="Z156" s="169"/>
      <c r="AA156" s="169"/>
      <c r="AB156" s="169"/>
      <c r="AC156" s="185" t="e">
        <f t="shared" si="46"/>
        <v>#N/A</v>
      </c>
      <c r="AD156" s="494"/>
      <c r="AE156" s="169"/>
      <c r="AF156" s="169"/>
      <c r="AG156" s="169"/>
      <c r="AH156" s="185" t="e">
        <f t="shared" si="47"/>
        <v>#N/A</v>
      </c>
      <c r="AI156" s="494"/>
      <c r="AJ156" s="169"/>
      <c r="AK156" s="169"/>
      <c r="AL156" s="169"/>
      <c r="AM156" s="185" t="e">
        <f t="shared" si="48"/>
        <v>#N/A</v>
      </c>
      <c r="AN156" s="494"/>
      <c r="AO156" s="169"/>
      <c r="AP156" s="169"/>
      <c r="AQ156" s="169"/>
      <c r="AR156" s="185" t="e">
        <f t="shared" si="49"/>
        <v>#N/A</v>
      </c>
      <c r="AS156" s="494"/>
      <c r="AT156" s="169"/>
      <c r="AU156" s="169"/>
      <c r="AV156" s="169"/>
      <c r="AW156" s="185" t="e">
        <f t="shared" si="50"/>
        <v>#N/A</v>
      </c>
      <c r="AX156" s="494"/>
    </row>
    <row r="157" spans="2:50">
      <c r="B157" s="471"/>
      <c r="C157" s="185">
        <v>11</v>
      </c>
      <c r="D157" s="206"/>
      <c r="E157" s="169"/>
      <c r="F157" s="185"/>
      <c r="G157" s="183"/>
      <c r="H157" s="452"/>
      <c r="I157" s="169" t="e">
        <f t="shared" si="41"/>
        <v>#DIV/0!</v>
      </c>
      <c r="J157" s="169" t="e">
        <f t="shared" si="42"/>
        <v>#DIV/0!</v>
      </c>
      <c r="K157" s="183" t="e">
        <f t="shared" si="43"/>
        <v>#DIV/0!</v>
      </c>
      <c r="L157" s="452"/>
      <c r="M157" s="184" t="e">
        <f>RANK(K157, K$147:$K$176)</f>
        <v>#DIV/0!</v>
      </c>
      <c r="N157" s="454"/>
      <c r="O157" s="454"/>
      <c r="P157" s="169"/>
      <c r="Q157" s="169"/>
      <c r="R157" s="169"/>
      <c r="S157" s="185" t="e">
        <f t="shared" si="44"/>
        <v>#N/A</v>
      </c>
      <c r="T157" s="494"/>
      <c r="U157" s="169"/>
      <c r="V157" s="169"/>
      <c r="W157" s="169"/>
      <c r="X157" s="185" t="e">
        <f t="shared" si="45"/>
        <v>#N/A</v>
      </c>
      <c r="Y157" s="494"/>
      <c r="Z157" s="169"/>
      <c r="AA157" s="169"/>
      <c r="AB157" s="169"/>
      <c r="AC157" s="185" t="e">
        <f t="shared" si="46"/>
        <v>#N/A</v>
      </c>
      <c r="AD157" s="494"/>
      <c r="AE157" s="169"/>
      <c r="AF157" s="169"/>
      <c r="AG157" s="169"/>
      <c r="AH157" s="185" t="e">
        <f t="shared" si="47"/>
        <v>#N/A</v>
      </c>
      <c r="AI157" s="494"/>
      <c r="AJ157" s="169"/>
      <c r="AK157" s="169"/>
      <c r="AL157" s="169"/>
      <c r="AM157" s="185" t="e">
        <f t="shared" si="48"/>
        <v>#N/A</v>
      </c>
      <c r="AN157" s="494"/>
      <c r="AO157" s="169"/>
      <c r="AP157" s="169"/>
      <c r="AQ157" s="169"/>
      <c r="AR157" s="185" t="e">
        <f t="shared" si="49"/>
        <v>#N/A</v>
      </c>
      <c r="AS157" s="494"/>
      <c r="AT157" s="169"/>
      <c r="AU157" s="169"/>
      <c r="AV157" s="169"/>
      <c r="AW157" s="185" t="e">
        <f t="shared" si="50"/>
        <v>#N/A</v>
      </c>
      <c r="AX157" s="494"/>
    </row>
    <row r="158" spans="2:50">
      <c r="B158" s="471"/>
      <c r="C158" s="185">
        <v>12</v>
      </c>
      <c r="D158" s="206"/>
      <c r="E158" s="169"/>
      <c r="F158" s="185"/>
      <c r="G158" s="183"/>
      <c r="H158" s="452"/>
      <c r="I158" s="169" t="e">
        <f t="shared" si="41"/>
        <v>#DIV/0!</v>
      </c>
      <c r="J158" s="169" t="e">
        <f t="shared" si="42"/>
        <v>#DIV/0!</v>
      </c>
      <c r="K158" s="183" t="e">
        <f t="shared" si="43"/>
        <v>#DIV/0!</v>
      </c>
      <c r="L158" s="452"/>
      <c r="M158" s="184" t="e">
        <f>RANK(K158, K$147:$K$176)</f>
        <v>#DIV/0!</v>
      </c>
      <c r="N158" s="454"/>
      <c r="O158" s="454"/>
      <c r="P158" s="169"/>
      <c r="Q158" s="169"/>
      <c r="R158" s="169"/>
      <c r="S158" s="185" t="e">
        <f t="shared" si="44"/>
        <v>#N/A</v>
      </c>
      <c r="T158" s="494"/>
      <c r="U158" s="169"/>
      <c r="V158" s="169"/>
      <c r="W158" s="169"/>
      <c r="X158" s="185" t="e">
        <f t="shared" si="45"/>
        <v>#N/A</v>
      </c>
      <c r="Y158" s="494"/>
      <c r="Z158" s="169"/>
      <c r="AA158" s="169"/>
      <c r="AB158" s="169"/>
      <c r="AC158" s="185" t="e">
        <f t="shared" si="46"/>
        <v>#N/A</v>
      </c>
      <c r="AD158" s="494"/>
      <c r="AE158" s="169"/>
      <c r="AF158" s="169"/>
      <c r="AG158" s="169"/>
      <c r="AH158" s="185" t="e">
        <f t="shared" si="47"/>
        <v>#N/A</v>
      </c>
      <c r="AI158" s="494"/>
      <c r="AJ158" s="169"/>
      <c r="AK158" s="169"/>
      <c r="AL158" s="169"/>
      <c r="AM158" s="185" t="e">
        <f t="shared" si="48"/>
        <v>#N/A</v>
      </c>
      <c r="AN158" s="494"/>
      <c r="AO158" s="169"/>
      <c r="AP158" s="169"/>
      <c r="AQ158" s="169"/>
      <c r="AR158" s="185" t="e">
        <f t="shared" si="49"/>
        <v>#N/A</v>
      </c>
      <c r="AS158" s="494"/>
      <c r="AT158" s="169"/>
      <c r="AU158" s="169"/>
      <c r="AV158" s="169"/>
      <c r="AW158" s="185" t="e">
        <f t="shared" si="50"/>
        <v>#N/A</v>
      </c>
      <c r="AX158" s="494"/>
    </row>
    <row r="159" spans="2:50">
      <c r="B159" s="471"/>
      <c r="C159" s="185">
        <v>13</v>
      </c>
      <c r="D159" s="206"/>
      <c r="E159" s="169"/>
      <c r="F159" s="185"/>
      <c r="G159" s="183"/>
      <c r="H159" s="452"/>
      <c r="I159" s="169" t="e">
        <f t="shared" si="41"/>
        <v>#DIV/0!</v>
      </c>
      <c r="J159" s="169" t="e">
        <f t="shared" si="42"/>
        <v>#DIV/0!</v>
      </c>
      <c r="K159" s="183" t="e">
        <f t="shared" si="43"/>
        <v>#DIV/0!</v>
      </c>
      <c r="L159" s="452"/>
      <c r="M159" s="184" t="e">
        <f>RANK(K159, K$147:$K$176)</f>
        <v>#DIV/0!</v>
      </c>
      <c r="N159" s="454"/>
      <c r="O159" s="454"/>
      <c r="P159" s="169"/>
      <c r="Q159" s="169"/>
      <c r="R159" s="169"/>
      <c r="S159" s="185" t="e">
        <f t="shared" si="44"/>
        <v>#N/A</v>
      </c>
      <c r="T159" s="494"/>
      <c r="U159" s="169"/>
      <c r="V159" s="169"/>
      <c r="W159" s="169"/>
      <c r="X159" s="185" t="e">
        <f t="shared" si="45"/>
        <v>#N/A</v>
      </c>
      <c r="Y159" s="494"/>
      <c r="Z159" s="169"/>
      <c r="AA159" s="169"/>
      <c r="AB159" s="169"/>
      <c r="AC159" s="185" t="e">
        <f t="shared" si="46"/>
        <v>#N/A</v>
      </c>
      <c r="AD159" s="494"/>
      <c r="AE159" s="169"/>
      <c r="AF159" s="169"/>
      <c r="AG159" s="169"/>
      <c r="AH159" s="185" t="e">
        <f t="shared" si="47"/>
        <v>#N/A</v>
      </c>
      <c r="AI159" s="494"/>
      <c r="AJ159" s="169"/>
      <c r="AK159" s="169"/>
      <c r="AL159" s="169"/>
      <c r="AM159" s="185" t="e">
        <f t="shared" si="48"/>
        <v>#N/A</v>
      </c>
      <c r="AN159" s="494"/>
      <c r="AO159" s="169"/>
      <c r="AP159" s="169"/>
      <c r="AQ159" s="169"/>
      <c r="AR159" s="185" t="e">
        <f t="shared" si="49"/>
        <v>#N/A</v>
      </c>
      <c r="AS159" s="494"/>
      <c r="AT159" s="169"/>
      <c r="AU159" s="169"/>
      <c r="AV159" s="169"/>
      <c r="AW159" s="185" t="e">
        <f t="shared" si="50"/>
        <v>#N/A</v>
      </c>
      <c r="AX159" s="494"/>
    </row>
    <row r="160" spans="2:50">
      <c r="B160" s="471"/>
      <c r="C160" s="185">
        <v>14</v>
      </c>
      <c r="D160" s="206"/>
      <c r="E160" s="169"/>
      <c r="F160" s="185"/>
      <c r="G160" s="183"/>
      <c r="H160" s="452"/>
      <c r="I160" s="169" t="e">
        <f t="shared" si="41"/>
        <v>#DIV/0!</v>
      </c>
      <c r="J160" s="169" t="e">
        <f t="shared" si="42"/>
        <v>#DIV/0!</v>
      </c>
      <c r="K160" s="183" t="e">
        <f t="shared" si="43"/>
        <v>#DIV/0!</v>
      </c>
      <c r="L160" s="452"/>
      <c r="M160" s="184" t="e">
        <f>RANK(K160, K$147:$K$176)</f>
        <v>#DIV/0!</v>
      </c>
      <c r="N160" s="454"/>
      <c r="O160" s="454"/>
      <c r="P160" s="169"/>
      <c r="Q160" s="169"/>
      <c r="R160" s="169"/>
      <c r="S160" s="185" t="e">
        <f t="shared" si="44"/>
        <v>#N/A</v>
      </c>
      <c r="T160" s="494"/>
      <c r="U160" s="169"/>
      <c r="V160" s="169"/>
      <c r="W160" s="169"/>
      <c r="X160" s="185" t="e">
        <f t="shared" si="45"/>
        <v>#N/A</v>
      </c>
      <c r="Y160" s="494"/>
      <c r="Z160" s="169"/>
      <c r="AA160" s="169"/>
      <c r="AB160" s="169"/>
      <c r="AC160" s="185" t="e">
        <f t="shared" si="46"/>
        <v>#N/A</v>
      </c>
      <c r="AD160" s="494"/>
      <c r="AE160" s="169"/>
      <c r="AF160" s="169"/>
      <c r="AG160" s="169"/>
      <c r="AH160" s="185" t="e">
        <f t="shared" si="47"/>
        <v>#N/A</v>
      </c>
      <c r="AI160" s="494"/>
      <c r="AJ160" s="169"/>
      <c r="AK160" s="169"/>
      <c r="AL160" s="169"/>
      <c r="AM160" s="185" t="e">
        <f t="shared" si="48"/>
        <v>#N/A</v>
      </c>
      <c r="AN160" s="494"/>
      <c r="AO160" s="169"/>
      <c r="AP160" s="169"/>
      <c r="AQ160" s="169"/>
      <c r="AR160" s="185" t="e">
        <f t="shared" si="49"/>
        <v>#N/A</v>
      </c>
      <c r="AS160" s="494"/>
      <c r="AT160" s="169"/>
      <c r="AU160" s="169"/>
      <c r="AV160" s="169"/>
      <c r="AW160" s="185" t="e">
        <f t="shared" si="50"/>
        <v>#N/A</v>
      </c>
      <c r="AX160" s="494"/>
    </row>
    <row r="161" spans="2:50">
      <c r="B161" s="471"/>
      <c r="C161" s="185">
        <v>15</v>
      </c>
      <c r="D161" s="206"/>
      <c r="E161" s="169"/>
      <c r="F161" s="185"/>
      <c r="G161" s="183"/>
      <c r="H161" s="452"/>
      <c r="I161" s="169" t="e">
        <f t="shared" si="41"/>
        <v>#DIV/0!</v>
      </c>
      <c r="J161" s="169" t="e">
        <f t="shared" si="42"/>
        <v>#DIV/0!</v>
      </c>
      <c r="K161" s="183" t="e">
        <f t="shared" si="43"/>
        <v>#DIV/0!</v>
      </c>
      <c r="L161" s="452"/>
      <c r="M161" s="169" t="e">
        <f>RANK(K161, K$147:$K$176)</f>
        <v>#DIV/0!</v>
      </c>
      <c r="N161" s="454"/>
      <c r="O161" s="454"/>
      <c r="P161" s="169"/>
      <c r="Q161" s="169"/>
      <c r="R161" s="169"/>
      <c r="S161" s="185" t="e">
        <f t="shared" ref="S161:S175" si="51">RANK(R161, R$147:R$176)</f>
        <v>#N/A</v>
      </c>
      <c r="T161" s="494"/>
      <c r="U161" s="169"/>
      <c r="V161" s="169"/>
      <c r="W161" s="169"/>
      <c r="X161" s="185" t="e">
        <f t="shared" ref="X161:X175" si="52">RANK(W161, W$147:W$176)</f>
        <v>#N/A</v>
      </c>
      <c r="Y161" s="494"/>
      <c r="Z161" s="169"/>
      <c r="AA161" s="169"/>
      <c r="AB161" s="169"/>
      <c r="AC161" s="185" t="e">
        <f t="shared" ref="AC161:AC175" si="53">RANK(AB161, AB$147:AB$176)</f>
        <v>#N/A</v>
      </c>
      <c r="AD161" s="494"/>
      <c r="AE161" s="169"/>
      <c r="AF161" s="169"/>
      <c r="AG161" s="169"/>
      <c r="AH161" s="185" t="e">
        <f t="shared" ref="AH161:AH175" si="54">RANK(AG161, AG$147:AG$176)</f>
        <v>#N/A</v>
      </c>
      <c r="AI161" s="494"/>
      <c r="AJ161" s="169"/>
      <c r="AK161" s="169"/>
      <c r="AL161" s="169"/>
      <c r="AM161" s="185" t="e">
        <f t="shared" ref="AM161:AM175" si="55">RANK(AL161, AL$147:AL$176)</f>
        <v>#N/A</v>
      </c>
      <c r="AN161" s="494"/>
      <c r="AO161" s="169"/>
      <c r="AP161" s="169"/>
      <c r="AQ161" s="169"/>
      <c r="AR161" s="185" t="e">
        <f t="shared" ref="AR161:AR175" si="56">RANK(AQ161, AQ$147:AQ$176)</f>
        <v>#N/A</v>
      </c>
      <c r="AS161" s="494"/>
      <c r="AT161" s="169"/>
      <c r="AU161" s="169"/>
      <c r="AV161" s="169"/>
      <c r="AW161" s="185" t="e">
        <f t="shared" ref="AW161:AW175" si="57">RANK(AV161, AV$147:AV$176)</f>
        <v>#N/A</v>
      </c>
      <c r="AX161" s="494"/>
    </row>
    <row r="162" spans="2:50">
      <c r="B162" s="471"/>
      <c r="C162" s="185">
        <v>16</v>
      </c>
      <c r="D162" s="206"/>
      <c r="E162" s="169"/>
      <c r="F162" s="185"/>
      <c r="G162" s="183"/>
      <c r="H162" s="452"/>
      <c r="I162" s="169" t="e">
        <f t="shared" si="41"/>
        <v>#DIV/0!</v>
      </c>
      <c r="J162" s="169" t="e">
        <f t="shared" si="42"/>
        <v>#DIV/0!</v>
      </c>
      <c r="K162" s="183" t="e">
        <f t="shared" si="43"/>
        <v>#DIV/0!</v>
      </c>
      <c r="L162" s="452"/>
      <c r="M162" s="169" t="e">
        <f>RANK(K162, K$147:$K$176)</f>
        <v>#DIV/0!</v>
      </c>
      <c r="N162" s="454"/>
      <c r="O162" s="454"/>
      <c r="P162" s="169"/>
      <c r="Q162" s="169"/>
      <c r="R162" s="169"/>
      <c r="S162" s="185" t="e">
        <f t="shared" si="51"/>
        <v>#N/A</v>
      </c>
      <c r="T162" s="494"/>
      <c r="U162" s="169"/>
      <c r="V162" s="169"/>
      <c r="W162" s="169"/>
      <c r="X162" s="185" t="e">
        <f t="shared" si="52"/>
        <v>#N/A</v>
      </c>
      <c r="Y162" s="494"/>
      <c r="Z162" s="169"/>
      <c r="AA162" s="169"/>
      <c r="AB162" s="169"/>
      <c r="AC162" s="185" t="e">
        <f t="shared" si="53"/>
        <v>#N/A</v>
      </c>
      <c r="AD162" s="494"/>
      <c r="AE162" s="169"/>
      <c r="AF162" s="169"/>
      <c r="AG162" s="169"/>
      <c r="AH162" s="185" t="e">
        <f t="shared" si="54"/>
        <v>#N/A</v>
      </c>
      <c r="AI162" s="494"/>
      <c r="AJ162" s="169"/>
      <c r="AK162" s="169"/>
      <c r="AL162" s="169"/>
      <c r="AM162" s="185" t="e">
        <f t="shared" si="55"/>
        <v>#N/A</v>
      </c>
      <c r="AN162" s="494"/>
      <c r="AO162" s="169"/>
      <c r="AP162" s="169"/>
      <c r="AQ162" s="169"/>
      <c r="AR162" s="185" t="e">
        <f t="shared" si="56"/>
        <v>#N/A</v>
      </c>
      <c r="AS162" s="494"/>
      <c r="AT162" s="169"/>
      <c r="AU162" s="169"/>
      <c r="AV162" s="169"/>
      <c r="AW162" s="185" t="e">
        <f t="shared" si="57"/>
        <v>#N/A</v>
      </c>
      <c r="AX162" s="494"/>
    </row>
    <row r="163" spans="2:50">
      <c r="B163" s="471"/>
      <c r="C163" s="185">
        <v>17</v>
      </c>
      <c r="D163" s="206"/>
      <c r="E163" s="169"/>
      <c r="F163" s="185"/>
      <c r="G163" s="183"/>
      <c r="H163" s="452"/>
      <c r="I163" s="169" t="e">
        <f t="shared" si="41"/>
        <v>#DIV/0!</v>
      </c>
      <c r="J163" s="169" t="e">
        <f t="shared" si="42"/>
        <v>#DIV/0!</v>
      </c>
      <c r="K163" s="183" t="e">
        <f t="shared" si="43"/>
        <v>#DIV/0!</v>
      </c>
      <c r="L163" s="452"/>
      <c r="M163" s="169" t="e">
        <f>RANK(K163, K$147:$K$176)</f>
        <v>#DIV/0!</v>
      </c>
      <c r="N163" s="454"/>
      <c r="O163" s="454"/>
      <c r="P163" s="169"/>
      <c r="Q163" s="169"/>
      <c r="R163" s="169"/>
      <c r="S163" s="185" t="e">
        <f t="shared" si="51"/>
        <v>#N/A</v>
      </c>
      <c r="T163" s="494"/>
      <c r="U163" s="169"/>
      <c r="V163" s="169"/>
      <c r="W163" s="169"/>
      <c r="X163" s="185" t="e">
        <f t="shared" si="52"/>
        <v>#N/A</v>
      </c>
      <c r="Y163" s="494"/>
      <c r="Z163" s="169"/>
      <c r="AA163" s="169"/>
      <c r="AB163" s="169"/>
      <c r="AC163" s="185" t="e">
        <f t="shared" si="53"/>
        <v>#N/A</v>
      </c>
      <c r="AD163" s="494"/>
      <c r="AE163" s="169"/>
      <c r="AF163" s="169"/>
      <c r="AG163" s="169"/>
      <c r="AH163" s="185" t="e">
        <f t="shared" si="54"/>
        <v>#N/A</v>
      </c>
      <c r="AI163" s="494"/>
      <c r="AJ163" s="169"/>
      <c r="AK163" s="169"/>
      <c r="AL163" s="169"/>
      <c r="AM163" s="185" t="e">
        <f t="shared" si="55"/>
        <v>#N/A</v>
      </c>
      <c r="AN163" s="494"/>
      <c r="AO163" s="169"/>
      <c r="AP163" s="169"/>
      <c r="AQ163" s="169"/>
      <c r="AR163" s="185" t="e">
        <f t="shared" si="56"/>
        <v>#N/A</v>
      </c>
      <c r="AS163" s="494"/>
      <c r="AT163" s="169"/>
      <c r="AU163" s="169"/>
      <c r="AV163" s="169"/>
      <c r="AW163" s="185" t="e">
        <f t="shared" si="57"/>
        <v>#N/A</v>
      </c>
      <c r="AX163" s="494"/>
    </row>
    <row r="164" spans="2:50">
      <c r="B164" s="471"/>
      <c r="C164" s="185">
        <v>18</v>
      </c>
      <c r="D164" s="206"/>
      <c r="E164" s="169"/>
      <c r="F164" s="185"/>
      <c r="G164" s="183"/>
      <c r="H164" s="452"/>
      <c r="I164" s="169" t="e">
        <f t="shared" si="41"/>
        <v>#DIV/0!</v>
      </c>
      <c r="J164" s="169" t="e">
        <f t="shared" si="42"/>
        <v>#DIV/0!</v>
      </c>
      <c r="K164" s="183" t="e">
        <f t="shared" si="43"/>
        <v>#DIV/0!</v>
      </c>
      <c r="L164" s="452"/>
      <c r="M164" s="169" t="e">
        <f>RANK(K164, K$147:$K$176)</f>
        <v>#DIV/0!</v>
      </c>
      <c r="N164" s="454"/>
      <c r="O164" s="454"/>
      <c r="P164" s="169"/>
      <c r="Q164" s="169"/>
      <c r="R164" s="169"/>
      <c r="S164" s="185" t="e">
        <f t="shared" si="51"/>
        <v>#N/A</v>
      </c>
      <c r="T164" s="494"/>
      <c r="U164" s="169"/>
      <c r="V164" s="169"/>
      <c r="W164" s="169"/>
      <c r="X164" s="185" t="e">
        <f t="shared" si="52"/>
        <v>#N/A</v>
      </c>
      <c r="Y164" s="494"/>
      <c r="Z164" s="169"/>
      <c r="AA164" s="169"/>
      <c r="AB164" s="169"/>
      <c r="AC164" s="185" t="e">
        <f t="shared" si="53"/>
        <v>#N/A</v>
      </c>
      <c r="AD164" s="494"/>
      <c r="AE164" s="169"/>
      <c r="AF164" s="169"/>
      <c r="AG164" s="169"/>
      <c r="AH164" s="185" t="e">
        <f t="shared" si="54"/>
        <v>#N/A</v>
      </c>
      <c r="AI164" s="494"/>
      <c r="AJ164" s="169"/>
      <c r="AK164" s="169"/>
      <c r="AL164" s="169"/>
      <c r="AM164" s="185" t="e">
        <f t="shared" si="55"/>
        <v>#N/A</v>
      </c>
      <c r="AN164" s="494"/>
      <c r="AO164" s="169"/>
      <c r="AP164" s="169"/>
      <c r="AQ164" s="169"/>
      <c r="AR164" s="185" t="e">
        <f t="shared" si="56"/>
        <v>#N/A</v>
      </c>
      <c r="AS164" s="494"/>
      <c r="AT164" s="169"/>
      <c r="AU164" s="169"/>
      <c r="AV164" s="169"/>
      <c r="AW164" s="185" t="e">
        <f t="shared" si="57"/>
        <v>#N/A</v>
      </c>
      <c r="AX164" s="494"/>
    </row>
    <row r="165" spans="2:50">
      <c r="B165" s="471"/>
      <c r="C165" s="185">
        <v>19</v>
      </c>
      <c r="D165" s="206"/>
      <c r="E165" s="169"/>
      <c r="F165" s="185"/>
      <c r="G165" s="183"/>
      <c r="H165" s="452"/>
      <c r="I165" s="169" t="e">
        <f t="shared" si="41"/>
        <v>#DIV/0!</v>
      </c>
      <c r="J165" s="169" t="e">
        <f t="shared" si="42"/>
        <v>#DIV/0!</v>
      </c>
      <c r="K165" s="183" t="e">
        <f t="shared" si="43"/>
        <v>#DIV/0!</v>
      </c>
      <c r="L165" s="452"/>
      <c r="M165" s="169" t="e">
        <f>RANK(K165, K$147:$K$176)</f>
        <v>#DIV/0!</v>
      </c>
      <c r="N165" s="454"/>
      <c r="O165" s="454"/>
      <c r="P165" s="169"/>
      <c r="Q165" s="169"/>
      <c r="R165" s="169"/>
      <c r="S165" s="185" t="e">
        <f t="shared" si="51"/>
        <v>#N/A</v>
      </c>
      <c r="T165" s="494"/>
      <c r="U165" s="169"/>
      <c r="V165" s="169"/>
      <c r="W165" s="169"/>
      <c r="X165" s="185" t="e">
        <f t="shared" si="52"/>
        <v>#N/A</v>
      </c>
      <c r="Y165" s="494"/>
      <c r="Z165" s="169"/>
      <c r="AA165" s="169"/>
      <c r="AB165" s="169"/>
      <c r="AC165" s="185" t="e">
        <f t="shared" si="53"/>
        <v>#N/A</v>
      </c>
      <c r="AD165" s="494"/>
      <c r="AE165" s="169"/>
      <c r="AF165" s="169"/>
      <c r="AG165" s="169"/>
      <c r="AH165" s="185" t="e">
        <f t="shared" si="54"/>
        <v>#N/A</v>
      </c>
      <c r="AI165" s="494"/>
      <c r="AJ165" s="169"/>
      <c r="AK165" s="169"/>
      <c r="AL165" s="169"/>
      <c r="AM165" s="185" t="e">
        <f t="shared" si="55"/>
        <v>#N/A</v>
      </c>
      <c r="AN165" s="494"/>
      <c r="AO165" s="169"/>
      <c r="AP165" s="169"/>
      <c r="AQ165" s="169"/>
      <c r="AR165" s="185" t="e">
        <f t="shared" si="56"/>
        <v>#N/A</v>
      </c>
      <c r="AS165" s="494"/>
      <c r="AT165" s="169"/>
      <c r="AU165" s="169"/>
      <c r="AV165" s="169"/>
      <c r="AW165" s="185" t="e">
        <f t="shared" si="57"/>
        <v>#N/A</v>
      </c>
      <c r="AX165" s="494"/>
    </row>
    <row r="166" spans="2:50">
      <c r="B166" s="471"/>
      <c r="C166" s="185">
        <v>20</v>
      </c>
      <c r="D166" s="206"/>
      <c r="E166" s="169"/>
      <c r="F166" s="185"/>
      <c r="G166" s="183"/>
      <c r="H166" s="452"/>
      <c r="I166" s="169" t="e">
        <f t="shared" si="41"/>
        <v>#DIV/0!</v>
      </c>
      <c r="J166" s="169" t="e">
        <f t="shared" si="42"/>
        <v>#DIV/0!</v>
      </c>
      <c r="K166" s="183" t="e">
        <f t="shared" si="43"/>
        <v>#DIV/0!</v>
      </c>
      <c r="L166" s="452"/>
      <c r="M166" s="169" t="e">
        <f>RANK(K166, K$147:$K$176)</f>
        <v>#DIV/0!</v>
      </c>
      <c r="N166" s="454"/>
      <c r="O166" s="454"/>
      <c r="P166" s="169"/>
      <c r="Q166" s="169"/>
      <c r="R166" s="169"/>
      <c r="S166" s="185" t="e">
        <f t="shared" si="51"/>
        <v>#N/A</v>
      </c>
      <c r="T166" s="494"/>
      <c r="U166" s="169"/>
      <c r="V166" s="169"/>
      <c r="W166" s="169"/>
      <c r="X166" s="185" t="e">
        <f t="shared" si="52"/>
        <v>#N/A</v>
      </c>
      <c r="Y166" s="494"/>
      <c r="Z166" s="169"/>
      <c r="AA166" s="169"/>
      <c r="AB166" s="169"/>
      <c r="AC166" s="185" t="e">
        <f t="shared" si="53"/>
        <v>#N/A</v>
      </c>
      <c r="AD166" s="494"/>
      <c r="AE166" s="169"/>
      <c r="AF166" s="169"/>
      <c r="AG166" s="169"/>
      <c r="AH166" s="185" t="e">
        <f t="shared" si="54"/>
        <v>#N/A</v>
      </c>
      <c r="AI166" s="494"/>
      <c r="AJ166" s="169"/>
      <c r="AK166" s="169"/>
      <c r="AL166" s="169"/>
      <c r="AM166" s="185" t="e">
        <f t="shared" si="55"/>
        <v>#N/A</v>
      </c>
      <c r="AN166" s="494"/>
      <c r="AO166" s="169"/>
      <c r="AP166" s="169"/>
      <c r="AQ166" s="169"/>
      <c r="AR166" s="185" t="e">
        <f t="shared" si="56"/>
        <v>#N/A</v>
      </c>
      <c r="AS166" s="494"/>
      <c r="AT166" s="169"/>
      <c r="AU166" s="169"/>
      <c r="AV166" s="169"/>
      <c r="AW166" s="185" t="e">
        <f t="shared" si="57"/>
        <v>#N/A</v>
      </c>
      <c r="AX166" s="494"/>
    </row>
    <row r="167" spans="2:50">
      <c r="B167" s="471"/>
      <c r="C167" s="185">
        <v>21</v>
      </c>
      <c r="D167" s="206"/>
      <c r="E167" s="169"/>
      <c r="F167" s="185"/>
      <c r="G167" s="183"/>
      <c r="H167" s="452"/>
      <c r="I167" s="169" t="e">
        <f t="shared" si="41"/>
        <v>#DIV/0!</v>
      </c>
      <c r="J167" s="169" t="e">
        <f t="shared" si="42"/>
        <v>#DIV/0!</v>
      </c>
      <c r="K167" s="183" t="e">
        <f t="shared" si="43"/>
        <v>#DIV/0!</v>
      </c>
      <c r="L167" s="452"/>
      <c r="M167" s="169" t="e">
        <f>RANK(K167, K$147:$K$176)</f>
        <v>#DIV/0!</v>
      </c>
      <c r="N167" s="454"/>
      <c r="O167" s="454"/>
      <c r="P167" s="169"/>
      <c r="Q167" s="169"/>
      <c r="R167" s="169"/>
      <c r="S167" s="185" t="e">
        <f t="shared" si="51"/>
        <v>#N/A</v>
      </c>
      <c r="T167" s="494"/>
      <c r="U167" s="169"/>
      <c r="V167" s="169"/>
      <c r="W167" s="169"/>
      <c r="X167" s="185" t="e">
        <f t="shared" si="52"/>
        <v>#N/A</v>
      </c>
      <c r="Y167" s="494"/>
      <c r="Z167" s="169"/>
      <c r="AA167" s="169"/>
      <c r="AB167" s="169"/>
      <c r="AC167" s="185" t="e">
        <f t="shared" si="53"/>
        <v>#N/A</v>
      </c>
      <c r="AD167" s="494"/>
      <c r="AE167" s="169"/>
      <c r="AF167" s="169"/>
      <c r="AG167" s="169"/>
      <c r="AH167" s="185" t="e">
        <f t="shared" si="54"/>
        <v>#N/A</v>
      </c>
      <c r="AI167" s="494"/>
      <c r="AJ167" s="169"/>
      <c r="AK167" s="169"/>
      <c r="AL167" s="169"/>
      <c r="AM167" s="185" t="e">
        <f t="shared" si="55"/>
        <v>#N/A</v>
      </c>
      <c r="AN167" s="494"/>
      <c r="AO167" s="169"/>
      <c r="AP167" s="169"/>
      <c r="AQ167" s="169"/>
      <c r="AR167" s="185" t="e">
        <f t="shared" si="56"/>
        <v>#N/A</v>
      </c>
      <c r="AS167" s="494"/>
      <c r="AT167" s="169"/>
      <c r="AU167" s="169"/>
      <c r="AV167" s="169"/>
      <c r="AW167" s="185" t="e">
        <f t="shared" si="57"/>
        <v>#N/A</v>
      </c>
      <c r="AX167" s="494"/>
    </row>
    <row r="168" spans="2:50">
      <c r="B168" s="471"/>
      <c r="C168" s="185">
        <v>22</v>
      </c>
      <c r="D168" s="206"/>
      <c r="E168" s="169"/>
      <c r="F168" s="185"/>
      <c r="G168" s="183"/>
      <c r="H168" s="452"/>
      <c r="I168" s="169" t="e">
        <f t="shared" si="41"/>
        <v>#DIV/0!</v>
      </c>
      <c r="J168" s="169" t="e">
        <f t="shared" si="42"/>
        <v>#DIV/0!</v>
      </c>
      <c r="K168" s="183" t="e">
        <f t="shared" si="43"/>
        <v>#DIV/0!</v>
      </c>
      <c r="L168" s="452"/>
      <c r="M168" s="169" t="e">
        <f>RANK(K168, K$147:$K$176)</f>
        <v>#DIV/0!</v>
      </c>
      <c r="N168" s="454"/>
      <c r="O168" s="454"/>
      <c r="P168" s="169"/>
      <c r="Q168" s="169"/>
      <c r="R168" s="169"/>
      <c r="S168" s="185" t="e">
        <f t="shared" si="51"/>
        <v>#N/A</v>
      </c>
      <c r="T168" s="494"/>
      <c r="U168" s="169"/>
      <c r="V168" s="169"/>
      <c r="W168" s="169"/>
      <c r="X168" s="185" t="e">
        <f t="shared" si="52"/>
        <v>#N/A</v>
      </c>
      <c r="Y168" s="494"/>
      <c r="Z168" s="169"/>
      <c r="AA168" s="169"/>
      <c r="AB168" s="169"/>
      <c r="AC168" s="185" t="e">
        <f t="shared" si="53"/>
        <v>#N/A</v>
      </c>
      <c r="AD168" s="494"/>
      <c r="AE168" s="169"/>
      <c r="AF168" s="169"/>
      <c r="AG168" s="169"/>
      <c r="AH168" s="185" t="e">
        <f t="shared" si="54"/>
        <v>#N/A</v>
      </c>
      <c r="AI168" s="494"/>
      <c r="AJ168" s="169"/>
      <c r="AK168" s="169"/>
      <c r="AL168" s="169"/>
      <c r="AM168" s="185" t="e">
        <f t="shared" si="55"/>
        <v>#N/A</v>
      </c>
      <c r="AN168" s="494"/>
      <c r="AO168" s="169"/>
      <c r="AP168" s="169"/>
      <c r="AQ168" s="169"/>
      <c r="AR168" s="185" t="e">
        <f t="shared" si="56"/>
        <v>#N/A</v>
      </c>
      <c r="AS168" s="494"/>
      <c r="AT168" s="169"/>
      <c r="AU168" s="169"/>
      <c r="AV168" s="169"/>
      <c r="AW168" s="185" t="e">
        <f t="shared" si="57"/>
        <v>#N/A</v>
      </c>
      <c r="AX168" s="494"/>
    </row>
    <row r="169" spans="2:50">
      <c r="B169" s="471"/>
      <c r="C169" s="185">
        <v>23</v>
      </c>
      <c r="D169" s="206"/>
      <c r="E169" s="169"/>
      <c r="F169" s="185"/>
      <c r="G169" s="183"/>
      <c r="H169" s="452"/>
      <c r="I169" s="169" t="e">
        <f t="shared" si="41"/>
        <v>#DIV/0!</v>
      </c>
      <c r="J169" s="169" t="e">
        <f t="shared" si="42"/>
        <v>#DIV/0!</v>
      </c>
      <c r="K169" s="183" t="e">
        <f t="shared" si="43"/>
        <v>#DIV/0!</v>
      </c>
      <c r="L169" s="452"/>
      <c r="M169" s="169" t="e">
        <f>RANK(K169, K$147:$K$176)</f>
        <v>#DIV/0!</v>
      </c>
      <c r="N169" s="454"/>
      <c r="O169" s="454"/>
      <c r="P169" s="169"/>
      <c r="Q169" s="169"/>
      <c r="R169" s="169"/>
      <c r="S169" s="185" t="e">
        <f t="shared" si="51"/>
        <v>#N/A</v>
      </c>
      <c r="T169" s="494"/>
      <c r="U169" s="169"/>
      <c r="V169" s="169"/>
      <c r="W169" s="169"/>
      <c r="X169" s="185" t="e">
        <f t="shared" si="52"/>
        <v>#N/A</v>
      </c>
      <c r="Y169" s="494"/>
      <c r="Z169" s="169"/>
      <c r="AA169" s="169"/>
      <c r="AB169" s="169"/>
      <c r="AC169" s="185" t="e">
        <f t="shared" si="53"/>
        <v>#N/A</v>
      </c>
      <c r="AD169" s="494"/>
      <c r="AE169" s="169"/>
      <c r="AF169" s="169"/>
      <c r="AG169" s="169"/>
      <c r="AH169" s="185" t="e">
        <f t="shared" si="54"/>
        <v>#N/A</v>
      </c>
      <c r="AI169" s="494"/>
      <c r="AJ169" s="169"/>
      <c r="AK169" s="169"/>
      <c r="AL169" s="169"/>
      <c r="AM169" s="185" t="e">
        <f t="shared" si="55"/>
        <v>#N/A</v>
      </c>
      <c r="AN169" s="494"/>
      <c r="AO169" s="169"/>
      <c r="AP169" s="169"/>
      <c r="AQ169" s="169"/>
      <c r="AR169" s="185" t="e">
        <f t="shared" si="56"/>
        <v>#N/A</v>
      </c>
      <c r="AS169" s="494"/>
      <c r="AT169" s="169"/>
      <c r="AU169" s="169"/>
      <c r="AV169" s="169"/>
      <c r="AW169" s="185" t="e">
        <f t="shared" si="57"/>
        <v>#N/A</v>
      </c>
      <c r="AX169" s="494"/>
    </row>
    <row r="170" spans="2:50">
      <c r="B170" s="471"/>
      <c r="C170" s="185">
        <v>24</v>
      </c>
      <c r="D170" s="206"/>
      <c r="E170" s="169"/>
      <c r="F170" s="185"/>
      <c r="G170" s="183"/>
      <c r="H170" s="452"/>
      <c r="I170" s="169" t="e">
        <f t="shared" si="41"/>
        <v>#DIV/0!</v>
      </c>
      <c r="J170" s="169" t="e">
        <f t="shared" si="42"/>
        <v>#DIV/0!</v>
      </c>
      <c r="K170" s="183" t="e">
        <f t="shared" si="43"/>
        <v>#DIV/0!</v>
      </c>
      <c r="L170" s="452"/>
      <c r="M170" s="169" t="e">
        <f>RANK(K170, K$147:$K$176)</f>
        <v>#DIV/0!</v>
      </c>
      <c r="N170" s="454"/>
      <c r="O170" s="454"/>
      <c r="P170" s="185"/>
      <c r="Q170" s="183"/>
      <c r="R170" s="183"/>
      <c r="S170" s="185" t="e">
        <f t="shared" si="51"/>
        <v>#N/A</v>
      </c>
      <c r="T170" s="494"/>
      <c r="U170" s="185"/>
      <c r="V170" s="183"/>
      <c r="W170" s="183"/>
      <c r="X170" s="185" t="e">
        <f t="shared" si="52"/>
        <v>#N/A</v>
      </c>
      <c r="Y170" s="494"/>
      <c r="Z170" s="185"/>
      <c r="AA170" s="183"/>
      <c r="AB170" s="183"/>
      <c r="AC170" s="185" t="e">
        <f t="shared" si="53"/>
        <v>#N/A</v>
      </c>
      <c r="AD170" s="494"/>
      <c r="AE170" s="185"/>
      <c r="AF170" s="183"/>
      <c r="AG170" s="183"/>
      <c r="AH170" s="185" t="e">
        <f t="shared" si="54"/>
        <v>#N/A</v>
      </c>
      <c r="AI170" s="494"/>
      <c r="AJ170" s="185"/>
      <c r="AK170" s="183"/>
      <c r="AL170" s="183"/>
      <c r="AM170" s="185" t="e">
        <f t="shared" si="55"/>
        <v>#N/A</v>
      </c>
      <c r="AN170" s="494"/>
      <c r="AO170" s="185"/>
      <c r="AP170" s="183"/>
      <c r="AQ170" s="183"/>
      <c r="AR170" s="185" t="e">
        <f t="shared" si="56"/>
        <v>#N/A</v>
      </c>
      <c r="AS170" s="494"/>
      <c r="AT170" s="185"/>
      <c r="AU170" s="183"/>
      <c r="AV170" s="183"/>
      <c r="AW170" s="185" t="e">
        <f t="shared" si="57"/>
        <v>#N/A</v>
      </c>
      <c r="AX170" s="494"/>
    </row>
    <row r="171" spans="2:50">
      <c r="B171" s="471"/>
      <c r="C171" s="185">
        <v>25</v>
      </c>
      <c r="D171" s="206"/>
      <c r="E171" s="169"/>
      <c r="F171" s="185"/>
      <c r="G171" s="183"/>
      <c r="H171" s="452"/>
      <c r="I171" s="169" t="e">
        <f t="shared" ref="I171" si="58">AVERAGE(P171,U171,Z171,AE171,AJ171,AO171,AT171)</f>
        <v>#DIV/0!</v>
      </c>
      <c r="J171" s="169" t="e">
        <f t="shared" ref="J171" si="59">AVERAGE(Q171,V171,AA171,AF171,AK171,AP171,AU171)</f>
        <v>#DIV/0!</v>
      </c>
      <c r="K171" s="183" t="e">
        <f t="shared" ref="K171" si="60">AVERAGE(R171,W171,AB171,AG171,AL171,AQ171,AV171)</f>
        <v>#DIV/0!</v>
      </c>
      <c r="L171" s="452"/>
      <c r="M171" s="169" t="e">
        <f>RANK(K171, K$147:$K$176)</f>
        <v>#DIV/0!</v>
      </c>
      <c r="N171" s="454"/>
      <c r="O171" s="454"/>
      <c r="P171" s="185"/>
      <c r="Q171" s="183"/>
      <c r="R171" s="183"/>
      <c r="S171" s="185" t="e">
        <f t="shared" si="51"/>
        <v>#N/A</v>
      </c>
      <c r="T171" s="494"/>
      <c r="U171" s="185"/>
      <c r="V171" s="183"/>
      <c r="W171" s="183"/>
      <c r="X171" s="185" t="e">
        <f t="shared" si="52"/>
        <v>#N/A</v>
      </c>
      <c r="Y171" s="494"/>
      <c r="Z171" s="185"/>
      <c r="AA171" s="183"/>
      <c r="AB171" s="183"/>
      <c r="AC171" s="185" t="e">
        <f t="shared" si="53"/>
        <v>#N/A</v>
      </c>
      <c r="AD171" s="494"/>
      <c r="AE171" s="185"/>
      <c r="AF171" s="183"/>
      <c r="AG171" s="183"/>
      <c r="AH171" s="185" t="e">
        <f t="shared" si="54"/>
        <v>#N/A</v>
      </c>
      <c r="AI171" s="494"/>
      <c r="AJ171" s="185"/>
      <c r="AK171" s="183"/>
      <c r="AL171" s="183"/>
      <c r="AM171" s="185" t="e">
        <f t="shared" si="55"/>
        <v>#N/A</v>
      </c>
      <c r="AN171" s="494"/>
      <c r="AO171" s="185"/>
      <c r="AP171" s="183"/>
      <c r="AQ171" s="183"/>
      <c r="AR171" s="185" t="e">
        <f t="shared" si="56"/>
        <v>#N/A</v>
      </c>
      <c r="AS171" s="494"/>
      <c r="AT171" s="185"/>
      <c r="AU171" s="183"/>
      <c r="AV171" s="183"/>
      <c r="AW171" s="185" t="e">
        <f t="shared" si="57"/>
        <v>#N/A</v>
      </c>
      <c r="AX171" s="494"/>
    </row>
    <row r="172" spans="2:50">
      <c r="B172" s="471"/>
      <c r="C172" s="185">
        <v>26</v>
      </c>
      <c r="D172" s="206"/>
      <c r="E172" s="169"/>
      <c r="F172" s="185"/>
      <c r="G172" s="183"/>
      <c r="H172" s="452"/>
      <c r="I172" s="169"/>
      <c r="J172" s="169"/>
      <c r="K172" s="183"/>
      <c r="L172" s="452"/>
      <c r="M172" s="169" t="e">
        <f>RANK(K172, K$147:$K$176)</f>
        <v>#DIV/0!</v>
      </c>
      <c r="N172" s="454"/>
      <c r="O172" s="454"/>
      <c r="P172" s="185"/>
      <c r="Q172" s="183"/>
      <c r="R172" s="183"/>
      <c r="S172" s="185" t="e">
        <f t="shared" si="51"/>
        <v>#N/A</v>
      </c>
      <c r="T172" s="494"/>
      <c r="U172" s="185"/>
      <c r="V172" s="183"/>
      <c r="W172" s="183"/>
      <c r="X172" s="185" t="e">
        <f t="shared" si="52"/>
        <v>#N/A</v>
      </c>
      <c r="Y172" s="494"/>
      <c r="Z172" s="185"/>
      <c r="AA172" s="183"/>
      <c r="AB172" s="183"/>
      <c r="AC172" s="185" t="e">
        <f t="shared" si="53"/>
        <v>#N/A</v>
      </c>
      <c r="AD172" s="494"/>
      <c r="AE172" s="185"/>
      <c r="AF172" s="183"/>
      <c r="AG172" s="183"/>
      <c r="AH172" s="185" t="e">
        <f t="shared" si="54"/>
        <v>#N/A</v>
      </c>
      <c r="AI172" s="494"/>
      <c r="AJ172" s="185"/>
      <c r="AK172" s="183"/>
      <c r="AL172" s="183"/>
      <c r="AM172" s="185" t="e">
        <f t="shared" si="55"/>
        <v>#N/A</v>
      </c>
      <c r="AN172" s="494"/>
      <c r="AO172" s="185"/>
      <c r="AP172" s="183"/>
      <c r="AQ172" s="183"/>
      <c r="AR172" s="185" t="e">
        <f t="shared" si="56"/>
        <v>#N/A</v>
      </c>
      <c r="AS172" s="494"/>
      <c r="AT172" s="185"/>
      <c r="AU172" s="183"/>
      <c r="AV172" s="183"/>
      <c r="AW172" s="185" t="e">
        <f t="shared" si="57"/>
        <v>#N/A</v>
      </c>
      <c r="AX172" s="494"/>
    </row>
    <row r="173" spans="2:50">
      <c r="B173" s="471"/>
      <c r="C173" s="185">
        <v>27</v>
      </c>
      <c r="D173" s="206"/>
      <c r="E173" s="169"/>
      <c r="F173" s="185"/>
      <c r="G173" s="183"/>
      <c r="H173" s="452"/>
      <c r="I173" s="169"/>
      <c r="J173" s="169"/>
      <c r="K173" s="183"/>
      <c r="L173" s="452"/>
      <c r="M173" s="169" t="e">
        <f>RANK(K173, K$147:$K$176)</f>
        <v>#DIV/0!</v>
      </c>
      <c r="N173" s="454"/>
      <c r="O173" s="454"/>
      <c r="P173" s="185"/>
      <c r="Q173" s="183"/>
      <c r="R173" s="183"/>
      <c r="S173" s="185" t="e">
        <f t="shared" si="51"/>
        <v>#N/A</v>
      </c>
      <c r="T173" s="494"/>
      <c r="U173" s="185"/>
      <c r="V173" s="183"/>
      <c r="W173" s="183"/>
      <c r="X173" s="185" t="e">
        <f t="shared" si="52"/>
        <v>#N/A</v>
      </c>
      <c r="Y173" s="494"/>
      <c r="Z173" s="185"/>
      <c r="AA173" s="183"/>
      <c r="AB173" s="183"/>
      <c r="AC173" s="185" t="e">
        <f t="shared" si="53"/>
        <v>#N/A</v>
      </c>
      <c r="AD173" s="494"/>
      <c r="AE173" s="185"/>
      <c r="AF173" s="183"/>
      <c r="AG173" s="183"/>
      <c r="AH173" s="185" t="e">
        <f t="shared" si="54"/>
        <v>#N/A</v>
      </c>
      <c r="AI173" s="494"/>
      <c r="AJ173" s="185"/>
      <c r="AK173" s="183"/>
      <c r="AL173" s="183"/>
      <c r="AM173" s="185" t="e">
        <f t="shared" si="55"/>
        <v>#N/A</v>
      </c>
      <c r="AN173" s="494"/>
      <c r="AO173" s="185"/>
      <c r="AP173" s="183"/>
      <c r="AQ173" s="183"/>
      <c r="AR173" s="185" t="e">
        <f t="shared" si="56"/>
        <v>#N/A</v>
      </c>
      <c r="AS173" s="494"/>
      <c r="AT173" s="185"/>
      <c r="AU173" s="183"/>
      <c r="AV173" s="183"/>
      <c r="AW173" s="185" t="e">
        <f t="shared" si="57"/>
        <v>#N/A</v>
      </c>
      <c r="AX173" s="494"/>
    </row>
    <row r="174" spans="2:50">
      <c r="B174" s="471"/>
      <c r="C174" s="185">
        <v>28</v>
      </c>
      <c r="D174" s="206"/>
      <c r="E174" s="169"/>
      <c r="F174" s="185"/>
      <c r="G174" s="183"/>
      <c r="H174" s="452"/>
      <c r="I174" s="169"/>
      <c r="J174" s="169"/>
      <c r="K174" s="183"/>
      <c r="L174" s="452"/>
      <c r="M174" s="169" t="e">
        <f>RANK(K174, K$147:$K$176)</f>
        <v>#DIV/0!</v>
      </c>
      <c r="N174" s="454"/>
      <c r="O174" s="454"/>
      <c r="P174" s="185"/>
      <c r="Q174" s="183"/>
      <c r="R174" s="183"/>
      <c r="S174" s="185" t="e">
        <f t="shared" si="51"/>
        <v>#N/A</v>
      </c>
      <c r="T174" s="494"/>
      <c r="U174" s="185"/>
      <c r="V174" s="183"/>
      <c r="W174" s="183"/>
      <c r="X174" s="185" t="e">
        <f t="shared" si="52"/>
        <v>#N/A</v>
      </c>
      <c r="Y174" s="494"/>
      <c r="Z174" s="185"/>
      <c r="AA174" s="183"/>
      <c r="AB174" s="183"/>
      <c r="AC174" s="185" t="e">
        <f t="shared" si="53"/>
        <v>#N/A</v>
      </c>
      <c r="AD174" s="494"/>
      <c r="AE174" s="185"/>
      <c r="AF174" s="183"/>
      <c r="AG174" s="183"/>
      <c r="AH174" s="185" t="e">
        <f t="shared" si="54"/>
        <v>#N/A</v>
      </c>
      <c r="AI174" s="494"/>
      <c r="AJ174" s="185"/>
      <c r="AK174" s="183"/>
      <c r="AL174" s="183"/>
      <c r="AM174" s="185" t="e">
        <f t="shared" si="55"/>
        <v>#N/A</v>
      </c>
      <c r="AN174" s="494"/>
      <c r="AO174" s="185"/>
      <c r="AP174" s="185"/>
      <c r="AQ174" s="185"/>
      <c r="AR174" s="185" t="e">
        <f t="shared" si="56"/>
        <v>#N/A</v>
      </c>
      <c r="AS174" s="494"/>
      <c r="AT174" s="185"/>
      <c r="AU174" s="183"/>
      <c r="AV174" s="183"/>
      <c r="AW174" s="185" t="e">
        <f t="shared" si="57"/>
        <v>#N/A</v>
      </c>
      <c r="AX174" s="494"/>
    </row>
    <row r="175" spans="2:50">
      <c r="B175" s="471"/>
      <c r="C175" s="185">
        <v>29</v>
      </c>
      <c r="D175" s="206"/>
      <c r="E175" s="169"/>
      <c r="F175" s="185"/>
      <c r="G175" s="183"/>
      <c r="H175" s="452"/>
      <c r="I175" s="185"/>
      <c r="J175" s="185"/>
      <c r="K175" s="185"/>
      <c r="L175" s="452"/>
      <c r="M175" s="169" t="e">
        <f>RANK(K175, K$147:$K$176)</f>
        <v>#DIV/0!</v>
      </c>
      <c r="N175" s="454"/>
      <c r="O175" s="454"/>
      <c r="P175" s="185"/>
      <c r="Q175" s="185"/>
      <c r="R175" s="185"/>
      <c r="S175" s="185" t="e">
        <f t="shared" si="51"/>
        <v>#N/A</v>
      </c>
      <c r="T175" s="494"/>
      <c r="U175" s="185"/>
      <c r="V175" s="185"/>
      <c r="W175" s="185"/>
      <c r="X175" s="185" t="e">
        <f t="shared" si="52"/>
        <v>#N/A</v>
      </c>
      <c r="Y175" s="494"/>
      <c r="Z175" s="185"/>
      <c r="AA175" s="185"/>
      <c r="AB175" s="185"/>
      <c r="AC175" s="185" t="e">
        <f t="shared" si="53"/>
        <v>#N/A</v>
      </c>
      <c r="AD175" s="494"/>
      <c r="AE175" s="185"/>
      <c r="AF175" s="185"/>
      <c r="AG175" s="185"/>
      <c r="AH175" s="185" t="e">
        <f t="shared" si="54"/>
        <v>#N/A</v>
      </c>
      <c r="AI175" s="494"/>
      <c r="AJ175" s="185"/>
      <c r="AK175" s="185"/>
      <c r="AL175" s="185"/>
      <c r="AM175" s="185" t="e">
        <f t="shared" si="55"/>
        <v>#N/A</v>
      </c>
      <c r="AN175" s="494"/>
      <c r="AO175" s="185"/>
      <c r="AP175" s="185"/>
      <c r="AQ175" s="185"/>
      <c r="AR175" s="185" t="e">
        <f t="shared" si="56"/>
        <v>#N/A</v>
      </c>
      <c r="AS175" s="494"/>
      <c r="AT175" s="185"/>
      <c r="AU175" s="185"/>
      <c r="AV175" s="185"/>
      <c r="AW175" s="185" t="e">
        <f t="shared" si="57"/>
        <v>#N/A</v>
      </c>
      <c r="AX175" s="494"/>
    </row>
    <row r="176" spans="2:50">
      <c r="B176" s="471"/>
      <c r="C176" s="185">
        <v>30</v>
      </c>
      <c r="D176" s="206"/>
      <c r="E176" s="169"/>
      <c r="F176" s="185"/>
      <c r="G176" s="183"/>
      <c r="H176" s="453"/>
      <c r="I176" s="185"/>
      <c r="J176" s="185"/>
      <c r="K176" s="185"/>
      <c r="L176" s="453"/>
      <c r="M176" s="169" t="e">
        <f>RANK(K176, K$147:$K$176)</f>
        <v>#DIV/0!</v>
      </c>
      <c r="N176" s="454"/>
      <c r="O176" s="454"/>
      <c r="P176" s="185"/>
      <c r="Q176" s="185"/>
      <c r="R176" s="185"/>
      <c r="S176" s="185" t="e">
        <f t="shared" si="44"/>
        <v>#N/A</v>
      </c>
      <c r="T176" s="494"/>
      <c r="U176" s="185"/>
      <c r="V176" s="185"/>
      <c r="W176" s="185"/>
      <c r="X176" s="185" t="e">
        <f t="shared" si="45"/>
        <v>#N/A</v>
      </c>
      <c r="Y176" s="494"/>
      <c r="Z176" s="185"/>
      <c r="AA176" s="185"/>
      <c r="AB176" s="185"/>
      <c r="AC176" s="185" t="e">
        <f t="shared" si="46"/>
        <v>#N/A</v>
      </c>
      <c r="AD176" s="494"/>
      <c r="AE176" s="185"/>
      <c r="AF176" s="185"/>
      <c r="AG176" s="185"/>
      <c r="AH176" s="185" t="e">
        <f t="shared" si="47"/>
        <v>#N/A</v>
      </c>
      <c r="AI176" s="494"/>
      <c r="AJ176" s="185"/>
      <c r="AK176" s="185"/>
      <c r="AL176" s="185"/>
      <c r="AM176" s="185" t="e">
        <f t="shared" si="48"/>
        <v>#N/A</v>
      </c>
      <c r="AN176" s="494"/>
      <c r="AO176" s="185"/>
      <c r="AP176" s="185"/>
      <c r="AQ176" s="185"/>
      <c r="AR176" s="185" t="e">
        <f t="shared" si="49"/>
        <v>#N/A</v>
      </c>
      <c r="AS176" s="494"/>
      <c r="AT176" s="185"/>
      <c r="AU176" s="185"/>
      <c r="AV176" s="185"/>
      <c r="AW176" s="185" t="e">
        <f t="shared" si="50"/>
        <v>#N/A</v>
      </c>
      <c r="AX176" s="494"/>
    </row>
    <row r="177" spans="2:50" ht="15.75">
      <c r="B177" s="472" t="s">
        <v>201</v>
      </c>
      <c r="C177" s="473"/>
      <c r="D177" s="473"/>
      <c r="E177" s="473"/>
      <c r="F177" s="473"/>
      <c r="G177" s="473"/>
      <c r="H177" s="473"/>
      <c r="I177" s="189"/>
      <c r="J177" s="189"/>
      <c r="K177" s="189"/>
      <c r="L177" s="189"/>
      <c r="M177" s="188"/>
      <c r="N177" s="461" t="s">
        <v>202</v>
      </c>
      <c r="O177" s="461" t="s">
        <v>150</v>
      </c>
      <c r="P177" s="470">
        <f>P142+7</f>
        <v>45993</v>
      </c>
      <c r="Q177" s="471"/>
      <c r="R177" s="471"/>
      <c r="S177" s="471"/>
      <c r="T177" s="471"/>
      <c r="U177" s="467">
        <f>P177+1</f>
        <v>45994</v>
      </c>
      <c r="V177" s="468"/>
      <c r="W177" s="468"/>
      <c r="X177" s="468"/>
      <c r="Y177" s="469"/>
      <c r="Z177" s="467">
        <f>U177+1</f>
        <v>45995</v>
      </c>
      <c r="AA177" s="468"/>
      <c r="AB177" s="468"/>
      <c r="AC177" s="468"/>
      <c r="AD177" s="469"/>
      <c r="AE177" s="467">
        <f>Z177+1</f>
        <v>45996</v>
      </c>
      <c r="AF177" s="468"/>
      <c r="AG177" s="468"/>
      <c r="AH177" s="468"/>
      <c r="AI177" s="469"/>
      <c r="AJ177" s="467">
        <f>AE177+1</f>
        <v>45997</v>
      </c>
      <c r="AK177" s="468"/>
      <c r="AL177" s="468"/>
      <c r="AM177" s="468"/>
      <c r="AN177" s="469"/>
      <c r="AO177" s="467">
        <f>AJ177+1</f>
        <v>45998</v>
      </c>
      <c r="AP177" s="468"/>
      <c r="AQ177" s="468"/>
      <c r="AR177" s="468"/>
      <c r="AS177" s="469"/>
      <c r="AT177" s="467">
        <f>AO177+1</f>
        <v>45999</v>
      </c>
      <c r="AU177" s="468"/>
      <c r="AV177" s="468"/>
      <c r="AW177" s="468"/>
      <c r="AX177" s="469"/>
    </row>
    <row r="178" spans="2:50" ht="15.75">
      <c r="B178" s="474"/>
      <c r="C178" s="474"/>
      <c r="D178" s="474"/>
      <c r="E178" s="474"/>
      <c r="F178" s="474"/>
      <c r="G178" s="474"/>
      <c r="H178" s="474"/>
      <c r="I178" s="187"/>
      <c r="J178" s="187"/>
      <c r="K178" s="187"/>
      <c r="L178" s="187"/>
      <c r="M178" s="182"/>
      <c r="N178" s="463"/>
      <c r="O178" s="463"/>
      <c r="P178" s="470" t="s">
        <v>203</v>
      </c>
      <c r="Q178" s="471"/>
      <c r="R178" s="471"/>
      <c r="S178" s="471"/>
      <c r="T178" s="471"/>
      <c r="U178" s="470" t="s">
        <v>204</v>
      </c>
      <c r="V178" s="471"/>
      <c r="W178" s="471"/>
      <c r="X178" s="471"/>
      <c r="Y178" s="471"/>
      <c r="Z178" s="470" t="s">
        <v>205</v>
      </c>
      <c r="AA178" s="471"/>
      <c r="AB178" s="471"/>
      <c r="AC178" s="471"/>
      <c r="AD178" s="471"/>
      <c r="AE178" s="470" t="s">
        <v>206</v>
      </c>
      <c r="AF178" s="471"/>
      <c r="AG178" s="471"/>
      <c r="AH178" s="471"/>
      <c r="AI178" s="471"/>
      <c r="AJ178" s="470" t="s">
        <v>207</v>
      </c>
      <c r="AK178" s="471"/>
      <c r="AL178" s="471"/>
      <c r="AM178" s="471"/>
      <c r="AN178" s="471"/>
      <c r="AO178" s="470" t="s">
        <v>157</v>
      </c>
      <c r="AP178" s="471"/>
      <c r="AQ178" s="471"/>
      <c r="AR178" s="471"/>
      <c r="AS178" s="471"/>
      <c r="AT178" s="470" t="s">
        <v>208</v>
      </c>
      <c r="AU178" s="471"/>
      <c r="AV178" s="471"/>
      <c r="AW178" s="471"/>
      <c r="AX178" s="471"/>
    </row>
    <row r="179" spans="2:50">
      <c r="B179" s="454" t="s">
        <v>209</v>
      </c>
      <c r="C179" s="454" t="s">
        <v>210</v>
      </c>
      <c r="D179" s="454"/>
      <c r="E179" s="454" t="s">
        <v>211</v>
      </c>
      <c r="F179" s="454"/>
      <c r="G179" s="454"/>
      <c r="H179" s="455" t="s">
        <v>212</v>
      </c>
      <c r="I179" s="454" t="s">
        <v>213</v>
      </c>
      <c r="J179" s="454"/>
      <c r="K179" s="454"/>
      <c r="L179" s="455" t="s">
        <v>212</v>
      </c>
      <c r="M179" s="461" t="s">
        <v>214</v>
      </c>
      <c r="N179" s="454"/>
      <c r="O179" s="454" t="s">
        <v>215</v>
      </c>
      <c r="P179" s="458" t="s">
        <v>216</v>
      </c>
      <c r="Q179" s="459"/>
      <c r="R179" s="459"/>
      <c r="S179" s="460"/>
      <c r="T179" s="454" t="s">
        <v>212</v>
      </c>
      <c r="U179" s="458" t="s">
        <v>216</v>
      </c>
      <c r="V179" s="459"/>
      <c r="W179" s="459"/>
      <c r="X179" s="460"/>
      <c r="Y179" s="454" t="s">
        <v>212</v>
      </c>
      <c r="Z179" s="458" t="s">
        <v>216</v>
      </c>
      <c r="AA179" s="459"/>
      <c r="AB179" s="459"/>
      <c r="AC179" s="460"/>
      <c r="AD179" s="454" t="s">
        <v>212</v>
      </c>
      <c r="AE179" s="458" t="s">
        <v>216</v>
      </c>
      <c r="AF179" s="459"/>
      <c r="AG179" s="459"/>
      <c r="AH179" s="460"/>
      <c r="AI179" s="454" t="s">
        <v>212</v>
      </c>
      <c r="AJ179" s="458" t="s">
        <v>216</v>
      </c>
      <c r="AK179" s="459"/>
      <c r="AL179" s="459"/>
      <c r="AM179" s="460"/>
      <c r="AN179" s="454" t="s">
        <v>212</v>
      </c>
      <c r="AO179" s="458" t="s">
        <v>216</v>
      </c>
      <c r="AP179" s="459"/>
      <c r="AQ179" s="459"/>
      <c r="AR179" s="460"/>
      <c r="AS179" s="454" t="s">
        <v>212</v>
      </c>
      <c r="AT179" s="458" t="s">
        <v>216</v>
      </c>
      <c r="AU179" s="459"/>
      <c r="AV179" s="459"/>
      <c r="AW179" s="460"/>
      <c r="AX179" s="454" t="s">
        <v>212</v>
      </c>
    </row>
    <row r="180" spans="2:50">
      <c r="B180" s="454"/>
      <c r="C180" s="454"/>
      <c r="D180" s="454"/>
      <c r="E180" s="454" t="s">
        <v>217</v>
      </c>
      <c r="F180" s="454"/>
      <c r="G180" s="454"/>
      <c r="H180" s="456"/>
      <c r="I180" s="454" t="s">
        <v>217</v>
      </c>
      <c r="J180" s="454"/>
      <c r="K180" s="454"/>
      <c r="L180" s="456"/>
      <c r="M180" s="462"/>
      <c r="N180" s="454"/>
      <c r="O180" s="454"/>
      <c r="P180" s="458" t="s">
        <v>218</v>
      </c>
      <c r="Q180" s="459"/>
      <c r="R180" s="459"/>
      <c r="S180" s="460"/>
      <c r="T180" s="454"/>
      <c r="U180" s="458" t="s">
        <v>218</v>
      </c>
      <c r="V180" s="459"/>
      <c r="W180" s="459"/>
      <c r="X180" s="460"/>
      <c r="Y180" s="454"/>
      <c r="Z180" s="458" t="s">
        <v>218</v>
      </c>
      <c r="AA180" s="459"/>
      <c r="AB180" s="459"/>
      <c r="AC180" s="460"/>
      <c r="AD180" s="454"/>
      <c r="AE180" s="458" t="s">
        <v>218</v>
      </c>
      <c r="AF180" s="459"/>
      <c r="AG180" s="459"/>
      <c r="AH180" s="460"/>
      <c r="AI180" s="454"/>
      <c r="AJ180" s="458" t="s">
        <v>218</v>
      </c>
      <c r="AK180" s="459"/>
      <c r="AL180" s="459"/>
      <c r="AM180" s="460"/>
      <c r="AN180" s="454"/>
      <c r="AO180" s="458" t="s">
        <v>218</v>
      </c>
      <c r="AP180" s="459"/>
      <c r="AQ180" s="459"/>
      <c r="AR180" s="460"/>
      <c r="AS180" s="454"/>
      <c r="AT180" s="458" t="s">
        <v>218</v>
      </c>
      <c r="AU180" s="459"/>
      <c r="AV180" s="459"/>
      <c r="AW180" s="460"/>
      <c r="AX180" s="454"/>
    </row>
    <row r="181" spans="2:50">
      <c r="B181" s="454"/>
      <c r="C181" s="454"/>
      <c r="D181" s="454"/>
      <c r="E181" s="275" t="s">
        <v>219</v>
      </c>
      <c r="F181" s="275" t="s">
        <v>220</v>
      </c>
      <c r="G181" s="275" t="s">
        <v>221</v>
      </c>
      <c r="H181" s="457"/>
      <c r="I181" s="275" t="s">
        <v>219</v>
      </c>
      <c r="J181" s="275" t="s">
        <v>220</v>
      </c>
      <c r="K181" s="275" t="s">
        <v>221</v>
      </c>
      <c r="L181" s="457"/>
      <c r="M181" s="463"/>
      <c r="N181" s="454"/>
      <c r="O181" s="454"/>
      <c r="P181" s="275" t="s">
        <v>219</v>
      </c>
      <c r="Q181" s="275" t="s">
        <v>220</v>
      </c>
      <c r="R181" s="275" t="s">
        <v>221</v>
      </c>
      <c r="S181" s="275" t="s">
        <v>214</v>
      </c>
      <c r="T181" s="454"/>
      <c r="U181" s="275" t="s">
        <v>219</v>
      </c>
      <c r="V181" s="275" t="s">
        <v>220</v>
      </c>
      <c r="W181" s="275" t="s">
        <v>221</v>
      </c>
      <c r="X181" s="275" t="s">
        <v>214</v>
      </c>
      <c r="Y181" s="454"/>
      <c r="Z181" s="275" t="s">
        <v>219</v>
      </c>
      <c r="AA181" s="275" t="s">
        <v>220</v>
      </c>
      <c r="AB181" s="275" t="s">
        <v>221</v>
      </c>
      <c r="AC181" s="275" t="s">
        <v>214</v>
      </c>
      <c r="AD181" s="454"/>
      <c r="AE181" s="275" t="s">
        <v>219</v>
      </c>
      <c r="AF181" s="275" t="s">
        <v>220</v>
      </c>
      <c r="AG181" s="275" t="s">
        <v>221</v>
      </c>
      <c r="AH181" s="275" t="s">
        <v>214</v>
      </c>
      <c r="AI181" s="454"/>
      <c r="AJ181" s="275" t="s">
        <v>219</v>
      </c>
      <c r="AK181" s="275" t="s">
        <v>220</v>
      </c>
      <c r="AL181" s="275" t="s">
        <v>221</v>
      </c>
      <c r="AM181" s="275" t="s">
        <v>214</v>
      </c>
      <c r="AN181" s="454"/>
      <c r="AO181" s="275" t="s">
        <v>219</v>
      </c>
      <c r="AP181" s="275" t="s">
        <v>220</v>
      </c>
      <c r="AQ181" s="275" t="s">
        <v>221</v>
      </c>
      <c r="AR181" s="275" t="s">
        <v>214</v>
      </c>
      <c r="AS181" s="454"/>
      <c r="AT181" s="275" t="s">
        <v>219</v>
      </c>
      <c r="AU181" s="275" t="s">
        <v>220</v>
      </c>
      <c r="AV181" s="275" t="s">
        <v>221</v>
      </c>
      <c r="AW181" s="275" t="s">
        <v>214</v>
      </c>
      <c r="AX181" s="454"/>
    </row>
    <row r="182" spans="2:50">
      <c r="B182" s="454" t="s">
        <v>186</v>
      </c>
      <c r="C182" s="185">
        <v>1</v>
      </c>
      <c r="D182" s="206"/>
      <c r="E182" s="169"/>
      <c r="F182" s="185"/>
      <c r="G182" s="183"/>
      <c r="H182" s="451" t="e">
        <f>AVERAGE(G182:G211)</f>
        <v>#DIV/0!</v>
      </c>
      <c r="I182" s="169" t="e">
        <f>AVERAGE(P182,U182,Z182,AE182,AJ182,AO182,AT182)</f>
        <v>#DIV/0!</v>
      </c>
      <c r="J182" s="169" t="e">
        <f>AVERAGE(Q182,V182,AA182,AF182,AK182,AP182,AU182)</f>
        <v>#DIV/0!</v>
      </c>
      <c r="K182" s="183" t="e">
        <f>AVERAGE(R182,W182,AB182,AG182,AL182,AQ182,AV182)</f>
        <v>#DIV/0!</v>
      </c>
      <c r="L182" s="451" t="str">
        <f>IFERROR(AVERAGE(K182:K211),"-")</f>
        <v>-</v>
      </c>
      <c r="M182" s="184" t="e">
        <f>RANK(K182, K$147:$K$176)</f>
        <v>#DIV/0!</v>
      </c>
      <c r="N182" s="454"/>
      <c r="O182" s="454"/>
      <c r="P182" s="169"/>
      <c r="Q182" s="169"/>
      <c r="R182" s="169"/>
      <c r="S182" s="185" t="e">
        <f>RANK(R182, R$147:R$176)</f>
        <v>#N/A</v>
      </c>
      <c r="T182" s="494" t="e">
        <f>AVERAGE(R182:R211)</f>
        <v>#DIV/0!</v>
      </c>
      <c r="U182" s="169"/>
      <c r="V182" s="169"/>
      <c r="W182" s="169"/>
      <c r="X182" s="185" t="e">
        <f>RANK(W182, W$147:W$176)</f>
        <v>#N/A</v>
      </c>
      <c r="Y182" s="494" t="e">
        <f>AVERAGE(W182:W211)</f>
        <v>#DIV/0!</v>
      </c>
      <c r="Z182" s="169"/>
      <c r="AA182" s="169"/>
      <c r="AB182" s="169"/>
      <c r="AC182" s="185" t="e">
        <f>RANK(AB182, AB$147:AB$176)</f>
        <v>#N/A</v>
      </c>
      <c r="AD182" s="494" t="e">
        <f>AVERAGE(AB182:AB211)</f>
        <v>#DIV/0!</v>
      </c>
      <c r="AE182" s="169"/>
      <c r="AF182" s="169"/>
      <c r="AG182" s="169"/>
      <c r="AH182" s="185" t="e">
        <f>RANK(AG182, AG$147:AG$176)</f>
        <v>#N/A</v>
      </c>
      <c r="AI182" s="494" t="e">
        <f>AVERAGE(AG182:AG211)</f>
        <v>#DIV/0!</v>
      </c>
      <c r="AJ182" s="169"/>
      <c r="AK182" s="169"/>
      <c r="AL182" s="169"/>
      <c r="AM182" s="185" t="e">
        <f>RANK(AL182, AL$147:AL$176)</f>
        <v>#N/A</v>
      </c>
      <c r="AN182" s="494" t="e">
        <f>AVERAGE(AL182:AL211)</f>
        <v>#DIV/0!</v>
      </c>
      <c r="AO182" s="169"/>
      <c r="AP182" s="169"/>
      <c r="AQ182" s="169"/>
      <c r="AR182" s="185" t="e">
        <f>RANK(AQ182, AQ$147:AQ$176)</f>
        <v>#N/A</v>
      </c>
      <c r="AS182" s="494" t="e">
        <f>AVERAGE(AQ182:AQ211)</f>
        <v>#DIV/0!</v>
      </c>
      <c r="AT182" s="169"/>
      <c r="AU182" s="169"/>
      <c r="AV182" s="169"/>
      <c r="AW182" s="185" t="e">
        <f>RANK(AV182, AV$147:AV$176)</f>
        <v>#N/A</v>
      </c>
      <c r="AX182" s="494" t="e">
        <f>AVERAGE(AV182:AV211)</f>
        <v>#DIV/0!</v>
      </c>
    </row>
    <row r="183" spans="2:50">
      <c r="B183" s="471"/>
      <c r="C183" s="185">
        <v>2</v>
      </c>
      <c r="D183" s="206"/>
      <c r="E183" s="169"/>
      <c r="F183" s="185"/>
      <c r="G183" s="183"/>
      <c r="H183" s="452"/>
      <c r="I183" s="169" t="e">
        <f t="shared" ref="I183:I205" si="61">AVERAGE(P183,U183,Z183,AE183,AJ183,AO183,AT183)</f>
        <v>#DIV/0!</v>
      </c>
      <c r="J183" s="169" t="e">
        <f t="shared" ref="J183:J205" si="62">AVERAGE(Q183,V183,AA183,AF183,AK183,AP183,AU183)</f>
        <v>#DIV/0!</v>
      </c>
      <c r="K183" s="183" t="e">
        <f t="shared" ref="K183:K205" si="63">AVERAGE(R183,W183,AB183,AG183,AL183,AQ183,AV183)</f>
        <v>#DIV/0!</v>
      </c>
      <c r="L183" s="452"/>
      <c r="M183" s="184" t="e">
        <f>RANK(K183, K$147:$K$176)</f>
        <v>#DIV/0!</v>
      </c>
      <c r="N183" s="454"/>
      <c r="O183" s="454"/>
      <c r="P183" s="169"/>
      <c r="Q183" s="169"/>
      <c r="R183" s="169"/>
      <c r="S183" s="185" t="e">
        <f t="shared" ref="S183:S211" si="64">RANK(R183, R$147:R$176)</f>
        <v>#N/A</v>
      </c>
      <c r="T183" s="494"/>
      <c r="U183" s="169"/>
      <c r="V183" s="169"/>
      <c r="W183" s="169"/>
      <c r="X183" s="185" t="e">
        <f t="shared" ref="X183:X211" si="65">RANK(W183, W$147:W$176)</f>
        <v>#N/A</v>
      </c>
      <c r="Y183" s="494"/>
      <c r="Z183" s="169"/>
      <c r="AA183" s="169"/>
      <c r="AB183" s="169"/>
      <c r="AC183" s="185" t="e">
        <f t="shared" ref="AC183:AC211" si="66">RANK(AB183, AB$147:AB$176)</f>
        <v>#N/A</v>
      </c>
      <c r="AD183" s="494"/>
      <c r="AE183" s="169"/>
      <c r="AF183" s="169"/>
      <c r="AG183" s="169"/>
      <c r="AH183" s="185" t="e">
        <f t="shared" ref="AH183:AH211" si="67">RANK(AG183, AG$147:AG$176)</f>
        <v>#N/A</v>
      </c>
      <c r="AI183" s="494"/>
      <c r="AJ183" s="169"/>
      <c r="AK183" s="169"/>
      <c r="AL183" s="169"/>
      <c r="AM183" s="185" t="e">
        <f t="shared" ref="AM183:AM211" si="68">RANK(AL183, AL$147:AL$176)</f>
        <v>#N/A</v>
      </c>
      <c r="AN183" s="494"/>
      <c r="AO183" s="169"/>
      <c r="AP183" s="169"/>
      <c r="AQ183" s="169"/>
      <c r="AR183" s="185" t="e">
        <f t="shared" ref="AR183:AR211" si="69">RANK(AQ183, AQ$147:AQ$176)</f>
        <v>#N/A</v>
      </c>
      <c r="AS183" s="494"/>
      <c r="AT183" s="169"/>
      <c r="AU183" s="169"/>
      <c r="AV183" s="169"/>
      <c r="AW183" s="185" t="e">
        <f t="shared" ref="AW183:AW211" si="70">RANK(AV183, AV$147:AV$176)</f>
        <v>#N/A</v>
      </c>
      <c r="AX183" s="494"/>
    </row>
    <row r="184" spans="2:50">
      <c r="B184" s="471"/>
      <c r="C184" s="185">
        <v>3</v>
      </c>
      <c r="D184" s="206"/>
      <c r="E184" s="169"/>
      <c r="F184" s="185"/>
      <c r="G184" s="183"/>
      <c r="H184" s="452"/>
      <c r="I184" s="169" t="e">
        <f t="shared" si="61"/>
        <v>#DIV/0!</v>
      </c>
      <c r="J184" s="169" t="e">
        <f t="shared" si="62"/>
        <v>#DIV/0!</v>
      </c>
      <c r="K184" s="183" t="e">
        <f t="shared" si="63"/>
        <v>#DIV/0!</v>
      </c>
      <c r="L184" s="452"/>
      <c r="M184" s="184" t="e">
        <f>RANK(K184, K$147:$K$176)</f>
        <v>#DIV/0!</v>
      </c>
      <c r="N184" s="454"/>
      <c r="O184" s="454"/>
      <c r="P184" s="169"/>
      <c r="Q184" s="169"/>
      <c r="R184" s="169"/>
      <c r="S184" s="185" t="e">
        <f t="shared" si="64"/>
        <v>#N/A</v>
      </c>
      <c r="T184" s="494"/>
      <c r="U184" s="169"/>
      <c r="V184" s="169"/>
      <c r="W184" s="169"/>
      <c r="X184" s="185" t="e">
        <f t="shared" si="65"/>
        <v>#N/A</v>
      </c>
      <c r="Y184" s="494"/>
      <c r="Z184" s="169"/>
      <c r="AA184" s="169"/>
      <c r="AB184" s="169"/>
      <c r="AC184" s="185" t="e">
        <f t="shared" si="66"/>
        <v>#N/A</v>
      </c>
      <c r="AD184" s="494"/>
      <c r="AE184" s="169"/>
      <c r="AF184" s="169"/>
      <c r="AG184" s="169"/>
      <c r="AH184" s="185" t="e">
        <f t="shared" si="67"/>
        <v>#N/A</v>
      </c>
      <c r="AI184" s="494"/>
      <c r="AJ184" s="169"/>
      <c r="AK184" s="169"/>
      <c r="AL184" s="169"/>
      <c r="AM184" s="185" t="e">
        <f t="shared" si="68"/>
        <v>#N/A</v>
      </c>
      <c r="AN184" s="494"/>
      <c r="AO184" s="169"/>
      <c r="AP184" s="169"/>
      <c r="AQ184" s="169"/>
      <c r="AR184" s="185" t="e">
        <f t="shared" si="69"/>
        <v>#N/A</v>
      </c>
      <c r="AS184" s="494"/>
      <c r="AT184" s="169"/>
      <c r="AU184" s="169"/>
      <c r="AV184" s="169"/>
      <c r="AW184" s="185" t="e">
        <f t="shared" si="70"/>
        <v>#N/A</v>
      </c>
      <c r="AX184" s="494"/>
    </row>
    <row r="185" spans="2:50">
      <c r="B185" s="471"/>
      <c r="C185" s="185">
        <v>4</v>
      </c>
      <c r="D185" s="206"/>
      <c r="E185" s="169"/>
      <c r="F185" s="185"/>
      <c r="G185" s="183"/>
      <c r="H185" s="452"/>
      <c r="I185" s="169" t="e">
        <f t="shared" si="61"/>
        <v>#DIV/0!</v>
      </c>
      <c r="J185" s="169" t="e">
        <f t="shared" si="62"/>
        <v>#DIV/0!</v>
      </c>
      <c r="K185" s="183" t="e">
        <f t="shared" si="63"/>
        <v>#DIV/0!</v>
      </c>
      <c r="L185" s="452"/>
      <c r="M185" s="184" t="e">
        <f>RANK(K185, K$147:$K$176)</f>
        <v>#DIV/0!</v>
      </c>
      <c r="N185" s="454"/>
      <c r="O185" s="454"/>
      <c r="P185" s="169"/>
      <c r="Q185" s="169"/>
      <c r="R185" s="169"/>
      <c r="S185" s="185" t="e">
        <f t="shared" si="64"/>
        <v>#N/A</v>
      </c>
      <c r="T185" s="494"/>
      <c r="U185" s="169"/>
      <c r="V185" s="169"/>
      <c r="W185" s="169"/>
      <c r="X185" s="185" t="e">
        <f t="shared" si="65"/>
        <v>#N/A</v>
      </c>
      <c r="Y185" s="494"/>
      <c r="Z185" s="169"/>
      <c r="AA185" s="169"/>
      <c r="AB185" s="169"/>
      <c r="AC185" s="185" t="e">
        <f t="shared" si="66"/>
        <v>#N/A</v>
      </c>
      <c r="AD185" s="494"/>
      <c r="AE185" s="169"/>
      <c r="AF185" s="169"/>
      <c r="AG185" s="169"/>
      <c r="AH185" s="185" t="e">
        <f t="shared" si="67"/>
        <v>#N/A</v>
      </c>
      <c r="AI185" s="494"/>
      <c r="AJ185" s="169"/>
      <c r="AK185" s="169"/>
      <c r="AL185" s="169"/>
      <c r="AM185" s="185" t="e">
        <f t="shared" si="68"/>
        <v>#N/A</v>
      </c>
      <c r="AN185" s="494"/>
      <c r="AO185" s="169"/>
      <c r="AP185" s="169"/>
      <c r="AQ185" s="169"/>
      <c r="AR185" s="185" t="e">
        <f t="shared" si="69"/>
        <v>#N/A</v>
      </c>
      <c r="AS185" s="494"/>
      <c r="AT185" s="169"/>
      <c r="AU185" s="169"/>
      <c r="AV185" s="169"/>
      <c r="AW185" s="185" t="e">
        <f t="shared" si="70"/>
        <v>#N/A</v>
      </c>
      <c r="AX185" s="494"/>
    </row>
    <row r="186" spans="2:50">
      <c r="B186" s="471"/>
      <c r="C186" s="185">
        <v>5</v>
      </c>
      <c r="D186" s="206"/>
      <c r="E186" s="169"/>
      <c r="F186" s="185"/>
      <c r="G186" s="183"/>
      <c r="H186" s="452"/>
      <c r="I186" s="169" t="e">
        <f t="shared" si="61"/>
        <v>#DIV/0!</v>
      </c>
      <c r="J186" s="169" t="e">
        <f t="shared" si="62"/>
        <v>#DIV/0!</v>
      </c>
      <c r="K186" s="183" t="e">
        <f t="shared" si="63"/>
        <v>#DIV/0!</v>
      </c>
      <c r="L186" s="452"/>
      <c r="M186" s="184" t="e">
        <f>RANK(K186, K$147:$K$176)</f>
        <v>#DIV/0!</v>
      </c>
      <c r="N186" s="454"/>
      <c r="O186" s="454"/>
      <c r="P186" s="169"/>
      <c r="Q186" s="169"/>
      <c r="R186" s="169"/>
      <c r="S186" s="185" t="e">
        <f t="shared" si="64"/>
        <v>#N/A</v>
      </c>
      <c r="T186" s="494"/>
      <c r="U186" s="169"/>
      <c r="V186" s="169"/>
      <c r="W186" s="169"/>
      <c r="X186" s="185" t="e">
        <f t="shared" si="65"/>
        <v>#N/A</v>
      </c>
      <c r="Y186" s="494"/>
      <c r="Z186" s="169"/>
      <c r="AA186" s="169"/>
      <c r="AB186" s="169"/>
      <c r="AC186" s="185" t="e">
        <f t="shared" si="66"/>
        <v>#N/A</v>
      </c>
      <c r="AD186" s="494"/>
      <c r="AE186" s="169"/>
      <c r="AF186" s="169"/>
      <c r="AG186" s="169"/>
      <c r="AH186" s="185" t="e">
        <f t="shared" si="67"/>
        <v>#N/A</v>
      </c>
      <c r="AI186" s="494"/>
      <c r="AJ186" s="169"/>
      <c r="AK186" s="169"/>
      <c r="AL186" s="169"/>
      <c r="AM186" s="185" t="e">
        <f t="shared" si="68"/>
        <v>#N/A</v>
      </c>
      <c r="AN186" s="494"/>
      <c r="AO186" s="169"/>
      <c r="AP186" s="169"/>
      <c r="AQ186" s="169"/>
      <c r="AR186" s="185" t="e">
        <f t="shared" si="69"/>
        <v>#N/A</v>
      </c>
      <c r="AS186" s="494"/>
      <c r="AT186" s="169"/>
      <c r="AU186" s="169"/>
      <c r="AV186" s="169"/>
      <c r="AW186" s="185" t="e">
        <f t="shared" si="70"/>
        <v>#N/A</v>
      </c>
      <c r="AX186" s="494"/>
    </row>
    <row r="187" spans="2:50">
      <c r="B187" s="471"/>
      <c r="C187" s="185">
        <v>6</v>
      </c>
      <c r="D187" s="206"/>
      <c r="E187" s="169"/>
      <c r="F187" s="185"/>
      <c r="G187" s="183"/>
      <c r="H187" s="452"/>
      <c r="I187" s="169" t="e">
        <f t="shared" si="61"/>
        <v>#DIV/0!</v>
      </c>
      <c r="J187" s="169" t="e">
        <f t="shared" si="62"/>
        <v>#DIV/0!</v>
      </c>
      <c r="K187" s="183" t="e">
        <f t="shared" si="63"/>
        <v>#DIV/0!</v>
      </c>
      <c r="L187" s="452"/>
      <c r="M187" s="184" t="e">
        <f>RANK(K187, K$147:$K$176)</f>
        <v>#DIV/0!</v>
      </c>
      <c r="N187" s="454"/>
      <c r="O187" s="454"/>
      <c r="P187" s="169"/>
      <c r="Q187" s="169"/>
      <c r="R187" s="169"/>
      <c r="S187" s="185" t="e">
        <f t="shared" si="64"/>
        <v>#N/A</v>
      </c>
      <c r="T187" s="494"/>
      <c r="U187" s="169"/>
      <c r="V187" s="169"/>
      <c r="W187" s="169"/>
      <c r="X187" s="185" t="e">
        <f t="shared" si="65"/>
        <v>#N/A</v>
      </c>
      <c r="Y187" s="494"/>
      <c r="Z187" s="169"/>
      <c r="AA187" s="169"/>
      <c r="AB187" s="169"/>
      <c r="AC187" s="185" t="e">
        <f t="shared" si="66"/>
        <v>#N/A</v>
      </c>
      <c r="AD187" s="494"/>
      <c r="AE187" s="169"/>
      <c r="AF187" s="169"/>
      <c r="AG187" s="169"/>
      <c r="AH187" s="185" t="e">
        <f t="shared" si="67"/>
        <v>#N/A</v>
      </c>
      <c r="AI187" s="494"/>
      <c r="AJ187" s="169"/>
      <c r="AK187" s="169"/>
      <c r="AL187" s="169"/>
      <c r="AM187" s="185" t="e">
        <f t="shared" si="68"/>
        <v>#N/A</v>
      </c>
      <c r="AN187" s="494"/>
      <c r="AO187" s="169"/>
      <c r="AP187" s="169"/>
      <c r="AQ187" s="169"/>
      <c r="AR187" s="185" t="e">
        <f t="shared" si="69"/>
        <v>#N/A</v>
      </c>
      <c r="AS187" s="494"/>
      <c r="AT187" s="169"/>
      <c r="AU187" s="169"/>
      <c r="AV187" s="169"/>
      <c r="AW187" s="185" t="e">
        <f t="shared" si="70"/>
        <v>#N/A</v>
      </c>
      <c r="AX187" s="494"/>
    </row>
    <row r="188" spans="2:50">
      <c r="B188" s="471"/>
      <c r="C188" s="185">
        <v>7</v>
      </c>
      <c r="D188" s="206"/>
      <c r="E188" s="169"/>
      <c r="F188" s="185"/>
      <c r="G188" s="183"/>
      <c r="H188" s="452"/>
      <c r="I188" s="169" t="e">
        <f t="shared" si="61"/>
        <v>#DIV/0!</v>
      </c>
      <c r="J188" s="169" t="e">
        <f t="shared" si="62"/>
        <v>#DIV/0!</v>
      </c>
      <c r="K188" s="183" t="e">
        <f t="shared" si="63"/>
        <v>#DIV/0!</v>
      </c>
      <c r="L188" s="452"/>
      <c r="M188" s="184" t="e">
        <f>RANK(K188, K$147:$K$176)</f>
        <v>#DIV/0!</v>
      </c>
      <c r="N188" s="454"/>
      <c r="O188" s="454"/>
      <c r="P188" s="169"/>
      <c r="Q188" s="169"/>
      <c r="R188" s="169"/>
      <c r="S188" s="185" t="e">
        <f t="shared" si="64"/>
        <v>#N/A</v>
      </c>
      <c r="T188" s="494"/>
      <c r="U188" s="169"/>
      <c r="V188" s="169"/>
      <c r="W188" s="169"/>
      <c r="X188" s="185" t="e">
        <f t="shared" si="65"/>
        <v>#N/A</v>
      </c>
      <c r="Y188" s="494"/>
      <c r="Z188" s="169"/>
      <c r="AA188" s="169"/>
      <c r="AB188" s="169"/>
      <c r="AC188" s="185" t="e">
        <f t="shared" si="66"/>
        <v>#N/A</v>
      </c>
      <c r="AD188" s="494"/>
      <c r="AE188" s="169"/>
      <c r="AF188" s="169"/>
      <c r="AG188" s="169"/>
      <c r="AH188" s="185" t="e">
        <f t="shared" si="67"/>
        <v>#N/A</v>
      </c>
      <c r="AI188" s="494"/>
      <c r="AJ188" s="169"/>
      <c r="AK188" s="169"/>
      <c r="AL188" s="169"/>
      <c r="AM188" s="185" t="e">
        <f t="shared" si="68"/>
        <v>#N/A</v>
      </c>
      <c r="AN188" s="494"/>
      <c r="AO188" s="169"/>
      <c r="AP188" s="169"/>
      <c r="AQ188" s="169"/>
      <c r="AR188" s="185" t="e">
        <f t="shared" si="69"/>
        <v>#N/A</v>
      </c>
      <c r="AS188" s="494"/>
      <c r="AT188" s="169"/>
      <c r="AU188" s="169"/>
      <c r="AV188" s="169"/>
      <c r="AW188" s="185" t="e">
        <f t="shared" si="70"/>
        <v>#N/A</v>
      </c>
      <c r="AX188" s="494"/>
    </row>
    <row r="189" spans="2:50">
      <c r="B189" s="471"/>
      <c r="C189" s="185">
        <v>8</v>
      </c>
      <c r="D189" s="206"/>
      <c r="E189" s="169"/>
      <c r="F189" s="185"/>
      <c r="G189" s="183"/>
      <c r="H189" s="452"/>
      <c r="I189" s="169" t="e">
        <f t="shared" si="61"/>
        <v>#DIV/0!</v>
      </c>
      <c r="J189" s="169" t="e">
        <f t="shared" si="62"/>
        <v>#DIV/0!</v>
      </c>
      <c r="K189" s="183" t="e">
        <f t="shared" si="63"/>
        <v>#DIV/0!</v>
      </c>
      <c r="L189" s="452"/>
      <c r="M189" s="184" t="e">
        <f>RANK(K189, K$147:$K$176)</f>
        <v>#DIV/0!</v>
      </c>
      <c r="N189" s="454"/>
      <c r="O189" s="454"/>
      <c r="P189" s="169"/>
      <c r="Q189" s="169"/>
      <c r="R189" s="169"/>
      <c r="S189" s="185" t="e">
        <f t="shared" si="64"/>
        <v>#N/A</v>
      </c>
      <c r="T189" s="494"/>
      <c r="U189" s="169"/>
      <c r="V189" s="169"/>
      <c r="W189" s="169"/>
      <c r="X189" s="185" t="e">
        <f t="shared" si="65"/>
        <v>#N/A</v>
      </c>
      <c r="Y189" s="494"/>
      <c r="Z189" s="169"/>
      <c r="AA189" s="169"/>
      <c r="AB189" s="169"/>
      <c r="AC189" s="185" t="e">
        <f t="shared" si="66"/>
        <v>#N/A</v>
      </c>
      <c r="AD189" s="494"/>
      <c r="AE189" s="169"/>
      <c r="AF189" s="169"/>
      <c r="AG189" s="169"/>
      <c r="AH189" s="185" t="e">
        <f t="shared" si="67"/>
        <v>#N/A</v>
      </c>
      <c r="AI189" s="494"/>
      <c r="AJ189" s="169"/>
      <c r="AK189" s="169"/>
      <c r="AL189" s="169"/>
      <c r="AM189" s="185" t="e">
        <f t="shared" si="68"/>
        <v>#N/A</v>
      </c>
      <c r="AN189" s="494"/>
      <c r="AO189" s="169"/>
      <c r="AP189" s="169"/>
      <c r="AQ189" s="169"/>
      <c r="AR189" s="185" t="e">
        <f t="shared" si="69"/>
        <v>#N/A</v>
      </c>
      <c r="AS189" s="494"/>
      <c r="AT189" s="169"/>
      <c r="AU189" s="169"/>
      <c r="AV189" s="169"/>
      <c r="AW189" s="185" t="e">
        <f t="shared" si="70"/>
        <v>#N/A</v>
      </c>
      <c r="AX189" s="494"/>
    </row>
    <row r="190" spans="2:50">
      <c r="B190" s="471"/>
      <c r="C190" s="185">
        <v>9</v>
      </c>
      <c r="D190" s="206"/>
      <c r="E190" s="169"/>
      <c r="F190" s="185"/>
      <c r="G190" s="183"/>
      <c r="H190" s="452"/>
      <c r="I190" s="169" t="e">
        <f t="shared" si="61"/>
        <v>#DIV/0!</v>
      </c>
      <c r="J190" s="169" t="e">
        <f t="shared" si="62"/>
        <v>#DIV/0!</v>
      </c>
      <c r="K190" s="183" t="e">
        <f t="shared" si="63"/>
        <v>#DIV/0!</v>
      </c>
      <c r="L190" s="452"/>
      <c r="M190" s="184" t="e">
        <f>RANK(K190, K$147:$K$176)</f>
        <v>#DIV/0!</v>
      </c>
      <c r="N190" s="454"/>
      <c r="O190" s="454"/>
      <c r="P190" s="169"/>
      <c r="Q190" s="169"/>
      <c r="R190" s="169"/>
      <c r="S190" s="185" t="e">
        <f t="shared" si="64"/>
        <v>#N/A</v>
      </c>
      <c r="T190" s="494"/>
      <c r="U190" s="169"/>
      <c r="V190" s="169"/>
      <c r="W190" s="169"/>
      <c r="X190" s="185" t="e">
        <f t="shared" si="65"/>
        <v>#N/A</v>
      </c>
      <c r="Y190" s="494"/>
      <c r="Z190" s="169"/>
      <c r="AA190" s="169"/>
      <c r="AB190" s="169"/>
      <c r="AC190" s="185" t="e">
        <f t="shared" si="66"/>
        <v>#N/A</v>
      </c>
      <c r="AD190" s="494"/>
      <c r="AE190" s="169"/>
      <c r="AF190" s="169"/>
      <c r="AG190" s="169"/>
      <c r="AH190" s="185" t="e">
        <f t="shared" si="67"/>
        <v>#N/A</v>
      </c>
      <c r="AI190" s="494"/>
      <c r="AJ190" s="169"/>
      <c r="AK190" s="169"/>
      <c r="AL190" s="169"/>
      <c r="AM190" s="185" t="e">
        <f t="shared" si="68"/>
        <v>#N/A</v>
      </c>
      <c r="AN190" s="494"/>
      <c r="AO190" s="169"/>
      <c r="AP190" s="169"/>
      <c r="AQ190" s="169"/>
      <c r="AR190" s="185" t="e">
        <f t="shared" si="69"/>
        <v>#N/A</v>
      </c>
      <c r="AS190" s="494"/>
      <c r="AT190" s="169"/>
      <c r="AU190" s="169"/>
      <c r="AV190" s="169"/>
      <c r="AW190" s="185" t="e">
        <f t="shared" si="70"/>
        <v>#N/A</v>
      </c>
      <c r="AX190" s="494"/>
    </row>
    <row r="191" spans="2:50">
      <c r="B191" s="471"/>
      <c r="C191" s="185">
        <v>10</v>
      </c>
      <c r="D191" s="206"/>
      <c r="E191" s="169"/>
      <c r="F191" s="185"/>
      <c r="G191" s="183"/>
      <c r="H191" s="452"/>
      <c r="I191" s="169" t="e">
        <f t="shared" si="61"/>
        <v>#DIV/0!</v>
      </c>
      <c r="J191" s="169" t="e">
        <f t="shared" si="62"/>
        <v>#DIV/0!</v>
      </c>
      <c r="K191" s="183" t="e">
        <f t="shared" si="63"/>
        <v>#DIV/0!</v>
      </c>
      <c r="L191" s="452"/>
      <c r="M191" s="184" t="e">
        <f>RANK(K191, K$147:$K$176)</f>
        <v>#DIV/0!</v>
      </c>
      <c r="N191" s="454"/>
      <c r="O191" s="454"/>
      <c r="P191" s="169"/>
      <c r="Q191" s="169"/>
      <c r="R191" s="169"/>
      <c r="S191" s="185" t="e">
        <f t="shared" si="64"/>
        <v>#N/A</v>
      </c>
      <c r="T191" s="494"/>
      <c r="U191" s="169"/>
      <c r="V191" s="169"/>
      <c r="W191" s="169"/>
      <c r="X191" s="185" t="e">
        <f t="shared" si="65"/>
        <v>#N/A</v>
      </c>
      <c r="Y191" s="494"/>
      <c r="Z191" s="169"/>
      <c r="AA191" s="169"/>
      <c r="AB191" s="169"/>
      <c r="AC191" s="185" t="e">
        <f t="shared" si="66"/>
        <v>#N/A</v>
      </c>
      <c r="AD191" s="494"/>
      <c r="AE191" s="169"/>
      <c r="AF191" s="169"/>
      <c r="AG191" s="169"/>
      <c r="AH191" s="185" t="e">
        <f t="shared" si="67"/>
        <v>#N/A</v>
      </c>
      <c r="AI191" s="494"/>
      <c r="AJ191" s="169"/>
      <c r="AK191" s="169"/>
      <c r="AL191" s="169"/>
      <c r="AM191" s="185" t="e">
        <f t="shared" si="68"/>
        <v>#N/A</v>
      </c>
      <c r="AN191" s="494"/>
      <c r="AO191" s="169"/>
      <c r="AP191" s="169"/>
      <c r="AQ191" s="169"/>
      <c r="AR191" s="185" t="e">
        <f t="shared" si="69"/>
        <v>#N/A</v>
      </c>
      <c r="AS191" s="494"/>
      <c r="AT191" s="169"/>
      <c r="AU191" s="169"/>
      <c r="AV191" s="169"/>
      <c r="AW191" s="185" t="e">
        <f t="shared" si="70"/>
        <v>#N/A</v>
      </c>
      <c r="AX191" s="494"/>
    </row>
    <row r="192" spans="2:50">
      <c r="B192" s="471"/>
      <c r="C192" s="185">
        <v>11</v>
      </c>
      <c r="D192" s="206"/>
      <c r="E192" s="169"/>
      <c r="F192" s="185"/>
      <c r="G192" s="183"/>
      <c r="H192" s="452"/>
      <c r="I192" s="169" t="e">
        <f t="shared" si="61"/>
        <v>#DIV/0!</v>
      </c>
      <c r="J192" s="169" t="e">
        <f t="shared" si="62"/>
        <v>#DIV/0!</v>
      </c>
      <c r="K192" s="183" t="e">
        <f t="shared" si="63"/>
        <v>#DIV/0!</v>
      </c>
      <c r="L192" s="452"/>
      <c r="M192" s="184" t="e">
        <f>RANK(K192, K$147:$K$176)</f>
        <v>#DIV/0!</v>
      </c>
      <c r="N192" s="454"/>
      <c r="O192" s="454"/>
      <c r="P192" s="169"/>
      <c r="Q192" s="169"/>
      <c r="R192" s="169"/>
      <c r="S192" s="185" t="e">
        <f t="shared" si="64"/>
        <v>#N/A</v>
      </c>
      <c r="T192" s="494"/>
      <c r="U192" s="169"/>
      <c r="V192" s="169"/>
      <c r="W192" s="169"/>
      <c r="X192" s="185" t="e">
        <f t="shared" si="65"/>
        <v>#N/A</v>
      </c>
      <c r="Y192" s="494"/>
      <c r="Z192" s="169"/>
      <c r="AA192" s="169"/>
      <c r="AB192" s="169"/>
      <c r="AC192" s="185" t="e">
        <f t="shared" si="66"/>
        <v>#N/A</v>
      </c>
      <c r="AD192" s="494"/>
      <c r="AE192" s="169"/>
      <c r="AF192" s="169"/>
      <c r="AG192" s="169"/>
      <c r="AH192" s="185" t="e">
        <f t="shared" si="67"/>
        <v>#N/A</v>
      </c>
      <c r="AI192" s="494"/>
      <c r="AJ192" s="169"/>
      <c r="AK192" s="169"/>
      <c r="AL192" s="169"/>
      <c r="AM192" s="185" t="e">
        <f t="shared" si="68"/>
        <v>#N/A</v>
      </c>
      <c r="AN192" s="494"/>
      <c r="AO192" s="169"/>
      <c r="AP192" s="169"/>
      <c r="AQ192" s="169"/>
      <c r="AR192" s="185" t="e">
        <f t="shared" si="69"/>
        <v>#N/A</v>
      </c>
      <c r="AS192" s="494"/>
      <c r="AT192" s="169"/>
      <c r="AU192" s="169"/>
      <c r="AV192" s="169"/>
      <c r="AW192" s="185" t="e">
        <f t="shared" si="70"/>
        <v>#N/A</v>
      </c>
      <c r="AX192" s="494"/>
    </row>
    <row r="193" spans="2:50">
      <c r="B193" s="471"/>
      <c r="C193" s="185">
        <v>12</v>
      </c>
      <c r="D193" s="206"/>
      <c r="E193" s="169"/>
      <c r="F193" s="185"/>
      <c r="G193" s="183"/>
      <c r="H193" s="452"/>
      <c r="I193" s="169" t="e">
        <f t="shared" si="61"/>
        <v>#DIV/0!</v>
      </c>
      <c r="J193" s="169" t="e">
        <f t="shared" si="62"/>
        <v>#DIV/0!</v>
      </c>
      <c r="K193" s="183" t="e">
        <f t="shared" si="63"/>
        <v>#DIV/0!</v>
      </c>
      <c r="L193" s="452"/>
      <c r="M193" s="184" t="e">
        <f>RANK(K193, K$147:$K$176)</f>
        <v>#DIV/0!</v>
      </c>
      <c r="N193" s="454"/>
      <c r="O193" s="454"/>
      <c r="P193" s="169"/>
      <c r="Q193" s="169"/>
      <c r="R193" s="169"/>
      <c r="S193" s="185" t="e">
        <f t="shared" si="64"/>
        <v>#N/A</v>
      </c>
      <c r="T193" s="494"/>
      <c r="U193" s="169"/>
      <c r="V193" s="169"/>
      <c r="W193" s="169"/>
      <c r="X193" s="185" t="e">
        <f t="shared" si="65"/>
        <v>#N/A</v>
      </c>
      <c r="Y193" s="494"/>
      <c r="Z193" s="169"/>
      <c r="AA193" s="169"/>
      <c r="AB193" s="169"/>
      <c r="AC193" s="185" t="e">
        <f t="shared" si="66"/>
        <v>#N/A</v>
      </c>
      <c r="AD193" s="494"/>
      <c r="AE193" s="169"/>
      <c r="AF193" s="169"/>
      <c r="AG193" s="169"/>
      <c r="AH193" s="185" t="e">
        <f t="shared" si="67"/>
        <v>#N/A</v>
      </c>
      <c r="AI193" s="494"/>
      <c r="AJ193" s="169"/>
      <c r="AK193" s="169"/>
      <c r="AL193" s="169"/>
      <c r="AM193" s="185" t="e">
        <f t="shared" si="68"/>
        <v>#N/A</v>
      </c>
      <c r="AN193" s="494"/>
      <c r="AO193" s="169"/>
      <c r="AP193" s="169"/>
      <c r="AQ193" s="169"/>
      <c r="AR193" s="185" t="e">
        <f t="shared" si="69"/>
        <v>#N/A</v>
      </c>
      <c r="AS193" s="494"/>
      <c r="AT193" s="169"/>
      <c r="AU193" s="169"/>
      <c r="AV193" s="169"/>
      <c r="AW193" s="185" t="e">
        <f t="shared" si="70"/>
        <v>#N/A</v>
      </c>
      <c r="AX193" s="494"/>
    </row>
    <row r="194" spans="2:50">
      <c r="B194" s="471"/>
      <c r="C194" s="185">
        <v>13</v>
      </c>
      <c r="D194" s="206"/>
      <c r="E194" s="169"/>
      <c r="F194" s="185"/>
      <c r="G194" s="183"/>
      <c r="H194" s="452"/>
      <c r="I194" s="169" t="e">
        <f t="shared" si="61"/>
        <v>#DIV/0!</v>
      </c>
      <c r="J194" s="169" t="e">
        <f t="shared" si="62"/>
        <v>#DIV/0!</v>
      </c>
      <c r="K194" s="183" t="e">
        <f t="shared" si="63"/>
        <v>#DIV/0!</v>
      </c>
      <c r="L194" s="452"/>
      <c r="M194" s="184" t="e">
        <f>RANK(K194, K$147:$K$176)</f>
        <v>#DIV/0!</v>
      </c>
      <c r="N194" s="454"/>
      <c r="O194" s="454"/>
      <c r="P194" s="169"/>
      <c r="Q194" s="169"/>
      <c r="R194" s="169"/>
      <c r="S194" s="185" t="e">
        <f t="shared" si="64"/>
        <v>#N/A</v>
      </c>
      <c r="T194" s="494"/>
      <c r="U194" s="169"/>
      <c r="V194" s="169"/>
      <c r="W194" s="169"/>
      <c r="X194" s="185" t="e">
        <f t="shared" si="65"/>
        <v>#N/A</v>
      </c>
      <c r="Y194" s="494"/>
      <c r="Z194" s="169"/>
      <c r="AA194" s="169"/>
      <c r="AB194" s="169"/>
      <c r="AC194" s="185" t="e">
        <f t="shared" si="66"/>
        <v>#N/A</v>
      </c>
      <c r="AD194" s="494"/>
      <c r="AE194" s="169"/>
      <c r="AF194" s="169"/>
      <c r="AG194" s="169"/>
      <c r="AH194" s="185" t="e">
        <f t="shared" si="67"/>
        <v>#N/A</v>
      </c>
      <c r="AI194" s="494"/>
      <c r="AJ194" s="169"/>
      <c r="AK194" s="169"/>
      <c r="AL194" s="169"/>
      <c r="AM194" s="185" t="e">
        <f t="shared" si="68"/>
        <v>#N/A</v>
      </c>
      <c r="AN194" s="494"/>
      <c r="AO194" s="169"/>
      <c r="AP194" s="169"/>
      <c r="AQ194" s="169"/>
      <c r="AR194" s="185" t="e">
        <f t="shared" si="69"/>
        <v>#N/A</v>
      </c>
      <c r="AS194" s="494"/>
      <c r="AT194" s="169"/>
      <c r="AU194" s="169"/>
      <c r="AV194" s="169"/>
      <c r="AW194" s="185" t="e">
        <f t="shared" si="70"/>
        <v>#N/A</v>
      </c>
      <c r="AX194" s="494"/>
    </row>
    <row r="195" spans="2:50">
      <c r="B195" s="471"/>
      <c r="C195" s="185">
        <v>14</v>
      </c>
      <c r="D195" s="206"/>
      <c r="E195" s="169"/>
      <c r="F195" s="185"/>
      <c r="G195" s="183"/>
      <c r="H195" s="452"/>
      <c r="I195" s="169" t="e">
        <f t="shared" si="61"/>
        <v>#DIV/0!</v>
      </c>
      <c r="J195" s="169" t="e">
        <f t="shared" si="62"/>
        <v>#DIV/0!</v>
      </c>
      <c r="K195" s="183" t="e">
        <f t="shared" si="63"/>
        <v>#DIV/0!</v>
      </c>
      <c r="L195" s="452"/>
      <c r="M195" s="184" t="e">
        <f>RANK(K195, K$147:$K$176)</f>
        <v>#DIV/0!</v>
      </c>
      <c r="N195" s="454"/>
      <c r="O195" s="454"/>
      <c r="P195" s="169"/>
      <c r="Q195" s="169"/>
      <c r="R195" s="169"/>
      <c r="S195" s="185" t="e">
        <f t="shared" si="64"/>
        <v>#N/A</v>
      </c>
      <c r="T195" s="494"/>
      <c r="U195" s="169"/>
      <c r="V195" s="169"/>
      <c r="W195" s="169"/>
      <c r="X195" s="185" t="e">
        <f t="shared" si="65"/>
        <v>#N/A</v>
      </c>
      <c r="Y195" s="494"/>
      <c r="Z195" s="169"/>
      <c r="AA195" s="169"/>
      <c r="AB195" s="169"/>
      <c r="AC195" s="185" t="e">
        <f t="shared" si="66"/>
        <v>#N/A</v>
      </c>
      <c r="AD195" s="494"/>
      <c r="AE195" s="169"/>
      <c r="AF195" s="169"/>
      <c r="AG195" s="169"/>
      <c r="AH195" s="185" t="e">
        <f t="shared" si="67"/>
        <v>#N/A</v>
      </c>
      <c r="AI195" s="494"/>
      <c r="AJ195" s="169"/>
      <c r="AK195" s="169"/>
      <c r="AL195" s="169"/>
      <c r="AM195" s="185" t="e">
        <f t="shared" si="68"/>
        <v>#N/A</v>
      </c>
      <c r="AN195" s="494"/>
      <c r="AO195" s="169"/>
      <c r="AP195" s="169"/>
      <c r="AQ195" s="169"/>
      <c r="AR195" s="185" t="e">
        <f t="shared" si="69"/>
        <v>#N/A</v>
      </c>
      <c r="AS195" s="494"/>
      <c r="AT195" s="169"/>
      <c r="AU195" s="169"/>
      <c r="AV195" s="169"/>
      <c r="AW195" s="185" t="e">
        <f t="shared" si="70"/>
        <v>#N/A</v>
      </c>
      <c r="AX195" s="494"/>
    </row>
    <row r="196" spans="2:50">
      <c r="B196" s="471"/>
      <c r="C196" s="185">
        <v>15</v>
      </c>
      <c r="D196" s="206"/>
      <c r="E196" s="169"/>
      <c r="F196" s="185"/>
      <c r="G196" s="183"/>
      <c r="H196" s="452"/>
      <c r="I196" s="169" t="e">
        <f t="shared" si="61"/>
        <v>#DIV/0!</v>
      </c>
      <c r="J196" s="169" t="e">
        <f t="shared" si="62"/>
        <v>#DIV/0!</v>
      </c>
      <c r="K196" s="183" t="e">
        <f t="shared" si="63"/>
        <v>#DIV/0!</v>
      </c>
      <c r="L196" s="452"/>
      <c r="M196" s="169" t="e">
        <f>RANK(K196, K$147:$K$176)</f>
        <v>#DIV/0!</v>
      </c>
      <c r="N196" s="454"/>
      <c r="O196" s="454"/>
      <c r="P196" s="169"/>
      <c r="Q196" s="169"/>
      <c r="R196" s="169"/>
      <c r="S196" s="185" t="e">
        <f t="shared" si="64"/>
        <v>#N/A</v>
      </c>
      <c r="T196" s="494"/>
      <c r="U196" s="169"/>
      <c r="V196" s="169"/>
      <c r="W196" s="169"/>
      <c r="X196" s="185" t="e">
        <f t="shared" si="65"/>
        <v>#N/A</v>
      </c>
      <c r="Y196" s="494"/>
      <c r="Z196" s="169"/>
      <c r="AA196" s="169"/>
      <c r="AB196" s="169"/>
      <c r="AC196" s="185" t="e">
        <f t="shared" si="66"/>
        <v>#N/A</v>
      </c>
      <c r="AD196" s="494"/>
      <c r="AE196" s="169"/>
      <c r="AF196" s="169"/>
      <c r="AG196" s="169"/>
      <c r="AH196" s="185" t="e">
        <f t="shared" si="67"/>
        <v>#N/A</v>
      </c>
      <c r="AI196" s="494"/>
      <c r="AJ196" s="169"/>
      <c r="AK196" s="169"/>
      <c r="AL196" s="169"/>
      <c r="AM196" s="185" t="e">
        <f t="shared" si="68"/>
        <v>#N/A</v>
      </c>
      <c r="AN196" s="494"/>
      <c r="AO196" s="169"/>
      <c r="AP196" s="169"/>
      <c r="AQ196" s="169"/>
      <c r="AR196" s="185" t="e">
        <f t="shared" si="69"/>
        <v>#N/A</v>
      </c>
      <c r="AS196" s="494"/>
      <c r="AT196" s="169"/>
      <c r="AU196" s="169"/>
      <c r="AV196" s="169"/>
      <c r="AW196" s="185" t="e">
        <f t="shared" si="70"/>
        <v>#N/A</v>
      </c>
      <c r="AX196" s="494"/>
    </row>
    <row r="197" spans="2:50">
      <c r="B197" s="471"/>
      <c r="C197" s="185">
        <v>16</v>
      </c>
      <c r="D197" s="206"/>
      <c r="E197" s="169"/>
      <c r="F197" s="185"/>
      <c r="G197" s="183"/>
      <c r="H197" s="452"/>
      <c r="I197" s="169" t="e">
        <f t="shared" si="61"/>
        <v>#DIV/0!</v>
      </c>
      <c r="J197" s="169" t="e">
        <f t="shared" si="62"/>
        <v>#DIV/0!</v>
      </c>
      <c r="K197" s="183" t="e">
        <f t="shared" si="63"/>
        <v>#DIV/0!</v>
      </c>
      <c r="L197" s="452"/>
      <c r="M197" s="169" t="e">
        <f>RANK(K197, K$147:$K$176)</f>
        <v>#DIV/0!</v>
      </c>
      <c r="N197" s="454"/>
      <c r="O197" s="454"/>
      <c r="P197" s="169"/>
      <c r="Q197" s="169"/>
      <c r="R197" s="169"/>
      <c r="S197" s="185" t="e">
        <f t="shared" si="64"/>
        <v>#N/A</v>
      </c>
      <c r="T197" s="494"/>
      <c r="U197" s="169"/>
      <c r="V197" s="169"/>
      <c r="W197" s="169"/>
      <c r="X197" s="185" t="e">
        <f t="shared" si="65"/>
        <v>#N/A</v>
      </c>
      <c r="Y197" s="494"/>
      <c r="Z197" s="169"/>
      <c r="AA197" s="169"/>
      <c r="AB197" s="169"/>
      <c r="AC197" s="185" t="e">
        <f t="shared" si="66"/>
        <v>#N/A</v>
      </c>
      <c r="AD197" s="494"/>
      <c r="AE197" s="169"/>
      <c r="AF197" s="169"/>
      <c r="AG197" s="169"/>
      <c r="AH197" s="185" t="e">
        <f t="shared" si="67"/>
        <v>#N/A</v>
      </c>
      <c r="AI197" s="494"/>
      <c r="AJ197" s="169"/>
      <c r="AK197" s="169"/>
      <c r="AL197" s="169"/>
      <c r="AM197" s="185" t="e">
        <f t="shared" si="68"/>
        <v>#N/A</v>
      </c>
      <c r="AN197" s="494"/>
      <c r="AO197" s="169"/>
      <c r="AP197" s="169"/>
      <c r="AQ197" s="169"/>
      <c r="AR197" s="185" t="e">
        <f t="shared" si="69"/>
        <v>#N/A</v>
      </c>
      <c r="AS197" s="494"/>
      <c r="AT197" s="169"/>
      <c r="AU197" s="169"/>
      <c r="AV197" s="169"/>
      <c r="AW197" s="185" t="e">
        <f t="shared" si="70"/>
        <v>#N/A</v>
      </c>
      <c r="AX197" s="494"/>
    </row>
    <row r="198" spans="2:50">
      <c r="B198" s="471"/>
      <c r="C198" s="185">
        <v>17</v>
      </c>
      <c r="D198" s="206"/>
      <c r="E198" s="169"/>
      <c r="F198" s="185"/>
      <c r="G198" s="183"/>
      <c r="H198" s="452"/>
      <c r="I198" s="169" t="e">
        <f t="shared" si="61"/>
        <v>#DIV/0!</v>
      </c>
      <c r="J198" s="169" t="e">
        <f t="shared" si="62"/>
        <v>#DIV/0!</v>
      </c>
      <c r="K198" s="183" t="e">
        <f t="shared" si="63"/>
        <v>#DIV/0!</v>
      </c>
      <c r="L198" s="452"/>
      <c r="M198" s="169" t="e">
        <f>RANK(K198, K$147:$K$176)</f>
        <v>#DIV/0!</v>
      </c>
      <c r="N198" s="454"/>
      <c r="O198" s="454"/>
      <c r="P198" s="169"/>
      <c r="Q198" s="169"/>
      <c r="R198" s="169"/>
      <c r="S198" s="185" t="e">
        <f t="shared" si="64"/>
        <v>#N/A</v>
      </c>
      <c r="T198" s="494"/>
      <c r="U198" s="169"/>
      <c r="V198" s="169"/>
      <c r="W198" s="169"/>
      <c r="X198" s="185" t="e">
        <f t="shared" si="65"/>
        <v>#N/A</v>
      </c>
      <c r="Y198" s="494"/>
      <c r="Z198" s="169"/>
      <c r="AA198" s="169"/>
      <c r="AB198" s="169"/>
      <c r="AC198" s="185" t="e">
        <f t="shared" si="66"/>
        <v>#N/A</v>
      </c>
      <c r="AD198" s="494"/>
      <c r="AE198" s="169"/>
      <c r="AF198" s="169"/>
      <c r="AG198" s="169"/>
      <c r="AH198" s="185" t="e">
        <f t="shared" si="67"/>
        <v>#N/A</v>
      </c>
      <c r="AI198" s="494"/>
      <c r="AJ198" s="169"/>
      <c r="AK198" s="169"/>
      <c r="AL198" s="169"/>
      <c r="AM198" s="185" t="e">
        <f t="shared" si="68"/>
        <v>#N/A</v>
      </c>
      <c r="AN198" s="494"/>
      <c r="AO198" s="169"/>
      <c r="AP198" s="169"/>
      <c r="AQ198" s="169"/>
      <c r="AR198" s="185" t="e">
        <f t="shared" si="69"/>
        <v>#N/A</v>
      </c>
      <c r="AS198" s="494"/>
      <c r="AT198" s="169"/>
      <c r="AU198" s="169"/>
      <c r="AV198" s="169"/>
      <c r="AW198" s="185" t="e">
        <f t="shared" si="70"/>
        <v>#N/A</v>
      </c>
      <c r="AX198" s="494"/>
    </row>
    <row r="199" spans="2:50">
      <c r="B199" s="471"/>
      <c r="C199" s="185">
        <v>18</v>
      </c>
      <c r="D199" s="206"/>
      <c r="E199" s="169"/>
      <c r="F199" s="185"/>
      <c r="G199" s="183"/>
      <c r="H199" s="452"/>
      <c r="I199" s="169" t="e">
        <f t="shared" si="61"/>
        <v>#DIV/0!</v>
      </c>
      <c r="J199" s="169" t="e">
        <f t="shared" si="62"/>
        <v>#DIV/0!</v>
      </c>
      <c r="K199" s="183" t="e">
        <f t="shared" si="63"/>
        <v>#DIV/0!</v>
      </c>
      <c r="L199" s="452"/>
      <c r="M199" s="169" t="e">
        <f>RANK(K199, K$147:$K$176)</f>
        <v>#DIV/0!</v>
      </c>
      <c r="N199" s="454"/>
      <c r="O199" s="454"/>
      <c r="P199" s="169"/>
      <c r="Q199" s="169"/>
      <c r="R199" s="169"/>
      <c r="S199" s="185" t="e">
        <f t="shared" si="64"/>
        <v>#N/A</v>
      </c>
      <c r="T199" s="494"/>
      <c r="U199" s="169"/>
      <c r="V199" s="169"/>
      <c r="W199" s="169"/>
      <c r="X199" s="185" t="e">
        <f t="shared" si="65"/>
        <v>#N/A</v>
      </c>
      <c r="Y199" s="494"/>
      <c r="Z199" s="169"/>
      <c r="AA199" s="169"/>
      <c r="AB199" s="169"/>
      <c r="AC199" s="185" t="e">
        <f t="shared" si="66"/>
        <v>#N/A</v>
      </c>
      <c r="AD199" s="494"/>
      <c r="AE199" s="169"/>
      <c r="AF199" s="169"/>
      <c r="AG199" s="169"/>
      <c r="AH199" s="185" t="e">
        <f t="shared" si="67"/>
        <v>#N/A</v>
      </c>
      <c r="AI199" s="494"/>
      <c r="AJ199" s="169"/>
      <c r="AK199" s="169"/>
      <c r="AL199" s="169"/>
      <c r="AM199" s="185" t="e">
        <f t="shared" si="68"/>
        <v>#N/A</v>
      </c>
      <c r="AN199" s="494"/>
      <c r="AO199" s="169"/>
      <c r="AP199" s="169"/>
      <c r="AQ199" s="169"/>
      <c r="AR199" s="185" t="e">
        <f t="shared" si="69"/>
        <v>#N/A</v>
      </c>
      <c r="AS199" s="494"/>
      <c r="AT199" s="169"/>
      <c r="AU199" s="169"/>
      <c r="AV199" s="169"/>
      <c r="AW199" s="185" t="e">
        <f t="shared" si="70"/>
        <v>#N/A</v>
      </c>
      <c r="AX199" s="494"/>
    </row>
    <row r="200" spans="2:50">
      <c r="B200" s="471"/>
      <c r="C200" s="185">
        <v>19</v>
      </c>
      <c r="D200" s="206"/>
      <c r="E200" s="169"/>
      <c r="F200" s="185"/>
      <c r="G200" s="183"/>
      <c r="H200" s="452"/>
      <c r="I200" s="169" t="e">
        <f t="shared" si="61"/>
        <v>#DIV/0!</v>
      </c>
      <c r="J200" s="169" t="e">
        <f t="shared" si="62"/>
        <v>#DIV/0!</v>
      </c>
      <c r="K200" s="183" t="e">
        <f t="shared" si="63"/>
        <v>#DIV/0!</v>
      </c>
      <c r="L200" s="452"/>
      <c r="M200" s="169" t="e">
        <f>RANK(K200, K$147:$K$176)</f>
        <v>#DIV/0!</v>
      </c>
      <c r="N200" s="454"/>
      <c r="O200" s="454"/>
      <c r="P200" s="169"/>
      <c r="Q200" s="169"/>
      <c r="R200" s="169"/>
      <c r="S200" s="185" t="e">
        <f t="shared" si="64"/>
        <v>#N/A</v>
      </c>
      <c r="T200" s="494"/>
      <c r="U200" s="169"/>
      <c r="V200" s="169"/>
      <c r="W200" s="169"/>
      <c r="X200" s="185" t="e">
        <f t="shared" si="65"/>
        <v>#N/A</v>
      </c>
      <c r="Y200" s="494"/>
      <c r="Z200" s="169"/>
      <c r="AA200" s="169"/>
      <c r="AB200" s="169"/>
      <c r="AC200" s="185" t="e">
        <f t="shared" si="66"/>
        <v>#N/A</v>
      </c>
      <c r="AD200" s="494"/>
      <c r="AE200" s="169"/>
      <c r="AF200" s="169"/>
      <c r="AG200" s="169"/>
      <c r="AH200" s="185" t="e">
        <f t="shared" si="67"/>
        <v>#N/A</v>
      </c>
      <c r="AI200" s="494"/>
      <c r="AJ200" s="169"/>
      <c r="AK200" s="169"/>
      <c r="AL200" s="169"/>
      <c r="AM200" s="185" t="e">
        <f t="shared" si="68"/>
        <v>#N/A</v>
      </c>
      <c r="AN200" s="494"/>
      <c r="AO200" s="169"/>
      <c r="AP200" s="169"/>
      <c r="AQ200" s="169"/>
      <c r="AR200" s="185" t="e">
        <f t="shared" si="69"/>
        <v>#N/A</v>
      </c>
      <c r="AS200" s="494"/>
      <c r="AT200" s="169"/>
      <c r="AU200" s="169"/>
      <c r="AV200" s="169"/>
      <c r="AW200" s="185" t="e">
        <f t="shared" si="70"/>
        <v>#N/A</v>
      </c>
      <c r="AX200" s="494"/>
    </row>
    <row r="201" spans="2:50">
      <c r="B201" s="471"/>
      <c r="C201" s="185">
        <v>20</v>
      </c>
      <c r="D201" s="206"/>
      <c r="E201" s="169"/>
      <c r="F201" s="185"/>
      <c r="G201" s="183"/>
      <c r="H201" s="452"/>
      <c r="I201" s="169" t="e">
        <f t="shared" si="61"/>
        <v>#DIV/0!</v>
      </c>
      <c r="J201" s="169" t="e">
        <f t="shared" si="62"/>
        <v>#DIV/0!</v>
      </c>
      <c r="K201" s="183" t="e">
        <f t="shared" si="63"/>
        <v>#DIV/0!</v>
      </c>
      <c r="L201" s="452"/>
      <c r="M201" s="169" t="e">
        <f>RANK(K201, K$147:$K$176)</f>
        <v>#DIV/0!</v>
      </c>
      <c r="N201" s="454"/>
      <c r="O201" s="454"/>
      <c r="P201" s="169"/>
      <c r="Q201" s="169"/>
      <c r="R201" s="169"/>
      <c r="S201" s="185" t="e">
        <f t="shared" si="64"/>
        <v>#N/A</v>
      </c>
      <c r="T201" s="494"/>
      <c r="U201" s="169"/>
      <c r="V201" s="169"/>
      <c r="W201" s="169"/>
      <c r="X201" s="185" t="e">
        <f t="shared" si="65"/>
        <v>#N/A</v>
      </c>
      <c r="Y201" s="494"/>
      <c r="Z201" s="169"/>
      <c r="AA201" s="169"/>
      <c r="AB201" s="169"/>
      <c r="AC201" s="185" t="e">
        <f t="shared" si="66"/>
        <v>#N/A</v>
      </c>
      <c r="AD201" s="494"/>
      <c r="AE201" s="169"/>
      <c r="AF201" s="169"/>
      <c r="AG201" s="169"/>
      <c r="AH201" s="185" t="e">
        <f t="shared" si="67"/>
        <v>#N/A</v>
      </c>
      <c r="AI201" s="494"/>
      <c r="AJ201" s="169"/>
      <c r="AK201" s="169"/>
      <c r="AL201" s="169"/>
      <c r="AM201" s="185" t="e">
        <f t="shared" si="68"/>
        <v>#N/A</v>
      </c>
      <c r="AN201" s="494"/>
      <c r="AO201" s="169"/>
      <c r="AP201" s="169"/>
      <c r="AQ201" s="169"/>
      <c r="AR201" s="185" t="e">
        <f t="shared" si="69"/>
        <v>#N/A</v>
      </c>
      <c r="AS201" s="494"/>
      <c r="AT201" s="169"/>
      <c r="AU201" s="169"/>
      <c r="AV201" s="169"/>
      <c r="AW201" s="185" t="e">
        <f t="shared" si="70"/>
        <v>#N/A</v>
      </c>
      <c r="AX201" s="494"/>
    </row>
    <row r="202" spans="2:50">
      <c r="B202" s="471"/>
      <c r="C202" s="185">
        <v>21</v>
      </c>
      <c r="D202" s="206"/>
      <c r="E202" s="169"/>
      <c r="F202" s="185"/>
      <c r="G202" s="183"/>
      <c r="H202" s="452"/>
      <c r="I202" s="169" t="e">
        <f t="shared" si="61"/>
        <v>#DIV/0!</v>
      </c>
      <c r="J202" s="169" t="e">
        <f t="shared" si="62"/>
        <v>#DIV/0!</v>
      </c>
      <c r="K202" s="183" t="e">
        <f t="shared" si="63"/>
        <v>#DIV/0!</v>
      </c>
      <c r="L202" s="452"/>
      <c r="M202" s="169" t="e">
        <f>RANK(K202, K$147:$K$176)</f>
        <v>#DIV/0!</v>
      </c>
      <c r="N202" s="454"/>
      <c r="O202" s="454"/>
      <c r="P202" s="169"/>
      <c r="Q202" s="169"/>
      <c r="R202" s="169"/>
      <c r="S202" s="185" t="e">
        <f t="shared" si="64"/>
        <v>#N/A</v>
      </c>
      <c r="T202" s="494"/>
      <c r="U202" s="169"/>
      <c r="V202" s="169"/>
      <c r="W202" s="169"/>
      <c r="X202" s="185" t="e">
        <f t="shared" si="65"/>
        <v>#N/A</v>
      </c>
      <c r="Y202" s="494"/>
      <c r="Z202" s="169"/>
      <c r="AA202" s="169"/>
      <c r="AB202" s="169"/>
      <c r="AC202" s="185" t="e">
        <f t="shared" si="66"/>
        <v>#N/A</v>
      </c>
      <c r="AD202" s="494"/>
      <c r="AE202" s="169"/>
      <c r="AF202" s="169"/>
      <c r="AG202" s="169"/>
      <c r="AH202" s="185" t="e">
        <f t="shared" si="67"/>
        <v>#N/A</v>
      </c>
      <c r="AI202" s="494"/>
      <c r="AJ202" s="169"/>
      <c r="AK202" s="169"/>
      <c r="AL202" s="169"/>
      <c r="AM202" s="185" t="e">
        <f t="shared" si="68"/>
        <v>#N/A</v>
      </c>
      <c r="AN202" s="494"/>
      <c r="AO202" s="169"/>
      <c r="AP202" s="169"/>
      <c r="AQ202" s="169"/>
      <c r="AR202" s="185" t="e">
        <f t="shared" si="69"/>
        <v>#N/A</v>
      </c>
      <c r="AS202" s="494"/>
      <c r="AT202" s="169"/>
      <c r="AU202" s="169"/>
      <c r="AV202" s="169"/>
      <c r="AW202" s="185" t="e">
        <f t="shared" si="70"/>
        <v>#N/A</v>
      </c>
      <c r="AX202" s="494"/>
    </row>
    <row r="203" spans="2:50">
      <c r="B203" s="471"/>
      <c r="C203" s="185">
        <v>22</v>
      </c>
      <c r="D203" s="206"/>
      <c r="E203" s="169"/>
      <c r="F203" s="185"/>
      <c r="G203" s="183"/>
      <c r="H203" s="452"/>
      <c r="I203" s="169" t="e">
        <f t="shared" si="61"/>
        <v>#DIV/0!</v>
      </c>
      <c r="J203" s="169" t="e">
        <f t="shared" si="62"/>
        <v>#DIV/0!</v>
      </c>
      <c r="K203" s="183" t="e">
        <f t="shared" si="63"/>
        <v>#DIV/0!</v>
      </c>
      <c r="L203" s="452"/>
      <c r="M203" s="169" t="e">
        <f>RANK(K203, K$147:$K$176)</f>
        <v>#DIV/0!</v>
      </c>
      <c r="N203" s="454"/>
      <c r="O203" s="454"/>
      <c r="P203" s="169"/>
      <c r="Q203" s="169"/>
      <c r="R203" s="169"/>
      <c r="S203" s="185" t="e">
        <f t="shared" si="64"/>
        <v>#N/A</v>
      </c>
      <c r="T203" s="494"/>
      <c r="U203" s="169"/>
      <c r="V203" s="169"/>
      <c r="W203" s="169"/>
      <c r="X203" s="185" t="e">
        <f t="shared" si="65"/>
        <v>#N/A</v>
      </c>
      <c r="Y203" s="494"/>
      <c r="Z203" s="169"/>
      <c r="AA203" s="169"/>
      <c r="AB203" s="169"/>
      <c r="AC203" s="185" t="e">
        <f t="shared" si="66"/>
        <v>#N/A</v>
      </c>
      <c r="AD203" s="494"/>
      <c r="AE203" s="169"/>
      <c r="AF203" s="169"/>
      <c r="AG203" s="169"/>
      <c r="AH203" s="185" t="e">
        <f t="shared" si="67"/>
        <v>#N/A</v>
      </c>
      <c r="AI203" s="494"/>
      <c r="AJ203" s="169"/>
      <c r="AK203" s="169"/>
      <c r="AL203" s="169"/>
      <c r="AM203" s="185" t="e">
        <f t="shared" si="68"/>
        <v>#N/A</v>
      </c>
      <c r="AN203" s="494"/>
      <c r="AO203" s="169"/>
      <c r="AP203" s="169"/>
      <c r="AQ203" s="169"/>
      <c r="AR203" s="185" t="e">
        <f t="shared" si="69"/>
        <v>#N/A</v>
      </c>
      <c r="AS203" s="494"/>
      <c r="AT203" s="169"/>
      <c r="AU203" s="169"/>
      <c r="AV203" s="169"/>
      <c r="AW203" s="185" t="e">
        <f t="shared" si="70"/>
        <v>#N/A</v>
      </c>
      <c r="AX203" s="494"/>
    </row>
    <row r="204" spans="2:50">
      <c r="B204" s="471"/>
      <c r="C204" s="185">
        <v>23</v>
      </c>
      <c r="D204" s="206"/>
      <c r="E204" s="169"/>
      <c r="F204" s="185"/>
      <c r="G204" s="183"/>
      <c r="H204" s="452"/>
      <c r="I204" s="169" t="e">
        <f t="shared" si="61"/>
        <v>#DIV/0!</v>
      </c>
      <c r="J204" s="169" t="e">
        <f t="shared" si="62"/>
        <v>#DIV/0!</v>
      </c>
      <c r="K204" s="183" t="e">
        <f t="shared" si="63"/>
        <v>#DIV/0!</v>
      </c>
      <c r="L204" s="452"/>
      <c r="M204" s="169" t="e">
        <f>RANK(K204, K$147:$K$176)</f>
        <v>#DIV/0!</v>
      </c>
      <c r="N204" s="454"/>
      <c r="O204" s="454"/>
      <c r="P204" s="169"/>
      <c r="Q204" s="169"/>
      <c r="R204" s="169"/>
      <c r="S204" s="185" t="e">
        <f t="shared" si="64"/>
        <v>#N/A</v>
      </c>
      <c r="T204" s="494"/>
      <c r="U204" s="169"/>
      <c r="V204" s="169"/>
      <c r="W204" s="169"/>
      <c r="X204" s="185" t="e">
        <f t="shared" si="65"/>
        <v>#N/A</v>
      </c>
      <c r="Y204" s="494"/>
      <c r="Z204" s="169"/>
      <c r="AA204" s="169"/>
      <c r="AB204" s="169"/>
      <c r="AC204" s="185" t="e">
        <f t="shared" si="66"/>
        <v>#N/A</v>
      </c>
      <c r="AD204" s="494"/>
      <c r="AE204" s="169"/>
      <c r="AF204" s="169"/>
      <c r="AG204" s="169"/>
      <c r="AH204" s="185" t="e">
        <f t="shared" si="67"/>
        <v>#N/A</v>
      </c>
      <c r="AI204" s="494"/>
      <c r="AJ204" s="169"/>
      <c r="AK204" s="169"/>
      <c r="AL204" s="169"/>
      <c r="AM204" s="185" t="e">
        <f t="shared" si="68"/>
        <v>#N/A</v>
      </c>
      <c r="AN204" s="494"/>
      <c r="AO204" s="169"/>
      <c r="AP204" s="169"/>
      <c r="AQ204" s="169"/>
      <c r="AR204" s="185" t="e">
        <f t="shared" si="69"/>
        <v>#N/A</v>
      </c>
      <c r="AS204" s="494"/>
      <c r="AT204" s="169"/>
      <c r="AU204" s="169"/>
      <c r="AV204" s="169"/>
      <c r="AW204" s="185" t="e">
        <f t="shared" si="70"/>
        <v>#N/A</v>
      </c>
      <c r="AX204" s="494"/>
    </row>
    <row r="205" spans="2:50">
      <c r="B205" s="471"/>
      <c r="C205" s="185">
        <v>24</v>
      </c>
      <c r="D205" s="206"/>
      <c r="E205" s="169"/>
      <c r="F205" s="185"/>
      <c r="G205" s="183"/>
      <c r="H205" s="452"/>
      <c r="I205" s="169" t="e">
        <f t="shared" si="61"/>
        <v>#DIV/0!</v>
      </c>
      <c r="J205" s="169" t="e">
        <f t="shared" si="62"/>
        <v>#DIV/0!</v>
      </c>
      <c r="K205" s="183" t="e">
        <f t="shared" si="63"/>
        <v>#DIV/0!</v>
      </c>
      <c r="L205" s="452"/>
      <c r="M205" s="169" t="e">
        <f>RANK(K205, K$147:$K$176)</f>
        <v>#DIV/0!</v>
      </c>
      <c r="N205" s="454"/>
      <c r="O205" s="454"/>
      <c r="P205" s="185"/>
      <c r="Q205" s="183"/>
      <c r="R205" s="183"/>
      <c r="S205" s="185" t="e">
        <f t="shared" si="64"/>
        <v>#N/A</v>
      </c>
      <c r="T205" s="494"/>
      <c r="U205" s="185"/>
      <c r="V205" s="183"/>
      <c r="W205" s="183"/>
      <c r="X205" s="185" t="e">
        <f t="shared" si="65"/>
        <v>#N/A</v>
      </c>
      <c r="Y205" s="494"/>
      <c r="Z205" s="185"/>
      <c r="AA205" s="183"/>
      <c r="AB205" s="183"/>
      <c r="AC205" s="185" t="e">
        <f t="shared" si="66"/>
        <v>#N/A</v>
      </c>
      <c r="AD205" s="494"/>
      <c r="AE205" s="185"/>
      <c r="AF205" s="183"/>
      <c r="AG205" s="183"/>
      <c r="AH205" s="185" t="e">
        <f t="shared" si="67"/>
        <v>#N/A</v>
      </c>
      <c r="AI205" s="494"/>
      <c r="AJ205" s="185"/>
      <c r="AK205" s="183"/>
      <c r="AL205" s="183"/>
      <c r="AM205" s="185" t="e">
        <f t="shared" si="68"/>
        <v>#N/A</v>
      </c>
      <c r="AN205" s="494"/>
      <c r="AO205" s="185"/>
      <c r="AP205" s="183"/>
      <c r="AQ205" s="183"/>
      <c r="AR205" s="185" t="e">
        <f t="shared" si="69"/>
        <v>#N/A</v>
      </c>
      <c r="AS205" s="494"/>
      <c r="AT205" s="185"/>
      <c r="AU205" s="183"/>
      <c r="AV205" s="183"/>
      <c r="AW205" s="185" t="e">
        <f t="shared" si="70"/>
        <v>#N/A</v>
      </c>
      <c r="AX205" s="494"/>
    </row>
    <row r="206" spans="2:50">
      <c r="B206" s="471"/>
      <c r="C206" s="185">
        <v>25</v>
      </c>
      <c r="D206" s="206"/>
      <c r="E206" s="169"/>
      <c r="F206" s="185"/>
      <c r="G206" s="183"/>
      <c r="H206" s="452"/>
      <c r="I206" s="169"/>
      <c r="J206" s="169"/>
      <c r="K206" s="183"/>
      <c r="L206" s="452"/>
      <c r="M206" s="169" t="e">
        <f>RANK(K206, K$147:$K$176)</f>
        <v>#DIV/0!</v>
      </c>
      <c r="N206" s="454"/>
      <c r="O206" s="454"/>
      <c r="P206" s="185"/>
      <c r="Q206" s="183"/>
      <c r="R206" s="183"/>
      <c r="S206" s="185" t="e">
        <f t="shared" si="64"/>
        <v>#N/A</v>
      </c>
      <c r="T206" s="494"/>
      <c r="U206" s="185"/>
      <c r="V206" s="183"/>
      <c r="W206" s="183"/>
      <c r="X206" s="185" t="e">
        <f t="shared" si="65"/>
        <v>#N/A</v>
      </c>
      <c r="Y206" s="494"/>
      <c r="Z206" s="185"/>
      <c r="AA206" s="183"/>
      <c r="AB206" s="183"/>
      <c r="AC206" s="185" t="e">
        <f t="shared" si="66"/>
        <v>#N/A</v>
      </c>
      <c r="AD206" s="494"/>
      <c r="AE206" s="185"/>
      <c r="AF206" s="183"/>
      <c r="AG206" s="183"/>
      <c r="AH206" s="185" t="e">
        <f t="shared" si="67"/>
        <v>#N/A</v>
      </c>
      <c r="AI206" s="494"/>
      <c r="AJ206" s="185"/>
      <c r="AK206" s="183"/>
      <c r="AL206" s="183"/>
      <c r="AM206" s="185" t="e">
        <f t="shared" si="68"/>
        <v>#N/A</v>
      </c>
      <c r="AN206" s="494"/>
      <c r="AO206" s="185"/>
      <c r="AP206" s="183"/>
      <c r="AQ206" s="183"/>
      <c r="AR206" s="185" t="e">
        <f t="shared" si="69"/>
        <v>#N/A</v>
      </c>
      <c r="AS206" s="494"/>
      <c r="AT206" s="185"/>
      <c r="AU206" s="183"/>
      <c r="AV206" s="183"/>
      <c r="AW206" s="185" t="e">
        <f t="shared" si="70"/>
        <v>#N/A</v>
      </c>
      <c r="AX206" s="494"/>
    </row>
    <row r="207" spans="2:50">
      <c r="B207" s="471"/>
      <c r="C207" s="185">
        <v>26</v>
      </c>
      <c r="D207" s="206"/>
      <c r="E207" s="169"/>
      <c r="F207" s="185"/>
      <c r="G207" s="183"/>
      <c r="H207" s="452"/>
      <c r="I207" s="169"/>
      <c r="J207" s="169"/>
      <c r="K207" s="183"/>
      <c r="L207" s="452"/>
      <c r="M207" s="169" t="e">
        <f>RANK(K207, K$147:$K$176)</f>
        <v>#DIV/0!</v>
      </c>
      <c r="N207" s="454"/>
      <c r="O207" s="454"/>
      <c r="P207" s="185"/>
      <c r="Q207" s="183"/>
      <c r="R207" s="183"/>
      <c r="S207" s="185" t="e">
        <f t="shared" si="64"/>
        <v>#N/A</v>
      </c>
      <c r="T207" s="494"/>
      <c r="U207" s="185"/>
      <c r="V207" s="183"/>
      <c r="W207" s="183"/>
      <c r="X207" s="185" t="e">
        <f t="shared" si="65"/>
        <v>#N/A</v>
      </c>
      <c r="Y207" s="494"/>
      <c r="Z207" s="185"/>
      <c r="AA207" s="183"/>
      <c r="AB207" s="183"/>
      <c r="AC207" s="185" t="e">
        <f t="shared" si="66"/>
        <v>#N/A</v>
      </c>
      <c r="AD207" s="494"/>
      <c r="AE207" s="185"/>
      <c r="AF207" s="183"/>
      <c r="AG207" s="183"/>
      <c r="AH207" s="185" t="e">
        <f t="shared" si="67"/>
        <v>#N/A</v>
      </c>
      <c r="AI207" s="494"/>
      <c r="AJ207" s="185"/>
      <c r="AK207" s="183"/>
      <c r="AL207" s="183"/>
      <c r="AM207" s="185" t="e">
        <f t="shared" si="68"/>
        <v>#N/A</v>
      </c>
      <c r="AN207" s="494"/>
      <c r="AO207" s="185"/>
      <c r="AP207" s="183"/>
      <c r="AQ207" s="183"/>
      <c r="AR207" s="185" t="e">
        <f t="shared" si="69"/>
        <v>#N/A</v>
      </c>
      <c r="AS207" s="494"/>
      <c r="AT207" s="185"/>
      <c r="AU207" s="183"/>
      <c r="AV207" s="183"/>
      <c r="AW207" s="185" t="e">
        <f t="shared" si="70"/>
        <v>#N/A</v>
      </c>
      <c r="AX207" s="494"/>
    </row>
    <row r="208" spans="2:50">
      <c r="B208" s="471"/>
      <c r="C208" s="185">
        <v>27</v>
      </c>
      <c r="D208" s="206"/>
      <c r="E208" s="169"/>
      <c r="F208" s="185"/>
      <c r="G208" s="183"/>
      <c r="H208" s="452"/>
      <c r="I208" s="169"/>
      <c r="J208" s="169"/>
      <c r="K208" s="183"/>
      <c r="L208" s="452"/>
      <c r="M208" s="169" t="e">
        <f>RANK(K208, K$147:$K$176)</f>
        <v>#DIV/0!</v>
      </c>
      <c r="N208" s="454"/>
      <c r="O208" s="454"/>
      <c r="P208" s="185"/>
      <c r="Q208" s="183"/>
      <c r="R208" s="183"/>
      <c r="S208" s="185" t="e">
        <f t="shared" si="64"/>
        <v>#N/A</v>
      </c>
      <c r="T208" s="494"/>
      <c r="U208" s="185"/>
      <c r="V208" s="183"/>
      <c r="W208" s="183"/>
      <c r="X208" s="185" t="e">
        <f t="shared" si="65"/>
        <v>#N/A</v>
      </c>
      <c r="Y208" s="494"/>
      <c r="Z208" s="185"/>
      <c r="AA208" s="183"/>
      <c r="AB208" s="183"/>
      <c r="AC208" s="185" t="e">
        <f t="shared" si="66"/>
        <v>#N/A</v>
      </c>
      <c r="AD208" s="494"/>
      <c r="AE208" s="185"/>
      <c r="AF208" s="183"/>
      <c r="AG208" s="183"/>
      <c r="AH208" s="185" t="e">
        <f t="shared" si="67"/>
        <v>#N/A</v>
      </c>
      <c r="AI208" s="494"/>
      <c r="AJ208" s="185"/>
      <c r="AK208" s="183"/>
      <c r="AL208" s="183"/>
      <c r="AM208" s="185" t="e">
        <f t="shared" si="68"/>
        <v>#N/A</v>
      </c>
      <c r="AN208" s="494"/>
      <c r="AO208" s="185"/>
      <c r="AP208" s="183"/>
      <c r="AQ208" s="183"/>
      <c r="AR208" s="185" t="e">
        <f t="shared" si="69"/>
        <v>#N/A</v>
      </c>
      <c r="AS208" s="494"/>
      <c r="AT208" s="185"/>
      <c r="AU208" s="183"/>
      <c r="AV208" s="183"/>
      <c r="AW208" s="185" t="e">
        <f t="shared" si="70"/>
        <v>#N/A</v>
      </c>
      <c r="AX208" s="494"/>
    </row>
    <row r="209" spans="2:50">
      <c r="B209" s="471"/>
      <c r="C209" s="185">
        <v>28</v>
      </c>
      <c r="D209" s="206"/>
      <c r="E209" s="169"/>
      <c r="F209" s="185"/>
      <c r="G209" s="183"/>
      <c r="H209" s="452"/>
      <c r="I209" s="169"/>
      <c r="J209" s="169"/>
      <c r="K209" s="183"/>
      <c r="L209" s="452"/>
      <c r="M209" s="169" t="e">
        <f>RANK(K209, K$147:$K$176)</f>
        <v>#DIV/0!</v>
      </c>
      <c r="N209" s="454"/>
      <c r="O209" s="454"/>
      <c r="P209" s="185"/>
      <c r="Q209" s="183"/>
      <c r="R209" s="183"/>
      <c r="S209" s="185" t="e">
        <f t="shared" si="64"/>
        <v>#N/A</v>
      </c>
      <c r="T209" s="494"/>
      <c r="U209" s="185"/>
      <c r="V209" s="183"/>
      <c r="W209" s="183"/>
      <c r="X209" s="185" t="e">
        <f t="shared" si="65"/>
        <v>#N/A</v>
      </c>
      <c r="Y209" s="494"/>
      <c r="Z209" s="185"/>
      <c r="AA209" s="183"/>
      <c r="AB209" s="183"/>
      <c r="AC209" s="185" t="e">
        <f t="shared" si="66"/>
        <v>#N/A</v>
      </c>
      <c r="AD209" s="494"/>
      <c r="AE209" s="185"/>
      <c r="AF209" s="183"/>
      <c r="AG209" s="183"/>
      <c r="AH209" s="185" t="e">
        <f t="shared" si="67"/>
        <v>#N/A</v>
      </c>
      <c r="AI209" s="494"/>
      <c r="AJ209" s="185"/>
      <c r="AK209" s="183"/>
      <c r="AL209" s="183"/>
      <c r="AM209" s="185" t="e">
        <f t="shared" si="68"/>
        <v>#N/A</v>
      </c>
      <c r="AN209" s="494"/>
      <c r="AO209" s="185"/>
      <c r="AP209" s="185"/>
      <c r="AQ209" s="185"/>
      <c r="AR209" s="185" t="e">
        <f t="shared" si="69"/>
        <v>#N/A</v>
      </c>
      <c r="AS209" s="494"/>
      <c r="AT209" s="185"/>
      <c r="AU209" s="183"/>
      <c r="AV209" s="183"/>
      <c r="AW209" s="185" t="e">
        <f t="shared" si="70"/>
        <v>#N/A</v>
      </c>
      <c r="AX209" s="494"/>
    </row>
    <row r="210" spans="2:50">
      <c r="B210" s="471"/>
      <c r="C210" s="185">
        <v>29</v>
      </c>
      <c r="D210" s="206"/>
      <c r="E210" s="169"/>
      <c r="F210" s="185"/>
      <c r="G210" s="183"/>
      <c r="H210" s="452"/>
      <c r="I210" s="185"/>
      <c r="J210" s="185"/>
      <c r="K210" s="185"/>
      <c r="L210" s="452"/>
      <c r="M210" s="169" t="e">
        <f>RANK(K210, K$147:$K$176)</f>
        <v>#DIV/0!</v>
      </c>
      <c r="N210" s="454"/>
      <c r="O210" s="454"/>
      <c r="P210" s="185"/>
      <c r="Q210" s="185"/>
      <c r="R210" s="185"/>
      <c r="S210" s="185" t="e">
        <f t="shared" si="64"/>
        <v>#N/A</v>
      </c>
      <c r="T210" s="494"/>
      <c r="U210" s="185"/>
      <c r="V210" s="185"/>
      <c r="W210" s="185"/>
      <c r="X210" s="185" t="e">
        <f t="shared" si="65"/>
        <v>#N/A</v>
      </c>
      <c r="Y210" s="494"/>
      <c r="Z210" s="185"/>
      <c r="AA210" s="185"/>
      <c r="AB210" s="185"/>
      <c r="AC210" s="185" t="e">
        <f t="shared" si="66"/>
        <v>#N/A</v>
      </c>
      <c r="AD210" s="494"/>
      <c r="AE210" s="185"/>
      <c r="AF210" s="185"/>
      <c r="AG210" s="185"/>
      <c r="AH210" s="185" t="e">
        <f t="shared" si="67"/>
        <v>#N/A</v>
      </c>
      <c r="AI210" s="494"/>
      <c r="AJ210" s="185"/>
      <c r="AK210" s="185"/>
      <c r="AL210" s="185"/>
      <c r="AM210" s="185" t="e">
        <f t="shared" si="68"/>
        <v>#N/A</v>
      </c>
      <c r="AN210" s="494"/>
      <c r="AO210" s="185"/>
      <c r="AP210" s="185"/>
      <c r="AQ210" s="185"/>
      <c r="AR210" s="185" t="e">
        <f t="shared" si="69"/>
        <v>#N/A</v>
      </c>
      <c r="AS210" s="494"/>
      <c r="AT210" s="185"/>
      <c r="AU210" s="185"/>
      <c r="AV210" s="185"/>
      <c r="AW210" s="185" t="e">
        <f t="shared" si="70"/>
        <v>#N/A</v>
      </c>
      <c r="AX210" s="494"/>
    </row>
    <row r="211" spans="2:50">
      <c r="B211" s="471"/>
      <c r="C211" s="185">
        <v>30</v>
      </c>
      <c r="D211" s="206"/>
      <c r="E211" s="169"/>
      <c r="F211" s="185"/>
      <c r="G211" s="183"/>
      <c r="H211" s="453"/>
      <c r="I211" s="185"/>
      <c r="J211" s="185"/>
      <c r="K211" s="185"/>
      <c r="L211" s="453"/>
      <c r="M211" s="169" t="e">
        <f>RANK(K211, K$147:$K$176)</f>
        <v>#DIV/0!</v>
      </c>
      <c r="N211" s="454"/>
      <c r="O211" s="454"/>
      <c r="P211" s="185"/>
      <c r="Q211" s="185"/>
      <c r="R211" s="185"/>
      <c r="S211" s="185" t="e">
        <f t="shared" si="64"/>
        <v>#N/A</v>
      </c>
      <c r="T211" s="494"/>
      <c r="U211" s="185"/>
      <c r="V211" s="185"/>
      <c r="W211" s="185"/>
      <c r="X211" s="185" t="e">
        <f t="shared" si="65"/>
        <v>#N/A</v>
      </c>
      <c r="Y211" s="494"/>
      <c r="Z211" s="185"/>
      <c r="AA211" s="185"/>
      <c r="AB211" s="185"/>
      <c r="AC211" s="185" t="e">
        <f t="shared" si="66"/>
        <v>#N/A</v>
      </c>
      <c r="AD211" s="494"/>
      <c r="AE211" s="185"/>
      <c r="AF211" s="185"/>
      <c r="AG211" s="185"/>
      <c r="AH211" s="185" t="e">
        <f t="shared" si="67"/>
        <v>#N/A</v>
      </c>
      <c r="AI211" s="494"/>
      <c r="AJ211" s="185"/>
      <c r="AK211" s="185"/>
      <c r="AL211" s="185"/>
      <c r="AM211" s="185" t="e">
        <f t="shared" si="68"/>
        <v>#N/A</v>
      </c>
      <c r="AN211" s="494"/>
      <c r="AO211" s="185"/>
      <c r="AP211" s="185"/>
      <c r="AQ211" s="185"/>
      <c r="AR211" s="185" t="e">
        <f t="shared" si="69"/>
        <v>#N/A</v>
      </c>
      <c r="AS211" s="494"/>
      <c r="AT211" s="185"/>
      <c r="AU211" s="185"/>
      <c r="AV211" s="185"/>
      <c r="AW211" s="185" t="e">
        <f t="shared" si="70"/>
        <v>#N/A</v>
      </c>
      <c r="AX211" s="494"/>
    </row>
    <row r="213" spans="2:50" ht="15.75">
      <c r="B213" s="489" t="s">
        <v>247</v>
      </c>
      <c r="C213" s="490"/>
      <c r="D213" s="490"/>
      <c r="E213" s="490"/>
      <c r="F213" s="490"/>
      <c r="G213" s="490"/>
      <c r="H213" s="490"/>
      <c r="I213" s="291"/>
      <c r="J213" s="291"/>
      <c r="K213" s="291"/>
      <c r="L213" s="291"/>
      <c r="M213" s="292"/>
    </row>
    <row r="214" spans="2:50" ht="15.75">
      <c r="B214" s="491"/>
      <c r="C214" s="491"/>
      <c r="D214" s="491"/>
      <c r="E214" s="491"/>
      <c r="F214" s="491"/>
      <c r="G214" s="491"/>
      <c r="H214" s="491"/>
      <c r="I214" s="293"/>
      <c r="J214" s="293"/>
      <c r="K214" s="293"/>
      <c r="L214" s="293"/>
      <c r="M214" s="294"/>
    </row>
    <row r="215" spans="2:50">
      <c r="B215" s="454" t="s">
        <v>209</v>
      </c>
      <c r="C215" s="454" t="s">
        <v>210</v>
      </c>
      <c r="D215" s="454"/>
      <c r="E215" s="454" t="s">
        <v>211</v>
      </c>
      <c r="F215" s="454"/>
      <c r="G215" s="454"/>
      <c r="H215" s="454" t="s">
        <v>212</v>
      </c>
      <c r="I215" s="492" t="s">
        <v>213</v>
      </c>
      <c r="J215" s="492"/>
      <c r="K215" s="492"/>
      <c r="L215" s="492" t="s">
        <v>212</v>
      </c>
      <c r="M215" s="492" t="s">
        <v>214</v>
      </c>
    </row>
    <row r="216" spans="2:50">
      <c r="B216" s="454"/>
      <c r="C216" s="454"/>
      <c r="D216" s="454"/>
      <c r="E216" s="454" t="s">
        <v>217</v>
      </c>
      <c r="F216" s="454"/>
      <c r="G216" s="454"/>
      <c r="H216" s="454"/>
      <c r="I216" s="492" t="s">
        <v>217</v>
      </c>
      <c r="J216" s="492"/>
      <c r="K216" s="492"/>
      <c r="L216" s="492"/>
      <c r="M216" s="492"/>
    </row>
    <row r="217" spans="2:50">
      <c r="B217" s="454"/>
      <c r="C217" s="454"/>
      <c r="D217" s="454"/>
      <c r="E217" s="275" t="s">
        <v>219</v>
      </c>
      <c r="F217" s="275" t="s">
        <v>220</v>
      </c>
      <c r="G217" s="275" t="s">
        <v>221</v>
      </c>
      <c r="H217" s="454"/>
      <c r="I217" s="295" t="s">
        <v>219</v>
      </c>
      <c r="J217" s="295" t="s">
        <v>220</v>
      </c>
      <c r="K217" s="295" t="s">
        <v>221</v>
      </c>
      <c r="L217" s="492"/>
      <c r="M217" s="492"/>
    </row>
    <row r="218" spans="2:50">
      <c r="B218" s="454" t="s">
        <v>186</v>
      </c>
      <c r="C218" s="185">
        <v>1</v>
      </c>
      <c r="D218" s="185"/>
      <c r="E218" s="169"/>
      <c r="F218" s="185"/>
      <c r="G218" s="183"/>
      <c r="H218" s="494" t="e">
        <f>AVERAGE(G218:G247)</f>
        <v>#DIV/0!</v>
      </c>
      <c r="I218" s="169" t="e">
        <f t="shared" ref="I218:J241" si="71">AVERAGEIF($D$7:$D$211,$D218,I$7:I$211)</f>
        <v>#DIV/0!</v>
      </c>
      <c r="J218" s="169" t="e">
        <f t="shared" si="71"/>
        <v>#DIV/0!</v>
      </c>
      <c r="K218" s="169" t="e">
        <f t="shared" ref="K218:K241" si="72">AVERAGEIF($D$7:$D$211,$D218,K$7:K$211)</f>
        <v>#DIV/0!</v>
      </c>
      <c r="L218" s="495" t="e">
        <f>AVERAGE(K218:K247)</f>
        <v>#DIV/0!</v>
      </c>
      <c r="M218" s="169" t="e">
        <f>RANK(K218, K$218:$K$247)</f>
        <v>#DIV/0!</v>
      </c>
    </row>
    <row r="219" spans="2:50">
      <c r="B219" s="471"/>
      <c r="C219" s="185">
        <v>2</v>
      </c>
      <c r="D219" s="185"/>
      <c r="E219" s="169"/>
      <c r="F219" s="185"/>
      <c r="G219" s="183"/>
      <c r="H219" s="494"/>
      <c r="I219" s="169" t="e">
        <f t="shared" si="71"/>
        <v>#DIV/0!</v>
      </c>
      <c r="J219" s="169" t="e">
        <f t="shared" si="71"/>
        <v>#DIV/0!</v>
      </c>
      <c r="K219" s="169" t="e">
        <f t="shared" si="72"/>
        <v>#DIV/0!</v>
      </c>
      <c r="L219" s="495"/>
      <c r="M219" s="169" t="e">
        <f>RANK(K219, K$218:$K$247)</f>
        <v>#DIV/0!</v>
      </c>
    </row>
    <row r="220" spans="2:50">
      <c r="B220" s="471"/>
      <c r="C220" s="185">
        <v>3</v>
      </c>
      <c r="D220" s="185"/>
      <c r="E220" s="169"/>
      <c r="F220" s="185"/>
      <c r="G220" s="183"/>
      <c r="H220" s="494"/>
      <c r="I220" s="169" t="e">
        <f t="shared" si="71"/>
        <v>#DIV/0!</v>
      </c>
      <c r="J220" s="169" t="e">
        <f t="shared" si="71"/>
        <v>#DIV/0!</v>
      </c>
      <c r="K220" s="169" t="e">
        <f t="shared" si="72"/>
        <v>#DIV/0!</v>
      </c>
      <c r="L220" s="495"/>
      <c r="M220" s="169" t="e">
        <f>RANK(K220, K$218:$K$247)</f>
        <v>#DIV/0!</v>
      </c>
    </row>
    <row r="221" spans="2:50">
      <c r="B221" s="471"/>
      <c r="C221" s="185">
        <v>4</v>
      </c>
      <c r="D221" s="185"/>
      <c r="E221" s="169"/>
      <c r="F221" s="185"/>
      <c r="G221" s="183"/>
      <c r="H221" s="494"/>
      <c r="I221" s="169" t="e">
        <f t="shared" si="71"/>
        <v>#DIV/0!</v>
      </c>
      <c r="J221" s="169" t="e">
        <f t="shared" si="71"/>
        <v>#DIV/0!</v>
      </c>
      <c r="K221" s="169" t="e">
        <f t="shared" si="72"/>
        <v>#DIV/0!</v>
      </c>
      <c r="L221" s="495"/>
      <c r="M221" s="169" t="e">
        <f>RANK(K221, K$218:$K$247)</f>
        <v>#DIV/0!</v>
      </c>
    </row>
    <row r="222" spans="2:50">
      <c r="B222" s="471"/>
      <c r="C222" s="185">
        <v>5</v>
      </c>
      <c r="D222" s="185"/>
      <c r="E222" s="169"/>
      <c r="F222" s="185"/>
      <c r="G222" s="183"/>
      <c r="H222" s="494"/>
      <c r="I222" s="169" t="e">
        <f t="shared" si="71"/>
        <v>#DIV/0!</v>
      </c>
      <c r="J222" s="169" t="e">
        <f t="shared" si="71"/>
        <v>#DIV/0!</v>
      </c>
      <c r="K222" s="169" t="e">
        <f t="shared" si="72"/>
        <v>#DIV/0!</v>
      </c>
      <c r="L222" s="495"/>
      <c r="M222" s="169" t="e">
        <f>RANK(K222, K$218:$K$247)</f>
        <v>#DIV/0!</v>
      </c>
    </row>
    <row r="223" spans="2:50">
      <c r="B223" s="471"/>
      <c r="C223" s="185">
        <v>6</v>
      </c>
      <c r="D223" s="185"/>
      <c r="E223" s="169"/>
      <c r="F223" s="185"/>
      <c r="G223" s="183"/>
      <c r="H223" s="494"/>
      <c r="I223" s="169" t="e">
        <f t="shared" si="71"/>
        <v>#DIV/0!</v>
      </c>
      <c r="J223" s="169" t="e">
        <f t="shared" si="71"/>
        <v>#DIV/0!</v>
      </c>
      <c r="K223" s="169" t="e">
        <f t="shared" si="72"/>
        <v>#DIV/0!</v>
      </c>
      <c r="L223" s="495"/>
      <c r="M223" s="169" t="e">
        <f>RANK(K223, K$218:$K$247)</f>
        <v>#DIV/0!</v>
      </c>
    </row>
    <row r="224" spans="2:50">
      <c r="B224" s="471"/>
      <c r="C224" s="185">
        <v>7</v>
      </c>
      <c r="D224" s="185"/>
      <c r="E224" s="169"/>
      <c r="F224" s="185"/>
      <c r="G224" s="183"/>
      <c r="H224" s="494"/>
      <c r="I224" s="169" t="e">
        <f t="shared" si="71"/>
        <v>#DIV/0!</v>
      </c>
      <c r="J224" s="169" t="e">
        <f t="shared" si="71"/>
        <v>#DIV/0!</v>
      </c>
      <c r="K224" s="169" t="e">
        <f t="shared" si="72"/>
        <v>#DIV/0!</v>
      </c>
      <c r="L224" s="495"/>
      <c r="M224" s="169" t="e">
        <f>RANK(K224, K$218:$K$247)</f>
        <v>#DIV/0!</v>
      </c>
    </row>
    <row r="225" spans="2:13">
      <c r="B225" s="471"/>
      <c r="C225" s="185">
        <v>8</v>
      </c>
      <c r="D225" s="185"/>
      <c r="E225" s="169"/>
      <c r="F225" s="185"/>
      <c r="G225" s="183"/>
      <c r="H225" s="494"/>
      <c r="I225" s="169" t="e">
        <f t="shared" si="71"/>
        <v>#DIV/0!</v>
      </c>
      <c r="J225" s="169" t="e">
        <f t="shared" si="71"/>
        <v>#DIV/0!</v>
      </c>
      <c r="K225" s="169" t="e">
        <f t="shared" si="72"/>
        <v>#DIV/0!</v>
      </c>
      <c r="L225" s="495"/>
      <c r="M225" s="169" t="e">
        <f>RANK(K225, K$218:$K$247)</f>
        <v>#DIV/0!</v>
      </c>
    </row>
    <row r="226" spans="2:13">
      <c r="B226" s="471"/>
      <c r="C226" s="185">
        <v>9</v>
      </c>
      <c r="D226" s="185"/>
      <c r="E226" s="169"/>
      <c r="F226" s="185"/>
      <c r="G226" s="183"/>
      <c r="H226" s="494"/>
      <c r="I226" s="169" t="e">
        <f t="shared" si="71"/>
        <v>#DIV/0!</v>
      </c>
      <c r="J226" s="169" t="e">
        <f t="shared" si="71"/>
        <v>#DIV/0!</v>
      </c>
      <c r="K226" s="169" t="e">
        <f t="shared" si="72"/>
        <v>#DIV/0!</v>
      </c>
      <c r="L226" s="495"/>
      <c r="M226" s="169" t="e">
        <f>RANK(K226, K$218:$K$247)</f>
        <v>#DIV/0!</v>
      </c>
    </row>
    <row r="227" spans="2:13">
      <c r="B227" s="471"/>
      <c r="C227" s="185">
        <v>10</v>
      </c>
      <c r="D227" s="185"/>
      <c r="E227" s="169"/>
      <c r="F227" s="185"/>
      <c r="G227" s="183"/>
      <c r="H227" s="494"/>
      <c r="I227" s="169" t="e">
        <f t="shared" si="71"/>
        <v>#DIV/0!</v>
      </c>
      <c r="J227" s="169" t="e">
        <f t="shared" si="71"/>
        <v>#DIV/0!</v>
      </c>
      <c r="K227" s="169" t="e">
        <f t="shared" si="72"/>
        <v>#DIV/0!</v>
      </c>
      <c r="L227" s="495"/>
      <c r="M227" s="169" t="e">
        <f>RANK(K227, K$218:$K$247)</f>
        <v>#DIV/0!</v>
      </c>
    </row>
    <row r="228" spans="2:13">
      <c r="B228" s="471"/>
      <c r="C228" s="185">
        <v>11</v>
      </c>
      <c r="D228" s="185"/>
      <c r="E228" s="169"/>
      <c r="F228" s="185"/>
      <c r="G228" s="183"/>
      <c r="H228" s="494"/>
      <c r="I228" s="169" t="e">
        <f t="shared" si="71"/>
        <v>#DIV/0!</v>
      </c>
      <c r="J228" s="169" t="e">
        <f t="shared" si="71"/>
        <v>#DIV/0!</v>
      </c>
      <c r="K228" s="169" t="e">
        <f t="shared" si="72"/>
        <v>#DIV/0!</v>
      </c>
      <c r="L228" s="495"/>
      <c r="M228" s="169" t="e">
        <f>RANK(K228, K$218:$K$247)</f>
        <v>#DIV/0!</v>
      </c>
    </row>
    <row r="229" spans="2:13">
      <c r="B229" s="471"/>
      <c r="C229" s="185">
        <v>12</v>
      </c>
      <c r="D229" s="185"/>
      <c r="E229" s="169"/>
      <c r="F229" s="185"/>
      <c r="G229" s="183"/>
      <c r="H229" s="494"/>
      <c r="I229" s="169" t="e">
        <f t="shared" si="71"/>
        <v>#DIV/0!</v>
      </c>
      <c r="J229" s="169" t="e">
        <f t="shared" si="71"/>
        <v>#DIV/0!</v>
      </c>
      <c r="K229" s="169" t="e">
        <f t="shared" si="72"/>
        <v>#DIV/0!</v>
      </c>
      <c r="L229" s="495"/>
      <c r="M229" s="169" t="e">
        <f>RANK(K229, K$218:$K$247)</f>
        <v>#DIV/0!</v>
      </c>
    </row>
    <row r="230" spans="2:13">
      <c r="B230" s="471"/>
      <c r="C230" s="185">
        <v>13</v>
      </c>
      <c r="D230" s="185"/>
      <c r="E230" s="169"/>
      <c r="F230" s="185"/>
      <c r="G230" s="183"/>
      <c r="H230" s="494"/>
      <c r="I230" s="169" t="e">
        <f t="shared" si="71"/>
        <v>#DIV/0!</v>
      </c>
      <c r="J230" s="169" t="e">
        <f t="shared" si="71"/>
        <v>#DIV/0!</v>
      </c>
      <c r="K230" s="169" t="e">
        <f t="shared" si="72"/>
        <v>#DIV/0!</v>
      </c>
      <c r="L230" s="495"/>
      <c r="M230" s="169" t="e">
        <f>RANK(K230, K$218:$K$247)</f>
        <v>#DIV/0!</v>
      </c>
    </row>
    <row r="231" spans="2:13">
      <c r="B231" s="471"/>
      <c r="C231" s="185">
        <v>14</v>
      </c>
      <c r="D231" s="185"/>
      <c r="E231" s="169"/>
      <c r="F231" s="185"/>
      <c r="G231" s="183"/>
      <c r="H231" s="494"/>
      <c r="I231" s="169" t="e">
        <f t="shared" si="71"/>
        <v>#DIV/0!</v>
      </c>
      <c r="J231" s="169" t="e">
        <f t="shared" si="71"/>
        <v>#DIV/0!</v>
      </c>
      <c r="K231" s="169" t="e">
        <f t="shared" si="72"/>
        <v>#DIV/0!</v>
      </c>
      <c r="L231" s="495"/>
      <c r="M231" s="169" t="e">
        <f>RANK(K231, K$218:$K$247)</f>
        <v>#DIV/0!</v>
      </c>
    </row>
    <row r="232" spans="2:13">
      <c r="B232" s="471"/>
      <c r="C232" s="185">
        <v>15</v>
      </c>
      <c r="D232" s="185"/>
      <c r="E232" s="169"/>
      <c r="F232" s="185"/>
      <c r="G232" s="183"/>
      <c r="H232" s="494"/>
      <c r="I232" s="169" t="e">
        <f t="shared" si="71"/>
        <v>#DIV/0!</v>
      </c>
      <c r="J232" s="169" t="e">
        <f t="shared" si="71"/>
        <v>#DIV/0!</v>
      </c>
      <c r="K232" s="169" t="e">
        <f t="shared" si="72"/>
        <v>#DIV/0!</v>
      </c>
      <c r="L232" s="495"/>
      <c r="M232" s="169" t="e">
        <f>RANK(K232, K$218:$K$247)</f>
        <v>#DIV/0!</v>
      </c>
    </row>
    <row r="233" spans="2:13">
      <c r="B233" s="471"/>
      <c r="C233" s="185">
        <v>16</v>
      </c>
      <c r="D233" s="185"/>
      <c r="E233" s="169"/>
      <c r="F233" s="185"/>
      <c r="G233" s="183"/>
      <c r="H233" s="494"/>
      <c r="I233" s="169" t="e">
        <f t="shared" si="71"/>
        <v>#DIV/0!</v>
      </c>
      <c r="J233" s="169" t="e">
        <f t="shared" si="71"/>
        <v>#DIV/0!</v>
      </c>
      <c r="K233" s="169" t="e">
        <f t="shared" si="72"/>
        <v>#DIV/0!</v>
      </c>
      <c r="L233" s="495"/>
      <c r="M233" s="169" t="e">
        <f>RANK(K233, K$218:$K$247)</f>
        <v>#DIV/0!</v>
      </c>
    </row>
    <row r="234" spans="2:13">
      <c r="B234" s="471"/>
      <c r="C234" s="185">
        <v>17</v>
      </c>
      <c r="D234" s="185"/>
      <c r="E234" s="169"/>
      <c r="F234" s="185"/>
      <c r="G234" s="183"/>
      <c r="H234" s="494"/>
      <c r="I234" s="169" t="e">
        <f t="shared" si="71"/>
        <v>#DIV/0!</v>
      </c>
      <c r="J234" s="169" t="e">
        <f t="shared" si="71"/>
        <v>#DIV/0!</v>
      </c>
      <c r="K234" s="169" t="e">
        <f t="shared" si="72"/>
        <v>#DIV/0!</v>
      </c>
      <c r="L234" s="495"/>
      <c r="M234" s="169" t="e">
        <f>RANK(K234, K$218:$K$247)</f>
        <v>#DIV/0!</v>
      </c>
    </row>
    <row r="235" spans="2:13">
      <c r="B235" s="471"/>
      <c r="C235" s="185">
        <v>18</v>
      </c>
      <c r="D235" s="185"/>
      <c r="E235" s="169"/>
      <c r="F235" s="185"/>
      <c r="G235" s="183"/>
      <c r="H235" s="494"/>
      <c r="I235" s="169" t="e">
        <f t="shared" si="71"/>
        <v>#DIV/0!</v>
      </c>
      <c r="J235" s="169" t="e">
        <f t="shared" si="71"/>
        <v>#DIV/0!</v>
      </c>
      <c r="K235" s="169" t="e">
        <f t="shared" si="72"/>
        <v>#DIV/0!</v>
      </c>
      <c r="L235" s="495"/>
      <c r="M235" s="169" t="e">
        <f>RANK(K235, K$218:$K$247)</f>
        <v>#DIV/0!</v>
      </c>
    </row>
    <row r="236" spans="2:13">
      <c r="B236" s="471"/>
      <c r="C236" s="185">
        <v>19</v>
      </c>
      <c r="D236" s="185"/>
      <c r="E236" s="169"/>
      <c r="F236" s="185"/>
      <c r="G236" s="183"/>
      <c r="H236" s="494"/>
      <c r="I236" s="169" t="e">
        <f t="shared" si="71"/>
        <v>#DIV/0!</v>
      </c>
      <c r="J236" s="169" t="e">
        <f t="shared" si="71"/>
        <v>#DIV/0!</v>
      </c>
      <c r="K236" s="169" t="e">
        <f t="shared" si="72"/>
        <v>#DIV/0!</v>
      </c>
      <c r="L236" s="495"/>
      <c r="M236" s="169" t="e">
        <f>RANK(K236, K$218:$K$247)</f>
        <v>#DIV/0!</v>
      </c>
    </row>
    <row r="237" spans="2:13">
      <c r="B237" s="471"/>
      <c r="C237" s="185">
        <v>20</v>
      </c>
      <c r="D237" s="185"/>
      <c r="E237" s="169"/>
      <c r="F237" s="185"/>
      <c r="G237" s="183"/>
      <c r="H237" s="494"/>
      <c r="I237" s="169" t="e">
        <f t="shared" si="71"/>
        <v>#DIV/0!</v>
      </c>
      <c r="J237" s="169" t="e">
        <f t="shared" si="71"/>
        <v>#DIV/0!</v>
      </c>
      <c r="K237" s="169" t="e">
        <f t="shared" si="72"/>
        <v>#DIV/0!</v>
      </c>
      <c r="L237" s="495"/>
      <c r="M237" s="169" t="e">
        <f>RANK(K237, K$218:$K$247)</f>
        <v>#DIV/0!</v>
      </c>
    </row>
    <row r="238" spans="2:13">
      <c r="B238" s="471"/>
      <c r="C238" s="185">
        <v>21</v>
      </c>
      <c r="D238" s="185"/>
      <c r="E238" s="169"/>
      <c r="F238" s="185"/>
      <c r="G238" s="183"/>
      <c r="H238" s="494"/>
      <c r="I238" s="169" t="e">
        <f t="shared" si="71"/>
        <v>#DIV/0!</v>
      </c>
      <c r="J238" s="169" t="e">
        <f t="shared" si="71"/>
        <v>#DIV/0!</v>
      </c>
      <c r="K238" s="169" t="e">
        <f t="shared" si="72"/>
        <v>#DIV/0!</v>
      </c>
      <c r="L238" s="495"/>
      <c r="M238" s="169" t="e">
        <f>RANK(K238, K$218:$K$247)</f>
        <v>#DIV/0!</v>
      </c>
    </row>
    <row r="239" spans="2:13">
      <c r="B239" s="471"/>
      <c r="C239" s="185">
        <v>22</v>
      </c>
      <c r="D239" s="185"/>
      <c r="E239" s="169"/>
      <c r="F239" s="185"/>
      <c r="G239" s="183"/>
      <c r="H239" s="494"/>
      <c r="I239" s="169" t="e">
        <f t="shared" si="71"/>
        <v>#DIV/0!</v>
      </c>
      <c r="J239" s="169" t="e">
        <f t="shared" si="71"/>
        <v>#DIV/0!</v>
      </c>
      <c r="K239" s="169" t="e">
        <f t="shared" si="72"/>
        <v>#DIV/0!</v>
      </c>
      <c r="L239" s="495"/>
      <c r="M239" s="169" t="e">
        <f>RANK(K239, K$218:$K$247)</f>
        <v>#DIV/0!</v>
      </c>
    </row>
    <row r="240" spans="2:13">
      <c r="B240" s="471"/>
      <c r="C240" s="185">
        <v>23</v>
      </c>
      <c r="D240" s="185"/>
      <c r="E240" s="169"/>
      <c r="F240" s="185"/>
      <c r="G240" s="183"/>
      <c r="H240" s="494"/>
      <c r="I240" s="169" t="e">
        <f t="shared" si="71"/>
        <v>#DIV/0!</v>
      </c>
      <c r="J240" s="169" t="e">
        <f t="shared" si="71"/>
        <v>#DIV/0!</v>
      </c>
      <c r="K240" s="169" t="e">
        <f t="shared" si="72"/>
        <v>#DIV/0!</v>
      </c>
      <c r="L240" s="495"/>
      <c r="M240" s="169" t="e">
        <f>RANK(K240, K$218:$K$247)</f>
        <v>#DIV/0!</v>
      </c>
    </row>
    <row r="241" spans="2:13">
      <c r="B241" s="471"/>
      <c r="C241" s="185">
        <v>24</v>
      </c>
      <c r="D241" s="185"/>
      <c r="E241" s="169"/>
      <c r="F241" s="185"/>
      <c r="G241" s="183"/>
      <c r="H241" s="494"/>
      <c r="I241" s="169" t="e">
        <f t="shared" si="71"/>
        <v>#DIV/0!</v>
      </c>
      <c r="J241" s="169" t="e">
        <f t="shared" si="71"/>
        <v>#DIV/0!</v>
      </c>
      <c r="K241" s="169" t="e">
        <f t="shared" si="72"/>
        <v>#DIV/0!</v>
      </c>
      <c r="L241" s="495"/>
      <c r="M241" s="169" t="e">
        <f>RANK(K241, K$218:$K$247)</f>
        <v>#DIV/0!</v>
      </c>
    </row>
    <row r="242" spans="2:13">
      <c r="B242" s="471"/>
      <c r="C242" s="185">
        <v>25</v>
      </c>
      <c r="D242" s="185"/>
      <c r="E242" s="169"/>
      <c r="F242" s="185"/>
      <c r="G242" s="183"/>
      <c r="H242" s="494"/>
      <c r="I242" s="169"/>
      <c r="J242" s="169"/>
      <c r="K242" s="169"/>
      <c r="L242" s="495"/>
      <c r="M242" s="169" t="e">
        <f>RANK(K242, K$218:$K$247)</f>
        <v>#DIV/0!</v>
      </c>
    </row>
    <row r="243" spans="2:13">
      <c r="B243" s="471"/>
      <c r="C243" s="185">
        <v>26</v>
      </c>
      <c r="D243" s="185"/>
      <c r="E243" s="169"/>
      <c r="F243" s="185"/>
      <c r="G243" s="183"/>
      <c r="H243" s="494"/>
      <c r="I243" s="169"/>
      <c r="J243" s="169"/>
      <c r="K243" s="169"/>
      <c r="L243" s="495"/>
      <c r="M243" s="169" t="e">
        <f>RANK(K243, K$218:$K$247)</f>
        <v>#DIV/0!</v>
      </c>
    </row>
    <row r="244" spans="2:13">
      <c r="B244" s="471"/>
      <c r="C244" s="185">
        <v>27</v>
      </c>
      <c r="D244" s="185"/>
      <c r="E244" s="169"/>
      <c r="F244" s="185"/>
      <c r="G244" s="183"/>
      <c r="H244" s="494"/>
      <c r="I244" s="169"/>
      <c r="J244" s="169"/>
      <c r="K244" s="169"/>
      <c r="L244" s="495"/>
      <c r="M244" s="169" t="e">
        <f>RANK(K244, K$218:$K$247)</f>
        <v>#DIV/0!</v>
      </c>
    </row>
    <row r="245" spans="2:13">
      <c r="B245" s="471"/>
      <c r="C245" s="185">
        <v>28</v>
      </c>
      <c r="D245" s="185"/>
      <c r="E245" s="169"/>
      <c r="F245" s="185"/>
      <c r="G245" s="183"/>
      <c r="H245" s="494"/>
      <c r="I245" s="169"/>
      <c r="J245" s="169"/>
      <c r="K245" s="169"/>
      <c r="L245" s="495"/>
      <c r="M245" s="169" t="e">
        <f>RANK(K245, K$218:$K$247)</f>
        <v>#DIV/0!</v>
      </c>
    </row>
    <row r="246" spans="2:13">
      <c r="B246" s="471"/>
      <c r="C246" s="185">
        <v>29</v>
      </c>
      <c r="D246" s="185"/>
      <c r="E246" s="169"/>
      <c r="F246" s="185"/>
      <c r="G246" s="183"/>
      <c r="H246" s="494"/>
      <c r="I246" s="169"/>
      <c r="J246" s="169"/>
      <c r="K246" s="169"/>
      <c r="L246" s="495"/>
      <c r="M246" s="169" t="e">
        <f>RANK(K246, K$218:$K$247)</f>
        <v>#DIV/0!</v>
      </c>
    </row>
    <row r="247" spans="2:13">
      <c r="B247" s="471"/>
      <c r="C247" s="185">
        <v>30</v>
      </c>
      <c r="D247" s="185"/>
      <c r="E247" s="169"/>
      <c r="F247" s="185"/>
      <c r="G247" s="183"/>
      <c r="H247" s="494"/>
      <c r="I247" s="169"/>
      <c r="J247" s="169"/>
      <c r="K247" s="169"/>
      <c r="L247" s="495"/>
      <c r="M247" s="16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zoomScale="70" zoomScaleNormal="70" workbookViewId="0">
      <pane xSplit="15" topLeftCell="AE1" activePane="topRight" state="frozen"/>
      <selection pane="topRight" activeCell="L27" sqref="L27:L4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73.580887867452589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54" t="s">
        <v>187</v>
      </c>
      <c r="C7" s="185">
        <v>1</v>
      </c>
      <c r="D7" s="206" t="s">
        <v>301</v>
      </c>
      <c r="E7" s="169">
        <v>18</v>
      </c>
      <c r="F7" s="185">
        <v>1440</v>
      </c>
      <c r="G7" s="183">
        <v>80</v>
      </c>
      <c r="H7" s="451">
        <f>AVERAGE(G7:G21)</f>
        <v>80.655209771308847</v>
      </c>
      <c r="I7" s="169">
        <f>AVERAGE(P7,U7,Z7,AE7,AJ7,AO7,AT7)</f>
        <v>18</v>
      </c>
      <c r="J7" s="169">
        <f>AVERAGE(Q7,V7,AA7,AF7,AK7,AP7,AU7)</f>
        <v>1230.0969054341183</v>
      </c>
      <c r="K7" s="183">
        <f>AVERAGE(R7,W7,AB7,AG7,AL7,AQ7,AV7)</f>
        <v>68.338716968562125</v>
      </c>
      <c r="L7" s="451">
        <f>IFERROR(AVERAGE(K7:K21),"-")</f>
        <v>68.146890928187773</v>
      </c>
      <c r="M7" s="184">
        <f>RANK(K7, $K$7:K$21)</f>
        <v>6</v>
      </c>
      <c r="N7" s="454"/>
      <c r="O7" s="454"/>
      <c r="P7" s="169">
        <v>18</v>
      </c>
      <c r="Q7" s="183">
        <v>1232.60625</v>
      </c>
      <c r="R7" s="183">
        <v>68.478125000000006</v>
      </c>
      <c r="S7" s="185">
        <f>RANK(R7, R$7:R$21)</f>
        <v>5</v>
      </c>
      <c r="T7" s="451">
        <f>AVERAGE(R7:R21)</f>
        <v>68.184064549963637</v>
      </c>
      <c r="U7" s="169">
        <v>18</v>
      </c>
      <c r="V7" s="183">
        <v>1233.6416184971094</v>
      </c>
      <c r="W7" s="183">
        <v>68.535645472061631</v>
      </c>
      <c r="X7" s="185">
        <f>RANK(W7, W$7:W$21)</f>
        <v>5</v>
      </c>
      <c r="Y7" s="451">
        <f>AVERAGE(W7:W21)</f>
        <v>68.098464112041682</v>
      </c>
      <c r="Z7" s="169">
        <v>18</v>
      </c>
      <c r="AA7" s="183">
        <v>1221.4545454545457</v>
      </c>
      <c r="AB7" s="183">
        <v>67.858585858585869</v>
      </c>
      <c r="AC7" s="185">
        <f>RANK(AB7, AB$7:AB$21)</f>
        <v>6</v>
      </c>
      <c r="AD7" s="451">
        <f>AVERAGE(AB7:AB21)</f>
        <v>67.560715521497158</v>
      </c>
      <c r="AE7" s="169">
        <v>18</v>
      </c>
      <c r="AF7" s="183">
        <v>1229.7196261682241</v>
      </c>
      <c r="AG7" s="183">
        <v>68.317757009345783</v>
      </c>
      <c r="AH7" s="185">
        <f>RANK(AG7, AG$7:AG$21)</f>
        <v>5</v>
      </c>
      <c r="AI7" s="451">
        <f>AVERAGE(AG7:AG21)</f>
        <v>67.006391852767862</v>
      </c>
      <c r="AJ7" s="169">
        <v>18</v>
      </c>
      <c r="AK7" s="183">
        <v>1265</v>
      </c>
      <c r="AL7" s="183">
        <v>70.277777777777771</v>
      </c>
      <c r="AM7" s="185">
        <f>RANK(AL7, AL$7:AL$21)</f>
        <v>5</v>
      </c>
      <c r="AN7" s="451">
        <f>AVERAGE(AL7:AL21)</f>
        <v>68.065362944435734</v>
      </c>
      <c r="AO7" s="169">
        <v>18</v>
      </c>
      <c r="AP7" s="183">
        <v>1210.5454545454547</v>
      </c>
      <c r="AQ7" s="183">
        <v>67.25252525252526</v>
      </c>
      <c r="AR7" s="185">
        <f>RANK(AQ7, AQ$7:AQ$21)</f>
        <v>6</v>
      </c>
      <c r="AS7" s="451">
        <f>AVERAGE(AQ7:AQ21)</f>
        <v>69.244048407999486</v>
      </c>
      <c r="AT7" s="169">
        <v>18</v>
      </c>
      <c r="AU7" s="183">
        <v>1217.7108433734941</v>
      </c>
      <c r="AV7" s="183">
        <v>67.650602409638566</v>
      </c>
      <c r="AW7" s="185">
        <f>RANK(AV7, AV$7:AV$21)</f>
        <v>6</v>
      </c>
      <c r="AX7" s="494">
        <f>AVERAGE(AV7:AV21)</f>
        <v>68.869189108608907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206" t="s">
        <v>302</v>
      </c>
      <c r="E8" s="169">
        <v>18</v>
      </c>
      <c r="F8" s="185">
        <v>1440</v>
      </c>
      <c r="G8" s="183">
        <v>80</v>
      </c>
      <c r="H8" s="452"/>
      <c r="I8" s="169">
        <f t="shared" ref="I8:I17" si="0">AVERAGE(P8,U8,Z8,AE8,AJ8,AO8,AT8)</f>
        <v>18</v>
      </c>
      <c r="J8" s="169">
        <f t="shared" ref="J8:J17" si="1">AVERAGE(Q8,V8,AA8,AF8,AK8,AP8,AU8)</f>
        <v>1236.9483391055478</v>
      </c>
      <c r="K8" s="183">
        <f t="shared" ref="K8:K17" si="2">AVERAGE(R8,W8,AB8,AG8,AL8,AQ8,AV8)</f>
        <v>68.719352172530435</v>
      </c>
      <c r="L8" s="452"/>
      <c r="M8" s="184">
        <f>RANK(K8, $K$7:K$21)</f>
        <v>5</v>
      </c>
      <c r="N8" s="454"/>
      <c r="O8" s="454"/>
      <c r="P8" s="185">
        <v>18</v>
      </c>
      <c r="Q8" s="183">
        <v>1226.0000000000011</v>
      </c>
      <c r="R8" s="183">
        <v>68.111111111111171</v>
      </c>
      <c r="S8" s="185">
        <f t="shared" ref="S8:S21" si="3">RANK(R8, R$7:R$21)</f>
        <v>6</v>
      </c>
      <c r="T8" s="452"/>
      <c r="U8" s="185">
        <v>18</v>
      </c>
      <c r="V8" s="183">
        <v>1246.5517241379321</v>
      </c>
      <c r="W8" s="183">
        <v>69.252873563218444</v>
      </c>
      <c r="X8" s="185">
        <f t="shared" ref="X8:X21" si="4">RANK(W8, W$7:W$21)</f>
        <v>4</v>
      </c>
      <c r="Y8" s="452"/>
      <c r="Z8" s="185">
        <v>18</v>
      </c>
      <c r="AA8" s="183">
        <v>1224.905660377359</v>
      </c>
      <c r="AB8" s="183">
        <v>68.050314465408832</v>
      </c>
      <c r="AC8" s="185">
        <f t="shared" ref="AC8:AC21" si="5">RANK(AB8, AB$7:AB$21)</f>
        <v>5</v>
      </c>
      <c r="AD8" s="452"/>
      <c r="AE8" s="185">
        <v>18</v>
      </c>
      <c r="AF8" s="183">
        <v>1261.3636363636365</v>
      </c>
      <c r="AG8" s="183">
        <v>70.075757575757578</v>
      </c>
      <c r="AH8" s="185">
        <f t="shared" ref="AH8:AH21" si="6">RANK(AG8, AG$7:AG$21)</f>
        <v>3</v>
      </c>
      <c r="AI8" s="452"/>
      <c r="AJ8" s="185">
        <v>18</v>
      </c>
      <c r="AK8" s="183">
        <v>1238.2978723404237</v>
      </c>
      <c r="AL8" s="183">
        <v>68.794326241134655</v>
      </c>
      <c r="AM8" s="185">
        <f t="shared" ref="AM8:AM21" si="7">RANK(AL8, AL$7:AL$21)</f>
        <v>6</v>
      </c>
      <c r="AN8" s="452"/>
      <c r="AO8" s="185">
        <v>18</v>
      </c>
      <c r="AP8" s="183">
        <v>1236.4285714285722</v>
      </c>
      <c r="AQ8" s="183">
        <v>68.690476190476232</v>
      </c>
      <c r="AR8" s="185">
        <f t="shared" ref="AR8:AR21" si="8">RANK(AQ8, AQ$7:AQ$21)</f>
        <v>5</v>
      </c>
      <c r="AS8" s="452"/>
      <c r="AT8" s="185">
        <v>18</v>
      </c>
      <c r="AU8" s="183">
        <v>1225.0909090909099</v>
      </c>
      <c r="AV8" s="183">
        <v>68.060606060606105</v>
      </c>
      <c r="AW8" s="185">
        <f t="shared" ref="AW8:AW21" si="9">RANK(AV8, AV$7:AV$21)</f>
        <v>5</v>
      </c>
      <c r="AX8" s="494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206" t="s">
        <v>303</v>
      </c>
      <c r="E9" s="169">
        <v>17</v>
      </c>
      <c r="F9" s="185">
        <v>1636</v>
      </c>
      <c r="G9" s="183">
        <v>96.235294117647058</v>
      </c>
      <c r="H9" s="452"/>
      <c r="I9" s="169">
        <f t="shared" si="0"/>
        <v>17</v>
      </c>
      <c r="J9" s="169">
        <f t="shared" si="1"/>
        <v>1328.6833769405202</v>
      </c>
      <c r="K9" s="183">
        <f t="shared" si="2"/>
        <v>78.15784570238354</v>
      </c>
      <c r="L9" s="452"/>
      <c r="M9" s="184">
        <f>RANK(K9, $K$7:K$21)</f>
        <v>1</v>
      </c>
      <c r="N9" s="454"/>
      <c r="O9" s="454"/>
      <c r="P9" s="185">
        <v>17</v>
      </c>
      <c r="Q9" s="183">
        <v>1339.6153846153854</v>
      </c>
      <c r="R9" s="183">
        <v>78.800904977375609</v>
      </c>
      <c r="S9" s="185">
        <f t="shared" si="3"/>
        <v>2</v>
      </c>
      <c r="T9" s="452"/>
      <c r="U9" s="185">
        <v>17</v>
      </c>
      <c r="V9" s="183">
        <v>1357.2000000000005</v>
      </c>
      <c r="W9" s="183">
        <v>79.835294117647095</v>
      </c>
      <c r="X9" s="185">
        <f t="shared" si="4"/>
        <v>1</v>
      </c>
      <c r="Y9" s="452"/>
      <c r="Z9" s="185">
        <v>17</v>
      </c>
      <c r="AA9" s="183">
        <v>1353.3333333333358</v>
      </c>
      <c r="AB9" s="183">
        <v>79.607843137255045</v>
      </c>
      <c r="AC9" s="185">
        <f t="shared" si="5"/>
        <v>1</v>
      </c>
      <c r="AD9" s="452"/>
      <c r="AE9" s="185">
        <v>17</v>
      </c>
      <c r="AF9" s="183">
        <v>1173.999999999998</v>
      </c>
      <c r="AG9" s="183">
        <v>69.05882352941164</v>
      </c>
      <c r="AH9" s="185">
        <f t="shared" si="6"/>
        <v>4</v>
      </c>
      <c r="AI9" s="452"/>
      <c r="AJ9" s="185">
        <v>17</v>
      </c>
      <c r="AK9" s="183">
        <v>1357.7777777777785</v>
      </c>
      <c r="AL9" s="183">
        <v>79.869281045751677</v>
      </c>
      <c r="AM9" s="185">
        <f t="shared" si="7"/>
        <v>1</v>
      </c>
      <c r="AN9" s="452"/>
      <c r="AO9" s="185">
        <v>17</v>
      </c>
      <c r="AP9" s="183">
        <v>1374.8571428571413</v>
      </c>
      <c r="AQ9" s="183">
        <v>80.873949579831844</v>
      </c>
      <c r="AR9" s="185">
        <f t="shared" si="8"/>
        <v>2</v>
      </c>
      <c r="AS9" s="452"/>
      <c r="AT9" s="185">
        <v>17</v>
      </c>
      <c r="AU9" s="183">
        <v>1344.000000000002</v>
      </c>
      <c r="AV9" s="183">
        <v>79.058823529411882</v>
      </c>
      <c r="AW9" s="185">
        <f t="shared" si="9"/>
        <v>2</v>
      </c>
      <c r="AX9" s="494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206" t="s">
        <v>304</v>
      </c>
      <c r="E10" s="169">
        <v>18</v>
      </c>
      <c r="F10" s="185">
        <v>1440</v>
      </c>
      <c r="G10" s="183">
        <v>80</v>
      </c>
      <c r="H10" s="452"/>
      <c r="I10" s="169">
        <f t="shared" si="0"/>
        <v>18</v>
      </c>
      <c r="J10" s="169">
        <f t="shared" si="1"/>
        <v>1260.3719609089437</v>
      </c>
      <c r="K10" s="183">
        <f t="shared" si="2"/>
        <v>70.020664494941315</v>
      </c>
      <c r="L10" s="452"/>
      <c r="M10" s="184">
        <f>RANK(K10, $K$7:K$21)</f>
        <v>4</v>
      </c>
      <c r="N10" s="454"/>
      <c r="O10" s="454"/>
      <c r="P10" s="185">
        <v>18</v>
      </c>
      <c r="Q10" s="183">
        <v>1271.2499999999982</v>
      </c>
      <c r="R10" s="183">
        <v>70.624999999999901</v>
      </c>
      <c r="S10" s="185">
        <f t="shared" si="3"/>
        <v>4</v>
      </c>
      <c r="T10" s="452"/>
      <c r="U10" s="185">
        <v>18</v>
      </c>
      <c r="V10" s="183">
        <v>1218.9677419354821</v>
      </c>
      <c r="W10" s="183">
        <v>67.720430107526781</v>
      </c>
      <c r="X10" s="185">
        <f t="shared" si="4"/>
        <v>6</v>
      </c>
      <c r="Y10" s="452"/>
      <c r="Z10" s="185">
        <v>18</v>
      </c>
      <c r="AA10" s="183">
        <v>1268.9999999999973</v>
      </c>
      <c r="AB10" s="183">
        <v>70.499999999999844</v>
      </c>
      <c r="AC10" s="185">
        <f t="shared" si="5"/>
        <v>3</v>
      </c>
      <c r="AD10" s="452"/>
      <c r="AE10" s="185">
        <v>18</v>
      </c>
      <c r="AF10" s="183">
        <v>1220.3478260869524</v>
      </c>
      <c r="AG10" s="183">
        <v>67.797101449275132</v>
      </c>
      <c r="AH10" s="185">
        <f t="shared" si="6"/>
        <v>6</v>
      </c>
      <c r="AI10" s="452"/>
      <c r="AJ10" s="185">
        <v>18</v>
      </c>
      <c r="AK10" s="183">
        <v>1275.6521739130392</v>
      </c>
      <c r="AL10" s="183">
        <v>70.86956521739107</v>
      </c>
      <c r="AM10" s="185">
        <f t="shared" si="7"/>
        <v>4</v>
      </c>
      <c r="AN10" s="452"/>
      <c r="AO10" s="185">
        <v>18</v>
      </c>
      <c r="AP10" s="183">
        <v>1286.4827586206873</v>
      </c>
      <c r="AQ10" s="183">
        <v>71.471264367815962</v>
      </c>
      <c r="AR10" s="185">
        <f t="shared" si="8"/>
        <v>4</v>
      </c>
      <c r="AS10" s="452"/>
      <c r="AT10" s="185">
        <v>18</v>
      </c>
      <c r="AU10" s="183">
        <v>1280.9032258064497</v>
      </c>
      <c r="AV10" s="183">
        <v>71.161290322580541</v>
      </c>
      <c r="AW10" s="185">
        <f t="shared" si="9"/>
        <v>4</v>
      </c>
      <c r="AX10" s="494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206" t="s">
        <v>305</v>
      </c>
      <c r="E11" s="169">
        <v>19</v>
      </c>
      <c r="F11" s="185">
        <v>1440</v>
      </c>
      <c r="G11" s="183">
        <v>75.78947368421052</v>
      </c>
      <c r="H11" s="452"/>
      <c r="I11" s="169">
        <f t="shared" si="0"/>
        <v>19</v>
      </c>
      <c r="J11" s="169">
        <f t="shared" si="1"/>
        <v>1224.1206134149791</v>
      </c>
      <c r="K11" s="183">
        <f t="shared" si="2"/>
        <v>64.427400706051515</v>
      </c>
      <c r="L11" s="452"/>
      <c r="M11" s="184">
        <f>RANK(K11, $K$7:K$21)</f>
        <v>8</v>
      </c>
      <c r="N11" s="454"/>
      <c r="O11" s="454"/>
      <c r="P11" s="185">
        <v>19</v>
      </c>
      <c r="Q11" s="183">
        <v>1231.2500000000005</v>
      </c>
      <c r="R11" s="183">
        <v>64.802631578947398</v>
      </c>
      <c r="S11" s="185">
        <f t="shared" si="3"/>
        <v>7</v>
      </c>
      <c r="T11" s="452"/>
      <c r="U11" s="185">
        <v>19</v>
      </c>
      <c r="V11" s="183">
        <v>1226.9387755102043</v>
      </c>
      <c r="W11" s="183">
        <v>64.575725026852865</v>
      </c>
      <c r="X11" s="185">
        <f t="shared" si="4"/>
        <v>8</v>
      </c>
      <c r="Y11" s="452"/>
      <c r="Z11" s="185">
        <v>19</v>
      </c>
      <c r="AA11" s="183">
        <v>1212</v>
      </c>
      <c r="AB11" s="183">
        <v>63.789473684210527</v>
      </c>
      <c r="AC11" s="185">
        <f t="shared" si="5"/>
        <v>8</v>
      </c>
      <c r="AD11" s="452"/>
      <c r="AE11" s="185">
        <v>19</v>
      </c>
      <c r="AF11" s="183">
        <v>1218.4615384615377</v>
      </c>
      <c r="AG11" s="183">
        <v>64.129554655870407</v>
      </c>
      <c r="AH11" s="185">
        <f t="shared" si="6"/>
        <v>8</v>
      </c>
      <c r="AI11" s="452"/>
      <c r="AJ11" s="185">
        <v>19</v>
      </c>
      <c r="AK11" s="183">
        <v>1213.8461538461531</v>
      </c>
      <c r="AL11" s="183">
        <v>63.886639676113326</v>
      </c>
      <c r="AM11" s="185">
        <f t="shared" si="7"/>
        <v>8</v>
      </c>
      <c r="AN11" s="452"/>
      <c r="AO11" s="185">
        <v>19</v>
      </c>
      <c r="AP11" s="183">
        <v>1214.3478260869565</v>
      </c>
      <c r="AQ11" s="183">
        <v>63.913043478260867</v>
      </c>
      <c r="AR11" s="185">
        <f t="shared" si="8"/>
        <v>8</v>
      </c>
      <c r="AS11" s="452"/>
      <c r="AT11" s="185">
        <v>19</v>
      </c>
      <c r="AU11" s="183">
        <v>1252</v>
      </c>
      <c r="AV11" s="183">
        <v>65.89473684210526</v>
      </c>
      <c r="AW11" s="185">
        <f t="shared" si="9"/>
        <v>7</v>
      </c>
      <c r="AX11" s="494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206" t="s">
        <v>306</v>
      </c>
      <c r="E12" s="169">
        <v>21</v>
      </c>
      <c r="F12" s="185">
        <v>1385</v>
      </c>
      <c r="G12" s="183">
        <v>65.952380952380949</v>
      </c>
      <c r="H12" s="452"/>
      <c r="I12" s="169">
        <f t="shared" si="0"/>
        <v>20</v>
      </c>
      <c r="J12" s="169">
        <f t="shared" si="1"/>
        <v>1233.1934006454273</v>
      </c>
      <c r="K12" s="183">
        <f t="shared" si="2"/>
        <v>61.659670032271372</v>
      </c>
      <c r="L12" s="452"/>
      <c r="M12" s="184">
        <f>RANK(K12, $K$7:K$21)</f>
        <v>10</v>
      </c>
      <c r="N12" s="454"/>
      <c r="O12" s="454"/>
      <c r="P12" s="185">
        <v>20</v>
      </c>
      <c r="Q12" s="183">
        <v>1204.4036697247714</v>
      </c>
      <c r="R12" s="183">
        <v>60.220183486238568</v>
      </c>
      <c r="S12" s="185">
        <f t="shared" si="3"/>
        <v>10</v>
      </c>
      <c r="T12" s="452"/>
      <c r="U12" s="185">
        <v>20</v>
      </c>
      <c r="V12" s="183">
        <v>1223.428571428572</v>
      </c>
      <c r="W12" s="183">
        <v>61.171428571428599</v>
      </c>
      <c r="X12" s="185">
        <f t="shared" si="4"/>
        <v>10</v>
      </c>
      <c r="Y12" s="452"/>
      <c r="Z12" s="185">
        <v>20</v>
      </c>
      <c r="AA12" s="183">
        <v>1258.0645161290324</v>
      </c>
      <c r="AB12" s="183">
        <v>62.903225806451623</v>
      </c>
      <c r="AC12" s="185">
        <f t="shared" si="5"/>
        <v>9</v>
      </c>
      <c r="AD12" s="452"/>
      <c r="AE12" s="185">
        <v>20</v>
      </c>
      <c r="AF12" s="183">
        <v>1231.3333333333333</v>
      </c>
      <c r="AG12" s="183">
        <v>61.566666666666663</v>
      </c>
      <c r="AH12" s="185">
        <f t="shared" si="6"/>
        <v>10</v>
      </c>
      <c r="AI12" s="452"/>
      <c r="AJ12" s="185">
        <v>20</v>
      </c>
      <c r="AK12" s="183">
        <v>1219.3548387096776</v>
      </c>
      <c r="AL12" s="183">
        <v>60.967741935483879</v>
      </c>
      <c r="AM12" s="185">
        <f t="shared" si="7"/>
        <v>9</v>
      </c>
      <c r="AN12" s="452"/>
      <c r="AO12" s="185">
        <v>20</v>
      </c>
      <c r="AP12" s="183">
        <v>1240.6779661016944</v>
      </c>
      <c r="AQ12" s="183">
        <v>62.033898305084719</v>
      </c>
      <c r="AR12" s="185">
        <f t="shared" si="8"/>
        <v>10</v>
      </c>
      <c r="AS12" s="452"/>
      <c r="AT12" s="185">
        <v>20</v>
      </c>
      <c r="AU12" s="183">
        <v>1255.0909090909099</v>
      </c>
      <c r="AV12" s="183">
        <v>62.754545454545493</v>
      </c>
      <c r="AW12" s="185">
        <f t="shared" si="9"/>
        <v>9</v>
      </c>
      <c r="AX12" s="494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206" t="s">
        <v>307</v>
      </c>
      <c r="E13" s="169">
        <v>20</v>
      </c>
      <c r="F13" s="185">
        <v>1440</v>
      </c>
      <c r="G13" s="183">
        <v>72</v>
      </c>
      <c r="H13" s="452"/>
      <c r="I13" s="169">
        <f t="shared" si="0"/>
        <v>20</v>
      </c>
      <c r="J13" s="169">
        <f t="shared" si="1"/>
        <v>1235.0150811383678</v>
      </c>
      <c r="K13" s="183">
        <f t="shared" si="2"/>
        <v>61.750754056918382</v>
      </c>
      <c r="L13" s="452"/>
      <c r="M13" s="184">
        <f>RANK(K13, $K$7:K$21)</f>
        <v>9</v>
      </c>
      <c r="N13" s="454"/>
      <c r="O13" s="454"/>
      <c r="P13" s="185">
        <v>20</v>
      </c>
      <c r="Q13" s="183">
        <v>1224.5783132530116</v>
      </c>
      <c r="R13" s="183">
        <v>61.228915662650579</v>
      </c>
      <c r="S13" s="185">
        <f t="shared" si="3"/>
        <v>9</v>
      </c>
      <c r="T13" s="452"/>
      <c r="U13" s="185">
        <v>20</v>
      </c>
      <c r="V13" s="183">
        <v>1235.5813953488371</v>
      </c>
      <c r="W13" s="183">
        <v>61.779069767441854</v>
      </c>
      <c r="X13" s="185">
        <f t="shared" si="4"/>
        <v>9</v>
      </c>
      <c r="Y13" s="452"/>
      <c r="Z13" s="185">
        <v>20</v>
      </c>
      <c r="AA13" s="183">
        <v>1218.9473684210516</v>
      </c>
      <c r="AB13" s="183">
        <v>60.94736842105258</v>
      </c>
      <c r="AC13" s="185">
        <f t="shared" si="5"/>
        <v>10</v>
      </c>
      <c r="AD13" s="452"/>
      <c r="AE13" s="185">
        <v>20</v>
      </c>
      <c r="AF13" s="183">
        <v>1260.0000000000011</v>
      </c>
      <c r="AG13" s="183">
        <v>63.000000000000057</v>
      </c>
      <c r="AH13" s="185">
        <f t="shared" si="6"/>
        <v>9</v>
      </c>
      <c r="AI13" s="452"/>
      <c r="AJ13" s="185">
        <v>20</v>
      </c>
      <c r="AK13" s="183">
        <v>1207.6056338028156</v>
      </c>
      <c r="AL13" s="183">
        <v>60.380281690140784</v>
      </c>
      <c r="AM13" s="185">
        <f t="shared" si="7"/>
        <v>11</v>
      </c>
      <c r="AN13" s="452"/>
      <c r="AO13" s="185">
        <v>20</v>
      </c>
      <c r="AP13" s="183">
        <v>1271.2499999999995</v>
      </c>
      <c r="AQ13" s="183">
        <v>63.562499999999979</v>
      </c>
      <c r="AR13" s="185">
        <f t="shared" si="8"/>
        <v>9</v>
      </c>
      <c r="AS13" s="452"/>
      <c r="AT13" s="185">
        <v>20</v>
      </c>
      <c r="AU13" s="183">
        <v>1227.1428571428567</v>
      </c>
      <c r="AV13" s="183">
        <v>61.357142857142833</v>
      </c>
      <c r="AW13" s="185">
        <f t="shared" si="9"/>
        <v>10</v>
      </c>
      <c r="AX13" s="494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206" t="s">
        <v>308</v>
      </c>
      <c r="E14" s="169">
        <v>18</v>
      </c>
      <c r="F14" s="185">
        <v>1385</v>
      </c>
      <c r="G14" s="183">
        <v>76.944444444444443</v>
      </c>
      <c r="H14" s="452"/>
      <c r="I14" s="169">
        <f t="shared" si="0"/>
        <v>18</v>
      </c>
      <c r="J14" s="169">
        <f t="shared" si="1"/>
        <v>1178.387628967841</v>
      </c>
      <c r="K14" s="183">
        <f t="shared" si="2"/>
        <v>65.465979387102294</v>
      </c>
      <c r="L14" s="452"/>
      <c r="M14" s="184">
        <f>RANK(K14, $K$7:K$21)</f>
        <v>7</v>
      </c>
      <c r="N14" s="454"/>
      <c r="O14" s="454"/>
      <c r="P14" s="185">
        <v>18</v>
      </c>
      <c r="Q14" s="183">
        <v>1159.1379310344819</v>
      </c>
      <c r="R14" s="183">
        <v>64.396551724137879</v>
      </c>
      <c r="S14" s="185">
        <f t="shared" si="3"/>
        <v>8</v>
      </c>
      <c r="T14" s="452"/>
      <c r="U14" s="185">
        <v>18</v>
      </c>
      <c r="V14" s="183">
        <v>1211.3207547169818</v>
      </c>
      <c r="W14" s="183">
        <v>67.295597484276769</v>
      </c>
      <c r="X14" s="185">
        <f t="shared" si="4"/>
        <v>7</v>
      </c>
      <c r="Y14" s="452"/>
      <c r="Z14" s="185">
        <v>18</v>
      </c>
      <c r="AA14" s="183">
        <v>1191.6000000000004</v>
      </c>
      <c r="AB14" s="183">
        <v>66.200000000000017</v>
      </c>
      <c r="AC14" s="185">
        <f t="shared" si="5"/>
        <v>7</v>
      </c>
      <c r="AD14" s="452"/>
      <c r="AE14" s="185">
        <v>18</v>
      </c>
      <c r="AF14" s="183">
        <v>1167.6923076923076</v>
      </c>
      <c r="AG14" s="183">
        <v>64.871794871794862</v>
      </c>
      <c r="AH14" s="185">
        <f t="shared" si="6"/>
        <v>7</v>
      </c>
      <c r="AI14" s="452"/>
      <c r="AJ14" s="185">
        <v>18</v>
      </c>
      <c r="AK14" s="183">
        <v>1160.412371134021</v>
      </c>
      <c r="AL14" s="183">
        <v>64.467353951890061</v>
      </c>
      <c r="AM14" s="185">
        <f t="shared" si="7"/>
        <v>7</v>
      </c>
      <c r="AN14" s="452"/>
      <c r="AO14" s="185">
        <v>18</v>
      </c>
      <c r="AP14" s="183">
        <v>1173.2773109243692</v>
      </c>
      <c r="AQ14" s="183">
        <v>65.182072829131627</v>
      </c>
      <c r="AR14" s="185">
        <f t="shared" si="8"/>
        <v>7</v>
      </c>
      <c r="AS14" s="452"/>
      <c r="AT14" s="185">
        <v>18</v>
      </c>
      <c r="AU14" s="183">
        <v>1185.2727272727263</v>
      </c>
      <c r="AV14" s="183">
        <v>65.848484848484802</v>
      </c>
      <c r="AW14" s="185">
        <f t="shared" si="9"/>
        <v>8</v>
      </c>
      <c r="AX14" s="494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206" t="s">
        <v>309</v>
      </c>
      <c r="E15" s="169">
        <v>21</v>
      </c>
      <c r="F15" s="185">
        <v>1385</v>
      </c>
      <c r="G15" s="183">
        <v>65.952380952380949</v>
      </c>
      <c r="H15" s="452"/>
      <c r="I15" s="169">
        <f t="shared" si="0"/>
        <v>20</v>
      </c>
      <c r="J15" s="169">
        <f t="shared" si="1"/>
        <v>1189.244854748049</v>
      </c>
      <c r="K15" s="183">
        <f t="shared" si="2"/>
        <v>59.462242737402448</v>
      </c>
      <c r="L15" s="452"/>
      <c r="M15" s="184">
        <f>RANK(K15, $K$7:K$21)</f>
        <v>11</v>
      </c>
      <c r="N15" s="454"/>
      <c r="O15" s="454"/>
      <c r="P15" s="185">
        <v>20</v>
      </c>
      <c r="Q15" s="183">
        <v>1196.3855421686744</v>
      </c>
      <c r="R15" s="183">
        <v>59.819277108433724</v>
      </c>
      <c r="S15" s="185">
        <f t="shared" si="3"/>
        <v>11</v>
      </c>
      <c r="T15" s="452"/>
      <c r="U15" s="185">
        <v>20</v>
      </c>
      <c r="V15" s="183">
        <v>1180.7407407407404</v>
      </c>
      <c r="W15" s="183">
        <v>59.037037037037024</v>
      </c>
      <c r="X15" s="185">
        <f t="shared" si="4"/>
        <v>11</v>
      </c>
      <c r="Y15" s="452"/>
      <c r="Z15" s="185">
        <v>20</v>
      </c>
      <c r="AA15" s="183">
        <v>1169.6385542168671</v>
      </c>
      <c r="AB15" s="183">
        <v>58.481927710843351</v>
      </c>
      <c r="AC15" s="185">
        <f t="shared" si="5"/>
        <v>11</v>
      </c>
      <c r="AD15" s="452"/>
      <c r="AE15" s="185">
        <v>20</v>
      </c>
      <c r="AF15" s="183">
        <v>1161.2903225806463</v>
      </c>
      <c r="AG15" s="183">
        <v>58.064516129032313</v>
      </c>
      <c r="AH15" s="185">
        <f t="shared" si="6"/>
        <v>11</v>
      </c>
      <c r="AI15" s="452"/>
      <c r="AJ15" s="185">
        <v>20</v>
      </c>
      <c r="AK15" s="183">
        <v>1209.6000000000004</v>
      </c>
      <c r="AL15" s="183">
        <v>60.480000000000018</v>
      </c>
      <c r="AM15" s="185">
        <f t="shared" si="7"/>
        <v>10</v>
      </c>
      <c r="AN15" s="452"/>
      <c r="AO15" s="185">
        <v>20</v>
      </c>
      <c r="AP15" s="183">
        <v>1200.0000000000014</v>
      </c>
      <c r="AQ15" s="183">
        <v>60.000000000000071</v>
      </c>
      <c r="AR15" s="185">
        <f t="shared" si="8"/>
        <v>11</v>
      </c>
      <c r="AS15" s="452"/>
      <c r="AT15" s="185">
        <v>20</v>
      </c>
      <c r="AU15" s="183">
        <v>1207.0588235294133</v>
      </c>
      <c r="AV15" s="183">
        <v>60.352941176470665</v>
      </c>
      <c r="AW15" s="185">
        <f t="shared" si="9"/>
        <v>11</v>
      </c>
      <c r="AX15" s="494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206" t="s">
        <v>310</v>
      </c>
      <c r="E16" s="169">
        <v>15</v>
      </c>
      <c r="F16" s="185">
        <v>1565</v>
      </c>
      <c r="G16" s="183">
        <v>104.33333333333333</v>
      </c>
      <c r="H16" s="452"/>
      <c r="I16" s="169">
        <f t="shared" si="0"/>
        <v>15.857142857142858</v>
      </c>
      <c r="J16" s="169">
        <f t="shared" si="1"/>
        <v>1172.8377900592654</v>
      </c>
      <c r="K16" s="183">
        <f t="shared" si="2"/>
        <v>74.09804701322301</v>
      </c>
      <c r="L16" s="452"/>
      <c r="M16" s="184">
        <f>RANK(K16, $K$7:K$21)</f>
        <v>3</v>
      </c>
      <c r="N16" s="454"/>
      <c r="O16" s="454"/>
      <c r="P16" s="185">
        <v>16</v>
      </c>
      <c r="Q16" s="183">
        <v>1184.3478260869565</v>
      </c>
      <c r="R16" s="183">
        <v>74.021739130434781</v>
      </c>
      <c r="S16" s="185">
        <f t="shared" si="3"/>
        <v>3</v>
      </c>
      <c r="T16" s="452"/>
      <c r="U16" s="185">
        <v>16</v>
      </c>
      <c r="V16" s="183">
        <v>1156.2500000000005</v>
      </c>
      <c r="W16" s="183">
        <v>72.265625000000028</v>
      </c>
      <c r="X16" s="185">
        <f t="shared" si="4"/>
        <v>3</v>
      </c>
      <c r="Y16" s="452"/>
      <c r="Z16" s="185">
        <v>17</v>
      </c>
      <c r="AA16" s="183">
        <v>1166.6666666666665</v>
      </c>
      <c r="AB16" s="183">
        <v>68.627450980392155</v>
      </c>
      <c r="AC16" s="185">
        <f t="shared" si="5"/>
        <v>4</v>
      </c>
      <c r="AD16" s="452"/>
      <c r="AE16" s="185">
        <v>16</v>
      </c>
      <c r="AF16" s="183">
        <v>1181.0526315789464</v>
      </c>
      <c r="AG16" s="183">
        <v>73.815789473684148</v>
      </c>
      <c r="AH16" s="185">
        <f t="shared" si="6"/>
        <v>2</v>
      </c>
      <c r="AI16" s="452"/>
      <c r="AJ16" s="185">
        <v>16</v>
      </c>
      <c r="AK16" s="183">
        <v>1155.3846153846148</v>
      </c>
      <c r="AL16" s="183">
        <v>72.211538461538424</v>
      </c>
      <c r="AM16" s="185">
        <f t="shared" si="7"/>
        <v>3</v>
      </c>
      <c r="AN16" s="452"/>
      <c r="AO16" s="185">
        <v>15</v>
      </c>
      <c r="AP16" s="183">
        <v>1151.1627906976742</v>
      </c>
      <c r="AQ16" s="183">
        <v>76.744186046511615</v>
      </c>
      <c r="AR16" s="185">
        <f t="shared" si="8"/>
        <v>3</v>
      </c>
      <c r="AS16" s="452"/>
      <c r="AT16" s="185">
        <v>15</v>
      </c>
      <c r="AU16" s="183">
        <v>1214.9999999999995</v>
      </c>
      <c r="AV16" s="183">
        <v>80.999999999999972</v>
      </c>
      <c r="AW16" s="185">
        <f t="shared" si="9"/>
        <v>1</v>
      </c>
      <c r="AX16" s="494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206" t="s">
        <v>311</v>
      </c>
      <c r="E17" s="169">
        <v>16</v>
      </c>
      <c r="F17" s="185">
        <v>1440</v>
      </c>
      <c r="G17" s="183">
        <v>90</v>
      </c>
      <c r="H17" s="452"/>
      <c r="I17" s="169">
        <f t="shared" si="0"/>
        <v>16.714285714285715</v>
      </c>
      <c r="J17" s="169">
        <f t="shared" si="1"/>
        <v>1294.6884598563136</v>
      </c>
      <c r="K17" s="183">
        <f t="shared" si="2"/>
        <v>77.51512693867916</v>
      </c>
      <c r="L17" s="452"/>
      <c r="M17" s="184">
        <f>RANK(K17, $K$7:K$21)</f>
        <v>2</v>
      </c>
      <c r="N17" s="454"/>
      <c r="O17" s="454"/>
      <c r="P17" s="185">
        <v>16</v>
      </c>
      <c r="Q17" s="183">
        <v>1272.3243243243248</v>
      </c>
      <c r="R17" s="183">
        <v>79.520270270270302</v>
      </c>
      <c r="S17" s="185">
        <f t="shared" si="3"/>
        <v>1</v>
      </c>
      <c r="T17" s="452"/>
      <c r="U17" s="185">
        <v>17</v>
      </c>
      <c r="V17" s="183">
        <v>1319.444444444445</v>
      </c>
      <c r="W17" s="183">
        <v>77.614379084967354</v>
      </c>
      <c r="X17" s="185">
        <f t="shared" si="4"/>
        <v>2</v>
      </c>
      <c r="Y17" s="452"/>
      <c r="Z17" s="185">
        <v>17</v>
      </c>
      <c r="AA17" s="183">
        <v>1295.4285714285722</v>
      </c>
      <c r="AB17" s="183">
        <v>76.201680672268949</v>
      </c>
      <c r="AC17" s="185">
        <f t="shared" si="5"/>
        <v>2</v>
      </c>
      <c r="AD17" s="452"/>
      <c r="AE17" s="185">
        <v>17</v>
      </c>
      <c r="AF17" s="183">
        <v>1298.3333333333339</v>
      </c>
      <c r="AG17" s="183">
        <v>76.372549019607874</v>
      </c>
      <c r="AH17" s="185">
        <f t="shared" si="6"/>
        <v>1</v>
      </c>
      <c r="AI17" s="452"/>
      <c r="AJ17" s="185">
        <v>17</v>
      </c>
      <c r="AK17" s="183">
        <v>1300.7462686567164</v>
      </c>
      <c r="AL17" s="183">
        <v>76.514486391571552</v>
      </c>
      <c r="AM17" s="185">
        <f t="shared" si="7"/>
        <v>2</v>
      </c>
      <c r="AN17" s="452"/>
      <c r="AO17" s="185">
        <v>16</v>
      </c>
      <c r="AP17" s="183">
        <v>1311.3698630136989</v>
      </c>
      <c r="AQ17" s="183">
        <v>81.960616438356183</v>
      </c>
      <c r="AR17" s="185">
        <f t="shared" si="8"/>
        <v>1</v>
      </c>
      <c r="AS17" s="452"/>
      <c r="AT17" s="185">
        <v>17</v>
      </c>
      <c r="AU17" s="183">
        <v>1265.1724137931028</v>
      </c>
      <c r="AV17" s="183">
        <v>74.421906693711932</v>
      </c>
      <c r="AW17" s="185">
        <f t="shared" si="9"/>
        <v>3</v>
      </c>
      <c r="AX17" s="494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206"/>
      <c r="E18" s="169"/>
      <c r="F18" s="185"/>
      <c r="G18" s="183"/>
      <c r="H18" s="452"/>
      <c r="I18" s="185"/>
      <c r="J18" s="185"/>
      <c r="K18" s="185"/>
      <c r="L18" s="452"/>
      <c r="M18" s="184" t="e">
        <f>RANK(K18, $K$7:K$21)</f>
        <v>#N/A</v>
      </c>
      <c r="N18" s="454"/>
      <c r="O18" s="454"/>
      <c r="P18" s="185"/>
      <c r="Q18" s="183"/>
      <c r="R18" s="183"/>
      <c r="S18" s="185" t="e">
        <f t="shared" si="3"/>
        <v>#N/A</v>
      </c>
      <c r="T18" s="452"/>
      <c r="U18" s="185"/>
      <c r="V18" s="183"/>
      <c r="W18" s="183"/>
      <c r="X18" s="185" t="e">
        <f t="shared" si="4"/>
        <v>#N/A</v>
      </c>
      <c r="Y18" s="452"/>
      <c r="Z18" s="185"/>
      <c r="AA18" s="183"/>
      <c r="AB18" s="183"/>
      <c r="AC18" s="185" t="e">
        <f t="shared" si="5"/>
        <v>#N/A</v>
      </c>
      <c r="AD18" s="452"/>
      <c r="AE18" s="185"/>
      <c r="AF18" s="183"/>
      <c r="AG18" s="183"/>
      <c r="AH18" s="185" t="e">
        <f t="shared" si="6"/>
        <v>#N/A</v>
      </c>
      <c r="AI18" s="452"/>
      <c r="AJ18" s="185"/>
      <c r="AK18" s="183"/>
      <c r="AL18" s="183"/>
      <c r="AM18" s="185" t="e">
        <f t="shared" si="7"/>
        <v>#N/A</v>
      </c>
      <c r="AN18" s="452"/>
      <c r="AO18" s="185"/>
      <c r="AP18" s="183"/>
      <c r="AQ18" s="183"/>
      <c r="AR18" s="185" t="e">
        <f t="shared" si="8"/>
        <v>#N/A</v>
      </c>
      <c r="AS18" s="452"/>
      <c r="AT18" s="185"/>
      <c r="AU18" s="183"/>
      <c r="AV18" s="183"/>
      <c r="AW18" s="185" t="e">
        <f t="shared" si="9"/>
        <v>#N/A</v>
      </c>
      <c r="AX18" s="494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206"/>
      <c r="E19" s="169"/>
      <c r="F19" s="185"/>
      <c r="G19" s="183"/>
      <c r="H19" s="452"/>
      <c r="I19" s="185"/>
      <c r="J19" s="185"/>
      <c r="K19" s="185"/>
      <c r="L19" s="452"/>
      <c r="M19" s="184" t="e">
        <f>RANK(K19, $K$7:K$21)</f>
        <v>#N/A</v>
      </c>
      <c r="N19" s="454"/>
      <c r="O19" s="454"/>
      <c r="P19" s="185"/>
      <c r="Q19" s="183"/>
      <c r="R19" s="183"/>
      <c r="S19" s="185" t="e">
        <f t="shared" si="3"/>
        <v>#N/A</v>
      </c>
      <c r="T19" s="452"/>
      <c r="U19" s="185"/>
      <c r="V19" s="183"/>
      <c r="W19" s="183"/>
      <c r="X19" s="185" t="e">
        <f t="shared" si="4"/>
        <v>#N/A</v>
      </c>
      <c r="Y19" s="452"/>
      <c r="Z19" s="185"/>
      <c r="AA19" s="183"/>
      <c r="AB19" s="183"/>
      <c r="AC19" s="185" t="e">
        <f t="shared" si="5"/>
        <v>#N/A</v>
      </c>
      <c r="AD19" s="452"/>
      <c r="AE19" s="185"/>
      <c r="AF19" s="183"/>
      <c r="AG19" s="183"/>
      <c r="AH19" s="185" t="e">
        <f t="shared" si="6"/>
        <v>#N/A</v>
      </c>
      <c r="AI19" s="452"/>
      <c r="AJ19" s="185"/>
      <c r="AK19" s="183"/>
      <c r="AL19" s="183"/>
      <c r="AM19" s="185" t="e">
        <f t="shared" si="7"/>
        <v>#N/A</v>
      </c>
      <c r="AN19" s="452"/>
      <c r="AO19" s="185"/>
      <c r="AP19" s="183"/>
      <c r="AQ19" s="183"/>
      <c r="AR19" s="185" t="e">
        <f t="shared" si="8"/>
        <v>#N/A</v>
      </c>
      <c r="AS19" s="452"/>
      <c r="AT19" s="185"/>
      <c r="AU19" s="183"/>
      <c r="AV19" s="183"/>
      <c r="AW19" s="185" t="e">
        <f t="shared" si="9"/>
        <v>#N/A</v>
      </c>
      <c r="AX19" s="494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206"/>
      <c r="E20" s="169"/>
      <c r="F20" s="185"/>
      <c r="G20" s="183"/>
      <c r="H20" s="452"/>
      <c r="I20" s="185"/>
      <c r="J20" s="185"/>
      <c r="K20" s="185"/>
      <c r="L20" s="452"/>
      <c r="M20" s="184" t="e">
        <f>RANK(K20, $K$7:K$21)</f>
        <v>#N/A</v>
      </c>
      <c r="N20" s="454"/>
      <c r="O20" s="454"/>
      <c r="P20" s="185"/>
      <c r="Q20" s="183"/>
      <c r="R20" s="183"/>
      <c r="S20" s="185" t="e">
        <f t="shared" si="3"/>
        <v>#N/A</v>
      </c>
      <c r="T20" s="452"/>
      <c r="U20" s="185"/>
      <c r="V20" s="183"/>
      <c r="W20" s="183"/>
      <c r="X20" s="185" t="e">
        <f t="shared" si="4"/>
        <v>#N/A</v>
      </c>
      <c r="Y20" s="452"/>
      <c r="Z20" s="185"/>
      <c r="AA20" s="183"/>
      <c r="AB20" s="183"/>
      <c r="AC20" s="185" t="e">
        <f t="shared" si="5"/>
        <v>#N/A</v>
      </c>
      <c r="AD20" s="452"/>
      <c r="AE20" s="185"/>
      <c r="AF20" s="183"/>
      <c r="AG20" s="183"/>
      <c r="AH20" s="185" t="e">
        <f t="shared" si="6"/>
        <v>#N/A</v>
      </c>
      <c r="AI20" s="452"/>
      <c r="AJ20" s="185"/>
      <c r="AK20" s="183"/>
      <c r="AL20" s="183"/>
      <c r="AM20" s="185" t="e">
        <f t="shared" si="7"/>
        <v>#N/A</v>
      </c>
      <c r="AN20" s="452"/>
      <c r="AO20" s="185"/>
      <c r="AP20" s="183"/>
      <c r="AQ20" s="183"/>
      <c r="AR20" s="185" t="e">
        <f t="shared" si="8"/>
        <v>#N/A</v>
      </c>
      <c r="AS20" s="452"/>
      <c r="AT20" s="185"/>
      <c r="AU20" s="183"/>
      <c r="AV20" s="183"/>
      <c r="AW20" s="185" t="e">
        <f t="shared" si="9"/>
        <v>#N/A</v>
      </c>
      <c r="AX20" s="494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206"/>
      <c r="E21" s="169"/>
      <c r="F21" s="185"/>
      <c r="G21" s="183"/>
      <c r="H21" s="453"/>
      <c r="I21" s="185"/>
      <c r="J21" s="185"/>
      <c r="K21" s="185"/>
      <c r="L21" s="453"/>
      <c r="M21" s="169" t="e">
        <f>RANK(K21, $K$7:K$21)</f>
        <v>#N/A</v>
      </c>
      <c r="N21" s="454"/>
      <c r="O21" s="454"/>
      <c r="P21" s="185"/>
      <c r="Q21" s="183"/>
      <c r="R21" s="183"/>
      <c r="S21" s="185" t="e">
        <f t="shared" si="3"/>
        <v>#N/A</v>
      </c>
      <c r="T21" s="453"/>
      <c r="U21" s="185"/>
      <c r="V21" s="183"/>
      <c r="W21" s="183"/>
      <c r="X21" s="185" t="e">
        <f t="shared" si="4"/>
        <v>#N/A</v>
      </c>
      <c r="Y21" s="453"/>
      <c r="Z21" s="185"/>
      <c r="AA21" s="183"/>
      <c r="AB21" s="183"/>
      <c r="AC21" s="185" t="e">
        <f t="shared" si="5"/>
        <v>#N/A</v>
      </c>
      <c r="AD21" s="453"/>
      <c r="AE21" s="185"/>
      <c r="AF21" s="183"/>
      <c r="AG21" s="183"/>
      <c r="AH21" s="185" t="e">
        <f t="shared" si="6"/>
        <v>#N/A</v>
      </c>
      <c r="AI21" s="453"/>
      <c r="AJ21" s="185"/>
      <c r="AK21" s="183"/>
      <c r="AL21" s="183"/>
      <c r="AM21" s="185" t="e">
        <f t="shared" si="7"/>
        <v>#N/A</v>
      </c>
      <c r="AN21" s="453"/>
      <c r="AO21" s="185"/>
      <c r="AP21" s="183"/>
      <c r="AQ21" s="183"/>
      <c r="AR21" s="185" t="e">
        <f t="shared" si="8"/>
        <v>#N/A</v>
      </c>
      <c r="AS21" s="453"/>
      <c r="AT21" s="185"/>
      <c r="AU21" s="183"/>
      <c r="AV21" s="183"/>
      <c r="AW21" s="185" t="e">
        <f t="shared" si="9"/>
        <v>#N/A</v>
      </c>
      <c r="AX21" s="494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70">
        <f>AT2+1</f>
        <v>45965</v>
      </c>
      <c r="Q22" s="471"/>
      <c r="R22" s="471"/>
      <c r="S22" s="471"/>
      <c r="T22" s="471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54" t="s">
        <v>187</v>
      </c>
      <c r="C27" s="185">
        <v>1</v>
      </c>
      <c r="D27" s="206" t="s">
        <v>301</v>
      </c>
      <c r="E27" s="169">
        <v>18</v>
      </c>
      <c r="F27" s="185">
        <v>1440</v>
      </c>
      <c r="G27" s="183">
        <v>80</v>
      </c>
      <c r="H27" s="451">
        <f>AVERAGE(G27:G41)</f>
        <v>80.655209771308847</v>
      </c>
      <c r="I27" s="169">
        <f>AVERAGE(P27,U27,Z27,AE27,AJ27,AO27,AT27)</f>
        <v>18</v>
      </c>
      <c r="J27" s="169">
        <f>AVERAGE(Q27,V27,AA27,AF27,AK27,AP27,AU27)</f>
        <v>1412.6802721088436</v>
      </c>
      <c r="K27" s="183">
        <f>AVERAGE(R27,W27,AB27,AG27,AL27,AQ27,AV27)</f>
        <v>78.482237339380191</v>
      </c>
      <c r="L27" s="451">
        <f>IFERROR(AVERAGE(K27:K41),"-")</f>
        <v>79.014884806717404</v>
      </c>
      <c r="M27" s="184">
        <f>RANK(K27, K$27:$K$41)</f>
        <v>5</v>
      </c>
      <c r="N27" s="454"/>
      <c r="O27" s="454"/>
      <c r="P27" s="169">
        <v>18</v>
      </c>
      <c r="Q27" s="183">
        <v>1248.7619047619046</v>
      </c>
      <c r="R27" s="183">
        <v>69.375661375661366</v>
      </c>
      <c r="S27" s="185">
        <f t="shared" ref="S27:S41" si="11">RANK(R27, R$27:R$41)</f>
        <v>5</v>
      </c>
      <c r="T27" s="451">
        <f>AVERAGE(R27:R41)</f>
        <v>69.172935019168733</v>
      </c>
      <c r="U27" s="169">
        <v>18</v>
      </c>
      <c r="V27" s="183">
        <v>1440</v>
      </c>
      <c r="W27" s="183">
        <v>80</v>
      </c>
      <c r="X27" s="185">
        <f t="shared" ref="X27:X41" si="12">RANK(W27, W$27:W$41)</f>
        <v>4</v>
      </c>
      <c r="Y27" s="451">
        <f>AVERAGE(W27:W41)</f>
        <v>80.655209771308847</v>
      </c>
      <c r="Z27" s="169">
        <v>18</v>
      </c>
      <c r="AA27" s="183">
        <v>1440</v>
      </c>
      <c r="AB27" s="183">
        <v>80</v>
      </c>
      <c r="AC27" s="185">
        <f t="shared" ref="AC27:AC41" si="13">RANK(AB27, AB$27:AB$41)</f>
        <v>4</v>
      </c>
      <c r="AD27" s="451">
        <f>AVERAGE(AB27:AB41)</f>
        <v>80.655209771308847</v>
      </c>
      <c r="AE27" s="169">
        <v>18</v>
      </c>
      <c r="AF27" s="183">
        <v>1440</v>
      </c>
      <c r="AG27" s="183">
        <v>80</v>
      </c>
      <c r="AH27" s="185">
        <f t="shared" ref="AH27:AH41" si="14">RANK(AG27, AG$27:AG$41)</f>
        <v>4</v>
      </c>
      <c r="AI27" s="451">
        <f>AVERAGE(AG27:AG41)</f>
        <v>80.655209771308847</v>
      </c>
      <c r="AJ27" s="169">
        <v>18</v>
      </c>
      <c r="AK27" s="183">
        <v>1440</v>
      </c>
      <c r="AL27" s="183">
        <v>80</v>
      </c>
      <c r="AM27" s="185">
        <f t="shared" ref="AM27:AM41" si="15">RANK(AL27, AL$27:AL$41)</f>
        <v>4</v>
      </c>
      <c r="AN27" s="451">
        <f>AVERAGE(AL27:AL41)</f>
        <v>80.655209771308847</v>
      </c>
      <c r="AO27" s="169">
        <v>18</v>
      </c>
      <c r="AP27" s="183">
        <v>1440</v>
      </c>
      <c r="AQ27" s="183">
        <v>80</v>
      </c>
      <c r="AR27" s="185">
        <f t="shared" ref="AR27:AR41" si="16">RANK(AQ27, AQ$27:AQ$41)</f>
        <v>4</v>
      </c>
      <c r="AS27" s="451">
        <f>AVERAGE(AQ27:AQ41)</f>
        <v>80.655209771308847</v>
      </c>
      <c r="AT27" s="169">
        <v>18</v>
      </c>
      <c r="AU27" s="183">
        <v>1440</v>
      </c>
      <c r="AV27" s="183">
        <v>80</v>
      </c>
      <c r="AW27" s="185">
        <f t="shared" ref="AW27:AW41" si="17">RANK(AV27, AV$27:AV$41)</f>
        <v>4</v>
      </c>
      <c r="AX27" s="494">
        <f>AVERAGE(AV27:AV41)</f>
        <v>80.655209771308847</v>
      </c>
    </row>
    <row r="28" spans="2:54">
      <c r="B28" s="471"/>
      <c r="C28" s="185">
        <v>2</v>
      </c>
      <c r="D28" s="206" t="s">
        <v>302</v>
      </c>
      <c r="E28" s="169">
        <v>18</v>
      </c>
      <c r="F28" s="185">
        <v>1440</v>
      </c>
      <c r="G28" s="183">
        <v>80</v>
      </c>
      <c r="H28" s="452"/>
      <c r="I28" s="169">
        <f t="shared" ref="I28:I33" si="18">AVERAGE(P28,U28,Z28,AE28,AJ28,AO28,AT28)</f>
        <v>18</v>
      </c>
      <c r="J28" s="169">
        <f t="shared" ref="J28:J33" si="19">AVERAGE(Q28,V28,AA28,AF28,AK28,AP28,AU28)</f>
        <v>1406.7669172932333</v>
      </c>
      <c r="K28" s="183">
        <f t="shared" ref="K28:K33" si="20">AVERAGE(R28,W28,AB28,AG28,AL28,AQ28,AV28)</f>
        <v>78.153717627401846</v>
      </c>
      <c r="L28" s="452"/>
      <c r="M28" s="184">
        <f>RANK(K28, K$27:$K$41)</f>
        <v>6</v>
      </c>
      <c r="N28" s="454"/>
      <c r="O28" s="454"/>
      <c r="P28" s="185">
        <v>18</v>
      </c>
      <c r="Q28" s="183">
        <v>1207.3684210526324</v>
      </c>
      <c r="R28" s="183">
        <v>67.07602339181291</v>
      </c>
      <c r="S28" s="185">
        <f t="shared" si="11"/>
        <v>6</v>
      </c>
      <c r="T28" s="452"/>
      <c r="U28" s="185">
        <v>18</v>
      </c>
      <c r="V28" s="183">
        <v>1440</v>
      </c>
      <c r="W28" s="183">
        <v>80</v>
      </c>
      <c r="X28" s="185">
        <f t="shared" si="12"/>
        <v>4</v>
      </c>
      <c r="Y28" s="452"/>
      <c r="Z28" s="185">
        <v>18</v>
      </c>
      <c r="AA28" s="183">
        <v>1440</v>
      </c>
      <c r="AB28" s="183">
        <v>80</v>
      </c>
      <c r="AC28" s="185">
        <f t="shared" si="13"/>
        <v>4</v>
      </c>
      <c r="AD28" s="452"/>
      <c r="AE28" s="185">
        <v>18</v>
      </c>
      <c r="AF28" s="183">
        <v>1440</v>
      </c>
      <c r="AG28" s="183">
        <v>80</v>
      </c>
      <c r="AH28" s="185">
        <f t="shared" si="14"/>
        <v>4</v>
      </c>
      <c r="AI28" s="452"/>
      <c r="AJ28" s="185">
        <v>18</v>
      </c>
      <c r="AK28" s="183">
        <v>1440</v>
      </c>
      <c r="AL28" s="183">
        <v>80</v>
      </c>
      <c r="AM28" s="185">
        <f t="shared" si="15"/>
        <v>4</v>
      </c>
      <c r="AN28" s="452"/>
      <c r="AO28" s="185">
        <v>18</v>
      </c>
      <c r="AP28" s="183">
        <v>1440</v>
      </c>
      <c r="AQ28" s="183">
        <v>80</v>
      </c>
      <c r="AR28" s="185">
        <f t="shared" si="16"/>
        <v>4</v>
      </c>
      <c r="AS28" s="452"/>
      <c r="AT28" s="185">
        <v>18</v>
      </c>
      <c r="AU28" s="183">
        <v>1440</v>
      </c>
      <c r="AV28" s="183">
        <v>80</v>
      </c>
      <c r="AW28" s="185">
        <f t="shared" si="17"/>
        <v>4</v>
      </c>
      <c r="AX28" s="494"/>
    </row>
    <row r="29" spans="2:54">
      <c r="B29" s="471"/>
      <c r="C29" s="185">
        <v>3</v>
      </c>
      <c r="D29" s="206" t="s">
        <v>303</v>
      </c>
      <c r="E29" s="169">
        <v>17</v>
      </c>
      <c r="F29" s="185">
        <v>1636</v>
      </c>
      <c r="G29" s="183">
        <v>96.235294117647058</v>
      </c>
      <c r="H29" s="452"/>
      <c r="I29" s="169">
        <f t="shared" si="18"/>
        <v>17</v>
      </c>
      <c r="J29" s="169">
        <f t="shared" si="19"/>
        <v>1600.3076923076922</v>
      </c>
      <c r="K29" s="183">
        <f t="shared" si="20"/>
        <v>94.135746606334834</v>
      </c>
      <c r="L29" s="452"/>
      <c r="M29" s="184">
        <f>RANK(K29, K$27:$K$41)</f>
        <v>2</v>
      </c>
      <c r="N29" s="454"/>
      <c r="O29" s="454"/>
      <c r="P29" s="185">
        <v>17</v>
      </c>
      <c r="Q29" s="183">
        <v>1386.1538461538455</v>
      </c>
      <c r="R29" s="183">
        <v>81.538461538461505</v>
      </c>
      <c r="S29" s="185">
        <f t="shared" si="11"/>
        <v>1</v>
      </c>
      <c r="T29" s="452"/>
      <c r="U29" s="185">
        <v>17</v>
      </c>
      <c r="V29" s="183">
        <v>1636</v>
      </c>
      <c r="W29" s="183">
        <v>96.235294117647058</v>
      </c>
      <c r="X29" s="185">
        <f t="shared" si="12"/>
        <v>2</v>
      </c>
      <c r="Y29" s="452"/>
      <c r="Z29" s="185">
        <v>17</v>
      </c>
      <c r="AA29" s="183">
        <v>1636</v>
      </c>
      <c r="AB29" s="183">
        <v>96.235294117647058</v>
      </c>
      <c r="AC29" s="185">
        <f t="shared" si="13"/>
        <v>2</v>
      </c>
      <c r="AD29" s="452"/>
      <c r="AE29" s="185">
        <v>17</v>
      </c>
      <c r="AF29" s="183">
        <v>1636</v>
      </c>
      <c r="AG29" s="183">
        <v>96.235294117647058</v>
      </c>
      <c r="AH29" s="185">
        <f t="shared" si="14"/>
        <v>2</v>
      </c>
      <c r="AI29" s="452"/>
      <c r="AJ29" s="185">
        <v>17</v>
      </c>
      <c r="AK29" s="183">
        <v>1636</v>
      </c>
      <c r="AL29" s="183">
        <v>96.235294117647058</v>
      </c>
      <c r="AM29" s="185">
        <f t="shared" si="15"/>
        <v>2</v>
      </c>
      <c r="AN29" s="452"/>
      <c r="AO29" s="185">
        <v>17</v>
      </c>
      <c r="AP29" s="183">
        <v>1636</v>
      </c>
      <c r="AQ29" s="183">
        <v>96.235294117647058</v>
      </c>
      <c r="AR29" s="185">
        <f t="shared" si="16"/>
        <v>2</v>
      </c>
      <c r="AS29" s="452"/>
      <c r="AT29" s="185">
        <v>17</v>
      </c>
      <c r="AU29" s="183">
        <v>1636</v>
      </c>
      <c r="AV29" s="183">
        <v>96.235294117647058</v>
      </c>
      <c r="AW29" s="185">
        <f t="shared" si="17"/>
        <v>2</v>
      </c>
      <c r="AX29" s="494"/>
    </row>
    <row r="30" spans="2:54">
      <c r="B30" s="471"/>
      <c r="C30" s="185">
        <v>4</v>
      </c>
      <c r="D30" s="206" t="s">
        <v>304</v>
      </c>
      <c r="E30" s="169">
        <v>18</v>
      </c>
      <c r="F30" s="185">
        <v>1440</v>
      </c>
      <c r="G30" s="183">
        <v>80</v>
      </c>
      <c r="H30" s="452"/>
      <c r="I30" s="169">
        <f t="shared" si="18"/>
        <v>18</v>
      </c>
      <c r="J30" s="169">
        <f t="shared" si="19"/>
        <v>1421.5170068027212</v>
      </c>
      <c r="K30" s="183">
        <f t="shared" si="20"/>
        <v>78.973167044595613</v>
      </c>
      <c r="L30" s="452"/>
      <c r="M30" s="184">
        <f>RANK(K30, K$27:$K$41)</f>
        <v>4</v>
      </c>
      <c r="N30" s="454"/>
      <c r="O30" s="454"/>
      <c r="P30" s="185">
        <v>18</v>
      </c>
      <c r="Q30" s="183">
        <v>1310.6190476190473</v>
      </c>
      <c r="R30" s="183">
        <v>72.812169312169289</v>
      </c>
      <c r="S30" s="185">
        <f t="shared" si="11"/>
        <v>3</v>
      </c>
      <c r="T30" s="452"/>
      <c r="U30" s="185">
        <v>18</v>
      </c>
      <c r="V30" s="183">
        <v>1440</v>
      </c>
      <c r="W30" s="183">
        <v>80</v>
      </c>
      <c r="X30" s="185">
        <f t="shared" si="12"/>
        <v>4</v>
      </c>
      <c r="Y30" s="452"/>
      <c r="Z30" s="185">
        <v>18</v>
      </c>
      <c r="AA30" s="183">
        <v>1440</v>
      </c>
      <c r="AB30" s="183">
        <v>80</v>
      </c>
      <c r="AC30" s="185">
        <f t="shared" si="13"/>
        <v>4</v>
      </c>
      <c r="AD30" s="452"/>
      <c r="AE30" s="185">
        <v>18</v>
      </c>
      <c r="AF30" s="183">
        <v>1440</v>
      </c>
      <c r="AG30" s="183">
        <v>80</v>
      </c>
      <c r="AH30" s="185">
        <f t="shared" si="14"/>
        <v>4</v>
      </c>
      <c r="AI30" s="452"/>
      <c r="AJ30" s="185">
        <v>18</v>
      </c>
      <c r="AK30" s="183">
        <v>1440</v>
      </c>
      <c r="AL30" s="183">
        <v>80</v>
      </c>
      <c r="AM30" s="185">
        <f t="shared" si="15"/>
        <v>4</v>
      </c>
      <c r="AN30" s="452"/>
      <c r="AO30" s="185">
        <v>18</v>
      </c>
      <c r="AP30" s="183">
        <v>1440</v>
      </c>
      <c r="AQ30" s="183">
        <v>80</v>
      </c>
      <c r="AR30" s="185">
        <f t="shared" si="16"/>
        <v>4</v>
      </c>
      <c r="AS30" s="452"/>
      <c r="AT30" s="185">
        <v>18</v>
      </c>
      <c r="AU30" s="183">
        <v>1440</v>
      </c>
      <c r="AV30" s="183">
        <v>80</v>
      </c>
      <c r="AW30" s="185">
        <f t="shared" si="17"/>
        <v>4</v>
      </c>
      <c r="AX30" s="494"/>
    </row>
    <row r="31" spans="2:54">
      <c r="B31" s="471"/>
      <c r="C31" s="185">
        <v>5</v>
      </c>
      <c r="D31" s="206" t="s">
        <v>305</v>
      </c>
      <c r="E31" s="169">
        <v>19</v>
      </c>
      <c r="F31" s="185">
        <v>1440</v>
      </c>
      <c r="G31" s="183">
        <v>75.78947368421052</v>
      </c>
      <c r="H31" s="452"/>
      <c r="I31" s="169">
        <f t="shared" si="18"/>
        <v>19</v>
      </c>
      <c r="J31" s="169">
        <f t="shared" si="19"/>
        <v>1411.4285714285713</v>
      </c>
      <c r="K31" s="183">
        <f t="shared" si="20"/>
        <v>74.285714285714292</v>
      </c>
      <c r="L31" s="452"/>
      <c r="M31" s="184">
        <f>RANK(K31, K$27:$K$41)</f>
        <v>8</v>
      </c>
      <c r="N31" s="454"/>
      <c r="O31" s="454"/>
      <c r="P31" s="185">
        <v>19</v>
      </c>
      <c r="Q31" s="183">
        <v>1240</v>
      </c>
      <c r="R31" s="183">
        <v>65.263157894736835</v>
      </c>
      <c r="S31" s="185">
        <f t="shared" si="11"/>
        <v>7</v>
      </c>
      <c r="T31" s="452"/>
      <c r="U31" s="185">
        <v>19</v>
      </c>
      <c r="V31" s="183">
        <v>1440</v>
      </c>
      <c r="W31" s="183">
        <v>75.78947368421052</v>
      </c>
      <c r="X31" s="185">
        <f t="shared" si="12"/>
        <v>8</v>
      </c>
      <c r="Y31" s="452"/>
      <c r="Z31" s="185">
        <v>19</v>
      </c>
      <c r="AA31" s="183">
        <v>1440</v>
      </c>
      <c r="AB31" s="183">
        <v>75.78947368421052</v>
      </c>
      <c r="AC31" s="185">
        <f t="shared" si="13"/>
        <v>8</v>
      </c>
      <c r="AD31" s="452"/>
      <c r="AE31" s="185">
        <v>19</v>
      </c>
      <c r="AF31" s="183">
        <v>1440</v>
      </c>
      <c r="AG31" s="183">
        <v>75.78947368421052</v>
      </c>
      <c r="AH31" s="185">
        <f t="shared" si="14"/>
        <v>8</v>
      </c>
      <c r="AI31" s="452"/>
      <c r="AJ31" s="185">
        <v>19</v>
      </c>
      <c r="AK31" s="183">
        <v>1440</v>
      </c>
      <c r="AL31" s="183">
        <v>75.78947368421052</v>
      </c>
      <c r="AM31" s="185">
        <f t="shared" si="15"/>
        <v>8</v>
      </c>
      <c r="AN31" s="452"/>
      <c r="AO31" s="185">
        <v>19</v>
      </c>
      <c r="AP31" s="183">
        <v>1440</v>
      </c>
      <c r="AQ31" s="183">
        <v>75.78947368421052</v>
      </c>
      <c r="AR31" s="185">
        <f t="shared" si="16"/>
        <v>8</v>
      </c>
      <c r="AS31" s="452"/>
      <c r="AT31" s="185">
        <v>19</v>
      </c>
      <c r="AU31" s="183">
        <v>1440</v>
      </c>
      <c r="AV31" s="183">
        <v>75.78947368421052</v>
      </c>
      <c r="AW31" s="185">
        <f t="shared" si="17"/>
        <v>8</v>
      </c>
      <c r="AX31" s="494"/>
    </row>
    <row r="32" spans="2:54">
      <c r="B32" s="471"/>
      <c r="C32" s="185">
        <v>6</v>
      </c>
      <c r="D32" s="206" t="s">
        <v>306</v>
      </c>
      <c r="E32" s="169">
        <v>21</v>
      </c>
      <c r="F32" s="185">
        <v>1385</v>
      </c>
      <c r="G32" s="183">
        <v>65.952380952380949</v>
      </c>
      <c r="H32" s="452"/>
      <c r="I32" s="169">
        <f t="shared" si="18"/>
        <v>20.857142857142858</v>
      </c>
      <c r="J32" s="169">
        <f t="shared" si="19"/>
        <v>1361.5297092288242</v>
      </c>
      <c r="K32" s="183">
        <f t="shared" si="20"/>
        <v>65.249954849196314</v>
      </c>
      <c r="L32" s="452"/>
      <c r="M32" s="184">
        <f>RANK(K32, K$27:$K$41)</f>
        <v>11</v>
      </c>
      <c r="N32" s="454"/>
      <c r="O32" s="454"/>
      <c r="P32" s="185">
        <v>20</v>
      </c>
      <c r="Q32" s="183">
        <v>1220.7079646017692</v>
      </c>
      <c r="R32" s="183">
        <v>61.035398230088461</v>
      </c>
      <c r="S32" s="185">
        <f t="shared" si="11"/>
        <v>11</v>
      </c>
      <c r="T32" s="452"/>
      <c r="U32" s="185">
        <v>21</v>
      </c>
      <c r="V32" s="183">
        <v>1385</v>
      </c>
      <c r="W32" s="183">
        <v>65.952380952380949</v>
      </c>
      <c r="X32" s="185">
        <f t="shared" si="12"/>
        <v>10</v>
      </c>
      <c r="Y32" s="452"/>
      <c r="Z32" s="185">
        <v>21</v>
      </c>
      <c r="AA32" s="183">
        <v>1385</v>
      </c>
      <c r="AB32" s="183">
        <v>65.952380952380949</v>
      </c>
      <c r="AC32" s="185">
        <f t="shared" si="13"/>
        <v>10</v>
      </c>
      <c r="AD32" s="452"/>
      <c r="AE32" s="185">
        <v>21</v>
      </c>
      <c r="AF32" s="183">
        <v>1385</v>
      </c>
      <c r="AG32" s="183">
        <v>65.952380952380949</v>
      </c>
      <c r="AH32" s="185">
        <f t="shared" si="14"/>
        <v>10</v>
      </c>
      <c r="AI32" s="452"/>
      <c r="AJ32" s="185">
        <v>21</v>
      </c>
      <c r="AK32" s="183">
        <v>1385</v>
      </c>
      <c r="AL32" s="183">
        <v>65.952380952380949</v>
      </c>
      <c r="AM32" s="185">
        <f t="shared" si="15"/>
        <v>10</v>
      </c>
      <c r="AN32" s="452"/>
      <c r="AO32" s="185">
        <v>21</v>
      </c>
      <c r="AP32" s="183">
        <v>1385</v>
      </c>
      <c r="AQ32" s="183">
        <v>65.952380952380949</v>
      </c>
      <c r="AR32" s="185">
        <f t="shared" si="16"/>
        <v>10</v>
      </c>
      <c r="AS32" s="452"/>
      <c r="AT32" s="185">
        <v>21</v>
      </c>
      <c r="AU32" s="183">
        <v>1385</v>
      </c>
      <c r="AV32" s="183">
        <v>65.952380952380949</v>
      </c>
      <c r="AW32" s="185">
        <f t="shared" si="17"/>
        <v>10</v>
      </c>
      <c r="AX32" s="494"/>
    </row>
    <row r="33" spans="2:50">
      <c r="B33" s="471"/>
      <c r="C33" s="185">
        <v>7</v>
      </c>
      <c r="D33" s="206" t="s">
        <v>307</v>
      </c>
      <c r="E33" s="169">
        <v>20</v>
      </c>
      <c r="F33" s="185">
        <v>1440</v>
      </c>
      <c r="G33" s="183">
        <v>72</v>
      </c>
      <c r="H33" s="452"/>
      <c r="I33" s="169">
        <f t="shared" si="18"/>
        <v>20</v>
      </c>
      <c r="J33" s="169">
        <f t="shared" si="19"/>
        <v>1416.0667903525045</v>
      </c>
      <c r="K33" s="183">
        <f t="shared" si="20"/>
        <v>70.803339517625233</v>
      </c>
      <c r="L33" s="452"/>
      <c r="M33" s="184">
        <f>RANK(K33, K$27:$K$41)</f>
        <v>9</v>
      </c>
      <c r="N33" s="454"/>
      <c r="O33" s="454"/>
      <c r="P33" s="185">
        <v>20</v>
      </c>
      <c r="Q33" s="183">
        <v>1272.4675324675318</v>
      </c>
      <c r="R33" s="183">
        <v>63.623376623376586</v>
      </c>
      <c r="S33" s="185">
        <f t="shared" si="11"/>
        <v>9</v>
      </c>
      <c r="T33" s="452"/>
      <c r="U33" s="185">
        <v>20</v>
      </c>
      <c r="V33" s="183">
        <v>1440</v>
      </c>
      <c r="W33" s="183">
        <v>72</v>
      </c>
      <c r="X33" s="185">
        <f t="shared" si="12"/>
        <v>9</v>
      </c>
      <c r="Y33" s="452"/>
      <c r="Z33" s="185">
        <v>20</v>
      </c>
      <c r="AA33" s="183">
        <v>1440</v>
      </c>
      <c r="AB33" s="183">
        <v>72</v>
      </c>
      <c r="AC33" s="185">
        <f t="shared" si="13"/>
        <v>9</v>
      </c>
      <c r="AD33" s="452"/>
      <c r="AE33" s="185">
        <v>20</v>
      </c>
      <c r="AF33" s="183">
        <v>1440</v>
      </c>
      <c r="AG33" s="183">
        <v>72</v>
      </c>
      <c r="AH33" s="185">
        <f t="shared" si="14"/>
        <v>9</v>
      </c>
      <c r="AI33" s="452"/>
      <c r="AJ33" s="185">
        <v>20</v>
      </c>
      <c r="AK33" s="183">
        <v>1440</v>
      </c>
      <c r="AL33" s="183">
        <v>72</v>
      </c>
      <c r="AM33" s="185">
        <f t="shared" si="15"/>
        <v>9</v>
      </c>
      <c r="AN33" s="452"/>
      <c r="AO33" s="185">
        <v>20</v>
      </c>
      <c r="AP33" s="183">
        <v>1440</v>
      </c>
      <c r="AQ33" s="183">
        <v>72</v>
      </c>
      <c r="AR33" s="185">
        <f t="shared" si="16"/>
        <v>9</v>
      </c>
      <c r="AS33" s="452"/>
      <c r="AT33" s="185">
        <v>20</v>
      </c>
      <c r="AU33" s="183">
        <v>1440</v>
      </c>
      <c r="AV33" s="183">
        <v>72</v>
      </c>
      <c r="AW33" s="185">
        <f t="shared" si="17"/>
        <v>9</v>
      </c>
      <c r="AX33" s="494"/>
    </row>
    <row r="34" spans="2:50">
      <c r="B34" s="471"/>
      <c r="C34" s="185">
        <v>8</v>
      </c>
      <c r="D34" s="206" t="s">
        <v>308</v>
      </c>
      <c r="E34" s="169">
        <v>18</v>
      </c>
      <c r="F34" s="185">
        <v>1385</v>
      </c>
      <c r="G34" s="183">
        <v>76.944444444444443</v>
      </c>
      <c r="H34" s="452"/>
      <c r="I34" s="169">
        <f t="shared" ref="I34:I37" si="21">AVERAGE(P34,U34,Z34,AE34,AJ34,AO34,AT34)</f>
        <v>18</v>
      </c>
      <c r="J34" s="169">
        <f t="shared" ref="J34:J37" si="22">AVERAGE(Q34,V34,AA34,AF34,AK34,AP34,AU34)</f>
        <v>1354.7448979591838</v>
      </c>
      <c r="K34" s="183">
        <f t="shared" ref="K34:K37" si="23">AVERAGE(R34,W34,AB34,AG34,AL34,AQ34,AV34)</f>
        <v>75.263605442176882</v>
      </c>
      <c r="L34" s="452"/>
      <c r="M34" s="184">
        <f>RANK(K34, K$27:$K$41)</f>
        <v>7</v>
      </c>
      <c r="N34" s="454"/>
      <c r="O34" s="454"/>
      <c r="P34" s="185">
        <v>18</v>
      </c>
      <c r="Q34" s="183">
        <v>1173.2142857142867</v>
      </c>
      <c r="R34" s="183">
        <v>65.178571428571487</v>
      </c>
      <c r="S34" s="185">
        <f t="shared" si="11"/>
        <v>8</v>
      </c>
      <c r="T34" s="452"/>
      <c r="U34" s="185">
        <v>18</v>
      </c>
      <c r="V34" s="183">
        <v>1385</v>
      </c>
      <c r="W34" s="183">
        <v>76.944444444444443</v>
      </c>
      <c r="X34" s="185">
        <f t="shared" si="12"/>
        <v>7</v>
      </c>
      <c r="Y34" s="452"/>
      <c r="Z34" s="185">
        <v>18</v>
      </c>
      <c r="AA34" s="183">
        <v>1385</v>
      </c>
      <c r="AB34" s="183">
        <v>76.944444444444443</v>
      </c>
      <c r="AC34" s="185">
        <f t="shared" si="13"/>
        <v>7</v>
      </c>
      <c r="AD34" s="452"/>
      <c r="AE34" s="185">
        <v>18</v>
      </c>
      <c r="AF34" s="183">
        <v>1385</v>
      </c>
      <c r="AG34" s="183">
        <v>76.944444444444443</v>
      </c>
      <c r="AH34" s="185">
        <f t="shared" si="14"/>
        <v>7</v>
      </c>
      <c r="AI34" s="452"/>
      <c r="AJ34" s="185">
        <v>18</v>
      </c>
      <c r="AK34" s="183">
        <v>1385</v>
      </c>
      <c r="AL34" s="183">
        <v>76.944444444444443</v>
      </c>
      <c r="AM34" s="185">
        <f t="shared" si="15"/>
        <v>7</v>
      </c>
      <c r="AN34" s="452"/>
      <c r="AO34" s="185">
        <v>18</v>
      </c>
      <c r="AP34" s="183">
        <v>1385</v>
      </c>
      <c r="AQ34" s="183">
        <v>76.944444444444443</v>
      </c>
      <c r="AR34" s="185">
        <f t="shared" si="16"/>
        <v>7</v>
      </c>
      <c r="AS34" s="452"/>
      <c r="AT34" s="185">
        <v>18</v>
      </c>
      <c r="AU34" s="183">
        <v>1385</v>
      </c>
      <c r="AV34" s="183">
        <v>76.944444444444443</v>
      </c>
      <c r="AW34" s="185">
        <f t="shared" si="17"/>
        <v>7</v>
      </c>
      <c r="AX34" s="494"/>
    </row>
    <row r="35" spans="2:50">
      <c r="B35" s="471"/>
      <c r="C35" s="185">
        <v>9</v>
      </c>
      <c r="D35" s="206" t="s">
        <v>309</v>
      </c>
      <c r="E35" s="169">
        <v>21</v>
      </c>
      <c r="F35" s="185">
        <v>1385</v>
      </c>
      <c r="G35" s="183">
        <v>65.952380952380949</v>
      </c>
      <c r="H35" s="452"/>
      <c r="I35" s="169">
        <f t="shared" si="21"/>
        <v>20.714285714285715</v>
      </c>
      <c r="J35" s="169">
        <f t="shared" si="22"/>
        <v>1354.3460764587523</v>
      </c>
      <c r="K35" s="183">
        <f t="shared" si="23"/>
        <v>65.330781682576657</v>
      </c>
      <c r="L35" s="452"/>
      <c r="M35" s="184">
        <f>RANK(K35, K$27:$K$41)</f>
        <v>10</v>
      </c>
      <c r="N35" s="454"/>
      <c r="O35" s="454"/>
      <c r="P35" s="185">
        <v>19</v>
      </c>
      <c r="Q35" s="183">
        <v>1170.4225352112664</v>
      </c>
      <c r="R35" s="183">
        <v>61.601186063750866</v>
      </c>
      <c r="S35" s="185">
        <f t="shared" si="11"/>
        <v>10</v>
      </c>
      <c r="T35" s="452"/>
      <c r="U35" s="185">
        <v>21</v>
      </c>
      <c r="V35" s="183">
        <v>1385</v>
      </c>
      <c r="W35" s="183">
        <v>65.952380952380949</v>
      </c>
      <c r="X35" s="185">
        <f t="shared" si="12"/>
        <v>10</v>
      </c>
      <c r="Y35" s="452"/>
      <c r="Z35" s="185">
        <v>21</v>
      </c>
      <c r="AA35" s="183">
        <v>1385</v>
      </c>
      <c r="AB35" s="183">
        <v>65.952380952380949</v>
      </c>
      <c r="AC35" s="185">
        <f t="shared" si="13"/>
        <v>10</v>
      </c>
      <c r="AD35" s="452"/>
      <c r="AE35" s="185">
        <v>21</v>
      </c>
      <c r="AF35" s="183">
        <v>1385</v>
      </c>
      <c r="AG35" s="183">
        <v>65.952380952380949</v>
      </c>
      <c r="AH35" s="185">
        <f t="shared" si="14"/>
        <v>10</v>
      </c>
      <c r="AI35" s="452"/>
      <c r="AJ35" s="185">
        <v>21</v>
      </c>
      <c r="AK35" s="183">
        <v>1385</v>
      </c>
      <c r="AL35" s="183">
        <v>65.952380952380949</v>
      </c>
      <c r="AM35" s="185">
        <f t="shared" si="15"/>
        <v>10</v>
      </c>
      <c r="AN35" s="452"/>
      <c r="AO35" s="185">
        <v>21</v>
      </c>
      <c r="AP35" s="183">
        <v>1385</v>
      </c>
      <c r="AQ35" s="183">
        <v>65.952380952380949</v>
      </c>
      <c r="AR35" s="185">
        <f t="shared" si="16"/>
        <v>10</v>
      </c>
      <c r="AS35" s="452"/>
      <c r="AT35" s="185">
        <v>21</v>
      </c>
      <c r="AU35" s="183">
        <v>1385</v>
      </c>
      <c r="AV35" s="183">
        <v>65.952380952380949</v>
      </c>
      <c r="AW35" s="185">
        <f t="shared" si="17"/>
        <v>10</v>
      </c>
      <c r="AX35" s="494"/>
    </row>
    <row r="36" spans="2:50">
      <c r="B36" s="471"/>
      <c r="C36" s="185">
        <v>10</v>
      </c>
      <c r="D36" s="206" t="s">
        <v>310</v>
      </c>
      <c r="E36" s="169">
        <v>15</v>
      </c>
      <c r="F36" s="185">
        <v>1565</v>
      </c>
      <c r="G36" s="183">
        <v>104.33333333333333</v>
      </c>
      <c r="H36" s="452"/>
      <c r="I36" s="169">
        <f t="shared" si="21"/>
        <v>15.142857142857142</v>
      </c>
      <c r="J36" s="169">
        <f t="shared" si="22"/>
        <v>1507.218045112782</v>
      </c>
      <c r="K36" s="183">
        <f t="shared" si="23"/>
        <v>99.790413533834581</v>
      </c>
      <c r="L36" s="452"/>
      <c r="M36" s="184">
        <f>RANK(K36, K$27:$K$41)</f>
        <v>1</v>
      </c>
      <c r="N36" s="454"/>
      <c r="O36" s="454"/>
      <c r="P36" s="185">
        <v>16</v>
      </c>
      <c r="Q36" s="183">
        <v>1160.5263157894728</v>
      </c>
      <c r="R36" s="183">
        <v>72.532894736842053</v>
      </c>
      <c r="S36" s="185">
        <f t="shared" si="11"/>
        <v>4</v>
      </c>
      <c r="T36" s="452"/>
      <c r="U36" s="185">
        <v>15</v>
      </c>
      <c r="V36" s="183">
        <v>1565</v>
      </c>
      <c r="W36" s="183">
        <v>104.33333333333333</v>
      </c>
      <c r="X36" s="185">
        <f t="shared" si="12"/>
        <v>1</v>
      </c>
      <c r="Y36" s="452"/>
      <c r="Z36" s="185">
        <v>15</v>
      </c>
      <c r="AA36" s="183">
        <v>1565</v>
      </c>
      <c r="AB36" s="183">
        <v>104.33333333333333</v>
      </c>
      <c r="AC36" s="185">
        <f t="shared" si="13"/>
        <v>1</v>
      </c>
      <c r="AD36" s="452"/>
      <c r="AE36" s="185">
        <v>15</v>
      </c>
      <c r="AF36" s="183">
        <v>1565</v>
      </c>
      <c r="AG36" s="183">
        <v>104.33333333333333</v>
      </c>
      <c r="AH36" s="185">
        <f t="shared" si="14"/>
        <v>1</v>
      </c>
      <c r="AI36" s="452"/>
      <c r="AJ36" s="185">
        <v>15</v>
      </c>
      <c r="AK36" s="183">
        <v>1565</v>
      </c>
      <c r="AL36" s="183">
        <v>104.33333333333333</v>
      </c>
      <c r="AM36" s="185">
        <f t="shared" si="15"/>
        <v>1</v>
      </c>
      <c r="AN36" s="452"/>
      <c r="AO36" s="185">
        <v>15</v>
      </c>
      <c r="AP36" s="183">
        <v>1565</v>
      </c>
      <c r="AQ36" s="183">
        <v>104.33333333333333</v>
      </c>
      <c r="AR36" s="185">
        <f t="shared" si="16"/>
        <v>1</v>
      </c>
      <c r="AS36" s="452"/>
      <c r="AT36" s="185">
        <v>15</v>
      </c>
      <c r="AU36" s="183">
        <v>1565</v>
      </c>
      <c r="AV36" s="183">
        <v>104.33333333333333</v>
      </c>
      <c r="AW36" s="185">
        <f t="shared" si="17"/>
        <v>1</v>
      </c>
      <c r="AX36" s="494"/>
    </row>
    <row r="37" spans="2:50">
      <c r="B37" s="471"/>
      <c r="C37" s="185">
        <v>11</v>
      </c>
      <c r="D37" s="206" t="s">
        <v>311</v>
      </c>
      <c r="E37" s="169">
        <v>16</v>
      </c>
      <c r="F37" s="185">
        <v>1440</v>
      </c>
      <c r="G37" s="183">
        <v>90</v>
      </c>
      <c r="H37" s="452"/>
      <c r="I37" s="169">
        <f t="shared" si="21"/>
        <v>16</v>
      </c>
      <c r="J37" s="169">
        <f t="shared" si="22"/>
        <v>1419.120879120879</v>
      </c>
      <c r="K37" s="183">
        <f t="shared" si="23"/>
        <v>88.695054945054935</v>
      </c>
      <c r="L37" s="452"/>
      <c r="M37" s="184">
        <f>RANK(K37, K$27:$K$41)</f>
        <v>3</v>
      </c>
      <c r="N37" s="454"/>
      <c r="O37" s="454"/>
      <c r="P37" s="185">
        <v>16</v>
      </c>
      <c r="Q37" s="183">
        <v>1293.8461538461534</v>
      </c>
      <c r="R37" s="183">
        <v>80.865384615384585</v>
      </c>
      <c r="S37" s="185">
        <f t="shared" si="11"/>
        <v>2</v>
      </c>
      <c r="T37" s="452"/>
      <c r="U37" s="185">
        <v>16</v>
      </c>
      <c r="V37" s="183">
        <v>1440</v>
      </c>
      <c r="W37" s="183">
        <v>90</v>
      </c>
      <c r="X37" s="185">
        <f t="shared" si="12"/>
        <v>3</v>
      </c>
      <c r="Y37" s="452"/>
      <c r="Z37" s="185">
        <v>16</v>
      </c>
      <c r="AA37" s="183">
        <v>1440</v>
      </c>
      <c r="AB37" s="183">
        <v>90</v>
      </c>
      <c r="AC37" s="185">
        <f t="shared" si="13"/>
        <v>3</v>
      </c>
      <c r="AD37" s="452"/>
      <c r="AE37" s="185">
        <v>16</v>
      </c>
      <c r="AF37" s="183">
        <v>1440</v>
      </c>
      <c r="AG37" s="183">
        <v>90</v>
      </c>
      <c r="AH37" s="185">
        <f t="shared" si="14"/>
        <v>3</v>
      </c>
      <c r="AI37" s="452"/>
      <c r="AJ37" s="185">
        <v>16</v>
      </c>
      <c r="AK37" s="183">
        <v>1440</v>
      </c>
      <c r="AL37" s="183">
        <v>90</v>
      </c>
      <c r="AM37" s="185">
        <f t="shared" si="15"/>
        <v>3</v>
      </c>
      <c r="AN37" s="452"/>
      <c r="AO37" s="185">
        <v>16</v>
      </c>
      <c r="AP37" s="183">
        <v>1440</v>
      </c>
      <c r="AQ37" s="183">
        <v>90</v>
      </c>
      <c r="AR37" s="185">
        <f t="shared" si="16"/>
        <v>3</v>
      </c>
      <c r="AS37" s="452"/>
      <c r="AT37" s="185">
        <v>16</v>
      </c>
      <c r="AU37" s="183">
        <v>1440</v>
      </c>
      <c r="AV37" s="183">
        <v>90</v>
      </c>
      <c r="AW37" s="185">
        <f t="shared" si="17"/>
        <v>3</v>
      </c>
      <c r="AX37" s="494"/>
    </row>
    <row r="38" spans="2:50">
      <c r="B38" s="471"/>
      <c r="C38" s="185">
        <v>12</v>
      </c>
      <c r="D38" s="206"/>
      <c r="E38" s="169"/>
      <c r="F38" s="185"/>
      <c r="G38" s="183"/>
      <c r="H38" s="452"/>
      <c r="I38" s="185"/>
      <c r="J38" s="185"/>
      <c r="K38" s="185"/>
      <c r="L38" s="452"/>
      <c r="M38" s="184" t="e">
        <f>RANK(K38, K$27:$K$41)</f>
        <v>#N/A</v>
      </c>
      <c r="N38" s="454"/>
      <c r="O38" s="454"/>
      <c r="P38" s="185"/>
      <c r="Q38" s="183"/>
      <c r="R38" s="183"/>
      <c r="S38" s="185" t="e">
        <f t="shared" si="11"/>
        <v>#N/A</v>
      </c>
      <c r="T38" s="452"/>
      <c r="U38" s="185"/>
      <c r="V38" s="183"/>
      <c r="W38" s="183"/>
      <c r="X38" s="185" t="e">
        <f t="shared" si="12"/>
        <v>#N/A</v>
      </c>
      <c r="Y38" s="452"/>
      <c r="Z38" s="185"/>
      <c r="AA38" s="183"/>
      <c r="AB38" s="183"/>
      <c r="AC38" s="185" t="e">
        <f t="shared" si="13"/>
        <v>#N/A</v>
      </c>
      <c r="AD38" s="452"/>
      <c r="AE38" s="185"/>
      <c r="AF38" s="183"/>
      <c r="AG38" s="183"/>
      <c r="AH38" s="185" t="e">
        <f t="shared" si="14"/>
        <v>#N/A</v>
      </c>
      <c r="AI38" s="452"/>
      <c r="AJ38" s="185"/>
      <c r="AK38" s="183"/>
      <c r="AL38" s="183"/>
      <c r="AM38" s="185" t="e">
        <f t="shared" si="15"/>
        <v>#N/A</v>
      </c>
      <c r="AN38" s="452"/>
      <c r="AO38" s="185"/>
      <c r="AP38" s="183"/>
      <c r="AQ38" s="183"/>
      <c r="AR38" s="185" t="e">
        <f t="shared" si="16"/>
        <v>#N/A</v>
      </c>
      <c r="AS38" s="452"/>
      <c r="AT38" s="185"/>
      <c r="AU38" s="183"/>
      <c r="AV38" s="183"/>
      <c r="AW38" s="185" t="e">
        <f t="shared" si="17"/>
        <v>#N/A</v>
      </c>
      <c r="AX38" s="494"/>
    </row>
    <row r="39" spans="2:50">
      <c r="B39" s="471"/>
      <c r="C39" s="185">
        <v>13</v>
      </c>
      <c r="D39" s="206"/>
      <c r="E39" s="169"/>
      <c r="F39" s="185"/>
      <c r="G39" s="183"/>
      <c r="H39" s="452"/>
      <c r="I39" s="185"/>
      <c r="J39" s="185"/>
      <c r="K39" s="185"/>
      <c r="L39" s="452"/>
      <c r="M39" s="184" t="e">
        <f>RANK(K39, K$27:$K$41)</f>
        <v>#N/A</v>
      </c>
      <c r="N39" s="454"/>
      <c r="O39" s="454"/>
      <c r="P39" s="185"/>
      <c r="Q39" s="183"/>
      <c r="R39" s="183"/>
      <c r="S39" s="185" t="e">
        <f t="shared" si="11"/>
        <v>#N/A</v>
      </c>
      <c r="T39" s="452"/>
      <c r="U39" s="185"/>
      <c r="V39" s="183"/>
      <c r="W39" s="183"/>
      <c r="X39" s="185" t="e">
        <f t="shared" si="12"/>
        <v>#N/A</v>
      </c>
      <c r="Y39" s="452"/>
      <c r="Z39" s="185"/>
      <c r="AA39" s="183"/>
      <c r="AB39" s="183"/>
      <c r="AC39" s="185" t="e">
        <f t="shared" si="13"/>
        <v>#N/A</v>
      </c>
      <c r="AD39" s="452"/>
      <c r="AE39" s="185"/>
      <c r="AF39" s="183"/>
      <c r="AG39" s="183"/>
      <c r="AH39" s="185" t="e">
        <f t="shared" si="14"/>
        <v>#N/A</v>
      </c>
      <c r="AI39" s="452"/>
      <c r="AJ39" s="185"/>
      <c r="AK39" s="183"/>
      <c r="AL39" s="183"/>
      <c r="AM39" s="185" t="e">
        <f t="shared" si="15"/>
        <v>#N/A</v>
      </c>
      <c r="AN39" s="452"/>
      <c r="AO39" s="185"/>
      <c r="AP39" s="183"/>
      <c r="AQ39" s="183"/>
      <c r="AR39" s="185" t="e">
        <f t="shared" si="16"/>
        <v>#N/A</v>
      </c>
      <c r="AS39" s="452"/>
      <c r="AT39" s="185"/>
      <c r="AU39" s="183"/>
      <c r="AV39" s="183"/>
      <c r="AW39" s="185" t="e">
        <f t="shared" si="17"/>
        <v>#N/A</v>
      </c>
      <c r="AX39" s="494"/>
    </row>
    <row r="40" spans="2:50">
      <c r="B40" s="471"/>
      <c r="C40" s="185">
        <v>14</v>
      </c>
      <c r="D40" s="206"/>
      <c r="E40" s="169"/>
      <c r="F40" s="185"/>
      <c r="G40" s="183"/>
      <c r="H40" s="452"/>
      <c r="I40" s="185"/>
      <c r="J40" s="185"/>
      <c r="K40" s="185"/>
      <c r="L40" s="452"/>
      <c r="M40" s="184" t="e">
        <f>RANK(K40, K$27:$K$41)</f>
        <v>#N/A</v>
      </c>
      <c r="N40" s="454"/>
      <c r="O40" s="454"/>
      <c r="P40" s="185"/>
      <c r="Q40" s="183"/>
      <c r="R40" s="183"/>
      <c r="S40" s="185" t="e">
        <f t="shared" si="11"/>
        <v>#N/A</v>
      </c>
      <c r="T40" s="452"/>
      <c r="U40" s="185"/>
      <c r="V40" s="183"/>
      <c r="W40" s="183"/>
      <c r="X40" s="185" t="e">
        <f t="shared" si="12"/>
        <v>#N/A</v>
      </c>
      <c r="Y40" s="452"/>
      <c r="Z40" s="185"/>
      <c r="AA40" s="183"/>
      <c r="AB40" s="183"/>
      <c r="AC40" s="185" t="e">
        <f t="shared" si="13"/>
        <v>#N/A</v>
      </c>
      <c r="AD40" s="452"/>
      <c r="AE40" s="185"/>
      <c r="AF40" s="183"/>
      <c r="AG40" s="183"/>
      <c r="AH40" s="185" t="e">
        <f t="shared" si="14"/>
        <v>#N/A</v>
      </c>
      <c r="AI40" s="452"/>
      <c r="AJ40" s="185"/>
      <c r="AK40" s="183"/>
      <c r="AL40" s="183"/>
      <c r="AM40" s="185" t="e">
        <f t="shared" si="15"/>
        <v>#N/A</v>
      </c>
      <c r="AN40" s="452"/>
      <c r="AO40" s="185"/>
      <c r="AP40" s="183"/>
      <c r="AQ40" s="183"/>
      <c r="AR40" s="185" t="e">
        <f t="shared" si="16"/>
        <v>#N/A</v>
      </c>
      <c r="AS40" s="452"/>
      <c r="AT40" s="185"/>
      <c r="AU40" s="183"/>
      <c r="AV40" s="183"/>
      <c r="AW40" s="185" t="e">
        <f t="shared" si="17"/>
        <v>#N/A</v>
      </c>
      <c r="AX40" s="494"/>
    </row>
    <row r="41" spans="2:50">
      <c r="B41" s="471"/>
      <c r="C41" s="185">
        <v>15</v>
      </c>
      <c r="D41" s="206"/>
      <c r="E41" s="169"/>
      <c r="F41" s="185"/>
      <c r="G41" s="183"/>
      <c r="H41" s="453"/>
      <c r="I41" s="185"/>
      <c r="J41" s="185"/>
      <c r="K41" s="185"/>
      <c r="L41" s="453"/>
      <c r="M41" s="169" t="e">
        <f>RANK(K41, K$27:$K$41)</f>
        <v>#N/A</v>
      </c>
      <c r="N41" s="454"/>
      <c r="O41" s="454"/>
      <c r="P41" s="185"/>
      <c r="Q41" s="183"/>
      <c r="R41" s="183"/>
      <c r="S41" s="185" t="e">
        <f t="shared" si="11"/>
        <v>#N/A</v>
      </c>
      <c r="T41" s="453"/>
      <c r="U41" s="185"/>
      <c r="V41" s="183"/>
      <c r="W41" s="183"/>
      <c r="X41" s="185" t="e">
        <f t="shared" si="12"/>
        <v>#N/A</v>
      </c>
      <c r="Y41" s="453"/>
      <c r="Z41" s="185"/>
      <c r="AA41" s="183"/>
      <c r="AB41" s="183"/>
      <c r="AC41" s="185" t="e">
        <f t="shared" si="13"/>
        <v>#N/A</v>
      </c>
      <c r="AD41" s="453"/>
      <c r="AE41" s="185"/>
      <c r="AF41" s="183"/>
      <c r="AG41" s="183"/>
      <c r="AH41" s="185" t="e">
        <f t="shared" si="14"/>
        <v>#N/A</v>
      </c>
      <c r="AI41" s="453"/>
      <c r="AJ41" s="185"/>
      <c r="AK41" s="183"/>
      <c r="AL41" s="183"/>
      <c r="AM41" s="185" t="e">
        <f t="shared" si="15"/>
        <v>#N/A</v>
      </c>
      <c r="AN41" s="453"/>
      <c r="AO41" s="185"/>
      <c r="AP41" s="183"/>
      <c r="AQ41" s="183"/>
      <c r="AR41" s="185" t="e">
        <f t="shared" si="16"/>
        <v>#N/A</v>
      </c>
      <c r="AS41" s="453"/>
      <c r="AT41" s="185"/>
      <c r="AU41" s="183"/>
      <c r="AV41" s="183"/>
      <c r="AW41" s="185" t="e">
        <f t="shared" si="17"/>
        <v>#N/A</v>
      </c>
      <c r="AX41" s="494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54" t="s">
        <v>187</v>
      </c>
      <c r="C47" s="185">
        <v>1</v>
      </c>
      <c r="D47" s="206"/>
      <c r="E47" s="169"/>
      <c r="F47" s="185"/>
      <c r="G47" s="183"/>
      <c r="H47" s="451" t="e">
        <f>AVERAGE(G47:G61)</f>
        <v>#DIV/0!</v>
      </c>
      <c r="I47" s="169" t="e">
        <f>AVERAGE(P47,U47,Z47,AE47,AJ47,AO47,AT47)</f>
        <v>#DIV/0!</v>
      </c>
      <c r="J47" s="169" t="e">
        <f>AVERAGE(Q47,V47,AA47,AF47,AK47,AP47,AU47)</f>
        <v>#DIV/0!</v>
      </c>
      <c r="K47" s="183" t="e">
        <f>AVERAGE(R47,W47,AB47,AG47,AL47,AQ47,AV47)</f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83"/>
      <c r="R47" s="183"/>
      <c r="S47" s="185" t="e">
        <f>RANK(R47, R$47:R$61)</f>
        <v>#N/A</v>
      </c>
      <c r="T47" s="451" t="e">
        <f>AVERAGE(R47:R61)</f>
        <v>#DIV/0!</v>
      </c>
      <c r="U47" s="169"/>
      <c r="V47" s="183"/>
      <c r="W47" s="183"/>
      <c r="X47" s="185" t="e">
        <f>RANK(W47, W$47:W$61)</f>
        <v>#N/A</v>
      </c>
      <c r="Y47" s="451" t="e">
        <f>AVERAGE(W47:W61)</f>
        <v>#DIV/0!</v>
      </c>
      <c r="Z47" s="169"/>
      <c r="AA47" s="183"/>
      <c r="AB47" s="183"/>
      <c r="AC47" s="185" t="e">
        <f>RANK(AB47, AB$47:AB$61)</f>
        <v>#N/A</v>
      </c>
      <c r="AD47" s="451" t="e">
        <f>AVERAGE(AB47:AB61)</f>
        <v>#DIV/0!</v>
      </c>
      <c r="AE47" s="169"/>
      <c r="AF47" s="183"/>
      <c r="AG47" s="183"/>
      <c r="AH47" s="185" t="e">
        <f>RANK(AG47, AG$47:AG$61)</f>
        <v>#N/A</v>
      </c>
      <c r="AI47" s="451" t="e">
        <f>AVERAGE(AG47:AG61)</f>
        <v>#DIV/0!</v>
      </c>
      <c r="AJ47" s="169"/>
      <c r="AK47" s="183"/>
      <c r="AL47" s="183"/>
      <c r="AM47" s="185" t="e">
        <f>RANK(AL47, AL$47:AL$61)</f>
        <v>#N/A</v>
      </c>
      <c r="AN47" s="451" t="e">
        <f>AVERAGE(AL47:AL61)</f>
        <v>#DIV/0!</v>
      </c>
      <c r="AO47" s="169"/>
      <c r="AP47" s="183"/>
      <c r="AQ47" s="183"/>
      <c r="AR47" s="185" t="e">
        <f>RANK(AQ47, AQ$47:AQ$61)</f>
        <v>#N/A</v>
      </c>
      <c r="AS47" s="451" t="e">
        <f>AVERAGE(AQ47:AQ61)</f>
        <v>#DIV/0!</v>
      </c>
      <c r="AT47" s="169"/>
      <c r="AU47" s="183"/>
      <c r="AV47" s="183"/>
      <c r="AW47" s="185" t="e">
        <f>RANK(AV47, AV$47:AV$61)</f>
        <v>#N/A</v>
      </c>
      <c r="AX47" s="494" t="e">
        <f>AVERAGE(AV47:AV61)</f>
        <v>#DIV/0!</v>
      </c>
    </row>
    <row r="48" spans="2:50">
      <c r="B48" s="471"/>
      <c r="C48" s="185">
        <v>2</v>
      </c>
      <c r="D48" s="206"/>
      <c r="E48" s="169"/>
      <c r="F48" s="185"/>
      <c r="G48" s="183"/>
      <c r="H48" s="452"/>
      <c r="I48" s="169" t="e">
        <f t="shared" ref="I48:I53" si="24">AVERAGE(P48,U48,Z48,AE48,AJ48,AO48,AT48)</f>
        <v>#DIV/0!</v>
      </c>
      <c r="J48" s="169" t="e">
        <f t="shared" ref="J48:J53" si="25">AVERAGE(Q48,V48,AA48,AF48,AK48,AP48,AU48)</f>
        <v>#DIV/0!</v>
      </c>
      <c r="K48" s="183" t="e">
        <f t="shared" ref="K48:K53" si="26">AVERAGE(R48,W48,AB48,AG48,AL48,AQ48,AV48)</f>
        <v>#DIV/0!</v>
      </c>
      <c r="L48" s="452"/>
      <c r="M48" s="184" t="e">
        <f>RANK(K48, K$47:$K$61)</f>
        <v>#DIV/0!</v>
      </c>
      <c r="N48" s="454"/>
      <c r="O48" s="454"/>
      <c r="P48" s="185"/>
      <c r="Q48" s="183"/>
      <c r="R48" s="183"/>
      <c r="S48" s="185" t="e">
        <f t="shared" ref="S48:S61" si="27">RANK(R48, R$47:R$61)</f>
        <v>#N/A</v>
      </c>
      <c r="T48" s="452"/>
      <c r="U48" s="185"/>
      <c r="V48" s="183"/>
      <c r="W48" s="183"/>
      <c r="X48" s="185" t="e">
        <f t="shared" ref="X48:X61" si="28">RANK(W48, W$47:W$61)</f>
        <v>#N/A</v>
      </c>
      <c r="Y48" s="452"/>
      <c r="Z48" s="185"/>
      <c r="AA48" s="183"/>
      <c r="AB48" s="183"/>
      <c r="AC48" s="185" t="e">
        <f t="shared" ref="AC48:AC61" si="29">RANK(AB48, AB$47:AB$61)</f>
        <v>#N/A</v>
      </c>
      <c r="AD48" s="452"/>
      <c r="AE48" s="185"/>
      <c r="AF48" s="183"/>
      <c r="AG48" s="183"/>
      <c r="AH48" s="185" t="e">
        <f t="shared" ref="AH48:AH61" si="30">RANK(AG48, AG$47:AG$61)</f>
        <v>#N/A</v>
      </c>
      <c r="AI48" s="452"/>
      <c r="AJ48" s="185"/>
      <c r="AK48" s="183"/>
      <c r="AL48" s="183"/>
      <c r="AM48" s="185" t="e">
        <f t="shared" ref="AM48:AM61" si="31">RANK(AL48, AL$47:AL$61)</f>
        <v>#N/A</v>
      </c>
      <c r="AN48" s="452"/>
      <c r="AO48" s="185"/>
      <c r="AP48" s="183"/>
      <c r="AQ48" s="183"/>
      <c r="AR48" s="185" t="e">
        <f t="shared" ref="AR48:AR61" si="32">RANK(AQ48, AQ$47:AQ$61)</f>
        <v>#N/A</v>
      </c>
      <c r="AS48" s="452"/>
      <c r="AT48" s="185"/>
      <c r="AU48" s="183"/>
      <c r="AV48" s="183"/>
      <c r="AW48" s="185" t="e">
        <f t="shared" ref="AW48:AW61" si="33">RANK(AV48, AV$47:AV$61)</f>
        <v>#N/A</v>
      </c>
      <c r="AX48" s="494"/>
    </row>
    <row r="49" spans="2:50">
      <c r="B49" s="471"/>
      <c r="C49" s="185">
        <v>3</v>
      </c>
      <c r="D49" s="206"/>
      <c r="E49" s="169"/>
      <c r="F49" s="185"/>
      <c r="G49" s="183"/>
      <c r="H49" s="452"/>
      <c r="I49" s="169" t="e">
        <f t="shared" si="24"/>
        <v>#DIV/0!</v>
      </c>
      <c r="J49" s="169" t="e">
        <f t="shared" si="25"/>
        <v>#DIV/0!</v>
      </c>
      <c r="K49" s="183" t="e">
        <f t="shared" si="26"/>
        <v>#DIV/0!</v>
      </c>
      <c r="L49" s="452"/>
      <c r="M49" s="184" t="e">
        <f>RANK(K49, K$47:$K$61)</f>
        <v>#DIV/0!</v>
      </c>
      <c r="N49" s="454"/>
      <c r="O49" s="454"/>
      <c r="P49" s="185"/>
      <c r="Q49" s="183"/>
      <c r="R49" s="183"/>
      <c r="S49" s="185" t="e">
        <f t="shared" si="27"/>
        <v>#N/A</v>
      </c>
      <c r="T49" s="452"/>
      <c r="U49" s="185"/>
      <c r="V49" s="183"/>
      <c r="W49" s="183"/>
      <c r="X49" s="185" t="e">
        <f t="shared" si="28"/>
        <v>#N/A</v>
      </c>
      <c r="Y49" s="452"/>
      <c r="Z49" s="185"/>
      <c r="AA49" s="183"/>
      <c r="AB49" s="183"/>
      <c r="AC49" s="185" t="e">
        <f t="shared" si="29"/>
        <v>#N/A</v>
      </c>
      <c r="AD49" s="452"/>
      <c r="AE49" s="185"/>
      <c r="AF49" s="183"/>
      <c r="AG49" s="183"/>
      <c r="AH49" s="185" t="e">
        <f t="shared" si="30"/>
        <v>#N/A</v>
      </c>
      <c r="AI49" s="452"/>
      <c r="AJ49" s="185"/>
      <c r="AK49" s="183"/>
      <c r="AL49" s="183"/>
      <c r="AM49" s="185" t="e">
        <f t="shared" si="31"/>
        <v>#N/A</v>
      </c>
      <c r="AN49" s="452"/>
      <c r="AO49" s="185"/>
      <c r="AP49" s="183"/>
      <c r="AQ49" s="183"/>
      <c r="AR49" s="185" t="e">
        <f t="shared" si="32"/>
        <v>#N/A</v>
      </c>
      <c r="AS49" s="452"/>
      <c r="AT49" s="185"/>
      <c r="AU49" s="183"/>
      <c r="AV49" s="183"/>
      <c r="AW49" s="185" t="e">
        <f t="shared" si="33"/>
        <v>#N/A</v>
      </c>
      <c r="AX49" s="494"/>
    </row>
    <row r="50" spans="2:50">
      <c r="B50" s="471"/>
      <c r="C50" s="185">
        <v>4</v>
      </c>
      <c r="D50" s="206"/>
      <c r="E50" s="169"/>
      <c r="F50" s="185"/>
      <c r="G50" s="183"/>
      <c r="H50" s="452"/>
      <c r="I50" s="169" t="e">
        <f t="shared" si="24"/>
        <v>#DIV/0!</v>
      </c>
      <c r="J50" s="169" t="e">
        <f t="shared" si="25"/>
        <v>#DIV/0!</v>
      </c>
      <c r="K50" s="183" t="e">
        <f t="shared" si="26"/>
        <v>#DIV/0!</v>
      </c>
      <c r="L50" s="452"/>
      <c r="M50" s="184" t="e">
        <f>RANK(K50, K$47:$K$61)</f>
        <v>#DIV/0!</v>
      </c>
      <c r="N50" s="454"/>
      <c r="O50" s="454"/>
      <c r="P50" s="185"/>
      <c r="Q50" s="183"/>
      <c r="R50" s="183"/>
      <c r="S50" s="185" t="e">
        <f t="shared" si="27"/>
        <v>#N/A</v>
      </c>
      <c r="T50" s="452"/>
      <c r="U50" s="185"/>
      <c r="V50" s="183"/>
      <c r="W50" s="183"/>
      <c r="X50" s="185" t="e">
        <f t="shared" si="28"/>
        <v>#N/A</v>
      </c>
      <c r="Y50" s="452"/>
      <c r="Z50" s="185"/>
      <c r="AA50" s="183"/>
      <c r="AB50" s="183"/>
      <c r="AC50" s="185" t="e">
        <f t="shared" si="29"/>
        <v>#N/A</v>
      </c>
      <c r="AD50" s="452"/>
      <c r="AE50" s="185"/>
      <c r="AF50" s="183"/>
      <c r="AG50" s="183"/>
      <c r="AH50" s="185" t="e">
        <f t="shared" si="30"/>
        <v>#N/A</v>
      </c>
      <c r="AI50" s="452"/>
      <c r="AJ50" s="185"/>
      <c r="AK50" s="183"/>
      <c r="AL50" s="183"/>
      <c r="AM50" s="185" t="e">
        <f t="shared" si="31"/>
        <v>#N/A</v>
      </c>
      <c r="AN50" s="452"/>
      <c r="AO50" s="185"/>
      <c r="AP50" s="183"/>
      <c r="AQ50" s="183"/>
      <c r="AR50" s="185" t="e">
        <f t="shared" si="32"/>
        <v>#N/A</v>
      </c>
      <c r="AS50" s="452"/>
      <c r="AT50" s="185"/>
      <c r="AU50" s="183"/>
      <c r="AV50" s="183"/>
      <c r="AW50" s="185" t="e">
        <f t="shared" si="33"/>
        <v>#N/A</v>
      </c>
      <c r="AX50" s="494"/>
    </row>
    <row r="51" spans="2:50">
      <c r="B51" s="471"/>
      <c r="C51" s="185">
        <v>5</v>
      </c>
      <c r="D51" s="206"/>
      <c r="E51" s="169"/>
      <c r="F51" s="185"/>
      <c r="G51" s="183"/>
      <c r="H51" s="452"/>
      <c r="I51" s="169" t="e">
        <f t="shared" si="24"/>
        <v>#DIV/0!</v>
      </c>
      <c r="J51" s="169" t="e">
        <f t="shared" si="25"/>
        <v>#DIV/0!</v>
      </c>
      <c r="K51" s="183" t="e">
        <f t="shared" si="26"/>
        <v>#DIV/0!</v>
      </c>
      <c r="L51" s="452"/>
      <c r="M51" s="184" t="e">
        <f>RANK(K51, K$47:$K$61)</f>
        <v>#DIV/0!</v>
      </c>
      <c r="N51" s="454"/>
      <c r="O51" s="454"/>
      <c r="P51" s="185"/>
      <c r="Q51" s="183"/>
      <c r="R51" s="183"/>
      <c r="S51" s="185" t="e">
        <f t="shared" si="27"/>
        <v>#N/A</v>
      </c>
      <c r="T51" s="452"/>
      <c r="U51" s="185"/>
      <c r="V51" s="183"/>
      <c r="W51" s="183"/>
      <c r="X51" s="185" t="e">
        <f t="shared" si="28"/>
        <v>#N/A</v>
      </c>
      <c r="Y51" s="452"/>
      <c r="Z51" s="185"/>
      <c r="AA51" s="183"/>
      <c r="AB51" s="183"/>
      <c r="AC51" s="185" t="e">
        <f t="shared" si="29"/>
        <v>#N/A</v>
      </c>
      <c r="AD51" s="452"/>
      <c r="AE51" s="185"/>
      <c r="AF51" s="183"/>
      <c r="AG51" s="183"/>
      <c r="AH51" s="185" t="e">
        <f t="shared" si="30"/>
        <v>#N/A</v>
      </c>
      <c r="AI51" s="452"/>
      <c r="AJ51" s="185"/>
      <c r="AK51" s="183"/>
      <c r="AL51" s="183"/>
      <c r="AM51" s="185" t="e">
        <f t="shared" si="31"/>
        <v>#N/A</v>
      </c>
      <c r="AN51" s="452"/>
      <c r="AO51" s="185"/>
      <c r="AP51" s="183"/>
      <c r="AQ51" s="183"/>
      <c r="AR51" s="185" t="e">
        <f t="shared" si="32"/>
        <v>#N/A</v>
      </c>
      <c r="AS51" s="452"/>
      <c r="AT51" s="185"/>
      <c r="AU51" s="183"/>
      <c r="AV51" s="183"/>
      <c r="AW51" s="185" t="e">
        <f t="shared" si="33"/>
        <v>#N/A</v>
      </c>
      <c r="AX51" s="494"/>
    </row>
    <row r="52" spans="2:50">
      <c r="B52" s="471"/>
      <c r="C52" s="185">
        <v>6</v>
      </c>
      <c r="D52" s="206"/>
      <c r="E52" s="169"/>
      <c r="F52" s="185"/>
      <c r="G52" s="183"/>
      <c r="H52" s="452"/>
      <c r="I52" s="169" t="e">
        <f t="shared" si="24"/>
        <v>#DIV/0!</v>
      </c>
      <c r="J52" s="169" t="e">
        <f t="shared" si="25"/>
        <v>#DIV/0!</v>
      </c>
      <c r="K52" s="183" t="e">
        <f t="shared" si="26"/>
        <v>#DIV/0!</v>
      </c>
      <c r="L52" s="452"/>
      <c r="M52" s="184" t="e">
        <f>RANK(K52, K$47:$K$61)</f>
        <v>#DIV/0!</v>
      </c>
      <c r="N52" s="454"/>
      <c r="O52" s="454"/>
      <c r="P52" s="185"/>
      <c r="Q52" s="183"/>
      <c r="R52" s="183"/>
      <c r="S52" s="185" t="e">
        <f t="shared" si="27"/>
        <v>#N/A</v>
      </c>
      <c r="T52" s="452"/>
      <c r="U52" s="185"/>
      <c r="V52" s="183"/>
      <c r="W52" s="183"/>
      <c r="X52" s="185" t="e">
        <f t="shared" si="28"/>
        <v>#N/A</v>
      </c>
      <c r="Y52" s="452"/>
      <c r="Z52" s="185"/>
      <c r="AA52" s="183"/>
      <c r="AB52" s="183"/>
      <c r="AC52" s="185" t="e">
        <f t="shared" si="29"/>
        <v>#N/A</v>
      </c>
      <c r="AD52" s="452"/>
      <c r="AE52" s="185"/>
      <c r="AF52" s="183"/>
      <c r="AG52" s="183"/>
      <c r="AH52" s="185" t="e">
        <f t="shared" si="30"/>
        <v>#N/A</v>
      </c>
      <c r="AI52" s="452"/>
      <c r="AJ52" s="185"/>
      <c r="AK52" s="183"/>
      <c r="AL52" s="183"/>
      <c r="AM52" s="185" t="e">
        <f t="shared" si="31"/>
        <v>#N/A</v>
      </c>
      <c r="AN52" s="452"/>
      <c r="AO52" s="185"/>
      <c r="AP52" s="183"/>
      <c r="AQ52" s="183"/>
      <c r="AR52" s="185" t="e">
        <f t="shared" si="32"/>
        <v>#N/A</v>
      </c>
      <c r="AS52" s="452"/>
      <c r="AT52" s="185"/>
      <c r="AU52" s="183"/>
      <c r="AV52" s="183"/>
      <c r="AW52" s="185" t="e">
        <f t="shared" si="33"/>
        <v>#N/A</v>
      </c>
      <c r="AX52" s="494"/>
    </row>
    <row r="53" spans="2:50">
      <c r="B53" s="471"/>
      <c r="C53" s="185">
        <v>7</v>
      </c>
      <c r="D53" s="206"/>
      <c r="E53" s="169"/>
      <c r="F53" s="185"/>
      <c r="G53" s="183"/>
      <c r="H53" s="452"/>
      <c r="I53" s="169" t="e">
        <f t="shared" si="24"/>
        <v>#DIV/0!</v>
      </c>
      <c r="J53" s="169" t="e">
        <f t="shared" si="25"/>
        <v>#DIV/0!</v>
      </c>
      <c r="K53" s="183" t="e">
        <f t="shared" si="26"/>
        <v>#DIV/0!</v>
      </c>
      <c r="L53" s="452"/>
      <c r="M53" s="184" t="e">
        <f>RANK(K53, K$47:$K$61)</f>
        <v>#DIV/0!</v>
      </c>
      <c r="N53" s="454"/>
      <c r="O53" s="454"/>
      <c r="P53" s="185"/>
      <c r="Q53" s="183"/>
      <c r="R53" s="183"/>
      <c r="S53" s="185" t="e">
        <f t="shared" si="27"/>
        <v>#N/A</v>
      </c>
      <c r="T53" s="452"/>
      <c r="U53" s="185"/>
      <c r="V53" s="183"/>
      <c r="W53" s="183"/>
      <c r="X53" s="185" t="e">
        <f t="shared" si="28"/>
        <v>#N/A</v>
      </c>
      <c r="Y53" s="452"/>
      <c r="Z53" s="185"/>
      <c r="AA53" s="183"/>
      <c r="AB53" s="183"/>
      <c r="AC53" s="185" t="e">
        <f t="shared" si="29"/>
        <v>#N/A</v>
      </c>
      <c r="AD53" s="452"/>
      <c r="AE53" s="185"/>
      <c r="AF53" s="183"/>
      <c r="AG53" s="183"/>
      <c r="AH53" s="185" t="e">
        <f t="shared" si="30"/>
        <v>#N/A</v>
      </c>
      <c r="AI53" s="452"/>
      <c r="AJ53" s="185"/>
      <c r="AK53" s="183"/>
      <c r="AL53" s="183"/>
      <c r="AM53" s="185" t="e">
        <f t="shared" si="31"/>
        <v>#N/A</v>
      </c>
      <c r="AN53" s="452"/>
      <c r="AO53" s="185"/>
      <c r="AP53" s="183"/>
      <c r="AQ53" s="183"/>
      <c r="AR53" s="185" t="e">
        <f t="shared" si="32"/>
        <v>#N/A</v>
      </c>
      <c r="AS53" s="452"/>
      <c r="AT53" s="185"/>
      <c r="AU53" s="183"/>
      <c r="AV53" s="183"/>
      <c r="AW53" s="185" t="e">
        <f t="shared" si="33"/>
        <v>#N/A</v>
      </c>
      <c r="AX53" s="494"/>
    </row>
    <row r="54" spans="2:50">
      <c r="B54" s="471"/>
      <c r="C54" s="185">
        <v>8</v>
      </c>
      <c r="D54" s="206"/>
      <c r="E54" s="169"/>
      <c r="F54" s="185"/>
      <c r="G54" s="183"/>
      <c r="H54" s="452"/>
      <c r="I54" s="169" t="e">
        <f t="shared" ref="I54:I56" si="34">AVERAGE(P54,U54,Z54,AE54,AJ54,AO54,AT54)</f>
        <v>#DIV/0!</v>
      </c>
      <c r="J54" s="169" t="e">
        <f t="shared" ref="J54:J56" si="35">AVERAGE(Q54,V54,AA54,AF54,AK54,AP54,AU54)</f>
        <v>#DIV/0!</v>
      </c>
      <c r="K54" s="183" t="e">
        <f t="shared" ref="K54:K56" si="36">AVERAGE(R54,W54,AB54,AG54,AL54,AQ54,AV54)</f>
        <v>#DIV/0!</v>
      </c>
      <c r="L54" s="452"/>
      <c r="M54" s="184" t="e">
        <f>RANK(K54, K$47:$K$61)</f>
        <v>#DIV/0!</v>
      </c>
      <c r="N54" s="454"/>
      <c r="O54" s="454"/>
      <c r="P54" s="185"/>
      <c r="Q54" s="183"/>
      <c r="R54" s="183"/>
      <c r="S54" s="185" t="e">
        <f t="shared" si="27"/>
        <v>#N/A</v>
      </c>
      <c r="T54" s="452"/>
      <c r="U54" s="185"/>
      <c r="V54" s="183"/>
      <c r="W54" s="183"/>
      <c r="X54" s="185" t="e">
        <f t="shared" si="28"/>
        <v>#N/A</v>
      </c>
      <c r="Y54" s="452"/>
      <c r="Z54" s="185"/>
      <c r="AA54" s="183"/>
      <c r="AB54" s="183"/>
      <c r="AC54" s="185" t="e">
        <f t="shared" si="29"/>
        <v>#N/A</v>
      </c>
      <c r="AD54" s="452"/>
      <c r="AE54" s="185"/>
      <c r="AF54" s="183"/>
      <c r="AG54" s="183"/>
      <c r="AH54" s="185" t="e">
        <f t="shared" si="30"/>
        <v>#N/A</v>
      </c>
      <c r="AI54" s="452"/>
      <c r="AJ54" s="185"/>
      <c r="AK54" s="183"/>
      <c r="AL54" s="183"/>
      <c r="AM54" s="185" t="e">
        <f t="shared" si="31"/>
        <v>#N/A</v>
      </c>
      <c r="AN54" s="452"/>
      <c r="AO54" s="185"/>
      <c r="AP54" s="183"/>
      <c r="AQ54" s="183"/>
      <c r="AR54" s="185" t="e">
        <f t="shared" si="32"/>
        <v>#N/A</v>
      </c>
      <c r="AS54" s="452"/>
      <c r="AT54" s="185"/>
      <c r="AU54" s="183"/>
      <c r="AV54" s="183"/>
      <c r="AW54" s="185" t="e">
        <f t="shared" si="33"/>
        <v>#N/A</v>
      </c>
      <c r="AX54" s="494"/>
    </row>
    <row r="55" spans="2:50">
      <c r="B55" s="471"/>
      <c r="C55" s="185">
        <v>9</v>
      </c>
      <c r="D55" s="206"/>
      <c r="E55" s="169"/>
      <c r="F55" s="185"/>
      <c r="G55" s="183"/>
      <c r="H55" s="452"/>
      <c r="I55" s="169" t="e">
        <f t="shared" si="34"/>
        <v>#DIV/0!</v>
      </c>
      <c r="J55" s="169" t="e">
        <f t="shared" si="35"/>
        <v>#DIV/0!</v>
      </c>
      <c r="K55" s="183" t="e">
        <f t="shared" si="36"/>
        <v>#DIV/0!</v>
      </c>
      <c r="L55" s="452"/>
      <c r="M55" s="184" t="e">
        <f>RANK(K55, K$47:$K$61)</f>
        <v>#DIV/0!</v>
      </c>
      <c r="N55" s="454"/>
      <c r="O55" s="454"/>
      <c r="P55" s="185"/>
      <c r="Q55" s="183"/>
      <c r="R55" s="183"/>
      <c r="S55" s="185" t="e">
        <f t="shared" si="27"/>
        <v>#N/A</v>
      </c>
      <c r="T55" s="452"/>
      <c r="U55" s="185"/>
      <c r="V55" s="183"/>
      <c r="W55" s="183"/>
      <c r="X55" s="185" t="e">
        <f t="shared" si="28"/>
        <v>#N/A</v>
      </c>
      <c r="Y55" s="452"/>
      <c r="Z55" s="185"/>
      <c r="AA55" s="183"/>
      <c r="AB55" s="183"/>
      <c r="AC55" s="185" t="e">
        <f t="shared" si="29"/>
        <v>#N/A</v>
      </c>
      <c r="AD55" s="452"/>
      <c r="AE55" s="185"/>
      <c r="AF55" s="183"/>
      <c r="AG55" s="183"/>
      <c r="AH55" s="185" t="e">
        <f t="shared" si="30"/>
        <v>#N/A</v>
      </c>
      <c r="AI55" s="452"/>
      <c r="AJ55" s="185"/>
      <c r="AK55" s="183"/>
      <c r="AL55" s="183"/>
      <c r="AM55" s="185" t="e">
        <f t="shared" si="31"/>
        <v>#N/A</v>
      </c>
      <c r="AN55" s="452"/>
      <c r="AO55" s="185"/>
      <c r="AP55" s="183"/>
      <c r="AQ55" s="183"/>
      <c r="AR55" s="185" t="e">
        <f t="shared" si="32"/>
        <v>#N/A</v>
      </c>
      <c r="AS55" s="452"/>
      <c r="AT55" s="185"/>
      <c r="AU55" s="183"/>
      <c r="AV55" s="183"/>
      <c r="AW55" s="185" t="e">
        <f t="shared" si="33"/>
        <v>#N/A</v>
      </c>
      <c r="AX55" s="494"/>
    </row>
    <row r="56" spans="2:50">
      <c r="B56" s="471"/>
      <c r="C56" s="185">
        <v>10</v>
      </c>
      <c r="D56" s="206"/>
      <c r="E56" s="169"/>
      <c r="F56" s="185"/>
      <c r="G56" s="183"/>
      <c r="H56" s="452"/>
      <c r="I56" s="169" t="e">
        <f t="shared" si="34"/>
        <v>#DIV/0!</v>
      </c>
      <c r="J56" s="169" t="e">
        <f t="shared" si="35"/>
        <v>#DIV/0!</v>
      </c>
      <c r="K56" s="183" t="e">
        <f t="shared" si="36"/>
        <v>#DIV/0!</v>
      </c>
      <c r="L56" s="452"/>
      <c r="M56" s="184" t="e">
        <f>RANK(K56, K$47:$K$61)</f>
        <v>#DIV/0!</v>
      </c>
      <c r="N56" s="454"/>
      <c r="O56" s="454"/>
      <c r="P56" s="185"/>
      <c r="Q56" s="183"/>
      <c r="R56" s="183"/>
      <c r="S56" s="185" t="e">
        <f t="shared" si="27"/>
        <v>#N/A</v>
      </c>
      <c r="T56" s="452"/>
      <c r="U56" s="185"/>
      <c r="V56" s="183"/>
      <c r="W56" s="183"/>
      <c r="X56" s="185" t="e">
        <f t="shared" si="28"/>
        <v>#N/A</v>
      </c>
      <c r="Y56" s="452"/>
      <c r="Z56" s="185"/>
      <c r="AA56" s="183"/>
      <c r="AB56" s="183"/>
      <c r="AC56" s="185" t="e">
        <f t="shared" si="29"/>
        <v>#N/A</v>
      </c>
      <c r="AD56" s="452"/>
      <c r="AE56" s="185"/>
      <c r="AF56" s="183"/>
      <c r="AG56" s="183"/>
      <c r="AH56" s="185" t="e">
        <f t="shared" si="30"/>
        <v>#N/A</v>
      </c>
      <c r="AI56" s="452"/>
      <c r="AJ56" s="185"/>
      <c r="AK56" s="183"/>
      <c r="AL56" s="183"/>
      <c r="AM56" s="185" t="e">
        <f t="shared" si="31"/>
        <v>#N/A</v>
      </c>
      <c r="AN56" s="452"/>
      <c r="AO56" s="185"/>
      <c r="AP56" s="183"/>
      <c r="AQ56" s="183"/>
      <c r="AR56" s="185" t="e">
        <f t="shared" si="32"/>
        <v>#N/A</v>
      </c>
      <c r="AS56" s="452"/>
      <c r="AT56" s="185"/>
      <c r="AU56" s="183"/>
      <c r="AV56" s="183"/>
      <c r="AW56" s="185" t="e">
        <f t="shared" si="33"/>
        <v>#N/A</v>
      </c>
      <c r="AX56" s="494"/>
    </row>
    <row r="57" spans="2:50">
      <c r="B57" s="471"/>
      <c r="C57" s="185">
        <v>11</v>
      </c>
      <c r="D57" s="206"/>
      <c r="E57" s="169"/>
      <c r="F57" s="185"/>
      <c r="G57" s="183"/>
      <c r="H57" s="452"/>
      <c r="I57" s="185"/>
      <c r="J57" s="185"/>
      <c r="K57" s="185"/>
      <c r="L57" s="452"/>
      <c r="M57" s="184" t="e">
        <f>RANK(K57, K$47:$K$61)</f>
        <v>#DIV/0!</v>
      </c>
      <c r="N57" s="454"/>
      <c r="O57" s="454"/>
      <c r="P57" s="185"/>
      <c r="Q57" s="183"/>
      <c r="R57" s="183"/>
      <c r="S57" s="185" t="e">
        <f t="shared" si="27"/>
        <v>#N/A</v>
      </c>
      <c r="T57" s="452"/>
      <c r="U57" s="185"/>
      <c r="V57" s="183"/>
      <c r="W57" s="183"/>
      <c r="X57" s="185" t="e">
        <f t="shared" si="28"/>
        <v>#N/A</v>
      </c>
      <c r="Y57" s="452"/>
      <c r="Z57" s="185"/>
      <c r="AA57" s="183"/>
      <c r="AB57" s="183"/>
      <c r="AC57" s="185" t="e">
        <f t="shared" si="29"/>
        <v>#N/A</v>
      </c>
      <c r="AD57" s="452"/>
      <c r="AE57" s="185"/>
      <c r="AF57" s="183"/>
      <c r="AG57" s="183"/>
      <c r="AH57" s="185" t="e">
        <f t="shared" si="30"/>
        <v>#N/A</v>
      </c>
      <c r="AI57" s="452"/>
      <c r="AJ57" s="185"/>
      <c r="AK57" s="183"/>
      <c r="AL57" s="183"/>
      <c r="AM57" s="185" t="e">
        <f t="shared" si="31"/>
        <v>#N/A</v>
      </c>
      <c r="AN57" s="452"/>
      <c r="AO57" s="185"/>
      <c r="AP57" s="183"/>
      <c r="AQ57" s="183"/>
      <c r="AR57" s="185" t="e">
        <f t="shared" si="32"/>
        <v>#N/A</v>
      </c>
      <c r="AS57" s="452"/>
      <c r="AT57" s="185"/>
      <c r="AU57" s="183"/>
      <c r="AV57" s="183"/>
      <c r="AW57" s="185" t="e">
        <f t="shared" si="33"/>
        <v>#N/A</v>
      </c>
      <c r="AX57" s="494"/>
    </row>
    <row r="58" spans="2:50">
      <c r="B58" s="471"/>
      <c r="C58" s="185">
        <v>12</v>
      </c>
      <c r="D58" s="206"/>
      <c r="E58" s="169"/>
      <c r="F58" s="185"/>
      <c r="G58" s="183"/>
      <c r="H58" s="452"/>
      <c r="I58" s="185"/>
      <c r="J58" s="185"/>
      <c r="K58" s="185"/>
      <c r="L58" s="452"/>
      <c r="M58" s="184" t="e">
        <f>RANK(K58, K$47:$K$61)</f>
        <v>#DIV/0!</v>
      </c>
      <c r="N58" s="454"/>
      <c r="O58" s="454"/>
      <c r="P58" s="185"/>
      <c r="Q58" s="183"/>
      <c r="R58" s="183"/>
      <c r="S58" s="185" t="e">
        <f t="shared" si="27"/>
        <v>#N/A</v>
      </c>
      <c r="T58" s="452"/>
      <c r="U58" s="185"/>
      <c r="V58" s="183"/>
      <c r="W58" s="183"/>
      <c r="X58" s="185" t="e">
        <f t="shared" si="28"/>
        <v>#N/A</v>
      </c>
      <c r="Y58" s="452"/>
      <c r="Z58" s="185"/>
      <c r="AA58" s="183"/>
      <c r="AB58" s="183"/>
      <c r="AC58" s="185" t="e">
        <f t="shared" si="29"/>
        <v>#N/A</v>
      </c>
      <c r="AD58" s="452"/>
      <c r="AE58" s="185"/>
      <c r="AF58" s="183"/>
      <c r="AG58" s="183"/>
      <c r="AH58" s="185" t="e">
        <f t="shared" si="30"/>
        <v>#N/A</v>
      </c>
      <c r="AI58" s="452"/>
      <c r="AJ58" s="185"/>
      <c r="AK58" s="183"/>
      <c r="AL58" s="183"/>
      <c r="AM58" s="185" t="e">
        <f t="shared" si="31"/>
        <v>#N/A</v>
      </c>
      <c r="AN58" s="452"/>
      <c r="AO58" s="185"/>
      <c r="AP58" s="183"/>
      <c r="AQ58" s="183"/>
      <c r="AR58" s="185" t="e">
        <f t="shared" si="32"/>
        <v>#N/A</v>
      </c>
      <c r="AS58" s="452"/>
      <c r="AT58" s="185"/>
      <c r="AU58" s="183"/>
      <c r="AV58" s="183"/>
      <c r="AW58" s="185" t="e">
        <f t="shared" si="33"/>
        <v>#N/A</v>
      </c>
      <c r="AX58" s="494"/>
    </row>
    <row r="59" spans="2:50">
      <c r="B59" s="471"/>
      <c r="C59" s="185">
        <v>13</v>
      </c>
      <c r="D59" s="206"/>
      <c r="E59" s="169"/>
      <c r="F59" s="185"/>
      <c r="G59" s="183"/>
      <c r="H59" s="452"/>
      <c r="I59" s="185"/>
      <c r="J59" s="185"/>
      <c r="K59" s="185"/>
      <c r="L59" s="452"/>
      <c r="M59" s="184" t="e">
        <f>RANK(K59, K$47:$K$61)</f>
        <v>#DIV/0!</v>
      </c>
      <c r="N59" s="454"/>
      <c r="O59" s="454"/>
      <c r="P59" s="185"/>
      <c r="Q59" s="183"/>
      <c r="R59" s="183"/>
      <c r="S59" s="185" t="e">
        <f t="shared" si="27"/>
        <v>#N/A</v>
      </c>
      <c r="T59" s="452"/>
      <c r="U59" s="185"/>
      <c r="V59" s="183"/>
      <c r="W59" s="183"/>
      <c r="X59" s="185" t="e">
        <f t="shared" si="28"/>
        <v>#N/A</v>
      </c>
      <c r="Y59" s="452"/>
      <c r="Z59" s="185"/>
      <c r="AA59" s="183"/>
      <c r="AB59" s="183"/>
      <c r="AC59" s="185" t="e">
        <f t="shared" si="29"/>
        <v>#N/A</v>
      </c>
      <c r="AD59" s="452"/>
      <c r="AE59" s="185"/>
      <c r="AF59" s="183"/>
      <c r="AG59" s="183"/>
      <c r="AH59" s="185" t="e">
        <f t="shared" si="30"/>
        <v>#N/A</v>
      </c>
      <c r="AI59" s="452"/>
      <c r="AJ59" s="185"/>
      <c r="AK59" s="183"/>
      <c r="AL59" s="183"/>
      <c r="AM59" s="185" t="e">
        <f t="shared" si="31"/>
        <v>#N/A</v>
      </c>
      <c r="AN59" s="452"/>
      <c r="AO59" s="185"/>
      <c r="AP59" s="183"/>
      <c r="AQ59" s="183"/>
      <c r="AR59" s="185" t="e">
        <f t="shared" si="32"/>
        <v>#N/A</v>
      </c>
      <c r="AS59" s="452"/>
      <c r="AT59" s="185"/>
      <c r="AU59" s="183"/>
      <c r="AV59" s="183"/>
      <c r="AW59" s="185" t="e">
        <f t="shared" si="33"/>
        <v>#N/A</v>
      </c>
      <c r="AX59" s="494"/>
    </row>
    <row r="60" spans="2:50">
      <c r="B60" s="471"/>
      <c r="C60" s="185">
        <v>14</v>
      </c>
      <c r="D60" s="206"/>
      <c r="E60" s="169"/>
      <c r="F60" s="185"/>
      <c r="G60" s="183"/>
      <c r="H60" s="452"/>
      <c r="I60" s="185"/>
      <c r="J60" s="185"/>
      <c r="K60" s="185"/>
      <c r="L60" s="452"/>
      <c r="M60" s="184" t="e">
        <f>RANK(K60, K$47:$K$61)</f>
        <v>#DIV/0!</v>
      </c>
      <c r="N60" s="454"/>
      <c r="O60" s="454"/>
      <c r="P60" s="185"/>
      <c r="Q60" s="183"/>
      <c r="R60" s="183"/>
      <c r="S60" s="185" t="e">
        <f t="shared" si="27"/>
        <v>#N/A</v>
      </c>
      <c r="T60" s="452"/>
      <c r="U60" s="185"/>
      <c r="V60" s="183"/>
      <c r="W60" s="183"/>
      <c r="X60" s="185" t="e">
        <f t="shared" si="28"/>
        <v>#N/A</v>
      </c>
      <c r="Y60" s="452"/>
      <c r="Z60" s="185"/>
      <c r="AA60" s="183"/>
      <c r="AB60" s="183"/>
      <c r="AC60" s="185" t="e">
        <f t="shared" si="29"/>
        <v>#N/A</v>
      </c>
      <c r="AD60" s="452"/>
      <c r="AE60" s="185"/>
      <c r="AF60" s="183"/>
      <c r="AG60" s="183"/>
      <c r="AH60" s="185" t="e">
        <f t="shared" si="30"/>
        <v>#N/A</v>
      </c>
      <c r="AI60" s="452"/>
      <c r="AJ60" s="185"/>
      <c r="AK60" s="183"/>
      <c r="AL60" s="183"/>
      <c r="AM60" s="185" t="e">
        <f t="shared" si="31"/>
        <v>#N/A</v>
      </c>
      <c r="AN60" s="452"/>
      <c r="AO60" s="185"/>
      <c r="AP60" s="183"/>
      <c r="AQ60" s="183"/>
      <c r="AR60" s="185" t="e">
        <f t="shared" si="32"/>
        <v>#N/A</v>
      </c>
      <c r="AS60" s="452"/>
      <c r="AT60" s="185"/>
      <c r="AU60" s="183"/>
      <c r="AV60" s="183"/>
      <c r="AW60" s="185" t="e">
        <f t="shared" si="33"/>
        <v>#N/A</v>
      </c>
      <c r="AX60" s="494"/>
    </row>
    <row r="61" spans="2:50">
      <c r="B61" s="471"/>
      <c r="C61" s="185">
        <v>15</v>
      </c>
      <c r="D61" s="206"/>
      <c r="E61" s="169"/>
      <c r="F61" s="185"/>
      <c r="G61" s="183"/>
      <c r="H61" s="453"/>
      <c r="I61" s="185"/>
      <c r="J61" s="185"/>
      <c r="K61" s="185"/>
      <c r="L61" s="453"/>
      <c r="M61" s="184" t="e">
        <f>RANK(K61, K$47:$K$61)</f>
        <v>#DIV/0!</v>
      </c>
      <c r="N61" s="454"/>
      <c r="O61" s="454"/>
      <c r="P61" s="185"/>
      <c r="Q61" s="183"/>
      <c r="R61" s="183"/>
      <c r="S61" s="185" t="e">
        <f t="shared" si="27"/>
        <v>#N/A</v>
      </c>
      <c r="T61" s="453"/>
      <c r="U61" s="185"/>
      <c r="V61" s="183"/>
      <c r="W61" s="183"/>
      <c r="X61" s="185" t="e">
        <f t="shared" si="28"/>
        <v>#N/A</v>
      </c>
      <c r="Y61" s="453"/>
      <c r="Z61" s="185"/>
      <c r="AA61" s="183"/>
      <c r="AB61" s="183"/>
      <c r="AC61" s="185" t="e">
        <f t="shared" si="29"/>
        <v>#N/A</v>
      </c>
      <c r="AD61" s="453"/>
      <c r="AE61" s="185"/>
      <c r="AF61" s="183"/>
      <c r="AG61" s="183"/>
      <c r="AH61" s="185" t="e">
        <f t="shared" si="30"/>
        <v>#N/A</v>
      </c>
      <c r="AI61" s="453"/>
      <c r="AJ61" s="185"/>
      <c r="AK61" s="183"/>
      <c r="AL61" s="183"/>
      <c r="AM61" s="185" t="e">
        <f t="shared" si="31"/>
        <v>#N/A</v>
      </c>
      <c r="AN61" s="453"/>
      <c r="AO61" s="185"/>
      <c r="AP61" s="183"/>
      <c r="AQ61" s="183"/>
      <c r="AR61" s="185" t="e">
        <f t="shared" si="32"/>
        <v>#N/A</v>
      </c>
      <c r="AS61" s="453"/>
      <c r="AT61" s="185"/>
      <c r="AU61" s="183"/>
      <c r="AV61" s="183"/>
      <c r="AW61" s="185" t="e">
        <f t="shared" si="33"/>
        <v>#N/A</v>
      </c>
      <c r="AX61" s="494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54" t="s">
        <v>187</v>
      </c>
      <c r="C67" s="185">
        <v>1</v>
      </c>
      <c r="D67" s="206"/>
      <c r="E67" s="169"/>
      <c r="F67" s="185"/>
      <c r="G67" s="183"/>
      <c r="H67" s="451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83"/>
      <c r="R67" s="183"/>
      <c r="S67" s="185" t="e">
        <f>RANK(R67, R$67:R$81)</f>
        <v>#N/A</v>
      </c>
      <c r="T67" s="451" t="e">
        <f>AVERAGE(R67:R81)</f>
        <v>#DIV/0!</v>
      </c>
      <c r="U67" s="169"/>
      <c r="V67" s="183"/>
      <c r="W67" s="183"/>
      <c r="X67" s="185" t="e">
        <f>RANK(W67, W$67:W$81)</f>
        <v>#N/A</v>
      </c>
      <c r="Y67" s="451" t="e">
        <f>AVERAGE(W67:W81)</f>
        <v>#DIV/0!</v>
      </c>
      <c r="Z67" s="169"/>
      <c r="AA67" s="183"/>
      <c r="AB67" s="183"/>
      <c r="AC67" s="185" t="e">
        <f>RANK(AB67, AB$67:AB$81)</f>
        <v>#N/A</v>
      </c>
      <c r="AD67" s="451" t="e">
        <f>AVERAGE(AB67:AB81)</f>
        <v>#DIV/0!</v>
      </c>
      <c r="AE67" s="169"/>
      <c r="AF67" s="183"/>
      <c r="AG67" s="183"/>
      <c r="AH67" s="185" t="e">
        <f>RANK(AG67, AG$67:AG$81)</f>
        <v>#N/A</v>
      </c>
      <c r="AI67" s="451" t="e">
        <f>AVERAGE(AG67:AG81)</f>
        <v>#DIV/0!</v>
      </c>
      <c r="AJ67" s="169"/>
      <c r="AK67" s="183"/>
      <c r="AL67" s="183"/>
      <c r="AM67" s="185" t="e">
        <f>RANK(AL67, AL$67:AL$81)</f>
        <v>#N/A</v>
      </c>
      <c r="AN67" s="451" t="e">
        <f>AVERAGE(AL67:AL81)</f>
        <v>#DIV/0!</v>
      </c>
      <c r="AO67" s="169"/>
      <c r="AP67" s="183"/>
      <c r="AQ67" s="183"/>
      <c r="AR67" s="185" t="e">
        <f>RANK(AQ67, AQ$67:AQ$81)</f>
        <v>#N/A</v>
      </c>
      <c r="AS67" s="451" t="e">
        <f>AVERAGE(AQ67:AQ81)</f>
        <v>#DIV/0!</v>
      </c>
      <c r="AT67" s="169"/>
      <c r="AU67" s="183"/>
      <c r="AV67" s="183"/>
      <c r="AW67" s="185" t="e">
        <f>RANK(AV67, AV$67:AV$81)</f>
        <v>#N/A</v>
      </c>
      <c r="AX67" s="494" t="e">
        <f>AVERAGE(AV67:AV81)</f>
        <v>#DIV/0!</v>
      </c>
    </row>
    <row r="68" spans="2:50">
      <c r="B68" s="471"/>
      <c r="C68" s="185">
        <v>2</v>
      </c>
      <c r="D68" s="206"/>
      <c r="E68" s="169"/>
      <c r="F68" s="185"/>
      <c r="G68" s="183"/>
      <c r="H68" s="452"/>
      <c r="I68" s="169" t="e">
        <f t="shared" ref="I68:I74" si="37">AVERAGE(P68,U68,Z68,AE68,AJ68,AO68,AT68)</f>
        <v>#DIV/0!</v>
      </c>
      <c r="J68" s="169" t="e">
        <f t="shared" ref="J68:J74" si="38">AVERAGE(Q68,V68,AA68,AF68,AK68,AP68,AU68)</f>
        <v>#DIV/0!</v>
      </c>
      <c r="K68" s="183" t="e">
        <f t="shared" ref="K68:K74" si="39">AVERAGE(R68,W68,AB68,AG68,AL68,AQ68,AV68)</f>
        <v>#DIV/0!</v>
      </c>
      <c r="L68" s="452"/>
      <c r="M68" s="184" t="e">
        <f>RANK(K68, K$67:$K$81)</f>
        <v>#DIV/0!</v>
      </c>
      <c r="N68" s="454"/>
      <c r="O68" s="454"/>
      <c r="P68" s="185"/>
      <c r="Q68" s="183"/>
      <c r="R68" s="183"/>
      <c r="S68" s="185" t="e">
        <f t="shared" ref="S68:S81" si="40">RANK(R68, R$67:R$81)</f>
        <v>#N/A</v>
      </c>
      <c r="T68" s="452"/>
      <c r="U68" s="185"/>
      <c r="V68" s="183"/>
      <c r="W68" s="183"/>
      <c r="X68" s="185" t="e">
        <f t="shared" ref="X68:X81" si="41">RANK(W68, W$67:W$81)</f>
        <v>#N/A</v>
      </c>
      <c r="Y68" s="452"/>
      <c r="Z68" s="185"/>
      <c r="AA68" s="183"/>
      <c r="AB68" s="183"/>
      <c r="AC68" s="185" t="e">
        <f t="shared" ref="AC68:AC81" si="42">RANK(AB68, AB$67:AB$81)</f>
        <v>#N/A</v>
      </c>
      <c r="AD68" s="452"/>
      <c r="AE68" s="185"/>
      <c r="AF68" s="183"/>
      <c r="AG68" s="183"/>
      <c r="AH68" s="185" t="e">
        <f t="shared" ref="AH68:AH81" si="43">RANK(AG68, AG$67:AG$81)</f>
        <v>#N/A</v>
      </c>
      <c r="AI68" s="452"/>
      <c r="AJ68" s="185"/>
      <c r="AK68" s="183"/>
      <c r="AL68" s="183"/>
      <c r="AM68" s="185" t="e">
        <f t="shared" ref="AM68:AM81" si="44">RANK(AL68, AL$67:AL$81)</f>
        <v>#N/A</v>
      </c>
      <c r="AN68" s="452"/>
      <c r="AO68" s="185"/>
      <c r="AP68" s="183"/>
      <c r="AQ68" s="183"/>
      <c r="AR68" s="185" t="e">
        <f t="shared" ref="AR68:AR81" si="45">RANK(AQ68, AQ$67:AQ$81)</f>
        <v>#N/A</v>
      </c>
      <c r="AS68" s="452"/>
      <c r="AT68" s="185"/>
      <c r="AU68" s="183"/>
      <c r="AV68" s="183"/>
      <c r="AW68" s="185" t="e">
        <f t="shared" ref="AW68:AW81" si="46">RANK(AV68, AV$67:AV$81)</f>
        <v>#N/A</v>
      </c>
      <c r="AX68" s="494"/>
    </row>
    <row r="69" spans="2:50">
      <c r="B69" s="471"/>
      <c r="C69" s="185">
        <v>3</v>
      </c>
      <c r="D69" s="206"/>
      <c r="E69" s="169"/>
      <c r="F69" s="185"/>
      <c r="G69" s="183"/>
      <c r="H69" s="452"/>
      <c r="I69" s="169" t="e">
        <f t="shared" si="37"/>
        <v>#DIV/0!</v>
      </c>
      <c r="J69" s="169" t="e">
        <f t="shared" si="38"/>
        <v>#DIV/0!</v>
      </c>
      <c r="K69" s="183" t="e">
        <f t="shared" si="39"/>
        <v>#DIV/0!</v>
      </c>
      <c r="L69" s="452"/>
      <c r="M69" s="184" t="e">
        <f>RANK(K69, K$67:$K$81)</f>
        <v>#DIV/0!</v>
      </c>
      <c r="N69" s="454"/>
      <c r="O69" s="454"/>
      <c r="P69" s="185"/>
      <c r="Q69" s="183"/>
      <c r="R69" s="183"/>
      <c r="S69" s="185" t="e">
        <f t="shared" si="40"/>
        <v>#N/A</v>
      </c>
      <c r="T69" s="452"/>
      <c r="U69" s="185"/>
      <c r="V69" s="183"/>
      <c r="W69" s="183"/>
      <c r="X69" s="185" t="e">
        <f t="shared" si="41"/>
        <v>#N/A</v>
      </c>
      <c r="Y69" s="452"/>
      <c r="Z69" s="185"/>
      <c r="AA69" s="183"/>
      <c r="AB69" s="183"/>
      <c r="AC69" s="185" t="e">
        <f t="shared" si="42"/>
        <v>#N/A</v>
      </c>
      <c r="AD69" s="452"/>
      <c r="AE69" s="185"/>
      <c r="AF69" s="183"/>
      <c r="AG69" s="183"/>
      <c r="AH69" s="185" t="e">
        <f t="shared" si="43"/>
        <v>#N/A</v>
      </c>
      <c r="AI69" s="452"/>
      <c r="AJ69" s="185"/>
      <c r="AK69" s="183"/>
      <c r="AL69" s="183"/>
      <c r="AM69" s="185" t="e">
        <f t="shared" si="44"/>
        <v>#N/A</v>
      </c>
      <c r="AN69" s="452"/>
      <c r="AO69" s="185"/>
      <c r="AP69" s="183"/>
      <c r="AQ69" s="183"/>
      <c r="AR69" s="185" t="e">
        <f t="shared" si="45"/>
        <v>#N/A</v>
      </c>
      <c r="AS69" s="452"/>
      <c r="AT69" s="185"/>
      <c r="AU69" s="183"/>
      <c r="AV69" s="183"/>
      <c r="AW69" s="185" t="e">
        <f t="shared" si="46"/>
        <v>#N/A</v>
      </c>
      <c r="AX69" s="494"/>
    </row>
    <row r="70" spans="2:50">
      <c r="B70" s="471"/>
      <c r="C70" s="185">
        <v>4</v>
      </c>
      <c r="D70" s="206"/>
      <c r="E70" s="169"/>
      <c r="F70" s="185"/>
      <c r="G70" s="183"/>
      <c r="H70" s="452"/>
      <c r="I70" s="169" t="e">
        <f t="shared" si="37"/>
        <v>#DIV/0!</v>
      </c>
      <c r="J70" s="169" t="e">
        <f t="shared" si="38"/>
        <v>#DIV/0!</v>
      </c>
      <c r="K70" s="183" t="e">
        <f t="shared" si="39"/>
        <v>#DIV/0!</v>
      </c>
      <c r="L70" s="452"/>
      <c r="M70" s="184" t="e">
        <f>RANK(K70, K$67:$K$81)</f>
        <v>#DIV/0!</v>
      </c>
      <c r="N70" s="454"/>
      <c r="O70" s="454"/>
      <c r="P70" s="185"/>
      <c r="Q70" s="183"/>
      <c r="R70" s="183"/>
      <c r="S70" s="185" t="e">
        <f t="shared" si="40"/>
        <v>#N/A</v>
      </c>
      <c r="T70" s="452"/>
      <c r="U70" s="185"/>
      <c r="V70" s="183"/>
      <c r="W70" s="183"/>
      <c r="X70" s="185" t="e">
        <f t="shared" si="41"/>
        <v>#N/A</v>
      </c>
      <c r="Y70" s="452"/>
      <c r="Z70" s="185"/>
      <c r="AA70" s="183"/>
      <c r="AB70" s="183"/>
      <c r="AC70" s="185" t="e">
        <f t="shared" si="42"/>
        <v>#N/A</v>
      </c>
      <c r="AD70" s="452"/>
      <c r="AE70" s="185"/>
      <c r="AF70" s="183"/>
      <c r="AG70" s="183"/>
      <c r="AH70" s="185" t="e">
        <f t="shared" si="43"/>
        <v>#N/A</v>
      </c>
      <c r="AI70" s="452"/>
      <c r="AJ70" s="185"/>
      <c r="AK70" s="183"/>
      <c r="AL70" s="183"/>
      <c r="AM70" s="185" t="e">
        <f t="shared" si="44"/>
        <v>#N/A</v>
      </c>
      <c r="AN70" s="452"/>
      <c r="AO70" s="185"/>
      <c r="AP70" s="183"/>
      <c r="AQ70" s="183"/>
      <c r="AR70" s="185" t="e">
        <f t="shared" si="45"/>
        <v>#N/A</v>
      </c>
      <c r="AS70" s="452"/>
      <c r="AT70" s="185"/>
      <c r="AU70" s="183"/>
      <c r="AV70" s="183"/>
      <c r="AW70" s="185" t="e">
        <f t="shared" si="46"/>
        <v>#N/A</v>
      </c>
      <c r="AX70" s="494"/>
    </row>
    <row r="71" spans="2:50">
      <c r="B71" s="471"/>
      <c r="C71" s="185">
        <v>5</v>
      </c>
      <c r="D71" s="206"/>
      <c r="E71" s="169"/>
      <c r="F71" s="185"/>
      <c r="G71" s="183"/>
      <c r="H71" s="452"/>
      <c r="I71" s="169" t="e">
        <f t="shared" si="37"/>
        <v>#DIV/0!</v>
      </c>
      <c r="J71" s="169" t="e">
        <f t="shared" si="38"/>
        <v>#DIV/0!</v>
      </c>
      <c r="K71" s="183" t="e">
        <f t="shared" si="39"/>
        <v>#DIV/0!</v>
      </c>
      <c r="L71" s="452"/>
      <c r="M71" s="184" t="e">
        <f>RANK(K71, K$67:$K$81)</f>
        <v>#DIV/0!</v>
      </c>
      <c r="N71" s="454"/>
      <c r="O71" s="454"/>
      <c r="P71" s="185"/>
      <c r="Q71" s="183"/>
      <c r="R71" s="183"/>
      <c r="S71" s="185" t="e">
        <f t="shared" si="40"/>
        <v>#N/A</v>
      </c>
      <c r="T71" s="452"/>
      <c r="U71" s="185"/>
      <c r="V71" s="183"/>
      <c r="W71" s="183"/>
      <c r="X71" s="185" t="e">
        <f t="shared" si="41"/>
        <v>#N/A</v>
      </c>
      <c r="Y71" s="452"/>
      <c r="Z71" s="185"/>
      <c r="AA71" s="183"/>
      <c r="AB71" s="183"/>
      <c r="AC71" s="185" t="e">
        <f t="shared" si="42"/>
        <v>#N/A</v>
      </c>
      <c r="AD71" s="452"/>
      <c r="AE71" s="185"/>
      <c r="AF71" s="183"/>
      <c r="AG71" s="183"/>
      <c r="AH71" s="185" t="e">
        <f t="shared" si="43"/>
        <v>#N/A</v>
      </c>
      <c r="AI71" s="452"/>
      <c r="AJ71" s="185"/>
      <c r="AK71" s="183"/>
      <c r="AL71" s="183"/>
      <c r="AM71" s="185" t="e">
        <f t="shared" si="44"/>
        <v>#N/A</v>
      </c>
      <c r="AN71" s="452"/>
      <c r="AO71" s="185"/>
      <c r="AP71" s="183"/>
      <c r="AQ71" s="183"/>
      <c r="AR71" s="185" t="e">
        <f t="shared" si="45"/>
        <v>#N/A</v>
      </c>
      <c r="AS71" s="452"/>
      <c r="AT71" s="185"/>
      <c r="AU71" s="183"/>
      <c r="AV71" s="183"/>
      <c r="AW71" s="185" t="e">
        <f t="shared" si="46"/>
        <v>#N/A</v>
      </c>
      <c r="AX71" s="494"/>
    </row>
    <row r="72" spans="2:50">
      <c r="B72" s="471"/>
      <c r="C72" s="185">
        <v>6</v>
      </c>
      <c r="D72" s="206"/>
      <c r="E72" s="169"/>
      <c r="F72" s="185"/>
      <c r="G72" s="183"/>
      <c r="H72" s="452"/>
      <c r="I72" s="169" t="e">
        <f t="shared" si="37"/>
        <v>#DIV/0!</v>
      </c>
      <c r="J72" s="169" t="e">
        <f t="shared" si="38"/>
        <v>#DIV/0!</v>
      </c>
      <c r="K72" s="183" t="e">
        <f t="shared" si="39"/>
        <v>#DIV/0!</v>
      </c>
      <c r="L72" s="452"/>
      <c r="M72" s="184" t="e">
        <f>RANK(K72, K$67:$K$81)</f>
        <v>#DIV/0!</v>
      </c>
      <c r="N72" s="454"/>
      <c r="O72" s="454"/>
      <c r="P72" s="185"/>
      <c r="Q72" s="183"/>
      <c r="R72" s="183"/>
      <c r="S72" s="185" t="e">
        <f t="shared" si="40"/>
        <v>#N/A</v>
      </c>
      <c r="T72" s="452"/>
      <c r="U72" s="185"/>
      <c r="V72" s="183"/>
      <c r="W72" s="183"/>
      <c r="X72" s="185" t="e">
        <f t="shared" si="41"/>
        <v>#N/A</v>
      </c>
      <c r="Y72" s="452"/>
      <c r="Z72" s="185"/>
      <c r="AA72" s="183"/>
      <c r="AB72" s="183"/>
      <c r="AC72" s="185" t="e">
        <f t="shared" si="42"/>
        <v>#N/A</v>
      </c>
      <c r="AD72" s="452"/>
      <c r="AE72" s="185"/>
      <c r="AF72" s="183"/>
      <c r="AG72" s="183"/>
      <c r="AH72" s="185" t="e">
        <f t="shared" si="43"/>
        <v>#N/A</v>
      </c>
      <c r="AI72" s="452"/>
      <c r="AJ72" s="185"/>
      <c r="AK72" s="183"/>
      <c r="AL72" s="183"/>
      <c r="AM72" s="185" t="e">
        <f t="shared" si="44"/>
        <v>#N/A</v>
      </c>
      <c r="AN72" s="452"/>
      <c r="AO72" s="185"/>
      <c r="AP72" s="183"/>
      <c r="AQ72" s="183"/>
      <c r="AR72" s="185" t="e">
        <f t="shared" si="45"/>
        <v>#N/A</v>
      </c>
      <c r="AS72" s="452"/>
      <c r="AT72" s="185"/>
      <c r="AU72" s="183"/>
      <c r="AV72" s="183"/>
      <c r="AW72" s="185" t="e">
        <f t="shared" si="46"/>
        <v>#N/A</v>
      </c>
      <c r="AX72" s="494"/>
    </row>
    <row r="73" spans="2:50">
      <c r="B73" s="471"/>
      <c r="C73" s="185">
        <v>7</v>
      </c>
      <c r="D73" s="206"/>
      <c r="E73" s="169"/>
      <c r="F73" s="185"/>
      <c r="G73" s="183"/>
      <c r="H73" s="452"/>
      <c r="I73" s="169" t="e">
        <f t="shared" si="37"/>
        <v>#DIV/0!</v>
      </c>
      <c r="J73" s="169" t="e">
        <f t="shared" si="38"/>
        <v>#DIV/0!</v>
      </c>
      <c r="K73" s="183" t="e">
        <f t="shared" si="39"/>
        <v>#DIV/0!</v>
      </c>
      <c r="L73" s="452"/>
      <c r="M73" s="184" t="e">
        <f>RANK(K73, K$67:$K$81)</f>
        <v>#DIV/0!</v>
      </c>
      <c r="N73" s="454"/>
      <c r="O73" s="454"/>
      <c r="P73" s="185"/>
      <c r="Q73" s="183"/>
      <c r="R73" s="183"/>
      <c r="S73" s="185" t="e">
        <f t="shared" si="40"/>
        <v>#N/A</v>
      </c>
      <c r="T73" s="452"/>
      <c r="U73" s="185"/>
      <c r="V73" s="183"/>
      <c r="W73" s="183"/>
      <c r="X73" s="185" t="e">
        <f t="shared" si="41"/>
        <v>#N/A</v>
      </c>
      <c r="Y73" s="452"/>
      <c r="Z73" s="185"/>
      <c r="AA73" s="183"/>
      <c r="AB73" s="183"/>
      <c r="AC73" s="185" t="e">
        <f t="shared" si="42"/>
        <v>#N/A</v>
      </c>
      <c r="AD73" s="452"/>
      <c r="AE73" s="185"/>
      <c r="AF73" s="183"/>
      <c r="AG73" s="183"/>
      <c r="AH73" s="185" t="e">
        <f t="shared" si="43"/>
        <v>#N/A</v>
      </c>
      <c r="AI73" s="452"/>
      <c r="AJ73" s="185"/>
      <c r="AK73" s="183"/>
      <c r="AL73" s="183"/>
      <c r="AM73" s="185" t="e">
        <f t="shared" si="44"/>
        <v>#N/A</v>
      </c>
      <c r="AN73" s="452"/>
      <c r="AO73" s="185"/>
      <c r="AP73" s="183"/>
      <c r="AQ73" s="183"/>
      <c r="AR73" s="185" t="e">
        <f t="shared" si="45"/>
        <v>#N/A</v>
      </c>
      <c r="AS73" s="452"/>
      <c r="AT73" s="185"/>
      <c r="AU73" s="183"/>
      <c r="AV73" s="183"/>
      <c r="AW73" s="185" t="e">
        <f t="shared" si="46"/>
        <v>#N/A</v>
      </c>
      <c r="AX73" s="494"/>
    </row>
    <row r="74" spans="2:50">
      <c r="B74" s="471"/>
      <c r="C74" s="185">
        <v>8</v>
      </c>
      <c r="D74" s="206"/>
      <c r="E74" s="169"/>
      <c r="F74" s="185"/>
      <c r="G74" s="183"/>
      <c r="H74" s="452"/>
      <c r="I74" s="169" t="e">
        <f t="shared" si="37"/>
        <v>#DIV/0!</v>
      </c>
      <c r="J74" s="169" t="e">
        <f t="shared" si="38"/>
        <v>#DIV/0!</v>
      </c>
      <c r="K74" s="183" t="e">
        <f t="shared" si="39"/>
        <v>#DIV/0!</v>
      </c>
      <c r="L74" s="452"/>
      <c r="M74" s="184" t="e">
        <f>RANK(K74, K$67:$K$81)</f>
        <v>#DIV/0!</v>
      </c>
      <c r="N74" s="454"/>
      <c r="O74" s="454"/>
      <c r="P74" s="185"/>
      <c r="Q74" s="183"/>
      <c r="R74" s="183"/>
      <c r="S74" s="185" t="e">
        <f t="shared" si="40"/>
        <v>#N/A</v>
      </c>
      <c r="T74" s="452"/>
      <c r="U74" s="185"/>
      <c r="V74" s="183"/>
      <c r="W74" s="183"/>
      <c r="X74" s="185" t="e">
        <f t="shared" si="41"/>
        <v>#N/A</v>
      </c>
      <c r="Y74" s="452"/>
      <c r="Z74" s="185"/>
      <c r="AA74" s="183"/>
      <c r="AB74" s="183"/>
      <c r="AC74" s="185" t="e">
        <f t="shared" si="42"/>
        <v>#N/A</v>
      </c>
      <c r="AD74" s="452"/>
      <c r="AE74" s="185"/>
      <c r="AF74" s="183"/>
      <c r="AG74" s="183"/>
      <c r="AH74" s="185" t="e">
        <f t="shared" si="43"/>
        <v>#N/A</v>
      </c>
      <c r="AI74" s="452"/>
      <c r="AJ74" s="185"/>
      <c r="AK74" s="183"/>
      <c r="AL74" s="183"/>
      <c r="AM74" s="185" t="e">
        <f t="shared" si="44"/>
        <v>#N/A</v>
      </c>
      <c r="AN74" s="452"/>
      <c r="AO74" s="185"/>
      <c r="AP74" s="183"/>
      <c r="AQ74" s="183"/>
      <c r="AR74" s="185" t="e">
        <f t="shared" si="45"/>
        <v>#N/A</v>
      </c>
      <c r="AS74" s="452"/>
      <c r="AT74" s="185"/>
      <c r="AU74" s="183"/>
      <c r="AV74" s="183"/>
      <c r="AW74" s="185" t="e">
        <f t="shared" si="46"/>
        <v>#N/A</v>
      </c>
      <c r="AX74" s="494"/>
    </row>
    <row r="75" spans="2:50">
      <c r="B75" s="471"/>
      <c r="C75" s="185">
        <v>9</v>
      </c>
      <c r="D75" s="206"/>
      <c r="E75" s="169"/>
      <c r="F75" s="185"/>
      <c r="G75" s="183"/>
      <c r="H75" s="452"/>
      <c r="I75" s="169" t="e">
        <f t="shared" ref="I75:I76" si="47">AVERAGE(P75,U75,Z75,AE75,AJ75,AO75,AT75)</f>
        <v>#DIV/0!</v>
      </c>
      <c r="J75" s="169" t="e">
        <f t="shared" ref="J75:J76" si="48">AVERAGE(Q75,V75,AA75,AF75,AK75,AP75,AU75)</f>
        <v>#DIV/0!</v>
      </c>
      <c r="K75" s="183" t="e">
        <f t="shared" ref="K75:K76" si="49">AVERAGE(R75,W75,AB75,AG75,AL75,AQ75,AV75)</f>
        <v>#DIV/0!</v>
      </c>
      <c r="L75" s="452"/>
      <c r="M75" s="184" t="e">
        <f>RANK(K75, K$67:$K$81)</f>
        <v>#DIV/0!</v>
      </c>
      <c r="N75" s="454"/>
      <c r="O75" s="454"/>
      <c r="P75" s="185"/>
      <c r="Q75" s="183"/>
      <c r="R75" s="183"/>
      <c r="S75" s="185" t="e">
        <f t="shared" si="40"/>
        <v>#N/A</v>
      </c>
      <c r="T75" s="452"/>
      <c r="U75" s="185"/>
      <c r="V75" s="183"/>
      <c r="W75" s="183"/>
      <c r="X75" s="185" t="e">
        <f t="shared" si="41"/>
        <v>#N/A</v>
      </c>
      <c r="Y75" s="452"/>
      <c r="Z75" s="185"/>
      <c r="AA75" s="183"/>
      <c r="AB75" s="183"/>
      <c r="AC75" s="185" t="e">
        <f t="shared" si="42"/>
        <v>#N/A</v>
      </c>
      <c r="AD75" s="452"/>
      <c r="AE75" s="185"/>
      <c r="AF75" s="183"/>
      <c r="AG75" s="183"/>
      <c r="AH75" s="185" t="e">
        <f t="shared" si="43"/>
        <v>#N/A</v>
      </c>
      <c r="AI75" s="452"/>
      <c r="AJ75" s="185"/>
      <c r="AK75" s="183"/>
      <c r="AL75" s="183"/>
      <c r="AM75" s="185" t="e">
        <f t="shared" si="44"/>
        <v>#N/A</v>
      </c>
      <c r="AN75" s="452"/>
      <c r="AO75" s="185"/>
      <c r="AP75" s="183"/>
      <c r="AQ75" s="183"/>
      <c r="AR75" s="185" t="e">
        <f t="shared" si="45"/>
        <v>#N/A</v>
      </c>
      <c r="AS75" s="452"/>
      <c r="AT75" s="185"/>
      <c r="AU75" s="183"/>
      <c r="AV75" s="183"/>
      <c r="AW75" s="185" t="e">
        <f t="shared" si="46"/>
        <v>#N/A</v>
      </c>
      <c r="AX75" s="494"/>
    </row>
    <row r="76" spans="2:50">
      <c r="B76" s="471"/>
      <c r="C76" s="185">
        <v>10</v>
      </c>
      <c r="D76" s="206"/>
      <c r="E76" s="169"/>
      <c r="F76" s="185"/>
      <c r="G76" s="183"/>
      <c r="H76" s="452"/>
      <c r="I76" s="169" t="e">
        <f t="shared" si="47"/>
        <v>#DIV/0!</v>
      </c>
      <c r="J76" s="169" t="e">
        <f t="shared" si="48"/>
        <v>#DIV/0!</v>
      </c>
      <c r="K76" s="183" t="e">
        <f t="shared" si="49"/>
        <v>#DIV/0!</v>
      </c>
      <c r="L76" s="452"/>
      <c r="M76" s="184" t="e">
        <f>RANK(K76, K$67:$K$81)</f>
        <v>#DIV/0!</v>
      </c>
      <c r="N76" s="454"/>
      <c r="O76" s="454"/>
      <c r="P76" s="185"/>
      <c r="Q76" s="183"/>
      <c r="R76" s="183"/>
      <c r="S76" s="185" t="e">
        <f t="shared" si="40"/>
        <v>#N/A</v>
      </c>
      <c r="T76" s="452"/>
      <c r="U76" s="185"/>
      <c r="V76" s="183"/>
      <c r="W76" s="183"/>
      <c r="X76" s="185" t="e">
        <f t="shared" si="41"/>
        <v>#N/A</v>
      </c>
      <c r="Y76" s="452"/>
      <c r="Z76" s="185"/>
      <c r="AA76" s="183"/>
      <c r="AB76" s="183"/>
      <c r="AC76" s="185" t="e">
        <f t="shared" si="42"/>
        <v>#N/A</v>
      </c>
      <c r="AD76" s="452"/>
      <c r="AE76" s="185"/>
      <c r="AF76" s="183"/>
      <c r="AG76" s="183"/>
      <c r="AH76" s="185" t="e">
        <f t="shared" si="43"/>
        <v>#N/A</v>
      </c>
      <c r="AI76" s="452"/>
      <c r="AJ76" s="185"/>
      <c r="AK76" s="183"/>
      <c r="AL76" s="183"/>
      <c r="AM76" s="185" t="e">
        <f t="shared" si="44"/>
        <v>#N/A</v>
      </c>
      <c r="AN76" s="452"/>
      <c r="AO76" s="185"/>
      <c r="AP76" s="183"/>
      <c r="AQ76" s="183"/>
      <c r="AR76" s="185" t="e">
        <f t="shared" si="45"/>
        <v>#N/A</v>
      </c>
      <c r="AS76" s="452"/>
      <c r="AT76" s="185"/>
      <c r="AU76" s="183"/>
      <c r="AV76" s="183"/>
      <c r="AW76" s="185" t="e">
        <f t="shared" si="46"/>
        <v>#N/A</v>
      </c>
      <c r="AX76" s="494"/>
    </row>
    <row r="77" spans="2:50">
      <c r="B77" s="471"/>
      <c r="C77" s="185">
        <v>11</v>
      </c>
      <c r="D77" s="206"/>
      <c r="E77" s="169"/>
      <c r="F77" s="185"/>
      <c r="G77" s="183"/>
      <c r="H77" s="452"/>
      <c r="I77" s="185"/>
      <c r="J77" s="185"/>
      <c r="K77" s="185"/>
      <c r="L77" s="452"/>
      <c r="M77" s="184" t="e">
        <f>RANK(K77, K$67:$K$81)</f>
        <v>#DIV/0!</v>
      </c>
      <c r="N77" s="454"/>
      <c r="O77" s="454"/>
      <c r="P77" s="185"/>
      <c r="Q77" s="183"/>
      <c r="R77" s="183"/>
      <c r="S77" s="185" t="e">
        <f t="shared" si="40"/>
        <v>#N/A</v>
      </c>
      <c r="T77" s="452"/>
      <c r="U77" s="185"/>
      <c r="V77" s="183"/>
      <c r="W77" s="183"/>
      <c r="X77" s="185" t="e">
        <f t="shared" si="41"/>
        <v>#N/A</v>
      </c>
      <c r="Y77" s="452"/>
      <c r="Z77" s="185"/>
      <c r="AA77" s="183"/>
      <c r="AB77" s="183"/>
      <c r="AC77" s="185" t="e">
        <f t="shared" si="42"/>
        <v>#N/A</v>
      </c>
      <c r="AD77" s="452"/>
      <c r="AE77" s="185"/>
      <c r="AF77" s="183"/>
      <c r="AG77" s="183"/>
      <c r="AH77" s="185" t="e">
        <f t="shared" si="43"/>
        <v>#N/A</v>
      </c>
      <c r="AI77" s="452"/>
      <c r="AJ77" s="185"/>
      <c r="AK77" s="183"/>
      <c r="AL77" s="183"/>
      <c r="AM77" s="185" t="e">
        <f t="shared" si="44"/>
        <v>#N/A</v>
      </c>
      <c r="AN77" s="452"/>
      <c r="AO77" s="185"/>
      <c r="AP77" s="183"/>
      <c r="AQ77" s="183"/>
      <c r="AR77" s="185" t="e">
        <f t="shared" si="45"/>
        <v>#N/A</v>
      </c>
      <c r="AS77" s="452"/>
      <c r="AT77" s="185"/>
      <c r="AU77" s="183"/>
      <c r="AV77" s="183"/>
      <c r="AW77" s="185" t="e">
        <f t="shared" si="46"/>
        <v>#N/A</v>
      </c>
      <c r="AX77" s="494"/>
    </row>
    <row r="78" spans="2:50">
      <c r="B78" s="471"/>
      <c r="C78" s="185">
        <v>12</v>
      </c>
      <c r="D78" s="206"/>
      <c r="E78" s="169"/>
      <c r="F78" s="185"/>
      <c r="G78" s="183"/>
      <c r="H78" s="452"/>
      <c r="I78" s="185"/>
      <c r="J78" s="185"/>
      <c r="K78" s="185"/>
      <c r="L78" s="452"/>
      <c r="M78" s="184" t="e">
        <f>RANK(K78, K$67:$K$81)</f>
        <v>#DIV/0!</v>
      </c>
      <c r="N78" s="454"/>
      <c r="O78" s="454"/>
      <c r="P78" s="185"/>
      <c r="Q78" s="183"/>
      <c r="R78" s="183"/>
      <c r="S78" s="185" t="e">
        <f t="shared" si="40"/>
        <v>#N/A</v>
      </c>
      <c r="T78" s="452"/>
      <c r="U78" s="185"/>
      <c r="V78" s="183"/>
      <c r="W78" s="183"/>
      <c r="X78" s="185" t="e">
        <f t="shared" si="41"/>
        <v>#N/A</v>
      </c>
      <c r="Y78" s="452"/>
      <c r="Z78" s="185"/>
      <c r="AA78" s="183"/>
      <c r="AB78" s="183"/>
      <c r="AC78" s="185" t="e">
        <f t="shared" si="42"/>
        <v>#N/A</v>
      </c>
      <c r="AD78" s="452"/>
      <c r="AE78" s="185"/>
      <c r="AF78" s="183"/>
      <c r="AG78" s="183"/>
      <c r="AH78" s="185" t="e">
        <f t="shared" si="43"/>
        <v>#N/A</v>
      </c>
      <c r="AI78" s="452"/>
      <c r="AJ78" s="185"/>
      <c r="AK78" s="183"/>
      <c r="AL78" s="183"/>
      <c r="AM78" s="185" t="e">
        <f t="shared" si="44"/>
        <v>#N/A</v>
      </c>
      <c r="AN78" s="452"/>
      <c r="AO78" s="185"/>
      <c r="AP78" s="183"/>
      <c r="AQ78" s="183"/>
      <c r="AR78" s="185" t="e">
        <f t="shared" si="45"/>
        <v>#N/A</v>
      </c>
      <c r="AS78" s="452"/>
      <c r="AT78" s="185"/>
      <c r="AU78" s="183"/>
      <c r="AV78" s="183"/>
      <c r="AW78" s="185" t="e">
        <f t="shared" si="46"/>
        <v>#N/A</v>
      </c>
      <c r="AX78" s="494"/>
    </row>
    <row r="79" spans="2:50">
      <c r="B79" s="471"/>
      <c r="C79" s="185">
        <v>13</v>
      </c>
      <c r="D79" s="206"/>
      <c r="E79" s="169"/>
      <c r="F79" s="185"/>
      <c r="G79" s="183"/>
      <c r="H79" s="452"/>
      <c r="I79" s="185"/>
      <c r="J79" s="185"/>
      <c r="K79" s="185"/>
      <c r="L79" s="452"/>
      <c r="M79" s="184" t="e">
        <f>RANK(K79, K$67:$K$81)</f>
        <v>#DIV/0!</v>
      </c>
      <c r="N79" s="454"/>
      <c r="O79" s="454"/>
      <c r="P79" s="185"/>
      <c r="Q79" s="183"/>
      <c r="R79" s="183"/>
      <c r="S79" s="185" t="e">
        <f t="shared" si="40"/>
        <v>#N/A</v>
      </c>
      <c r="T79" s="452"/>
      <c r="U79" s="185"/>
      <c r="V79" s="183"/>
      <c r="W79" s="183"/>
      <c r="X79" s="185" t="e">
        <f t="shared" si="41"/>
        <v>#N/A</v>
      </c>
      <c r="Y79" s="452"/>
      <c r="Z79" s="185"/>
      <c r="AA79" s="183"/>
      <c r="AB79" s="183"/>
      <c r="AC79" s="185" t="e">
        <f t="shared" si="42"/>
        <v>#N/A</v>
      </c>
      <c r="AD79" s="452"/>
      <c r="AE79" s="185"/>
      <c r="AF79" s="183"/>
      <c r="AG79" s="183"/>
      <c r="AH79" s="185" t="e">
        <f t="shared" si="43"/>
        <v>#N/A</v>
      </c>
      <c r="AI79" s="452"/>
      <c r="AJ79" s="185"/>
      <c r="AK79" s="183"/>
      <c r="AL79" s="183"/>
      <c r="AM79" s="185" t="e">
        <f t="shared" si="44"/>
        <v>#N/A</v>
      </c>
      <c r="AN79" s="452"/>
      <c r="AO79" s="185"/>
      <c r="AP79" s="183"/>
      <c r="AQ79" s="183"/>
      <c r="AR79" s="185" t="e">
        <f t="shared" si="45"/>
        <v>#N/A</v>
      </c>
      <c r="AS79" s="452"/>
      <c r="AT79" s="185"/>
      <c r="AU79" s="183"/>
      <c r="AV79" s="183"/>
      <c r="AW79" s="185" t="e">
        <f t="shared" si="46"/>
        <v>#N/A</v>
      </c>
      <c r="AX79" s="494"/>
    </row>
    <row r="80" spans="2:50">
      <c r="B80" s="471"/>
      <c r="C80" s="185">
        <v>14</v>
      </c>
      <c r="D80" s="206"/>
      <c r="E80" s="169"/>
      <c r="F80" s="185"/>
      <c r="G80" s="183"/>
      <c r="H80" s="452"/>
      <c r="I80" s="185"/>
      <c r="J80" s="185"/>
      <c r="K80" s="185"/>
      <c r="L80" s="452"/>
      <c r="M80" s="184" t="e">
        <f>RANK(K80, K$67:$K$81)</f>
        <v>#DIV/0!</v>
      </c>
      <c r="N80" s="454"/>
      <c r="O80" s="454"/>
      <c r="P80" s="185"/>
      <c r="Q80" s="183"/>
      <c r="R80" s="183"/>
      <c r="S80" s="185" t="e">
        <f t="shared" si="40"/>
        <v>#N/A</v>
      </c>
      <c r="T80" s="452"/>
      <c r="U80" s="185"/>
      <c r="V80" s="183"/>
      <c r="W80" s="183"/>
      <c r="X80" s="185" t="e">
        <f t="shared" si="41"/>
        <v>#N/A</v>
      </c>
      <c r="Y80" s="452"/>
      <c r="Z80" s="185"/>
      <c r="AA80" s="183"/>
      <c r="AB80" s="183"/>
      <c r="AC80" s="185" t="e">
        <f t="shared" si="42"/>
        <v>#N/A</v>
      </c>
      <c r="AD80" s="452"/>
      <c r="AE80" s="185"/>
      <c r="AF80" s="183"/>
      <c r="AG80" s="183"/>
      <c r="AH80" s="185" t="e">
        <f t="shared" si="43"/>
        <v>#N/A</v>
      </c>
      <c r="AI80" s="452"/>
      <c r="AJ80" s="185"/>
      <c r="AK80" s="183"/>
      <c r="AL80" s="183"/>
      <c r="AM80" s="185" t="e">
        <f t="shared" si="44"/>
        <v>#N/A</v>
      </c>
      <c r="AN80" s="452"/>
      <c r="AO80" s="185"/>
      <c r="AP80" s="183"/>
      <c r="AQ80" s="183"/>
      <c r="AR80" s="185" t="e">
        <f t="shared" si="45"/>
        <v>#N/A</v>
      </c>
      <c r="AS80" s="452"/>
      <c r="AT80" s="185"/>
      <c r="AU80" s="183"/>
      <c r="AV80" s="183"/>
      <c r="AW80" s="185" t="e">
        <f t="shared" si="46"/>
        <v>#N/A</v>
      </c>
      <c r="AX80" s="494"/>
    </row>
    <row r="81" spans="2:50">
      <c r="B81" s="471"/>
      <c r="C81" s="185">
        <v>15</v>
      </c>
      <c r="D81" s="206"/>
      <c r="E81" s="169"/>
      <c r="F81" s="185"/>
      <c r="G81" s="183"/>
      <c r="H81" s="453"/>
      <c r="I81" s="185"/>
      <c r="J81" s="185"/>
      <c r="K81" s="185"/>
      <c r="L81" s="453"/>
      <c r="M81" s="184" t="e">
        <f>RANK(K81, K$67:$K$81)</f>
        <v>#DIV/0!</v>
      </c>
      <c r="N81" s="454"/>
      <c r="O81" s="454"/>
      <c r="P81" s="185"/>
      <c r="Q81" s="183"/>
      <c r="R81" s="183"/>
      <c r="S81" s="185" t="e">
        <f t="shared" si="40"/>
        <v>#N/A</v>
      </c>
      <c r="T81" s="453"/>
      <c r="U81" s="185"/>
      <c r="V81" s="183"/>
      <c r="W81" s="183"/>
      <c r="X81" s="185" t="e">
        <f t="shared" si="41"/>
        <v>#N/A</v>
      </c>
      <c r="Y81" s="453"/>
      <c r="Z81" s="185"/>
      <c r="AA81" s="183"/>
      <c r="AB81" s="183"/>
      <c r="AC81" s="185" t="e">
        <f t="shared" si="42"/>
        <v>#N/A</v>
      </c>
      <c r="AD81" s="453"/>
      <c r="AE81" s="185"/>
      <c r="AF81" s="183"/>
      <c r="AG81" s="183"/>
      <c r="AH81" s="185" t="e">
        <f t="shared" si="43"/>
        <v>#N/A</v>
      </c>
      <c r="AI81" s="453"/>
      <c r="AJ81" s="185"/>
      <c r="AK81" s="183"/>
      <c r="AL81" s="183"/>
      <c r="AM81" s="185" t="e">
        <f t="shared" si="44"/>
        <v>#N/A</v>
      </c>
      <c r="AN81" s="453"/>
      <c r="AO81" s="185"/>
      <c r="AP81" s="183"/>
      <c r="AQ81" s="183"/>
      <c r="AR81" s="185" t="e">
        <f t="shared" si="45"/>
        <v>#N/A</v>
      </c>
      <c r="AS81" s="453"/>
      <c r="AT81" s="185"/>
      <c r="AU81" s="183"/>
      <c r="AV81" s="183"/>
      <c r="AW81" s="185" t="e">
        <f t="shared" si="46"/>
        <v>#N/A</v>
      </c>
      <c r="AX81" s="494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54" t="s">
        <v>187</v>
      </c>
      <c r="C87" s="185">
        <v>1</v>
      </c>
      <c r="D87" s="206"/>
      <c r="E87" s="169"/>
      <c r="F87" s="185"/>
      <c r="G87" s="183"/>
      <c r="H87" s="451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83"/>
      <c r="R87" s="183"/>
      <c r="S87" s="185" t="e">
        <f>RANK(R87, R$87:R$101)</f>
        <v>#N/A</v>
      </c>
      <c r="T87" s="451" t="e">
        <f>AVERAGE(R87:R101)</f>
        <v>#DIV/0!</v>
      </c>
      <c r="U87" s="169"/>
      <c r="V87" s="183"/>
      <c r="W87" s="183"/>
      <c r="X87" s="185" t="e">
        <f>RANK(W87, W$87:W$101)</f>
        <v>#N/A</v>
      </c>
      <c r="Y87" s="451" t="e">
        <f>AVERAGE(W87:W101)</f>
        <v>#DIV/0!</v>
      </c>
      <c r="Z87" s="169"/>
      <c r="AA87" s="183"/>
      <c r="AB87" s="183"/>
      <c r="AC87" s="185" t="e">
        <f>RANK(AB87, AB$87:AB$101)</f>
        <v>#N/A</v>
      </c>
      <c r="AD87" s="451" t="e">
        <f>AVERAGE(AB87:AB101)</f>
        <v>#DIV/0!</v>
      </c>
      <c r="AE87" s="169"/>
      <c r="AF87" s="183"/>
      <c r="AG87" s="183"/>
      <c r="AH87" s="185" t="e">
        <f>RANK(AG87, AG$87:AG$101)</f>
        <v>#N/A</v>
      </c>
      <c r="AI87" s="451" t="e">
        <f>AVERAGE(AG87:AG101)</f>
        <v>#DIV/0!</v>
      </c>
      <c r="AJ87" s="169"/>
      <c r="AK87" s="183"/>
      <c r="AL87" s="183"/>
      <c r="AM87" s="185" t="e">
        <f>RANK(AL87, AL$87:AL$101)</f>
        <v>#N/A</v>
      </c>
      <c r="AN87" s="451" t="e">
        <f>AVERAGE(AL87:AL101)</f>
        <v>#DIV/0!</v>
      </c>
      <c r="AO87" s="169"/>
      <c r="AP87" s="183"/>
      <c r="AQ87" s="183"/>
      <c r="AR87" s="185" t="e">
        <f>RANK(AQ87, AQ$87:AQ$101)</f>
        <v>#N/A</v>
      </c>
      <c r="AS87" s="451" t="e">
        <f>AVERAGE(AQ87:AQ101)</f>
        <v>#DIV/0!</v>
      </c>
      <c r="AT87" s="169"/>
      <c r="AU87" s="183"/>
      <c r="AV87" s="183"/>
      <c r="AW87" s="185" t="e">
        <f>RANK(AV87, AV$87:AV$101)</f>
        <v>#N/A</v>
      </c>
      <c r="AX87" s="494" t="e">
        <f>AVERAGE(AV87:AV101)</f>
        <v>#DIV/0!</v>
      </c>
    </row>
    <row r="88" spans="2:50">
      <c r="B88" s="471"/>
      <c r="C88" s="185">
        <v>2</v>
      </c>
      <c r="D88" s="206"/>
      <c r="E88" s="169"/>
      <c r="F88" s="185"/>
      <c r="G88" s="183"/>
      <c r="H88" s="452"/>
      <c r="I88" s="169" t="e">
        <f t="shared" ref="I88:K94" si="50">AVERAGE(P88,U88,Z88,AE88,AJ88,AO88,AT88)</f>
        <v>#DIV/0!</v>
      </c>
      <c r="J88" s="169" t="e">
        <f t="shared" si="50"/>
        <v>#DIV/0!</v>
      </c>
      <c r="K88" s="183" t="e">
        <f t="shared" si="50"/>
        <v>#DIV/0!</v>
      </c>
      <c r="L88" s="452"/>
      <c r="M88" s="184" t="e">
        <f>RANK(K88, K$87:$K$101)</f>
        <v>#DIV/0!</v>
      </c>
      <c r="N88" s="454"/>
      <c r="O88" s="454"/>
      <c r="P88" s="185"/>
      <c r="Q88" s="183"/>
      <c r="R88" s="183"/>
      <c r="S88" s="185" t="e">
        <f t="shared" ref="S88:S101" si="51">RANK(R88, R$87:R$101)</f>
        <v>#N/A</v>
      </c>
      <c r="T88" s="452"/>
      <c r="U88" s="185"/>
      <c r="V88" s="183"/>
      <c r="W88" s="183"/>
      <c r="X88" s="185" t="e">
        <f t="shared" ref="X88:X101" si="52">RANK(W88, W$87:W$101)</f>
        <v>#N/A</v>
      </c>
      <c r="Y88" s="452"/>
      <c r="Z88" s="185"/>
      <c r="AA88" s="183"/>
      <c r="AB88" s="183"/>
      <c r="AC88" s="185" t="e">
        <f t="shared" ref="AC88:AC101" si="53">RANK(AB88, AB$87:AB$101)</f>
        <v>#N/A</v>
      </c>
      <c r="AD88" s="452"/>
      <c r="AE88" s="185"/>
      <c r="AF88" s="183"/>
      <c r="AG88" s="183"/>
      <c r="AH88" s="185" t="e">
        <f t="shared" ref="AH88:AH101" si="54">RANK(AG88, AG$87:AG$101)</f>
        <v>#N/A</v>
      </c>
      <c r="AI88" s="452"/>
      <c r="AJ88" s="185"/>
      <c r="AK88" s="183"/>
      <c r="AL88" s="183"/>
      <c r="AM88" s="185" t="e">
        <f t="shared" ref="AM88:AM101" si="55">RANK(AL88, AL$87:AL$101)</f>
        <v>#N/A</v>
      </c>
      <c r="AN88" s="452"/>
      <c r="AO88" s="185"/>
      <c r="AP88" s="183"/>
      <c r="AQ88" s="183"/>
      <c r="AR88" s="185" t="e">
        <f t="shared" ref="AR88:AR101" si="56">RANK(AQ88, AQ$87:AQ$101)</f>
        <v>#N/A</v>
      </c>
      <c r="AS88" s="452"/>
      <c r="AT88" s="185"/>
      <c r="AU88" s="183"/>
      <c r="AV88" s="183"/>
      <c r="AW88" s="185" t="e">
        <f t="shared" ref="AW88:AW101" si="57">RANK(AV88, AV$87:AV$101)</f>
        <v>#N/A</v>
      </c>
      <c r="AX88" s="494"/>
    </row>
    <row r="89" spans="2:50">
      <c r="B89" s="471"/>
      <c r="C89" s="185">
        <v>3</v>
      </c>
      <c r="D89" s="206"/>
      <c r="E89" s="169"/>
      <c r="F89" s="185"/>
      <c r="G89" s="183"/>
      <c r="H89" s="452"/>
      <c r="I89" s="169" t="e">
        <f t="shared" si="50"/>
        <v>#DIV/0!</v>
      </c>
      <c r="J89" s="169" t="e">
        <f t="shared" si="50"/>
        <v>#DIV/0!</v>
      </c>
      <c r="K89" s="183" t="e">
        <f t="shared" si="50"/>
        <v>#DIV/0!</v>
      </c>
      <c r="L89" s="452"/>
      <c r="M89" s="184" t="e">
        <f>RANK(K89, K$87:$K$101)</f>
        <v>#DIV/0!</v>
      </c>
      <c r="N89" s="454"/>
      <c r="O89" s="454"/>
      <c r="P89" s="185"/>
      <c r="Q89" s="183"/>
      <c r="R89" s="183"/>
      <c r="S89" s="185" t="e">
        <f t="shared" si="51"/>
        <v>#N/A</v>
      </c>
      <c r="T89" s="452"/>
      <c r="U89" s="185"/>
      <c r="V89" s="183"/>
      <c r="W89" s="183"/>
      <c r="X89" s="185" t="e">
        <f t="shared" si="52"/>
        <v>#N/A</v>
      </c>
      <c r="Y89" s="452"/>
      <c r="Z89" s="185"/>
      <c r="AA89" s="183"/>
      <c r="AB89" s="183"/>
      <c r="AC89" s="185" t="e">
        <f t="shared" si="53"/>
        <v>#N/A</v>
      </c>
      <c r="AD89" s="452"/>
      <c r="AE89" s="185"/>
      <c r="AF89" s="183"/>
      <c r="AG89" s="183"/>
      <c r="AH89" s="185" t="e">
        <f t="shared" si="54"/>
        <v>#N/A</v>
      </c>
      <c r="AI89" s="452"/>
      <c r="AJ89" s="185"/>
      <c r="AK89" s="183"/>
      <c r="AL89" s="183"/>
      <c r="AM89" s="185" t="e">
        <f t="shared" si="55"/>
        <v>#N/A</v>
      </c>
      <c r="AN89" s="452"/>
      <c r="AO89" s="185"/>
      <c r="AP89" s="183"/>
      <c r="AQ89" s="183"/>
      <c r="AR89" s="185" t="e">
        <f t="shared" si="56"/>
        <v>#N/A</v>
      </c>
      <c r="AS89" s="452"/>
      <c r="AT89" s="185"/>
      <c r="AU89" s="183"/>
      <c r="AV89" s="183"/>
      <c r="AW89" s="185" t="e">
        <f t="shared" si="57"/>
        <v>#N/A</v>
      </c>
      <c r="AX89" s="494"/>
    </row>
    <row r="90" spans="2:50">
      <c r="B90" s="471"/>
      <c r="C90" s="185">
        <v>4</v>
      </c>
      <c r="D90" s="206"/>
      <c r="E90" s="169"/>
      <c r="F90" s="185"/>
      <c r="G90" s="183"/>
      <c r="H90" s="452"/>
      <c r="I90" s="169" t="e">
        <f t="shared" si="50"/>
        <v>#DIV/0!</v>
      </c>
      <c r="J90" s="169" t="e">
        <f t="shared" si="50"/>
        <v>#DIV/0!</v>
      </c>
      <c r="K90" s="183" t="e">
        <f t="shared" si="50"/>
        <v>#DIV/0!</v>
      </c>
      <c r="L90" s="452"/>
      <c r="M90" s="184" t="e">
        <f>RANK(K90, K$87:$K$101)</f>
        <v>#DIV/0!</v>
      </c>
      <c r="N90" s="454"/>
      <c r="O90" s="454"/>
      <c r="P90" s="185"/>
      <c r="Q90" s="183"/>
      <c r="R90" s="183"/>
      <c r="S90" s="185" t="e">
        <f t="shared" si="51"/>
        <v>#N/A</v>
      </c>
      <c r="T90" s="452"/>
      <c r="U90" s="185"/>
      <c r="V90" s="183"/>
      <c r="W90" s="183"/>
      <c r="X90" s="185" t="e">
        <f t="shared" si="52"/>
        <v>#N/A</v>
      </c>
      <c r="Y90" s="452"/>
      <c r="Z90" s="185"/>
      <c r="AA90" s="183"/>
      <c r="AB90" s="183"/>
      <c r="AC90" s="185" t="e">
        <f t="shared" si="53"/>
        <v>#N/A</v>
      </c>
      <c r="AD90" s="452"/>
      <c r="AE90" s="185"/>
      <c r="AF90" s="183"/>
      <c r="AG90" s="183"/>
      <c r="AH90" s="185" t="e">
        <f t="shared" si="54"/>
        <v>#N/A</v>
      </c>
      <c r="AI90" s="452"/>
      <c r="AJ90" s="185"/>
      <c r="AK90" s="183"/>
      <c r="AL90" s="183"/>
      <c r="AM90" s="185" t="e">
        <f t="shared" si="55"/>
        <v>#N/A</v>
      </c>
      <c r="AN90" s="452"/>
      <c r="AO90" s="185"/>
      <c r="AP90" s="183"/>
      <c r="AQ90" s="183"/>
      <c r="AR90" s="185" t="e">
        <f t="shared" si="56"/>
        <v>#N/A</v>
      </c>
      <c r="AS90" s="452"/>
      <c r="AT90" s="185"/>
      <c r="AU90" s="183"/>
      <c r="AV90" s="183"/>
      <c r="AW90" s="185" t="e">
        <f t="shared" si="57"/>
        <v>#N/A</v>
      </c>
      <c r="AX90" s="494"/>
    </row>
    <row r="91" spans="2:50">
      <c r="B91" s="471"/>
      <c r="C91" s="185">
        <v>5</v>
      </c>
      <c r="D91" s="206"/>
      <c r="E91" s="169"/>
      <c r="F91" s="185"/>
      <c r="G91" s="183"/>
      <c r="H91" s="452"/>
      <c r="I91" s="169" t="e">
        <f t="shared" si="50"/>
        <v>#DIV/0!</v>
      </c>
      <c r="J91" s="169" t="e">
        <f t="shared" si="50"/>
        <v>#DIV/0!</v>
      </c>
      <c r="K91" s="183" t="e">
        <f t="shared" si="50"/>
        <v>#DIV/0!</v>
      </c>
      <c r="L91" s="452"/>
      <c r="M91" s="184" t="e">
        <f>RANK(K91, K$87:$K$101)</f>
        <v>#DIV/0!</v>
      </c>
      <c r="N91" s="454"/>
      <c r="O91" s="454"/>
      <c r="P91" s="185"/>
      <c r="Q91" s="183"/>
      <c r="R91" s="183"/>
      <c r="S91" s="185" t="e">
        <f t="shared" si="51"/>
        <v>#N/A</v>
      </c>
      <c r="T91" s="452"/>
      <c r="U91" s="185"/>
      <c r="V91" s="183"/>
      <c r="W91" s="183"/>
      <c r="X91" s="185" t="e">
        <f t="shared" si="52"/>
        <v>#N/A</v>
      </c>
      <c r="Y91" s="452"/>
      <c r="Z91" s="185"/>
      <c r="AA91" s="183"/>
      <c r="AB91" s="183"/>
      <c r="AC91" s="185" t="e">
        <f t="shared" si="53"/>
        <v>#N/A</v>
      </c>
      <c r="AD91" s="452"/>
      <c r="AE91" s="185"/>
      <c r="AF91" s="183"/>
      <c r="AG91" s="183"/>
      <c r="AH91" s="185" t="e">
        <f t="shared" si="54"/>
        <v>#N/A</v>
      </c>
      <c r="AI91" s="452"/>
      <c r="AJ91" s="185"/>
      <c r="AK91" s="183"/>
      <c r="AL91" s="183"/>
      <c r="AM91" s="185" t="e">
        <f t="shared" si="55"/>
        <v>#N/A</v>
      </c>
      <c r="AN91" s="452"/>
      <c r="AO91" s="185"/>
      <c r="AP91" s="183"/>
      <c r="AQ91" s="183"/>
      <c r="AR91" s="185" t="e">
        <f t="shared" si="56"/>
        <v>#N/A</v>
      </c>
      <c r="AS91" s="452"/>
      <c r="AT91" s="185"/>
      <c r="AU91" s="183"/>
      <c r="AV91" s="183"/>
      <c r="AW91" s="185" t="e">
        <f t="shared" si="57"/>
        <v>#N/A</v>
      </c>
      <c r="AX91" s="494"/>
    </row>
    <row r="92" spans="2:50">
      <c r="B92" s="471"/>
      <c r="C92" s="185">
        <v>6</v>
      </c>
      <c r="D92" s="206"/>
      <c r="E92" s="169"/>
      <c r="F92" s="185"/>
      <c r="G92" s="183"/>
      <c r="H92" s="452"/>
      <c r="I92" s="169" t="e">
        <f t="shared" si="50"/>
        <v>#DIV/0!</v>
      </c>
      <c r="J92" s="169" t="e">
        <f t="shared" si="50"/>
        <v>#DIV/0!</v>
      </c>
      <c r="K92" s="183" t="e">
        <f t="shared" si="50"/>
        <v>#DIV/0!</v>
      </c>
      <c r="L92" s="452"/>
      <c r="M92" s="184" t="e">
        <f>RANK(K92, K$87:$K$101)</f>
        <v>#DIV/0!</v>
      </c>
      <c r="N92" s="454"/>
      <c r="O92" s="454"/>
      <c r="P92" s="185"/>
      <c r="Q92" s="183"/>
      <c r="R92" s="183"/>
      <c r="S92" s="185" t="e">
        <f t="shared" si="51"/>
        <v>#N/A</v>
      </c>
      <c r="T92" s="452"/>
      <c r="U92" s="185"/>
      <c r="V92" s="183"/>
      <c r="W92" s="183"/>
      <c r="X92" s="185" t="e">
        <f t="shared" si="52"/>
        <v>#N/A</v>
      </c>
      <c r="Y92" s="452"/>
      <c r="Z92" s="185"/>
      <c r="AA92" s="183"/>
      <c r="AB92" s="183"/>
      <c r="AC92" s="185" t="e">
        <f t="shared" si="53"/>
        <v>#N/A</v>
      </c>
      <c r="AD92" s="452"/>
      <c r="AE92" s="185"/>
      <c r="AF92" s="183"/>
      <c r="AG92" s="183"/>
      <c r="AH92" s="185" t="e">
        <f t="shared" si="54"/>
        <v>#N/A</v>
      </c>
      <c r="AI92" s="452"/>
      <c r="AJ92" s="185"/>
      <c r="AK92" s="183"/>
      <c r="AL92" s="183"/>
      <c r="AM92" s="185" t="e">
        <f t="shared" si="55"/>
        <v>#N/A</v>
      </c>
      <c r="AN92" s="452"/>
      <c r="AO92" s="185"/>
      <c r="AP92" s="183"/>
      <c r="AQ92" s="183"/>
      <c r="AR92" s="185" t="e">
        <f t="shared" si="56"/>
        <v>#N/A</v>
      </c>
      <c r="AS92" s="452"/>
      <c r="AT92" s="185"/>
      <c r="AU92" s="183"/>
      <c r="AV92" s="183"/>
      <c r="AW92" s="185" t="e">
        <f t="shared" si="57"/>
        <v>#N/A</v>
      </c>
      <c r="AX92" s="494"/>
    </row>
    <row r="93" spans="2:50">
      <c r="B93" s="471"/>
      <c r="C93" s="185">
        <v>7</v>
      </c>
      <c r="D93" s="206"/>
      <c r="E93" s="169"/>
      <c r="F93" s="185"/>
      <c r="G93" s="183"/>
      <c r="H93" s="452"/>
      <c r="I93" s="169" t="e">
        <f t="shared" si="50"/>
        <v>#DIV/0!</v>
      </c>
      <c r="J93" s="169" t="e">
        <f t="shared" si="50"/>
        <v>#DIV/0!</v>
      </c>
      <c r="K93" s="183" t="e">
        <f t="shared" si="50"/>
        <v>#DIV/0!</v>
      </c>
      <c r="L93" s="452"/>
      <c r="M93" s="184" t="e">
        <f>RANK(K93, K$87:$K$101)</f>
        <v>#DIV/0!</v>
      </c>
      <c r="N93" s="454"/>
      <c r="O93" s="454"/>
      <c r="P93" s="185"/>
      <c r="Q93" s="183"/>
      <c r="R93" s="183"/>
      <c r="S93" s="185" t="e">
        <f t="shared" si="51"/>
        <v>#N/A</v>
      </c>
      <c r="T93" s="452"/>
      <c r="U93" s="185"/>
      <c r="V93" s="183"/>
      <c r="W93" s="183"/>
      <c r="X93" s="185" t="e">
        <f t="shared" si="52"/>
        <v>#N/A</v>
      </c>
      <c r="Y93" s="452"/>
      <c r="Z93" s="185"/>
      <c r="AA93" s="183"/>
      <c r="AB93" s="183"/>
      <c r="AC93" s="185" t="e">
        <f t="shared" si="53"/>
        <v>#N/A</v>
      </c>
      <c r="AD93" s="452"/>
      <c r="AE93" s="185"/>
      <c r="AF93" s="183"/>
      <c r="AG93" s="183"/>
      <c r="AH93" s="185" t="e">
        <f t="shared" si="54"/>
        <v>#N/A</v>
      </c>
      <c r="AI93" s="452"/>
      <c r="AJ93" s="185"/>
      <c r="AK93" s="183"/>
      <c r="AL93" s="183"/>
      <c r="AM93" s="185" t="e">
        <f t="shared" si="55"/>
        <v>#N/A</v>
      </c>
      <c r="AN93" s="452"/>
      <c r="AO93" s="185"/>
      <c r="AP93" s="183"/>
      <c r="AQ93" s="183"/>
      <c r="AR93" s="185" t="e">
        <f t="shared" si="56"/>
        <v>#N/A</v>
      </c>
      <c r="AS93" s="452"/>
      <c r="AT93" s="185"/>
      <c r="AU93" s="183"/>
      <c r="AV93" s="183"/>
      <c r="AW93" s="185" t="e">
        <f t="shared" si="57"/>
        <v>#N/A</v>
      </c>
      <c r="AX93" s="494"/>
    </row>
    <row r="94" spans="2:50">
      <c r="B94" s="471"/>
      <c r="C94" s="185">
        <v>8</v>
      </c>
      <c r="D94" s="206"/>
      <c r="E94" s="169"/>
      <c r="F94" s="185"/>
      <c r="G94" s="183"/>
      <c r="H94" s="452"/>
      <c r="I94" s="169" t="e">
        <f t="shared" si="50"/>
        <v>#DIV/0!</v>
      </c>
      <c r="J94" s="169" t="e">
        <f t="shared" si="50"/>
        <v>#DIV/0!</v>
      </c>
      <c r="K94" s="183" t="e">
        <f t="shared" si="50"/>
        <v>#DIV/0!</v>
      </c>
      <c r="L94" s="452"/>
      <c r="M94" s="184" t="e">
        <f>RANK(K94, K$87:$K$101)</f>
        <v>#DIV/0!</v>
      </c>
      <c r="N94" s="454"/>
      <c r="O94" s="454"/>
      <c r="P94" s="185"/>
      <c r="Q94" s="183"/>
      <c r="R94" s="183"/>
      <c r="S94" s="185" t="e">
        <f t="shared" si="51"/>
        <v>#N/A</v>
      </c>
      <c r="T94" s="452"/>
      <c r="U94" s="185"/>
      <c r="V94" s="183"/>
      <c r="W94" s="183"/>
      <c r="X94" s="185" t="e">
        <f t="shared" si="52"/>
        <v>#N/A</v>
      </c>
      <c r="Y94" s="452"/>
      <c r="Z94" s="185"/>
      <c r="AA94" s="183"/>
      <c r="AB94" s="183"/>
      <c r="AC94" s="185" t="e">
        <f t="shared" si="53"/>
        <v>#N/A</v>
      </c>
      <c r="AD94" s="452"/>
      <c r="AE94" s="185"/>
      <c r="AF94" s="183"/>
      <c r="AG94" s="183"/>
      <c r="AH94" s="185" t="e">
        <f t="shared" si="54"/>
        <v>#N/A</v>
      </c>
      <c r="AI94" s="452"/>
      <c r="AJ94" s="185"/>
      <c r="AK94" s="183"/>
      <c r="AL94" s="183"/>
      <c r="AM94" s="185" t="e">
        <f t="shared" si="55"/>
        <v>#N/A</v>
      </c>
      <c r="AN94" s="452"/>
      <c r="AO94" s="185"/>
      <c r="AP94" s="183"/>
      <c r="AQ94" s="183"/>
      <c r="AR94" s="185" t="e">
        <f t="shared" si="56"/>
        <v>#N/A</v>
      </c>
      <c r="AS94" s="452"/>
      <c r="AT94" s="185"/>
      <c r="AU94" s="183"/>
      <c r="AV94" s="183"/>
      <c r="AW94" s="185" t="e">
        <f t="shared" si="57"/>
        <v>#N/A</v>
      </c>
      <c r="AX94" s="494"/>
    </row>
    <row r="95" spans="2:50">
      <c r="B95" s="471"/>
      <c r="C95" s="185">
        <v>9</v>
      </c>
      <c r="D95" s="206"/>
      <c r="E95" s="169"/>
      <c r="F95" s="185"/>
      <c r="G95" s="183"/>
      <c r="H95" s="452"/>
      <c r="I95" s="169" t="e">
        <f t="shared" ref="I95:I97" si="58">AVERAGE(P95,U95,Z95,AE95,AJ95,AO95,AT95)</f>
        <v>#DIV/0!</v>
      </c>
      <c r="J95" s="169" t="e">
        <f t="shared" ref="J95:J97" si="59">AVERAGE(Q95,V95,AA95,AF95,AK95,AP95,AU95)</f>
        <v>#DIV/0!</v>
      </c>
      <c r="K95" s="183" t="e">
        <f t="shared" ref="K95:K97" si="60">AVERAGE(R95,W95,AB95,AG95,AL95,AQ95,AV95)</f>
        <v>#DIV/0!</v>
      </c>
      <c r="L95" s="452"/>
      <c r="M95" s="184" t="e">
        <f>RANK(K95, K$87:$K$101)</f>
        <v>#DIV/0!</v>
      </c>
      <c r="N95" s="454"/>
      <c r="O95" s="454"/>
      <c r="P95" s="185"/>
      <c r="Q95" s="183"/>
      <c r="R95" s="183"/>
      <c r="S95" s="185" t="e">
        <f t="shared" si="51"/>
        <v>#N/A</v>
      </c>
      <c r="T95" s="452"/>
      <c r="U95" s="185"/>
      <c r="V95" s="183"/>
      <c r="W95" s="183"/>
      <c r="X95" s="185" t="e">
        <f t="shared" si="52"/>
        <v>#N/A</v>
      </c>
      <c r="Y95" s="452"/>
      <c r="Z95" s="185"/>
      <c r="AA95" s="183"/>
      <c r="AB95" s="183"/>
      <c r="AC95" s="185" t="e">
        <f t="shared" si="53"/>
        <v>#N/A</v>
      </c>
      <c r="AD95" s="452"/>
      <c r="AE95" s="185"/>
      <c r="AF95" s="183"/>
      <c r="AG95" s="183"/>
      <c r="AH95" s="185" t="e">
        <f t="shared" si="54"/>
        <v>#N/A</v>
      </c>
      <c r="AI95" s="452"/>
      <c r="AJ95" s="185"/>
      <c r="AK95" s="183"/>
      <c r="AL95" s="183"/>
      <c r="AM95" s="185" t="e">
        <f t="shared" si="55"/>
        <v>#N/A</v>
      </c>
      <c r="AN95" s="452"/>
      <c r="AO95" s="185"/>
      <c r="AP95" s="183"/>
      <c r="AQ95" s="183"/>
      <c r="AR95" s="185" t="e">
        <f t="shared" si="56"/>
        <v>#N/A</v>
      </c>
      <c r="AS95" s="452"/>
      <c r="AT95" s="185"/>
      <c r="AU95" s="183"/>
      <c r="AV95" s="183"/>
      <c r="AW95" s="185" t="e">
        <f t="shared" si="57"/>
        <v>#N/A</v>
      </c>
      <c r="AX95" s="494"/>
    </row>
    <row r="96" spans="2:50">
      <c r="B96" s="471"/>
      <c r="C96" s="185">
        <v>10</v>
      </c>
      <c r="D96" s="206"/>
      <c r="E96" s="169"/>
      <c r="F96" s="185"/>
      <c r="G96" s="183"/>
      <c r="H96" s="452"/>
      <c r="I96" s="169" t="e">
        <f t="shared" si="58"/>
        <v>#DIV/0!</v>
      </c>
      <c r="J96" s="169" t="e">
        <f t="shared" si="59"/>
        <v>#DIV/0!</v>
      </c>
      <c r="K96" s="183" t="e">
        <f t="shared" si="60"/>
        <v>#DIV/0!</v>
      </c>
      <c r="L96" s="452"/>
      <c r="M96" s="184" t="e">
        <f>RANK(K96, K$87:$K$101)</f>
        <v>#DIV/0!</v>
      </c>
      <c r="N96" s="454"/>
      <c r="O96" s="454"/>
      <c r="P96" s="185"/>
      <c r="Q96" s="183"/>
      <c r="R96" s="183"/>
      <c r="S96" s="185" t="e">
        <f t="shared" si="51"/>
        <v>#N/A</v>
      </c>
      <c r="T96" s="452"/>
      <c r="U96" s="185"/>
      <c r="V96" s="183"/>
      <c r="W96" s="183"/>
      <c r="X96" s="185" t="e">
        <f t="shared" si="52"/>
        <v>#N/A</v>
      </c>
      <c r="Y96" s="452"/>
      <c r="Z96" s="185"/>
      <c r="AA96" s="183"/>
      <c r="AB96" s="183"/>
      <c r="AC96" s="185" t="e">
        <f t="shared" si="53"/>
        <v>#N/A</v>
      </c>
      <c r="AD96" s="452"/>
      <c r="AE96" s="185"/>
      <c r="AF96" s="183"/>
      <c r="AG96" s="183"/>
      <c r="AH96" s="185" t="e">
        <f t="shared" si="54"/>
        <v>#N/A</v>
      </c>
      <c r="AI96" s="452"/>
      <c r="AJ96" s="185"/>
      <c r="AK96" s="183"/>
      <c r="AL96" s="183"/>
      <c r="AM96" s="185" t="e">
        <f t="shared" si="55"/>
        <v>#N/A</v>
      </c>
      <c r="AN96" s="452"/>
      <c r="AO96" s="185"/>
      <c r="AP96" s="183"/>
      <c r="AQ96" s="183"/>
      <c r="AR96" s="185" t="e">
        <f t="shared" si="56"/>
        <v>#N/A</v>
      </c>
      <c r="AS96" s="452"/>
      <c r="AT96" s="185"/>
      <c r="AU96" s="183"/>
      <c r="AV96" s="183"/>
      <c r="AW96" s="185" t="e">
        <f t="shared" si="57"/>
        <v>#N/A</v>
      </c>
      <c r="AX96" s="494"/>
    </row>
    <row r="97" spans="2:50">
      <c r="B97" s="471"/>
      <c r="C97" s="185">
        <v>11</v>
      </c>
      <c r="D97" s="206"/>
      <c r="E97" s="169"/>
      <c r="F97" s="185"/>
      <c r="G97" s="183"/>
      <c r="H97" s="452"/>
      <c r="I97" s="169" t="e">
        <f t="shared" si="58"/>
        <v>#DIV/0!</v>
      </c>
      <c r="J97" s="169" t="e">
        <f t="shared" si="59"/>
        <v>#DIV/0!</v>
      </c>
      <c r="K97" s="183" t="e">
        <f t="shared" si="60"/>
        <v>#DIV/0!</v>
      </c>
      <c r="L97" s="452"/>
      <c r="M97" s="184" t="e">
        <f>RANK(K97, K$87:$K$101)</f>
        <v>#DIV/0!</v>
      </c>
      <c r="N97" s="454"/>
      <c r="O97" s="454"/>
      <c r="P97" s="185"/>
      <c r="Q97" s="183"/>
      <c r="R97" s="183"/>
      <c r="S97" s="185" t="e">
        <f t="shared" si="51"/>
        <v>#N/A</v>
      </c>
      <c r="T97" s="452"/>
      <c r="U97" s="185"/>
      <c r="V97" s="183"/>
      <c r="W97" s="183"/>
      <c r="X97" s="185" t="e">
        <f t="shared" si="52"/>
        <v>#N/A</v>
      </c>
      <c r="Y97" s="452"/>
      <c r="Z97" s="185"/>
      <c r="AA97" s="183"/>
      <c r="AB97" s="183"/>
      <c r="AC97" s="185" t="e">
        <f t="shared" si="53"/>
        <v>#N/A</v>
      </c>
      <c r="AD97" s="452"/>
      <c r="AE97" s="185"/>
      <c r="AF97" s="183"/>
      <c r="AG97" s="183"/>
      <c r="AH97" s="185" t="e">
        <f t="shared" si="54"/>
        <v>#N/A</v>
      </c>
      <c r="AI97" s="452"/>
      <c r="AJ97" s="185"/>
      <c r="AK97" s="183"/>
      <c r="AL97" s="183"/>
      <c r="AM97" s="185" t="e">
        <f t="shared" si="55"/>
        <v>#N/A</v>
      </c>
      <c r="AN97" s="452"/>
      <c r="AO97" s="185"/>
      <c r="AP97" s="183"/>
      <c r="AQ97" s="183"/>
      <c r="AR97" s="185" t="e">
        <f t="shared" si="56"/>
        <v>#N/A</v>
      </c>
      <c r="AS97" s="452"/>
      <c r="AT97" s="185"/>
      <c r="AU97" s="183"/>
      <c r="AV97" s="183"/>
      <c r="AW97" s="185" t="e">
        <f t="shared" si="57"/>
        <v>#N/A</v>
      </c>
      <c r="AX97" s="494"/>
    </row>
    <row r="98" spans="2:50">
      <c r="B98" s="471"/>
      <c r="C98" s="185">
        <v>12</v>
      </c>
      <c r="D98" s="206"/>
      <c r="E98" s="169"/>
      <c r="F98" s="185"/>
      <c r="G98" s="183"/>
      <c r="H98" s="452"/>
      <c r="I98" s="185"/>
      <c r="J98" s="185"/>
      <c r="K98" s="185"/>
      <c r="L98" s="452"/>
      <c r="M98" s="184" t="e">
        <f>RANK(K98, K$87:$K$101)</f>
        <v>#DIV/0!</v>
      </c>
      <c r="N98" s="454"/>
      <c r="O98" s="454"/>
      <c r="P98" s="185"/>
      <c r="Q98" s="183"/>
      <c r="R98" s="183"/>
      <c r="S98" s="185" t="e">
        <f t="shared" si="51"/>
        <v>#N/A</v>
      </c>
      <c r="T98" s="452"/>
      <c r="U98" s="185"/>
      <c r="V98" s="183"/>
      <c r="W98" s="183"/>
      <c r="X98" s="185" t="e">
        <f t="shared" si="52"/>
        <v>#N/A</v>
      </c>
      <c r="Y98" s="452"/>
      <c r="Z98" s="185"/>
      <c r="AA98" s="183"/>
      <c r="AB98" s="183"/>
      <c r="AC98" s="185" t="e">
        <f t="shared" si="53"/>
        <v>#N/A</v>
      </c>
      <c r="AD98" s="452"/>
      <c r="AE98" s="185"/>
      <c r="AF98" s="183"/>
      <c r="AG98" s="183"/>
      <c r="AH98" s="185" t="e">
        <f t="shared" si="54"/>
        <v>#N/A</v>
      </c>
      <c r="AI98" s="452"/>
      <c r="AJ98" s="185"/>
      <c r="AK98" s="183"/>
      <c r="AL98" s="183"/>
      <c r="AM98" s="185" t="e">
        <f t="shared" si="55"/>
        <v>#N/A</v>
      </c>
      <c r="AN98" s="452"/>
      <c r="AO98" s="185"/>
      <c r="AP98" s="183"/>
      <c r="AQ98" s="183"/>
      <c r="AR98" s="185" t="e">
        <f t="shared" si="56"/>
        <v>#N/A</v>
      </c>
      <c r="AS98" s="452"/>
      <c r="AT98" s="185"/>
      <c r="AU98" s="183"/>
      <c r="AV98" s="183"/>
      <c r="AW98" s="185" t="e">
        <f t="shared" si="57"/>
        <v>#N/A</v>
      </c>
      <c r="AX98" s="494"/>
    </row>
    <row r="99" spans="2:50">
      <c r="B99" s="471"/>
      <c r="C99" s="185">
        <v>13</v>
      </c>
      <c r="D99" s="206"/>
      <c r="E99" s="169"/>
      <c r="F99" s="185"/>
      <c r="G99" s="183"/>
      <c r="H99" s="452"/>
      <c r="I99" s="185"/>
      <c r="J99" s="185"/>
      <c r="K99" s="185"/>
      <c r="L99" s="452"/>
      <c r="M99" s="184" t="e">
        <f>RANK(K99, K$87:$K$101)</f>
        <v>#DIV/0!</v>
      </c>
      <c r="N99" s="454"/>
      <c r="O99" s="454"/>
      <c r="P99" s="185"/>
      <c r="Q99" s="183"/>
      <c r="R99" s="183"/>
      <c r="S99" s="185" t="e">
        <f t="shared" si="51"/>
        <v>#N/A</v>
      </c>
      <c r="T99" s="452"/>
      <c r="U99" s="185"/>
      <c r="V99" s="183"/>
      <c r="W99" s="183"/>
      <c r="X99" s="185" t="e">
        <f t="shared" si="52"/>
        <v>#N/A</v>
      </c>
      <c r="Y99" s="452"/>
      <c r="Z99" s="185"/>
      <c r="AA99" s="183"/>
      <c r="AB99" s="183"/>
      <c r="AC99" s="185" t="e">
        <f t="shared" si="53"/>
        <v>#N/A</v>
      </c>
      <c r="AD99" s="452"/>
      <c r="AE99" s="185"/>
      <c r="AF99" s="183"/>
      <c r="AG99" s="183"/>
      <c r="AH99" s="185" t="e">
        <f t="shared" si="54"/>
        <v>#N/A</v>
      </c>
      <c r="AI99" s="452"/>
      <c r="AJ99" s="185"/>
      <c r="AK99" s="183"/>
      <c r="AL99" s="183"/>
      <c r="AM99" s="185" t="e">
        <f t="shared" si="55"/>
        <v>#N/A</v>
      </c>
      <c r="AN99" s="452"/>
      <c r="AO99" s="185"/>
      <c r="AP99" s="183"/>
      <c r="AQ99" s="183"/>
      <c r="AR99" s="185" t="e">
        <f t="shared" si="56"/>
        <v>#N/A</v>
      </c>
      <c r="AS99" s="452"/>
      <c r="AT99" s="185"/>
      <c r="AU99" s="183"/>
      <c r="AV99" s="183"/>
      <c r="AW99" s="185" t="e">
        <f t="shared" si="57"/>
        <v>#N/A</v>
      </c>
      <c r="AX99" s="494"/>
    </row>
    <row r="100" spans="2:50">
      <c r="B100" s="471"/>
      <c r="C100" s="185">
        <v>14</v>
      </c>
      <c r="D100" s="206"/>
      <c r="E100" s="169"/>
      <c r="F100" s="185"/>
      <c r="G100" s="183"/>
      <c r="H100" s="452"/>
      <c r="I100" s="185"/>
      <c r="J100" s="185"/>
      <c r="K100" s="185"/>
      <c r="L100" s="452"/>
      <c r="M100" s="184" t="e">
        <f>RANK(K100, K$87:$K$101)</f>
        <v>#DIV/0!</v>
      </c>
      <c r="N100" s="454"/>
      <c r="O100" s="454"/>
      <c r="P100" s="185"/>
      <c r="Q100" s="183"/>
      <c r="R100" s="183"/>
      <c r="S100" s="185" t="e">
        <f t="shared" si="51"/>
        <v>#N/A</v>
      </c>
      <c r="T100" s="452"/>
      <c r="U100" s="185"/>
      <c r="V100" s="183"/>
      <c r="W100" s="183"/>
      <c r="X100" s="185" t="e">
        <f t="shared" si="52"/>
        <v>#N/A</v>
      </c>
      <c r="Y100" s="452"/>
      <c r="Z100" s="185"/>
      <c r="AA100" s="183"/>
      <c r="AB100" s="183"/>
      <c r="AC100" s="185" t="e">
        <f t="shared" si="53"/>
        <v>#N/A</v>
      </c>
      <c r="AD100" s="452"/>
      <c r="AE100" s="185"/>
      <c r="AF100" s="183"/>
      <c r="AG100" s="183"/>
      <c r="AH100" s="185" t="e">
        <f t="shared" si="54"/>
        <v>#N/A</v>
      </c>
      <c r="AI100" s="452"/>
      <c r="AJ100" s="185"/>
      <c r="AK100" s="183"/>
      <c r="AL100" s="183"/>
      <c r="AM100" s="185" t="e">
        <f t="shared" si="55"/>
        <v>#N/A</v>
      </c>
      <c r="AN100" s="452"/>
      <c r="AO100" s="185"/>
      <c r="AP100" s="183"/>
      <c r="AQ100" s="183"/>
      <c r="AR100" s="185" t="e">
        <f t="shared" si="56"/>
        <v>#N/A</v>
      </c>
      <c r="AS100" s="452"/>
      <c r="AT100" s="185"/>
      <c r="AU100" s="183"/>
      <c r="AV100" s="183"/>
      <c r="AW100" s="185" t="e">
        <f t="shared" si="57"/>
        <v>#N/A</v>
      </c>
      <c r="AX100" s="494"/>
    </row>
    <row r="101" spans="2:50">
      <c r="B101" s="471"/>
      <c r="C101" s="185">
        <v>15</v>
      </c>
      <c r="D101" s="206"/>
      <c r="E101" s="169"/>
      <c r="F101" s="185"/>
      <c r="G101" s="183"/>
      <c r="H101" s="453"/>
      <c r="I101" s="185"/>
      <c r="J101" s="185"/>
      <c r="K101" s="185"/>
      <c r="L101" s="453"/>
      <c r="M101" s="169" t="e">
        <f>RANK(K101, K$87:$K$101)</f>
        <v>#DIV/0!</v>
      </c>
      <c r="N101" s="454"/>
      <c r="O101" s="454"/>
      <c r="P101" s="185"/>
      <c r="Q101" s="183"/>
      <c r="R101" s="183"/>
      <c r="S101" s="185" t="e">
        <f t="shared" si="51"/>
        <v>#N/A</v>
      </c>
      <c r="T101" s="453"/>
      <c r="U101" s="185"/>
      <c r="V101" s="183"/>
      <c r="W101" s="183"/>
      <c r="X101" s="185" t="e">
        <f t="shared" si="52"/>
        <v>#N/A</v>
      </c>
      <c r="Y101" s="453"/>
      <c r="Z101" s="185"/>
      <c r="AA101" s="183"/>
      <c r="AB101" s="183"/>
      <c r="AC101" s="185" t="e">
        <f t="shared" si="53"/>
        <v>#N/A</v>
      </c>
      <c r="AD101" s="453"/>
      <c r="AE101" s="185"/>
      <c r="AF101" s="183"/>
      <c r="AG101" s="183"/>
      <c r="AH101" s="185" t="e">
        <f t="shared" si="54"/>
        <v>#N/A</v>
      </c>
      <c r="AI101" s="453"/>
      <c r="AJ101" s="185"/>
      <c r="AK101" s="183"/>
      <c r="AL101" s="183"/>
      <c r="AM101" s="185" t="e">
        <f t="shared" si="55"/>
        <v>#N/A</v>
      </c>
      <c r="AN101" s="453"/>
      <c r="AO101" s="185"/>
      <c r="AP101" s="183"/>
      <c r="AQ101" s="183"/>
      <c r="AR101" s="185" t="e">
        <f t="shared" si="56"/>
        <v>#N/A</v>
      </c>
      <c r="AS101" s="453"/>
      <c r="AT101" s="185"/>
      <c r="AU101" s="183"/>
      <c r="AV101" s="183"/>
      <c r="AW101" s="185" t="e">
        <f t="shared" si="57"/>
        <v>#N/A</v>
      </c>
      <c r="AX101" s="494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54" t="s">
        <v>187</v>
      </c>
      <c r="C107" s="185">
        <v>1</v>
      </c>
      <c r="D107" s="206"/>
      <c r="E107" s="169"/>
      <c r="F107" s="185"/>
      <c r="G107" s="183"/>
      <c r="H107" s="451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51" t="str">
        <f>IFERROR(AVERAGE(K107:K121),"-")</f>
        <v>-</v>
      </c>
      <c r="M107" s="184" t="e">
        <f>RANK(K107, K$107:$K$121)</f>
        <v>#DIV/0!</v>
      </c>
      <c r="N107" s="454"/>
      <c r="O107" s="454"/>
      <c r="P107" s="169"/>
      <c r="Q107" s="183"/>
      <c r="R107" s="183"/>
      <c r="S107" s="185" t="e">
        <f>RANK(R107, R$107:R$121)</f>
        <v>#N/A</v>
      </c>
      <c r="T107" s="451" t="e">
        <f>AVERAGE(R107:R121)</f>
        <v>#DIV/0!</v>
      </c>
      <c r="U107" s="169"/>
      <c r="V107" s="183"/>
      <c r="W107" s="183"/>
      <c r="X107" s="185" t="e">
        <f>RANK(W107, W$107:W$121)</f>
        <v>#N/A</v>
      </c>
      <c r="Y107" s="451" t="e">
        <f>AVERAGE(W107:W121)</f>
        <v>#DIV/0!</v>
      </c>
      <c r="Z107" s="169"/>
      <c r="AA107" s="183"/>
      <c r="AB107" s="183"/>
      <c r="AC107" s="185" t="e">
        <f>RANK(AB107, AB$107:AB$121)</f>
        <v>#N/A</v>
      </c>
      <c r="AD107" s="451" t="e">
        <f>AVERAGE(AB107:AB121)</f>
        <v>#DIV/0!</v>
      </c>
      <c r="AE107" s="169"/>
      <c r="AF107" s="183"/>
      <c r="AG107" s="183"/>
      <c r="AH107" s="185" t="e">
        <f>RANK(AG107, AG$107:AG$121)</f>
        <v>#N/A</v>
      </c>
      <c r="AI107" s="451" t="e">
        <f>AVERAGE(AG107:AG121)</f>
        <v>#DIV/0!</v>
      </c>
      <c r="AJ107" s="169"/>
      <c r="AK107" s="183"/>
      <c r="AL107" s="183"/>
      <c r="AM107" s="185" t="e">
        <f>RANK(AL107, AL$107:AL$121)</f>
        <v>#N/A</v>
      </c>
      <c r="AN107" s="451" t="e">
        <f>AVERAGE(AL107:AL121)</f>
        <v>#DIV/0!</v>
      </c>
      <c r="AO107" s="169"/>
      <c r="AP107" s="183"/>
      <c r="AQ107" s="183"/>
      <c r="AR107" s="185" t="e">
        <f>RANK(AQ107, AQ$107:AQ$121)</f>
        <v>#N/A</v>
      </c>
      <c r="AS107" s="451" t="e">
        <f>AVERAGE(AQ107:AQ121)</f>
        <v>#DIV/0!</v>
      </c>
      <c r="AT107" s="169"/>
      <c r="AU107" s="183"/>
      <c r="AV107" s="183"/>
      <c r="AW107" s="185" t="e">
        <f>RANK(AV107, AV$107:AV$121)</f>
        <v>#N/A</v>
      </c>
      <c r="AX107" s="494" t="e">
        <f>AVERAGE(AV107:AV121)</f>
        <v>#DIV/0!</v>
      </c>
    </row>
    <row r="108" spans="2:50">
      <c r="B108" s="471"/>
      <c r="C108" s="185">
        <v>2</v>
      </c>
      <c r="D108" s="206"/>
      <c r="E108" s="169"/>
      <c r="F108" s="185"/>
      <c r="G108" s="183"/>
      <c r="H108" s="452"/>
      <c r="I108" s="169" t="e">
        <f t="shared" ref="I108:I114" si="61">AVERAGE(P108,U108,Z108,AE108,AJ108,AO108,AT108)</f>
        <v>#DIV/0!</v>
      </c>
      <c r="J108" s="169" t="e">
        <f t="shared" ref="J108:J114" si="62">AVERAGE(Q108,V108,AA108,AF108,AK108,AP108,AU108)</f>
        <v>#DIV/0!</v>
      </c>
      <c r="K108" s="183" t="e">
        <f t="shared" ref="K108:K114" si="63">AVERAGE(R108,W108,AB108,AG108,AL108,AQ108,AV108)</f>
        <v>#DIV/0!</v>
      </c>
      <c r="L108" s="452"/>
      <c r="M108" s="184" t="e">
        <f>RANK(K108, K$107:$K$121)</f>
        <v>#DIV/0!</v>
      </c>
      <c r="N108" s="454"/>
      <c r="O108" s="454"/>
      <c r="P108" s="185"/>
      <c r="Q108" s="183"/>
      <c r="R108" s="183"/>
      <c r="S108" s="185" t="e">
        <f t="shared" ref="S108:S121" si="64">RANK(R108, R$107:R$121)</f>
        <v>#N/A</v>
      </c>
      <c r="T108" s="452"/>
      <c r="U108" s="185"/>
      <c r="V108" s="183"/>
      <c r="W108" s="183"/>
      <c r="X108" s="185" t="e">
        <f t="shared" ref="X108:X121" si="65">RANK(W108, W$107:W$121)</f>
        <v>#N/A</v>
      </c>
      <c r="Y108" s="452"/>
      <c r="Z108" s="185"/>
      <c r="AA108" s="183"/>
      <c r="AB108" s="183"/>
      <c r="AC108" s="185" t="e">
        <f t="shared" ref="AC108:AC121" si="66">RANK(AB108, AB$107:AB$121)</f>
        <v>#N/A</v>
      </c>
      <c r="AD108" s="452"/>
      <c r="AE108" s="185"/>
      <c r="AF108" s="183"/>
      <c r="AG108" s="183"/>
      <c r="AH108" s="185" t="e">
        <f t="shared" ref="AH108:AH121" si="67">RANK(AG108, AG$107:AG$121)</f>
        <v>#N/A</v>
      </c>
      <c r="AI108" s="452"/>
      <c r="AJ108" s="185"/>
      <c r="AK108" s="183"/>
      <c r="AL108" s="183"/>
      <c r="AM108" s="185" t="e">
        <f t="shared" ref="AM108:AM121" si="68">RANK(AL108, AL$107:AL$121)</f>
        <v>#N/A</v>
      </c>
      <c r="AN108" s="452"/>
      <c r="AO108" s="185"/>
      <c r="AP108" s="183"/>
      <c r="AQ108" s="183"/>
      <c r="AR108" s="185" t="e">
        <f t="shared" ref="AR108:AR121" si="69">RANK(AQ108, AQ$107:AQ$121)</f>
        <v>#N/A</v>
      </c>
      <c r="AS108" s="452"/>
      <c r="AT108" s="185"/>
      <c r="AU108" s="183"/>
      <c r="AV108" s="183"/>
      <c r="AW108" s="185" t="e">
        <f t="shared" ref="AW108:AW121" si="70">RANK(AV108, AV$107:AV$121)</f>
        <v>#N/A</v>
      </c>
      <c r="AX108" s="494"/>
    </row>
    <row r="109" spans="2:50">
      <c r="B109" s="471"/>
      <c r="C109" s="185">
        <v>3</v>
      </c>
      <c r="D109" s="206"/>
      <c r="E109" s="169"/>
      <c r="F109" s="185"/>
      <c r="G109" s="183"/>
      <c r="H109" s="452"/>
      <c r="I109" s="169" t="e">
        <f t="shared" si="61"/>
        <v>#DIV/0!</v>
      </c>
      <c r="J109" s="169" t="e">
        <f t="shared" si="62"/>
        <v>#DIV/0!</v>
      </c>
      <c r="K109" s="183" t="e">
        <f t="shared" si="63"/>
        <v>#DIV/0!</v>
      </c>
      <c r="L109" s="452"/>
      <c r="M109" s="184" t="e">
        <f>RANK(K109, K$107:$K$121)</f>
        <v>#DIV/0!</v>
      </c>
      <c r="N109" s="454"/>
      <c r="O109" s="454"/>
      <c r="P109" s="185"/>
      <c r="Q109" s="183"/>
      <c r="R109" s="183"/>
      <c r="S109" s="185" t="e">
        <f t="shared" si="64"/>
        <v>#N/A</v>
      </c>
      <c r="T109" s="452"/>
      <c r="U109" s="185"/>
      <c r="V109" s="183"/>
      <c r="W109" s="183"/>
      <c r="X109" s="185" t="e">
        <f t="shared" si="65"/>
        <v>#N/A</v>
      </c>
      <c r="Y109" s="452"/>
      <c r="Z109" s="185"/>
      <c r="AA109" s="183"/>
      <c r="AB109" s="183"/>
      <c r="AC109" s="185" t="e">
        <f t="shared" si="66"/>
        <v>#N/A</v>
      </c>
      <c r="AD109" s="452"/>
      <c r="AE109" s="185"/>
      <c r="AF109" s="183"/>
      <c r="AG109" s="183"/>
      <c r="AH109" s="185" t="e">
        <f t="shared" si="67"/>
        <v>#N/A</v>
      </c>
      <c r="AI109" s="452"/>
      <c r="AJ109" s="185"/>
      <c r="AK109" s="183"/>
      <c r="AL109" s="183"/>
      <c r="AM109" s="185" t="e">
        <f t="shared" si="68"/>
        <v>#N/A</v>
      </c>
      <c r="AN109" s="452"/>
      <c r="AO109" s="185"/>
      <c r="AP109" s="183"/>
      <c r="AQ109" s="183"/>
      <c r="AR109" s="185" t="e">
        <f t="shared" si="69"/>
        <v>#N/A</v>
      </c>
      <c r="AS109" s="452"/>
      <c r="AT109" s="185"/>
      <c r="AU109" s="183"/>
      <c r="AV109" s="183"/>
      <c r="AW109" s="185" t="e">
        <f t="shared" si="70"/>
        <v>#N/A</v>
      </c>
      <c r="AX109" s="494"/>
    </row>
    <row r="110" spans="2:50">
      <c r="B110" s="471"/>
      <c r="C110" s="185">
        <v>4</v>
      </c>
      <c r="D110" s="206"/>
      <c r="E110" s="169"/>
      <c r="F110" s="185"/>
      <c r="G110" s="183"/>
      <c r="H110" s="452"/>
      <c r="I110" s="169" t="e">
        <f t="shared" si="61"/>
        <v>#DIV/0!</v>
      </c>
      <c r="J110" s="169" t="e">
        <f t="shared" si="62"/>
        <v>#DIV/0!</v>
      </c>
      <c r="K110" s="183" t="e">
        <f t="shared" si="63"/>
        <v>#DIV/0!</v>
      </c>
      <c r="L110" s="452"/>
      <c r="M110" s="184" t="e">
        <f>RANK(K110, K$107:$K$121)</f>
        <v>#DIV/0!</v>
      </c>
      <c r="N110" s="454"/>
      <c r="O110" s="454"/>
      <c r="P110" s="185"/>
      <c r="Q110" s="183"/>
      <c r="R110" s="183"/>
      <c r="S110" s="185" t="e">
        <f t="shared" si="64"/>
        <v>#N/A</v>
      </c>
      <c r="T110" s="452"/>
      <c r="U110" s="185"/>
      <c r="V110" s="183"/>
      <c r="W110" s="183"/>
      <c r="X110" s="185" t="e">
        <f t="shared" si="65"/>
        <v>#N/A</v>
      </c>
      <c r="Y110" s="452"/>
      <c r="Z110" s="185"/>
      <c r="AA110" s="183"/>
      <c r="AB110" s="183"/>
      <c r="AC110" s="185" t="e">
        <f t="shared" si="66"/>
        <v>#N/A</v>
      </c>
      <c r="AD110" s="452"/>
      <c r="AE110" s="185"/>
      <c r="AF110" s="183"/>
      <c r="AG110" s="183"/>
      <c r="AH110" s="185" t="e">
        <f t="shared" si="67"/>
        <v>#N/A</v>
      </c>
      <c r="AI110" s="452"/>
      <c r="AJ110" s="185"/>
      <c r="AK110" s="183"/>
      <c r="AL110" s="183"/>
      <c r="AM110" s="185" t="e">
        <f t="shared" si="68"/>
        <v>#N/A</v>
      </c>
      <c r="AN110" s="452"/>
      <c r="AO110" s="185"/>
      <c r="AP110" s="183"/>
      <c r="AQ110" s="183"/>
      <c r="AR110" s="185" t="e">
        <f t="shared" si="69"/>
        <v>#N/A</v>
      </c>
      <c r="AS110" s="452"/>
      <c r="AT110" s="185"/>
      <c r="AU110" s="183"/>
      <c r="AV110" s="183"/>
      <c r="AW110" s="185" t="e">
        <f t="shared" si="70"/>
        <v>#N/A</v>
      </c>
      <c r="AX110" s="494"/>
    </row>
    <row r="111" spans="2:50">
      <c r="B111" s="471"/>
      <c r="C111" s="185">
        <v>5</v>
      </c>
      <c r="D111" s="206"/>
      <c r="E111" s="169"/>
      <c r="F111" s="185"/>
      <c r="G111" s="183"/>
      <c r="H111" s="452"/>
      <c r="I111" s="169" t="e">
        <f t="shared" si="61"/>
        <v>#DIV/0!</v>
      </c>
      <c r="J111" s="169" t="e">
        <f t="shared" si="62"/>
        <v>#DIV/0!</v>
      </c>
      <c r="K111" s="183" t="e">
        <f t="shared" si="63"/>
        <v>#DIV/0!</v>
      </c>
      <c r="L111" s="452"/>
      <c r="M111" s="184" t="e">
        <f>RANK(K111, K$107:$K$121)</f>
        <v>#DIV/0!</v>
      </c>
      <c r="N111" s="454"/>
      <c r="O111" s="454"/>
      <c r="P111" s="185"/>
      <c r="Q111" s="183"/>
      <c r="R111" s="183"/>
      <c r="S111" s="185" t="e">
        <f t="shared" si="64"/>
        <v>#N/A</v>
      </c>
      <c r="T111" s="452"/>
      <c r="U111" s="185"/>
      <c r="V111" s="183"/>
      <c r="W111" s="183"/>
      <c r="X111" s="185" t="e">
        <f t="shared" si="65"/>
        <v>#N/A</v>
      </c>
      <c r="Y111" s="452"/>
      <c r="Z111" s="185"/>
      <c r="AA111" s="183"/>
      <c r="AB111" s="183"/>
      <c r="AC111" s="185" t="e">
        <f t="shared" si="66"/>
        <v>#N/A</v>
      </c>
      <c r="AD111" s="452"/>
      <c r="AE111" s="185"/>
      <c r="AF111" s="183"/>
      <c r="AG111" s="183"/>
      <c r="AH111" s="185" t="e">
        <f t="shared" si="67"/>
        <v>#N/A</v>
      </c>
      <c r="AI111" s="452"/>
      <c r="AJ111" s="185"/>
      <c r="AK111" s="183"/>
      <c r="AL111" s="183"/>
      <c r="AM111" s="185" t="e">
        <f t="shared" si="68"/>
        <v>#N/A</v>
      </c>
      <c r="AN111" s="452"/>
      <c r="AO111" s="185"/>
      <c r="AP111" s="183"/>
      <c r="AQ111" s="183"/>
      <c r="AR111" s="185" t="e">
        <f t="shared" si="69"/>
        <v>#N/A</v>
      </c>
      <c r="AS111" s="452"/>
      <c r="AT111" s="185"/>
      <c r="AU111" s="183"/>
      <c r="AV111" s="183"/>
      <c r="AW111" s="185" t="e">
        <f t="shared" si="70"/>
        <v>#N/A</v>
      </c>
      <c r="AX111" s="494"/>
    </row>
    <row r="112" spans="2:50">
      <c r="B112" s="471"/>
      <c r="C112" s="185">
        <v>6</v>
      </c>
      <c r="D112" s="206"/>
      <c r="E112" s="169"/>
      <c r="F112" s="185"/>
      <c r="G112" s="183"/>
      <c r="H112" s="452"/>
      <c r="I112" s="169" t="e">
        <f t="shared" si="61"/>
        <v>#DIV/0!</v>
      </c>
      <c r="J112" s="169" t="e">
        <f t="shared" si="62"/>
        <v>#DIV/0!</v>
      </c>
      <c r="K112" s="183" t="e">
        <f t="shared" si="63"/>
        <v>#DIV/0!</v>
      </c>
      <c r="L112" s="452"/>
      <c r="M112" s="184" t="e">
        <f>RANK(K112, K$107:$K$121)</f>
        <v>#DIV/0!</v>
      </c>
      <c r="N112" s="454"/>
      <c r="O112" s="454"/>
      <c r="P112" s="185"/>
      <c r="Q112" s="183"/>
      <c r="R112" s="183"/>
      <c r="S112" s="185" t="e">
        <f t="shared" si="64"/>
        <v>#N/A</v>
      </c>
      <c r="T112" s="452"/>
      <c r="U112" s="185"/>
      <c r="V112" s="183"/>
      <c r="W112" s="183"/>
      <c r="X112" s="185" t="e">
        <f t="shared" si="65"/>
        <v>#N/A</v>
      </c>
      <c r="Y112" s="452"/>
      <c r="Z112" s="185"/>
      <c r="AA112" s="183"/>
      <c r="AB112" s="183"/>
      <c r="AC112" s="185" t="e">
        <f t="shared" si="66"/>
        <v>#N/A</v>
      </c>
      <c r="AD112" s="452"/>
      <c r="AE112" s="185"/>
      <c r="AF112" s="183"/>
      <c r="AG112" s="183"/>
      <c r="AH112" s="185" t="e">
        <f t="shared" si="67"/>
        <v>#N/A</v>
      </c>
      <c r="AI112" s="452"/>
      <c r="AJ112" s="185"/>
      <c r="AK112" s="183"/>
      <c r="AL112" s="183"/>
      <c r="AM112" s="185" t="e">
        <f t="shared" si="68"/>
        <v>#N/A</v>
      </c>
      <c r="AN112" s="452"/>
      <c r="AO112" s="185"/>
      <c r="AP112" s="183"/>
      <c r="AQ112" s="183"/>
      <c r="AR112" s="185" t="e">
        <f t="shared" si="69"/>
        <v>#N/A</v>
      </c>
      <c r="AS112" s="452"/>
      <c r="AT112" s="185"/>
      <c r="AU112" s="183"/>
      <c r="AV112" s="183"/>
      <c r="AW112" s="185" t="e">
        <f t="shared" si="70"/>
        <v>#N/A</v>
      </c>
      <c r="AX112" s="494"/>
    </row>
    <row r="113" spans="2:50">
      <c r="B113" s="471"/>
      <c r="C113" s="185">
        <v>7</v>
      </c>
      <c r="D113" s="206"/>
      <c r="E113" s="169"/>
      <c r="F113" s="185"/>
      <c r="G113" s="183"/>
      <c r="H113" s="452"/>
      <c r="I113" s="169" t="e">
        <f t="shared" si="61"/>
        <v>#DIV/0!</v>
      </c>
      <c r="J113" s="169" t="e">
        <f t="shared" si="62"/>
        <v>#DIV/0!</v>
      </c>
      <c r="K113" s="183" t="e">
        <f t="shared" si="63"/>
        <v>#DIV/0!</v>
      </c>
      <c r="L113" s="452"/>
      <c r="M113" s="184" t="e">
        <f>RANK(K113, K$107:$K$121)</f>
        <v>#DIV/0!</v>
      </c>
      <c r="N113" s="454"/>
      <c r="O113" s="454"/>
      <c r="P113" s="185"/>
      <c r="Q113" s="183"/>
      <c r="R113" s="183"/>
      <c r="S113" s="185" t="e">
        <f t="shared" si="64"/>
        <v>#N/A</v>
      </c>
      <c r="T113" s="452"/>
      <c r="U113" s="185"/>
      <c r="V113" s="183"/>
      <c r="W113" s="183"/>
      <c r="X113" s="185" t="e">
        <f t="shared" si="65"/>
        <v>#N/A</v>
      </c>
      <c r="Y113" s="452"/>
      <c r="Z113" s="185"/>
      <c r="AA113" s="183"/>
      <c r="AB113" s="183"/>
      <c r="AC113" s="185" t="e">
        <f t="shared" si="66"/>
        <v>#N/A</v>
      </c>
      <c r="AD113" s="452"/>
      <c r="AE113" s="185"/>
      <c r="AF113" s="183"/>
      <c r="AG113" s="183"/>
      <c r="AH113" s="185" t="e">
        <f t="shared" si="67"/>
        <v>#N/A</v>
      </c>
      <c r="AI113" s="452"/>
      <c r="AJ113" s="185"/>
      <c r="AK113" s="183"/>
      <c r="AL113" s="183"/>
      <c r="AM113" s="185" t="e">
        <f t="shared" si="68"/>
        <v>#N/A</v>
      </c>
      <c r="AN113" s="452"/>
      <c r="AO113" s="185"/>
      <c r="AP113" s="183"/>
      <c r="AQ113" s="183"/>
      <c r="AR113" s="185" t="e">
        <f t="shared" si="69"/>
        <v>#N/A</v>
      </c>
      <c r="AS113" s="452"/>
      <c r="AT113" s="185"/>
      <c r="AU113" s="183"/>
      <c r="AV113" s="183"/>
      <c r="AW113" s="185" t="e">
        <f t="shared" si="70"/>
        <v>#N/A</v>
      </c>
      <c r="AX113" s="494"/>
    </row>
    <row r="114" spans="2:50">
      <c r="B114" s="471"/>
      <c r="C114" s="185">
        <v>8</v>
      </c>
      <c r="D114" s="206"/>
      <c r="E114" s="169"/>
      <c r="F114" s="185"/>
      <c r="G114" s="183"/>
      <c r="H114" s="452"/>
      <c r="I114" s="169" t="e">
        <f t="shared" si="61"/>
        <v>#DIV/0!</v>
      </c>
      <c r="J114" s="169" t="e">
        <f t="shared" si="62"/>
        <v>#DIV/0!</v>
      </c>
      <c r="K114" s="183" t="e">
        <f t="shared" si="63"/>
        <v>#DIV/0!</v>
      </c>
      <c r="L114" s="452"/>
      <c r="M114" s="184" t="e">
        <f>RANK(K114, K$107:$K$121)</f>
        <v>#DIV/0!</v>
      </c>
      <c r="N114" s="454"/>
      <c r="O114" s="454"/>
      <c r="P114" s="185"/>
      <c r="Q114" s="183"/>
      <c r="R114" s="183"/>
      <c r="S114" s="185" t="e">
        <f t="shared" si="64"/>
        <v>#N/A</v>
      </c>
      <c r="T114" s="452"/>
      <c r="U114" s="185"/>
      <c r="V114" s="183"/>
      <c r="W114" s="183"/>
      <c r="X114" s="185" t="e">
        <f t="shared" si="65"/>
        <v>#N/A</v>
      </c>
      <c r="Y114" s="452"/>
      <c r="Z114" s="185"/>
      <c r="AA114" s="183"/>
      <c r="AB114" s="183"/>
      <c r="AC114" s="185" t="e">
        <f t="shared" si="66"/>
        <v>#N/A</v>
      </c>
      <c r="AD114" s="452"/>
      <c r="AE114" s="185"/>
      <c r="AF114" s="183"/>
      <c r="AG114" s="183"/>
      <c r="AH114" s="185" t="e">
        <f t="shared" si="67"/>
        <v>#N/A</v>
      </c>
      <c r="AI114" s="452"/>
      <c r="AJ114" s="185"/>
      <c r="AK114" s="183"/>
      <c r="AL114" s="183"/>
      <c r="AM114" s="185" t="e">
        <f t="shared" si="68"/>
        <v>#N/A</v>
      </c>
      <c r="AN114" s="452"/>
      <c r="AO114" s="185"/>
      <c r="AP114" s="183"/>
      <c r="AQ114" s="183"/>
      <c r="AR114" s="185" t="e">
        <f t="shared" si="69"/>
        <v>#N/A</v>
      </c>
      <c r="AS114" s="452"/>
      <c r="AT114" s="185"/>
      <c r="AU114" s="183"/>
      <c r="AV114" s="183"/>
      <c r="AW114" s="185" t="e">
        <f t="shared" si="70"/>
        <v>#N/A</v>
      </c>
      <c r="AX114" s="494"/>
    </row>
    <row r="115" spans="2:50">
      <c r="B115" s="471"/>
      <c r="C115" s="185">
        <v>9</v>
      </c>
      <c r="D115" s="206"/>
      <c r="E115" s="169"/>
      <c r="F115" s="185"/>
      <c r="G115" s="183"/>
      <c r="H115" s="452"/>
      <c r="I115" s="169" t="e">
        <f t="shared" ref="I115:I116" si="71">AVERAGE(P115,U115,Z115,AE115,AJ115,AO115,AT115)</f>
        <v>#DIV/0!</v>
      </c>
      <c r="J115" s="169" t="e">
        <f t="shared" ref="J115:J116" si="72">AVERAGE(Q115,V115,AA115,AF115,AK115,AP115,AU115)</f>
        <v>#DIV/0!</v>
      </c>
      <c r="K115" s="183" t="e">
        <f t="shared" ref="K115:K116" si="73">AVERAGE(R115,W115,AB115,AG115,AL115,AQ115,AV115)</f>
        <v>#DIV/0!</v>
      </c>
      <c r="L115" s="452"/>
      <c r="M115" s="184" t="e">
        <f>RANK(K115, K$107:$K$121)</f>
        <v>#DIV/0!</v>
      </c>
      <c r="N115" s="454"/>
      <c r="O115" s="454"/>
      <c r="P115" s="185"/>
      <c r="Q115" s="183"/>
      <c r="R115" s="183"/>
      <c r="S115" s="185" t="e">
        <f t="shared" si="64"/>
        <v>#N/A</v>
      </c>
      <c r="T115" s="452"/>
      <c r="U115" s="185"/>
      <c r="V115" s="183"/>
      <c r="W115" s="183"/>
      <c r="X115" s="185" t="e">
        <f t="shared" si="65"/>
        <v>#N/A</v>
      </c>
      <c r="Y115" s="452"/>
      <c r="Z115" s="185"/>
      <c r="AA115" s="183"/>
      <c r="AB115" s="183"/>
      <c r="AC115" s="185" t="e">
        <f t="shared" si="66"/>
        <v>#N/A</v>
      </c>
      <c r="AD115" s="452"/>
      <c r="AE115" s="185"/>
      <c r="AF115" s="183"/>
      <c r="AG115" s="183"/>
      <c r="AH115" s="185" t="e">
        <f t="shared" si="67"/>
        <v>#N/A</v>
      </c>
      <c r="AI115" s="452"/>
      <c r="AJ115" s="185"/>
      <c r="AK115" s="183"/>
      <c r="AL115" s="183"/>
      <c r="AM115" s="185" t="e">
        <f t="shared" si="68"/>
        <v>#N/A</v>
      </c>
      <c r="AN115" s="452"/>
      <c r="AO115" s="185"/>
      <c r="AP115" s="183"/>
      <c r="AQ115" s="183"/>
      <c r="AR115" s="185" t="e">
        <f t="shared" si="69"/>
        <v>#N/A</v>
      </c>
      <c r="AS115" s="452"/>
      <c r="AT115" s="185"/>
      <c r="AU115" s="183"/>
      <c r="AV115" s="183"/>
      <c r="AW115" s="185" t="e">
        <f t="shared" si="70"/>
        <v>#N/A</v>
      </c>
      <c r="AX115" s="494"/>
    </row>
    <row r="116" spans="2:50">
      <c r="B116" s="471"/>
      <c r="C116" s="185">
        <v>10</v>
      </c>
      <c r="D116" s="206"/>
      <c r="E116" s="169"/>
      <c r="F116" s="185"/>
      <c r="G116" s="183"/>
      <c r="H116" s="452"/>
      <c r="I116" s="169" t="e">
        <f t="shared" si="71"/>
        <v>#DIV/0!</v>
      </c>
      <c r="J116" s="169" t="e">
        <f t="shared" si="72"/>
        <v>#DIV/0!</v>
      </c>
      <c r="K116" s="183" t="e">
        <f t="shared" si="73"/>
        <v>#DIV/0!</v>
      </c>
      <c r="L116" s="452"/>
      <c r="M116" s="184" t="e">
        <f>RANK(K116, K$107:$K$121)</f>
        <v>#DIV/0!</v>
      </c>
      <c r="N116" s="454"/>
      <c r="O116" s="454"/>
      <c r="P116" s="185"/>
      <c r="Q116" s="183"/>
      <c r="R116" s="183"/>
      <c r="S116" s="185" t="e">
        <f t="shared" si="64"/>
        <v>#N/A</v>
      </c>
      <c r="T116" s="452"/>
      <c r="U116" s="185"/>
      <c r="V116" s="183"/>
      <c r="W116" s="183"/>
      <c r="X116" s="185" t="e">
        <f t="shared" si="65"/>
        <v>#N/A</v>
      </c>
      <c r="Y116" s="452"/>
      <c r="Z116" s="185"/>
      <c r="AA116" s="183"/>
      <c r="AB116" s="183"/>
      <c r="AC116" s="185" t="e">
        <f t="shared" si="66"/>
        <v>#N/A</v>
      </c>
      <c r="AD116" s="452"/>
      <c r="AE116" s="185"/>
      <c r="AF116" s="183"/>
      <c r="AG116" s="183"/>
      <c r="AH116" s="185" t="e">
        <f t="shared" si="67"/>
        <v>#N/A</v>
      </c>
      <c r="AI116" s="452"/>
      <c r="AJ116" s="185"/>
      <c r="AK116" s="183"/>
      <c r="AL116" s="183"/>
      <c r="AM116" s="185" t="e">
        <f t="shared" si="68"/>
        <v>#N/A</v>
      </c>
      <c r="AN116" s="452"/>
      <c r="AO116" s="185"/>
      <c r="AP116" s="183"/>
      <c r="AQ116" s="183"/>
      <c r="AR116" s="185" t="e">
        <f t="shared" si="69"/>
        <v>#N/A</v>
      </c>
      <c r="AS116" s="452"/>
      <c r="AT116" s="185"/>
      <c r="AU116" s="183"/>
      <c r="AV116" s="183"/>
      <c r="AW116" s="185" t="e">
        <f t="shared" si="70"/>
        <v>#N/A</v>
      </c>
      <c r="AX116" s="494"/>
    </row>
    <row r="117" spans="2:50">
      <c r="B117" s="471"/>
      <c r="C117" s="185">
        <v>11</v>
      </c>
      <c r="D117" s="206"/>
      <c r="E117" s="169"/>
      <c r="F117" s="185"/>
      <c r="G117" s="183"/>
      <c r="H117" s="452"/>
      <c r="I117" s="185"/>
      <c r="J117" s="185"/>
      <c r="K117" s="185"/>
      <c r="L117" s="452"/>
      <c r="M117" s="184" t="e">
        <f>RANK(K117, K$107:$K$121)</f>
        <v>#DIV/0!</v>
      </c>
      <c r="N117" s="454"/>
      <c r="O117" s="454"/>
      <c r="P117" s="185"/>
      <c r="Q117" s="183"/>
      <c r="R117" s="183"/>
      <c r="S117" s="185" t="e">
        <f t="shared" si="64"/>
        <v>#N/A</v>
      </c>
      <c r="T117" s="452"/>
      <c r="U117" s="185"/>
      <c r="V117" s="183"/>
      <c r="W117" s="183"/>
      <c r="X117" s="185" t="e">
        <f t="shared" si="65"/>
        <v>#N/A</v>
      </c>
      <c r="Y117" s="452"/>
      <c r="Z117" s="185"/>
      <c r="AA117" s="183"/>
      <c r="AB117" s="183"/>
      <c r="AC117" s="185" t="e">
        <f t="shared" si="66"/>
        <v>#N/A</v>
      </c>
      <c r="AD117" s="452"/>
      <c r="AE117" s="185"/>
      <c r="AF117" s="183"/>
      <c r="AG117" s="183"/>
      <c r="AH117" s="185" t="e">
        <f t="shared" si="67"/>
        <v>#N/A</v>
      </c>
      <c r="AI117" s="452"/>
      <c r="AJ117" s="185"/>
      <c r="AK117" s="183"/>
      <c r="AL117" s="183"/>
      <c r="AM117" s="185" t="e">
        <f t="shared" si="68"/>
        <v>#N/A</v>
      </c>
      <c r="AN117" s="452"/>
      <c r="AO117" s="185"/>
      <c r="AP117" s="183"/>
      <c r="AQ117" s="183"/>
      <c r="AR117" s="185" t="e">
        <f t="shared" si="69"/>
        <v>#N/A</v>
      </c>
      <c r="AS117" s="452"/>
      <c r="AT117" s="185"/>
      <c r="AU117" s="183"/>
      <c r="AV117" s="183"/>
      <c r="AW117" s="185" t="e">
        <f t="shared" si="70"/>
        <v>#N/A</v>
      </c>
      <c r="AX117" s="494"/>
    </row>
    <row r="118" spans="2:50">
      <c r="B118" s="471"/>
      <c r="C118" s="185">
        <v>12</v>
      </c>
      <c r="D118" s="206"/>
      <c r="E118" s="169"/>
      <c r="F118" s="185"/>
      <c r="G118" s="183"/>
      <c r="H118" s="452"/>
      <c r="I118" s="185"/>
      <c r="J118" s="185"/>
      <c r="K118" s="185"/>
      <c r="L118" s="452"/>
      <c r="M118" s="184" t="e">
        <f>RANK(K118, K$107:$K$121)</f>
        <v>#DIV/0!</v>
      </c>
      <c r="N118" s="454"/>
      <c r="O118" s="454"/>
      <c r="P118" s="185"/>
      <c r="Q118" s="183"/>
      <c r="R118" s="183"/>
      <c r="S118" s="185" t="e">
        <f t="shared" si="64"/>
        <v>#N/A</v>
      </c>
      <c r="T118" s="452"/>
      <c r="U118" s="185"/>
      <c r="V118" s="183"/>
      <c r="W118" s="183"/>
      <c r="X118" s="185" t="e">
        <f t="shared" si="65"/>
        <v>#N/A</v>
      </c>
      <c r="Y118" s="452"/>
      <c r="Z118" s="185"/>
      <c r="AA118" s="183"/>
      <c r="AB118" s="183"/>
      <c r="AC118" s="185" t="e">
        <f t="shared" si="66"/>
        <v>#N/A</v>
      </c>
      <c r="AD118" s="452"/>
      <c r="AE118" s="185"/>
      <c r="AF118" s="183"/>
      <c r="AG118" s="183"/>
      <c r="AH118" s="185" t="e">
        <f t="shared" si="67"/>
        <v>#N/A</v>
      </c>
      <c r="AI118" s="452"/>
      <c r="AJ118" s="185"/>
      <c r="AK118" s="183"/>
      <c r="AL118" s="183"/>
      <c r="AM118" s="185" t="e">
        <f t="shared" si="68"/>
        <v>#N/A</v>
      </c>
      <c r="AN118" s="452"/>
      <c r="AO118" s="185"/>
      <c r="AP118" s="183"/>
      <c r="AQ118" s="183"/>
      <c r="AR118" s="185" t="e">
        <f t="shared" si="69"/>
        <v>#N/A</v>
      </c>
      <c r="AS118" s="452"/>
      <c r="AT118" s="185"/>
      <c r="AU118" s="183"/>
      <c r="AV118" s="183"/>
      <c r="AW118" s="185" t="e">
        <f t="shared" si="70"/>
        <v>#N/A</v>
      </c>
      <c r="AX118" s="494"/>
    </row>
    <row r="119" spans="2:50">
      <c r="B119" s="471"/>
      <c r="C119" s="185">
        <v>13</v>
      </c>
      <c r="D119" s="206"/>
      <c r="E119" s="169"/>
      <c r="F119" s="185"/>
      <c r="G119" s="183"/>
      <c r="H119" s="452"/>
      <c r="I119" s="185"/>
      <c r="J119" s="185"/>
      <c r="K119" s="185"/>
      <c r="L119" s="452"/>
      <c r="M119" s="184" t="e">
        <f>RANK(K119, K$107:$K$121)</f>
        <v>#DIV/0!</v>
      </c>
      <c r="N119" s="454"/>
      <c r="O119" s="454"/>
      <c r="P119" s="185"/>
      <c r="Q119" s="183"/>
      <c r="R119" s="183"/>
      <c r="S119" s="185" t="e">
        <f t="shared" si="64"/>
        <v>#N/A</v>
      </c>
      <c r="T119" s="452"/>
      <c r="U119" s="185"/>
      <c r="V119" s="183"/>
      <c r="W119" s="183"/>
      <c r="X119" s="185" t="e">
        <f t="shared" si="65"/>
        <v>#N/A</v>
      </c>
      <c r="Y119" s="452"/>
      <c r="Z119" s="185"/>
      <c r="AA119" s="183"/>
      <c r="AB119" s="183"/>
      <c r="AC119" s="185" t="e">
        <f t="shared" si="66"/>
        <v>#N/A</v>
      </c>
      <c r="AD119" s="452"/>
      <c r="AE119" s="185"/>
      <c r="AF119" s="183"/>
      <c r="AG119" s="183"/>
      <c r="AH119" s="185" t="e">
        <f t="shared" si="67"/>
        <v>#N/A</v>
      </c>
      <c r="AI119" s="452"/>
      <c r="AJ119" s="185"/>
      <c r="AK119" s="183"/>
      <c r="AL119" s="183"/>
      <c r="AM119" s="185" t="e">
        <f t="shared" si="68"/>
        <v>#N/A</v>
      </c>
      <c r="AN119" s="452"/>
      <c r="AO119" s="185"/>
      <c r="AP119" s="183"/>
      <c r="AQ119" s="183"/>
      <c r="AR119" s="185" t="e">
        <f t="shared" si="69"/>
        <v>#N/A</v>
      </c>
      <c r="AS119" s="452"/>
      <c r="AT119" s="185"/>
      <c r="AU119" s="183"/>
      <c r="AV119" s="183"/>
      <c r="AW119" s="185" t="e">
        <f t="shared" si="70"/>
        <v>#N/A</v>
      </c>
      <c r="AX119" s="494"/>
    </row>
    <row r="120" spans="2:50">
      <c r="B120" s="471"/>
      <c r="C120" s="185">
        <v>14</v>
      </c>
      <c r="D120" s="206"/>
      <c r="E120" s="169"/>
      <c r="F120" s="185"/>
      <c r="G120" s="183"/>
      <c r="H120" s="452"/>
      <c r="I120" s="185"/>
      <c r="J120" s="185"/>
      <c r="K120" s="185"/>
      <c r="L120" s="452"/>
      <c r="M120" s="184" t="e">
        <f>RANK(K120, K$107:$K$121)</f>
        <v>#DIV/0!</v>
      </c>
      <c r="N120" s="454"/>
      <c r="O120" s="454"/>
      <c r="P120" s="185"/>
      <c r="Q120" s="183"/>
      <c r="R120" s="183"/>
      <c r="S120" s="185" t="e">
        <f t="shared" si="64"/>
        <v>#N/A</v>
      </c>
      <c r="T120" s="452"/>
      <c r="U120" s="185"/>
      <c r="V120" s="183"/>
      <c r="W120" s="183"/>
      <c r="X120" s="185" t="e">
        <f t="shared" si="65"/>
        <v>#N/A</v>
      </c>
      <c r="Y120" s="452"/>
      <c r="Z120" s="185"/>
      <c r="AA120" s="183"/>
      <c r="AB120" s="183"/>
      <c r="AC120" s="185" t="e">
        <f t="shared" si="66"/>
        <v>#N/A</v>
      </c>
      <c r="AD120" s="452"/>
      <c r="AE120" s="185"/>
      <c r="AF120" s="183"/>
      <c r="AG120" s="183"/>
      <c r="AH120" s="185" t="e">
        <f t="shared" si="67"/>
        <v>#N/A</v>
      </c>
      <c r="AI120" s="452"/>
      <c r="AJ120" s="185"/>
      <c r="AK120" s="183"/>
      <c r="AL120" s="183"/>
      <c r="AM120" s="185" t="e">
        <f t="shared" si="68"/>
        <v>#N/A</v>
      </c>
      <c r="AN120" s="452"/>
      <c r="AO120" s="185"/>
      <c r="AP120" s="183"/>
      <c r="AQ120" s="183"/>
      <c r="AR120" s="185" t="e">
        <f t="shared" si="69"/>
        <v>#N/A</v>
      </c>
      <c r="AS120" s="452"/>
      <c r="AT120" s="185"/>
      <c r="AU120" s="183"/>
      <c r="AV120" s="183"/>
      <c r="AW120" s="185" t="e">
        <f t="shared" si="70"/>
        <v>#N/A</v>
      </c>
      <c r="AX120" s="494"/>
    </row>
    <row r="121" spans="2:50">
      <c r="B121" s="471"/>
      <c r="C121" s="185">
        <v>15</v>
      </c>
      <c r="D121" s="206"/>
      <c r="E121" s="169"/>
      <c r="F121" s="185"/>
      <c r="G121" s="183"/>
      <c r="H121" s="453"/>
      <c r="I121" s="185"/>
      <c r="J121" s="185"/>
      <c r="K121" s="185"/>
      <c r="L121" s="453"/>
      <c r="M121" s="184" t="e">
        <f>RANK(K121, K$107:$K$121)</f>
        <v>#DIV/0!</v>
      </c>
      <c r="N121" s="454"/>
      <c r="O121" s="454"/>
      <c r="P121" s="185"/>
      <c r="Q121" s="183"/>
      <c r="R121" s="183"/>
      <c r="S121" s="185" t="e">
        <f t="shared" si="64"/>
        <v>#N/A</v>
      </c>
      <c r="T121" s="453"/>
      <c r="U121" s="185"/>
      <c r="V121" s="183"/>
      <c r="W121" s="183"/>
      <c r="X121" s="185" t="e">
        <f t="shared" si="65"/>
        <v>#N/A</v>
      </c>
      <c r="Y121" s="453"/>
      <c r="Z121" s="185"/>
      <c r="AA121" s="183"/>
      <c r="AB121" s="183"/>
      <c r="AC121" s="185" t="e">
        <f t="shared" si="66"/>
        <v>#N/A</v>
      </c>
      <c r="AD121" s="453"/>
      <c r="AE121" s="185"/>
      <c r="AF121" s="183"/>
      <c r="AG121" s="183"/>
      <c r="AH121" s="185" t="e">
        <f t="shared" si="67"/>
        <v>#N/A</v>
      </c>
      <c r="AI121" s="453"/>
      <c r="AJ121" s="185"/>
      <c r="AK121" s="183"/>
      <c r="AL121" s="183"/>
      <c r="AM121" s="185" t="e">
        <f t="shared" si="68"/>
        <v>#N/A</v>
      </c>
      <c r="AN121" s="453"/>
      <c r="AO121" s="185"/>
      <c r="AP121" s="183"/>
      <c r="AQ121" s="183"/>
      <c r="AR121" s="185" t="e">
        <f t="shared" si="69"/>
        <v>#N/A</v>
      </c>
      <c r="AS121" s="453"/>
      <c r="AT121" s="185"/>
      <c r="AU121" s="183"/>
      <c r="AV121" s="183"/>
      <c r="AW121" s="185" t="e">
        <f t="shared" si="70"/>
        <v>#N/A</v>
      </c>
      <c r="AX121" s="494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54" t="s">
        <v>187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J135" si="74">AVERAGEIF($D$7:$D$121,$D128,I$7:I$121)</f>
        <v>#DIV/0!</v>
      </c>
      <c r="J128" s="169" t="e">
        <f t="shared" si="74"/>
        <v>#DIV/0!</v>
      </c>
      <c r="K128" s="169" t="e">
        <f t="shared" ref="K128:K135" si="75"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 t="e">
        <f t="shared" si="74"/>
        <v>#DIV/0!</v>
      </c>
      <c r="J129" s="169" t="e">
        <f t="shared" si="74"/>
        <v>#DIV/0!</v>
      </c>
      <c r="K129" s="169" t="e">
        <f t="shared" si="75"/>
        <v>#DIV/0!</v>
      </c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 t="e">
        <f t="shared" si="74"/>
        <v>#DIV/0!</v>
      </c>
      <c r="J130" s="169" t="e">
        <f t="shared" si="74"/>
        <v>#DIV/0!</v>
      </c>
      <c r="K130" s="169" t="e">
        <f t="shared" si="75"/>
        <v>#DIV/0!</v>
      </c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 t="e">
        <f t="shared" si="74"/>
        <v>#DIV/0!</v>
      </c>
      <c r="J131" s="169" t="e">
        <f t="shared" si="74"/>
        <v>#DIV/0!</v>
      </c>
      <c r="K131" s="169" t="e">
        <f t="shared" si="75"/>
        <v>#DIV/0!</v>
      </c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 t="e">
        <f t="shared" si="74"/>
        <v>#DIV/0!</v>
      </c>
      <c r="J132" s="169" t="e">
        <f t="shared" si="74"/>
        <v>#DIV/0!</v>
      </c>
      <c r="K132" s="169" t="e">
        <f t="shared" si="75"/>
        <v>#DIV/0!</v>
      </c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 t="e">
        <f t="shared" si="74"/>
        <v>#DIV/0!</v>
      </c>
      <c r="J133" s="169" t="e">
        <f t="shared" si="74"/>
        <v>#DIV/0!</v>
      </c>
      <c r="K133" s="169" t="e">
        <f t="shared" si="75"/>
        <v>#DIV/0!</v>
      </c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 t="e">
        <f t="shared" si="74"/>
        <v>#DIV/0!</v>
      </c>
      <c r="J134" s="169" t="e">
        <f t="shared" si="74"/>
        <v>#DIV/0!</v>
      </c>
      <c r="K134" s="169" t="e">
        <f t="shared" si="75"/>
        <v>#DIV/0!</v>
      </c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 t="e">
        <f t="shared" si="74"/>
        <v>#DIV/0!</v>
      </c>
      <c r="J135" s="169" t="e">
        <f t="shared" si="74"/>
        <v>#DIV/0!</v>
      </c>
      <c r="K135" s="169" t="e">
        <f t="shared" si="75"/>
        <v>#DIV/0!</v>
      </c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/>
      <c r="J136" s="169"/>
      <c r="K136" s="169"/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/>
      <c r="J137" s="169"/>
      <c r="K137" s="169"/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/>
      <c r="J138" s="169"/>
      <c r="K138" s="169"/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zoomScale="70" zoomScaleNormal="70" workbookViewId="0">
      <pane xSplit="15" topLeftCell="P1" activePane="topRight" state="frozen"/>
      <selection pane="topRight" activeCell="L27" sqref="L27:L4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76.863036360369307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54" t="s">
        <v>312</v>
      </c>
      <c r="C7" s="185">
        <v>1</v>
      </c>
      <c r="D7" s="206" t="s">
        <v>313</v>
      </c>
      <c r="E7" s="169">
        <v>18</v>
      </c>
      <c r="F7" s="185">
        <v>1636</v>
      </c>
      <c r="G7" s="183">
        <v>90.888888888888886</v>
      </c>
      <c r="H7" s="451">
        <f>AVERAGE(G7:G21)</f>
        <v>90.655679394564842</v>
      </c>
      <c r="I7" s="169">
        <f>AVERAGE(P7,U7,Z7,AE7,AJ7,AO7,AT7)</f>
        <v>18</v>
      </c>
      <c r="J7" s="169">
        <f>AVERAGE(Q7,V7,AA7,AF7,AK7,AP7,AU7)</f>
        <v>1385.5325382245155</v>
      </c>
      <c r="K7" s="183">
        <f>AVERAGE(R7,W7,AB7,AG7,AL7,AQ7,AV7)</f>
        <v>76.974029901361973</v>
      </c>
      <c r="L7" s="451">
        <f>IFERROR(AVERAGE(K7:K21),"-")</f>
        <v>74.417644349161023</v>
      </c>
      <c r="M7" s="184">
        <f>RANK(K7, $K$7:K$21)</f>
        <v>4</v>
      </c>
      <c r="N7" s="454"/>
      <c r="O7" s="454"/>
      <c r="P7" s="169">
        <v>18</v>
      </c>
      <c r="Q7" s="169">
        <v>1420.3846153846157</v>
      </c>
      <c r="R7" s="169">
        <v>78.910256410256423</v>
      </c>
      <c r="S7" s="185">
        <f>RANK(R7, R$7:R$21)</f>
        <v>6</v>
      </c>
      <c r="T7" s="494">
        <f>AVERAGE(R7:R21)</f>
        <v>79.035687115755238</v>
      </c>
      <c r="U7" s="169">
        <v>18</v>
      </c>
      <c r="V7" s="169">
        <v>1378.3018867924532</v>
      </c>
      <c r="W7" s="169">
        <v>76.572327044025172</v>
      </c>
      <c r="X7" s="185">
        <f>RANK(W7, W$7:W$21)</f>
        <v>4</v>
      </c>
      <c r="Y7" s="494">
        <f>AVERAGE(W7:W21)</f>
        <v>74.256879003085629</v>
      </c>
      <c r="Z7" s="169">
        <v>18</v>
      </c>
      <c r="AA7" s="169">
        <v>1364.8543689320388</v>
      </c>
      <c r="AB7" s="169">
        <v>75.825242718446603</v>
      </c>
      <c r="AC7" s="185">
        <f>RANK(AB7, AB$7:AB$21)</f>
        <v>5</v>
      </c>
      <c r="AD7" s="494">
        <f>AVERAGE(AB7:AB21)</f>
        <v>76.930332841601185</v>
      </c>
      <c r="AE7" s="169">
        <v>18</v>
      </c>
      <c r="AF7" s="169">
        <v>1404.3037974683543</v>
      </c>
      <c r="AG7" s="169">
        <v>78.01687763713079</v>
      </c>
      <c r="AH7" s="185">
        <f>RANK(AG7, AG$7:AG$21)</f>
        <v>4</v>
      </c>
      <c r="AI7" s="494">
        <f>AVERAGE(AG7:AG21)</f>
        <v>78.427429558511491</v>
      </c>
      <c r="AJ7" s="169">
        <v>18</v>
      </c>
      <c r="AK7" s="169">
        <v>1365.542168674699</v>
      </c>
      <c r="AL7" s="169">
        <v>75.863453815261053</v>
      </c>
      <c r="AM7" s="185">
        <f>RANK(AL7, AL$7:AL$21)</f>
        <v>4</v>
      </c>
      <c r="AN7" s="494">
        <f>AVERAGE(AL7:AL21)</f>
        <v>77.129782083748296</v>
      </c>
      <c r="AO7" s="169">
        <v>18</v>
      </c>
      <c r="AP7" s="169">
        <v>1397.2277227722773</v>
      </c>
      <c r="AQ7" s="169">
        <v>77.623762376237622</v>
      </c>
      <c r="AR7" s="185">
        <f>RANK(AQ7, AQ$7:AQ$21)</f>
        <v>3</v>
      </c>
      <c r="AS7" s="494">
        <f>AVERAGE(AQ7:AQ21)</f>
        <v>79.791511202053101</v>
      </c>
      <c r="AT7" s="169">
        <v>18</v>
      </c>
      <c r="AU7" s="169">
        <v>1368.1132075471701</v>
      </c>
      <c r="AV7" s="169">
        <v>76.006289308176122</v>
      </c>
      <c r="AW7" s="185">
        <f>RANK(AV7, AV$7:AV$21)</f>
        <v>4</v>
      </c>
      <c r="AX7" s="494">
        <f>AVERAGE(AV7:AV21)</f>
        <v>79.400816298249779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206" t="s">
        <v>314</v>
      </c>
      <c r="E8" s="169">
        <v>19</v>
      </c>
      <c r="F8" s="185">
        <v>1440</v>
      </c>
      <c r="G8" s="183">
        <v>75.78947368421052</v>
      </c>
      <c r="H8" s="452"/>
      <c r="I8" s="169">
        <f t="shared" ref="I8:I16" si="0">AVERAGE(P8,U8,Z8,AE8,AJ8,AO8,AT8)</f>
        <v>18</v>
      </c>
      <c r="J8" s="169">
        <f t="shared" ref="J8:J16" si="1">AVERAGE(Q8,V8,AA8,AF8,AK8,AP8,AU8)</f>
        <v>1344.90707595768</v>
      </c>
      <c r="K8" s="183">
        <f t="shared" ref="K8:K16" si="2">AVERAGE(R8,W8,AB8,AG8,AL8,AQ8,AV8)</f>
        <v>74.717059775426648</v>
      </c>
      <c r="L8" s="452"/>
      <c r="M8" s="184">
        <f>RANK(K8, $K$7:K$21)</f>
        <v>6</v>
      </c>
      <c r="N8" s="454"/>
      <c r="O8" s="454"/>
      <c r="P8" s="169">
        <v>18</v>
      </c>
      <c r="Q8" s="169">
        <v>1359.4285714285711</v>
      </c>
      <c r="R8" s="169">
        <v>75.523809523809504</v>
      </c>
      <c r="S8" s="185">
        <f t="shared" ref="S8:S21" si="3">RANK(R8, R$7:R$21)</f>
        <v>7</v>
      </c>
      <c r="T8" s="494"/>
      <c r="U8" s="169">
        <v>18</v>
      </c>
      <c r="V8" s="169">
        <v>1351.6981132075473</v>
      </c>
      <c r="W8" s="169">
        <v>75.094339622641513</v>
      </c>
      <c r="X8" s="185">
        <f t="shared" ref="X8:X21" si="4">RANK(W8, W$7:W$21)</f>
        <v>5</v>
      </c>
      <c r="Y8" s="494"/>
      <c r="Z8" s="169">
        <v>18</v>
      </c>
      <c r="AA8" s="169">
        <v>1335.30612244898</v>
      </c>
      <c r="AB8" s="169">
        <v>74.18367346938777</v>
      </c>
      <c r="AC8" s="185">
        <f t="shared" ref="AC8:AC21" si="5">RANK(AB8, AB$7:AB$21)</f>
        <v>6</v>
      </c>
      <c r="AD8" s="494"/>
      <c r="AE8" s="169">
        <v>18</v>
      </c>
      <c r="AF8" s="169">
        <v>1346.3414634146343</v>
      </c>
      <c r="AG8" s="169">
        <v>74.796747967479689</v>
      </c>
      <c r="AH8" s="185">
        <f t="shared" ref="AH8:AH21" si="6">RANK(AG8, AG$7:AG$21)</f>
        <v>5</v>
      </c>
      <c r="AI8" s="494"/>
      <c r="AJ8" s="169">
        <v>18</v>
      </c>
      <c r="AK8" s="169">
        <v>1329.6551724137935</v>
      </c>
      <c r="AL8" s="169">
        <v>73.869731800766303</v>
      </c>
      <c r="AM8" s="185">
        <f t="shared" ref="AM8:AM21" si="7">RANK(AL8, AL$7:AL$21)</f>
        <v>5</v>
      </c>
      <c r="AN8" s="494"/>
      <c r="AO8" s="169">
        <v>18</v>
      </c>
      <c r="AP8" s="169">
        <v>1346.0377358490564</v>
      </c>
      <c r="AQ8" s="169">
        <v>74.779874213836464</v>
      </c>
      <c r="AR8" s="185">
        <f t="shared" ref="AR8:AR21" si="8">RANK(AQ8, AQ$7:AQ$21)</f>
        <v>5</v>
      </c>
      <c r="AS8" s="494"/>
      <c r="AT8" s="169">
        <v>18</v>
      </c>
      <c r="AU8" s="169">
        <v>1345.8823529411759</v>
      </c>
      <c r="AV8" s="169">
        <v>74.771241830065321</v>
      </c>
      <c r="AW8" s="185">
        <f t="shared" ref="AW8:AW21" si="9">RANK(AV8, AV$7:AV$21)</f>
        <v>6</v>
      </c>
      <c r="AX8" s="494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206" t="s">
        <v>315</v>
      </c>
      <c r="E9" s="169">
        <v>17</v>
      </c>
      <c r="F9" s="185">
        <v>1636</v>
      </c>
      <c r="G9" s="183">
        <v>96.235294117647058</v>
      </c>
      <c r="H9" s="452"/>
      <c r="I9" s="169">
        <f t="shared" si="0"/>
        <v>17.142857142857142</v>
      </c>
      <c r="J9" s="169">
        <f t="shared" si="1"/>
        <v>1392.5815096827621</v>
      </c>
      <c r="K9" s="183">
        <f t="shared" si="2"/>
        <v>81.259318822456777</v>
      </c>
      <c r="L9" s="452"/>
      <c r="M9" s="184">
        <f>RANK(K9, $K$7:K$21)</f>
        <v>2</v>
      </c>
      <c r="N9" s="454"/>
      <c r="O9" s="454"/>
      <c r="P9" s="169">
        <v>17</v>
      </c>
      <c r="Q9" s="169">
        <v>1382.4972972972973</v>
      </c>
      <c r="R9" s="169">
        <v>81.32337042925279</v>
      </c>
      <c r="S9" s="185">
        <f t="shared" si="3"/>
        <v>5</v>
      </c>
      <c r="T9" s="494"/>
      <c r="U9" s="169">
        <v>18</v>
      </c>
      <c r="V9" s="169">
        <v>1407.8093023255813</v>
      </c>
      <c r="W9" s="169">
        <v>78.21162790697673</v>
      </c>
      <c r="X9" s="185">
        <f t="shared" si="4"/>
        <v>3</v>
      </c>
      <c r="Y9" s="494"/>
      <c r="Z9" s="169">
        <v>17</v>
      </c>
      <c r="AA9" s="169">
        <v>1406.7529411764701</v>
      </c>
      <c r="AB9" s="169">
        <v>82.750173010380593</v>
      </c>
      <c r="AC9" s="185">
        <f t="shared" si="5"/>
        <v>2</v>
      </c>
      <c r="AD9" s="494"/>
      <c r="AE9" s="169">
        <v>17</v>
      </c>
      <c r="AF9" s="169">
        <v>1399.286330935252</v>
      </c>
      <c r="AG9" s="169">
        <v>82.310960643250112</v>
      </c>
      <c r="AH9" s="185">
        <f t="shared" si="6"/>
        <v>3</v>
      </c>
      <c r="AI9" s="494"/>
      <c r="AJ9" s="169">
        <v>17</v>
      </c>
      <c r="AK9" s="169">
        <v>1366.3000000000004</v>
      </c>
      <c r="AL9" s="169">
        <v>80.370588235294136</v>
      </c>
      <c r="AM9" s="185">
        <f t="shared" si="7"/>
        <v>2</v>
      </c>
      <c r="AN9" s="494"/>
      <c r="AO9" s="169">
        <v>17</v>
      </c>
      <c r="AP9" s="169">
        <v>1378.5148514851485</v>
      </c>
      <c r="AQ9" s="169">
        <v>81.089108910891085</v>
      </c>
      <c r="AR9" s="185">
        <f t="shared" si="8"/>
        <v>2</v>
      </c>
      <c r="AS9" s="494"/>
      <c r="AT9" s="169">
        <v>17</v>
      </c>
      <c r="AU9" s="169">
        <v>1406.9098445595855</v>
      </c>
      <c r="AV9" s="169">
        <v>82.759402621152091</v>
      </c>
      <c r="AW9" s="185">
        <f t="shared" si="9"/>
        <v>2</v>
      </c>
      <c r="AX9" s="494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206" t="s">
        <v>316</v>
      </c>
      <c r="E10" s="169">
        <v>20</v>
      </c>
      <c r="F10" s="185">
        <v>1636</v>
      </c>
      <c r="G10" s="183">
        <v>81.8</v>
      </c>
      <c r="H10" s="452"/>
      <c r="I10" s="169">
        <f t="shared" si="0"/>
        <v>20</v>
      </c>
      <c r="J10" s="169">
        <f t="shared" si="1"/>
        <v>1380.592054460476</v>
      </c>
      <c r="K10" s="183">
        <f t="shared" si="2"/>
        <v>69.0296027230238</v>
      </c>
      <c r="L10" s="452"/>
      <c r="M10" s="184">
        <f>RANK(K10, $K$7:K$21)</f>
        <v>7</v>
      </c>
      <c r="N10" s="454"/>
      <c r="O10" s="454"/>
      <c r="P10" s="169">
        <v>20</v>
      </c>
      <c r="Q10" s="169">
        <v>1388.0000000000007</v>
      </c>
      <c r="R10" s="169">
        <v>69.400000000000034</v>
      </c>
      <c r="S10" s="185">
        <f t="shared" si="3"/>
        <v>8</v>
      </c>
      <c r="T10" s="494"/>
      <c r="U10" s="169">
        <v>20</v>
      </c>
      <c r="V10" s="169">
        <v>1380.0000000000009</v>
      </c>
      <c r="W10" s="169">
        <v>69.000000000000043</v>
      </c>
      <c r="X10" s="185">
        <f t="shared" si="4"/>
        <v>7</v>
      </c>
      <c r="Y10" s="494"/>
      <c r="Z10" s="169">
        <v>20</v>
      </c>
      <c r="AA10" s="169">
        <v>1416.4864864864869</v>
      </c>
      <c r="AB10" s="169">
        <v>70.824324324324351</v>
      </c>
      <c r="AC10" s="185">
        <f t="shared" si="5"/>
        <v>7</v>
      </c>
      <c r="AD10" s="494"/>
      <c r="AE10" s="169">
        <v>20</v>
      </c>
      <c r="AF10" s="169">
        <v>1389.4736842105274</v>
      </c>
      <c r="AG10" s="169">
        <v>69.473684210526372</v>
      </c>
      <c r="AH10" s="185">
        <f t="shared" si="6"/>
        <v>7</v>
      </c>
      <c r="AI10" s="494"/>
      <c r="AJ10" s="169">
        <v>20</v>
      </c>
      <c r="AK10" s="169">
        <v>1368.9999999999993</v>
      </c>
      <c r="AL10" s="169">
        <v>68.44999999999996</v>
      </c>
      <c r="AM10" s="185">
        <f t="shared" si="7"/>
        <v>7</v>
      </c>
      <c r="AN10" s="494"/>
      <c r="AO10" s="169">
        <v>20</v>
      </c>
      <c r="AP10" s="169">
        <v>1362.5000000000005</v>
      </c>
      <c r="AQ10" s="169">
        <v>68.125000000000028</v>
      </c>
      <c r="AR10" s="185">
        <f t="shared" si="8"/>
        <v>8</v>
      </c>
      <c r="AS10" s="494"/>
      <c r="AT10" s="169">
        <v>20</v>
      </c>
      <c r="AU10" s="169">
        <v>1358.6842105263163</v>
      </c>
      <c r="AV10" s="169">
        <v>67.934210526315809</v>
      </c>
      <c r="AW10" s="185">
        <f t="shared" si="9"/>
        <v>7</v>
      </c>
      <c r="AX10" s="494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206" t="s">
        <v>317</v>
      </c>
      <c r="E11" s="169">
        <v>17</v>
      </c>
      <c r="F11" s="185">
        <v>1636</v>
      </c>
      <c r="G11" s="183">
        <v>96.235294117647058</v>
      </c>
      <c r="H11" s="452"/>
      <c r="I11" s="169">
        <f t="shared" si="0"/>
        <v>17.714285714285715</v>
      </c>
      <c r="J11" s="169">
        <f t="shared" si="1"/>
        <v>1356.3712436806725</v>
      </c>
      <c r="K11" s="183">
        <f t="shared" si="2"/>
        <v>76.647874241573746</v>
      </c>
      <c r="L11" s="452"/>
      <c r="M11" s="184">
        <f>RANK(K11, $K$7:K$21)</f>
        <v>5</v>
      </c>
      <c r="N11" s="454"/>
      <c r="O11" s="454"/>
      <c r="P11" s="169">
        <v>17</v>
      </c>
      <c r="Q11" s="169">
        <v>1393.3333333333337</v>
      </c>
      <c r="R11" s="169">
        <v>81.960784313725512</v>
      </c>
      <c r="S11" s="185">
        <f t="shared" si="3"/>
        <v>4</v>
      </c>
      <c r="T11" s="494"/>
      <c r="U11" s="169">
        <v>17</v>
      </c>
      <c r="V11" s="169">
        <v>1378.2352941176468</v>
      </c>
      <c r="W11" s="169">
        <v>81.072664359861577</v>
      </c>
      <c r="X11" s="185">
        <f t="shared" si="4"/>
        <v>2</v>
      </c>
      <c r="Y11" s="494"/>
      <c r="Z11" s="169">
        <v>18</v>
      </c>
      <c r="AA11" s="169">
        <v>1372.7272727272727</v>
      </c>
      <c r="AB11" s="169">
        <v>76.26262626262627</v>
      </c>
      <c r="AC11" s="185">
        <f t="shared" si="5"/>
        <v>4</v>
      </c>
      <c r="AD11" s="494"/>
      <c r="AE11" s="169">
        <v>18</v>
      </c>
      <c r="AF11" s="169">
        <v>1337.7777777777785</v>
      </c>
      <c r="AG11" s="169">
        <v>74.32098765432103</v>
      </c>
      <c r="AH11" s="185">
        <f t="shared" si="6"/>
        <v>6</v>
      </c>
      <c r="AI11" s="494"/>
      <c r="AJ11" s="169">
        <v>18</v>
      </c>
      <c r="AK11" s="169">
        <v>1327.7419354838705</v>
      </c>
      <c r="AL11" s="169">
        <v>73.763440860215027</v>
      </c>
      <c r="AM11" s="185">
        <f t="shared" si="7"/>
        <v>6</v>
      </c>
      <c r="AN11" s="494"/>
      <c r="AO11" s="169">
        <v>18</v>
      </c>
      <c r="AP11" s="169">
        <v>1324.1379310344819</v>
      </c>
      <c r="AQ11" s="169">
        <v>73.56321839080455</v>
      </c>
      <c r="AR11" s="185">
        <f t="shared" si="8"/>
        <v>6</v>
      </c>
      <c r="AS11" s="494"/>
      <c r="AT11" s="169">
        <v>18</v>
      </c>
      <c r="AU11" s="169">
        <v>1360.645161290322</v>
      </c>
      <c r="AV11" s="169">
        <v>75.591397849462339</v>
      </c>
      <c r="AW11" s="185">
        <f t="shared" si="9"/>
        <v>5</v>
      </c>
      <c r="AX11" s="494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206" t="s">
        <v>318</v>
      </c>
      <c r="E12" s="169">
        <v>12</v>
      </c>
      <c r="F12" s="185">
        <v>1500</v>
      </c>
      <c r="G12" s="183">
        <v>125</v>
      </c>
      <c r="H12" s="452"/>
      <c r="I12" s="169">
        <f t="shared" si="0"/>
        <v>11.142857142857142</v>
      </c>
      <c r="J12" s="169">
        <f t="shared" si="1"/>
        <v>1386.8721699949315</v>
      </c>
      <c r="K12" s="183">
        <f t="shared" si="2"/>
        <v>126.83664361431561</v>
      </c>
      <c r="L12" s="452"/>
      <c r="M12" s="184">
        <f>RANK(K12, $K$7:K$21)</f>
        <v>1</v>
      </c>
      <c r="N12" s="454"/>
      <c r="O12" s="454"/>
      <c r="P12" s="169">
        <v>12</v>
      </c>
      <c r="Q12" s="169">
        <v>1386.3829787234044</v>
      </c>
      <c r="R12" s="169">
        <v>115.53191489361704</v>
      </c>
      <c r="S12" s="185">
        <f t="shared" si="3"/>
        <v>1</v>
      </c>
      <c r="T12" s="494"/>
      <c r="U12" s="169">
        <v>8</v>
      </c>
      <c r="V12" s="169">
        <v>1386.0000000000002</v>
      </c>
      <c r="W12" s="169">
        <v>173.25000000000003</v>
      </c>
      <c r="X12" s="185">
        <f t="shared" si="4"/>
        <v>1</v>
      </c>
      <c r="Y12" s="494"/>
      <c r="Z12" s="169">
        <v>12</v>
      </c>
      <c r="AA12" s="169">
        <v>1376.1702127659578</v>
      </c>
      <c r="AB12" s="169">
        <v>114.68085106382982</v>
      </c>
      <c r="AC12" s="185">
        <f t="shared" si="5"/>
        <v>1</v>
      </c>
      <c r="AD12" s="494"/>
      <c r="AE12" s="169">
        <v>11</v>
      </c>
      <c r="AF12" s="169">
        <v>1377.2093023255811</v>
      </c>
      <c r="AG12" s="169">
        <v>125.20084566596192</v>
      </c>
      <c r="AH12" s="185">
        <f t="shared" si="6"/>
        <v>1</v>
      </c>
      <c r="AI12" s="494"/>
      <c r="AJ12" s="169">
        <v>11</v>
      </c>
      <c r="AK12" s="169">
        <v>1407.6923076923069</v>
      </c>
      <c r="AL12" s="169">
        <v>127.9720279720279</v>
      </c>
      <c r="AM12" s="185">
        <f t="shared" si="7"/>
        <v>1</v>
      </c>
      <c r="AN12" s="494"/>
      <c r="AO12" s="169">
        <v>12</v>
      </c>
      <c r="AP12" s="169">
        <v>1408.2352941176475</v>
      </c>
      <c r="AQ12" s="169">
        <v>117.35294117647062</v>
      </c>
      <c r="AR12" s="185">
        <f t="shared" si="8"/>
        <v>1</v>
      </c>
      <c r="AS12" s="494"/>
      <c r="AT12" s="169">
        <v>12</v>
      </c>
      <c r="AU12" s="169">
        <v>1366.4150943396232</v>
      </c>
      <c r="AV12" s="169">
        <v>113.86792452830194</v>
      </c>
      <c r="AW12" s="185">
        <f t="shared" si="9"/>
        <v>1</v>
      </c>
      <c r="AX12" s="494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206" t="s">
        <v>319</v>
      </c>
      <c r="E13" s="169">
        <v>17</v>
      </c>
      <c r="F13" s="185">
        <v>1636</v>
      </c>
      <c r="G13" s="183">
        <v>96.235294117647058</v>
      </c>
      <c r="H13" s="452"/>
      <c r="I13" s="169">
        <f t="shared" si="0"/>
        <v>17.714285714285715</v>
      </c>
      <c r="J13" s="169">
        <f t="shared" si="1"/>
        <v>1382.4224459601417</v>
      </c>
      <c r="K13" s="183">
        <f t="shared" si="2"/>
        <v>78.115652396700668</v>
      </c>
      <c r="L13" s="452"/>
      <c r="M13" s="184">
        <f>RANK(K13, $K$7:K$21)</f>
        <v>3</v>
      </c>
      <c r="N13" s="454"/>
      <c r="O13" s="454"/>
      <c r="P13" s="169">
        <v>17</v>
      </c>
      <c r="Q13" s="169">
        <v>1415.7303370786517</v>
      </c>
      <c r="R13" s="169">
        <v>83.278255122273634</v>
      </c>
      <c r="S13" s="185">
        <f t="shared" si="3"/>
        <v>2</v>
      </c>
      <c r="T13" s="494"/>
      <c r="U13" s="169">
        <v>18</v>
      </c>
      <c r="V13" s="169">
        <v>1348.7499999999998</v>
      </c>
      <c r="W13" s="169">
        <v>74.930555555555543</v>
      </c>
      <c r="X13" s="185">
        <f t="shared" si="4"/>
        <v>6</v>
      </c>
      <c r="Y13" s="494"/>
      <c r="Z13" s="169">
        <v>18</v>
      </c>
      <c r="AA13" s="169">
        <v>1389.3333333333333</v>
      </c>
      <c r="AB13" s="169">
        <v>77.185185185185176</v>
      </c>
      <c r="AC13" s="185">
        <f t="shared" si="5"/>
        <v>3</v>
      </c>
      <c r="AD13" s="494"/>
      <c r="AE13" s="169">
        <v>17</v>
      </c>
      <c r="AF13" s="169">
        <v>1399.7260273972599</v>
      </c>
      <c r="AG13" s="169">
        <v>82.336825141015296</v>
      </c>
      <c r="AH13" s="185">
        <f t="shared" si="6"/>
        <v>2</v>
      </c>
      <c r="AI13" s="494"/>
      <c r="AJ13" s="169">
        <v>18</v>
      </c>
      <c r="AK13" s="169">
        <v>1370.8860759493671</v>
      </c>
      <c r="AL13" s="169">
        <v>76.160337552742618</v>
      </c>
      <c r="AM13" s="185">
        <f t="shared" si="7"/>
        <v>3</v>
      </c>
      <c r="AN13" s="494"/>
      <c r="AO13" s="169">
        <v>18</v>
      </c>
      <c r="AP13" s="169">
        <v>1369.7727272727273</v>
      </c>
      <c r="AQ13" s="169">
        <v>76.098484848484844</v>
      </c>
      <c r="AR13" s="185">
        <f t="shared" si="8"/>
        <v>4</v>
      </c>
      <c r="AS13" s="494"/>
      <c r="AT13" s="169">
        <v>18</v>
      </c>
      <c r="AU13" s="169">
        <v>1382.7586206896549</v>
      </c>
      <c r="AV13" s="169">
        <v>76.819923371647491</v>
      </c>
      <c r="AW13" s="185">
        <f t="shared" si="9"/>
        <v>3</v>
      </c>
      <c r="AX13" s="494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206" t="s">
        <v>320</v>
      </c>
      <c r="E14" s="169">
        <v>17</v>
      </c>
      <c r="F14" s="185">
        <v>1636</v>
      </c>
      <c r="G14" s="183">
        <v>96.235294117647058</v>
      </c>
      <c r="H14" s="452"/>
      <c r="I14" s="169">
        <f t="shared" si="0"/>
        <v>8.5</v>
      </c>
      <c r="J14" s="169">
        <f t="shared" si="1"/>
        <v>706.82926829268263</v>
      </c>
      <c r="K14" s="183">
        <f t="shared" si="2"/>
        <v>41.578192252510746</v>
      </c>
      <c r="L14" s="452"/>
      <c r="M14" s="184">
        <f>RANK(K14, $K$7:K$21)</f>
        <v>10</v>
      </c>
      <c r="N14" s="454"/>
      <c r="O14" s="454"/>
      <c r="P14" s="169">
        <v>17</v>
      </c>
      <c r="Q14" s="169">
        <v>1413.6585365853653</v>
      </c>
      <c r="R14" s="169">
        <v>83.156384505021492</v>
      </c>
      <c r="S14" s="185">
        <f t="shared" si="3"/>
        <v>3</v>
      </c>
      <c r="T14" s="494"/>
      <c r="U14" s="169">
        <v>0</v>
      </c>
      <c r="V14" s="169">
        <v>0</v>
      </c>
      <c r="W14" s="169">
        <v>0</v>
      </c>
      <c r="X14" s="185">
        <f t="shared" si="4"/>
        <v>10</v>
      </c>
      <c r="Y14" s="494"/>
      <c r="Z14" s="169"/>
      <c r="AA14" s="169"/>
      <c r="AB14" s="169"/>
      <c r="AC14" s="185" t="e">
        <f t="shared" si="5"/>
        <v>#N/A</v>
      </c>
      <c r="AD14" s="494"/>
      <c r="AE14" s="169"/>
      <c r="AF14" s="169"/>
      <c r="AG14" s="169"/>
      <c r="AH14" s="185" t="e">
        <f t="shared" si="6"/>
        <v>#N/A</v>
      </c>
      <c r="AI14" s="494"/>
      <c r="AJ14" s="169"/>
      <c r="AK14" s="169"/>
      <c r="AL14" s="169"/>
      <c r="AM14" s="185" t="e">
        <f t="shared" si="7"/>
        <v>#N/A</v>
      </c>
      <c r="AN14" s="494"/>
      <c r="AO14" s="169"/>
      <c r="AP14" s="169"/>
      <c r="AQ14" s="169"/>
      <c r="AR14" s="185" t="e">
        <f t="shared" si="8"/>
        <v>#N/A</v>
      </c>
      <c r="AS14" s="494"/>
      <c r="AT14" s="169"/>
      <c r="AU14" s="169"/>
      <c r="AV14" s="169"/>
      <c r="AW14" s="185" t="e">
        <f t="shared" si="9"/>
        <v>#N/A</v>
      </c>
      <c r="AX14" s="494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206" t="s">
        <v>321</v>
      </c>
      <c r="E15" s="169">
        <v>18</v>
      </c>
      <c r="F15" s="185">
        <v>1200</v>
      </c>
      <c r="G15" s="183">
        <v>66.666666666666671</v>
      </c>
      <c r="H15" s="452"/>
      <c r="I15" s="169">
        <f t="shared" si="0"/>
        <v>18</v>
      </c>
      <c r="J15" s="169">
        <f t="shared" si="1"/>
        <v>922.42765469824371</v>
      </c>
      <c r="K15" s="183">
        <f t="shared" si="2"/>
        <v>51.245980816569102</v>
      </c>
      <c r="L15" s="452"/>
      <c r="M15" s="184">
        <f>RANK(K15, $K$7:K$21)</f>
        <v>9</v>
      </c>
      <c r="N15" s="454"/>
      <c r="O15" s="454"/>
      <c r="P15" s="169">
        <v>18</v>
      </c>
      <c r="Q15" s="169">
        <v>947.27272727272828</v>
      </c>
      <c r="R15" s="169">
        <v>52.62626262626268</v>
      </c>
      <c r="S15" s="185">
        <f t="shared" si="3"/>
        <v>10</v>
      </c>
      <c r="T15" s="494"/>
      <c r="U15" s="169">
        <v>18</v>
      </c>
      <c r="V15" s="169">
        <v>905.29411764705992</v>
      </c>
      <c r="W15" s="169">
        <v>50.294117647058883</v>
      </c>
      <c r="X15" s="185">
        <f t="shared" si="4"/>
        <v>9</v>
      </c>
      <c r="Y15" s="494"/>
      <c r="Z15" s="169">
        <v>18</v>
      </c>
      <c r="AA15" s="169">
        <v>930.00000000000091</v>
      </c>
      <c r="AB15" s="169">
        <v>51.666666666666714</v>
      </c>
      <c r="AC15" s="185">
        <f t="shared" si="5"/>
        <v>9</v>
      </c>
      <c r="AD15" s="494"/>
      <c r="AE15" s="169">
        <v>18</v>
      </c>
      <c r="AF15" s="169">
        <v>936.00000000000034</v>
      </c>
      <c r="AG15" s="169">
        <v>52.000000000000021</v>
      </c>
      <c r="AH15" s="185">
        <f t="shared" si="6"/>
        <v>9</v>
      </c>
      <c r="AI15" s="494"/>
      <c r="AJ15" s="169">
        <v>18</v>
      </c>
      <c r="AK15" s="169">
        <v>893.57142857142924</v>
      </c>
      <c r="AL15" s="169">
        <v>49.642857142857181</v>
      </c>
      <c r="AM15" s="185">
        <f t="shared" si="7"/>
        <v>9</v>
      </c>
      <c r="AN15" s="494"/>
      <c r="AO15" s="169"/>
      <c r="AP15" s="169"/>
      <c r="AQ15" s="169"/>
      <c r="AR15" s="185" t="e">
        <f t="shared" si="8"/>
        <v>#N/A</v>
      </c>
      <c r="AS15" s="494"/>
      <c r="AT15" s="169"/>
      <c r="AU15" s="169"/>
      <c r="AV15" s="169"/>
      <c r="AW15" s="185" t="e">
        <f t="shared" si="9"/>
        <v>#N/A</v>
      </c>
      <c r="AX15" s="494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206" t="s">
        <v>322</v>
      </c>
      <c r="E16" s="169">
        <v>17</v>
      </c>
      <c r="F16" s="185">
        <v>1385</v>
      </c>
      <c r="G16" s="183">
        <v>81.470588235294116</v>
      </c>
      <c r="H16" s="452"/>
      <c r="I16" s="169">
        <f t="shared" si="0"/>
        <v>18.142857142857142</v>
      </c>
      <c r="J16" s="169">
        <f t="shared" si="1"/>
        <v>1229.0609093287599</v>
      </c>
      <c r="K16" s="183">
        <f t="shared" si="2"/>
        <v>67.772088947671278</v>
      </c>
      <c r="L16" s="452"/>
      <c r="M16" s="184">
        <f>RANK(K16, $K$7:K$21)</f>
        <v>8</v>
      </c>
      <c r="N16" s="454"/>
      <c r="O16" s="454"/>
      <c r="P16" s="169">
        <v>18</v>
      </c>
      <c r="Q16" s="169">
        <v>1235.6249999999998</v>
      </c>
      <c r="R16" s="169">
        <v>68.645833333333314</v>
      </c>
      <c r="S16" s="185">
        <f t="shared" si="3"/>
        <v>9</v>
      </c>
      <c r="T16" s="494"/>
      <c r="U16" s="169">
        <v>19</v>
      </c>
      <c r="V16" s="169">
        <v>1218.7200000000005</v>
      </c>
      <c r="W16" s="169">
        <v>64.143157894736873</v>
      </c>
      <c r="X16" s="185">
        <f t="shared" si="4"/>
        <v>8</v>
      </c>
      <c r="Y16" s="494"/>
      <c r="Z16" s="169">
        <v>18</v>
      </c>
      <c r="AA16" s="169">
        <v>1241.8965517241381</v>
      </c>
      <c r="AB16" s="169">
        <v>68.994252873563227</v>
      </c>
      <c r="AC16" s="185">
        <f t="shared" si="5"/>
        <v>8</v>
      </c>
      <c r="AD16" s="494"/>
      <c r="AE16" s="169">
        <v>18</v>
      </c>
      <c r="AF16" s="169">
        <v>1213.018867924528</v>
      </c>
      <c r="AG16" s="169">
        <v>67.389937106918225</v>
      </c>
      <c r="AH16" s="185">
        <f t="shared" si="6"/>
        <v>8</v>
      </c>
      <c r="AI16" s="494"/>
      <c r="AJ16" s="169">
        <v>18</v>
      </c>
      <c r="AK16" s="169">
        <v>1225.3608247422683</v>
      </c>
      <c r="AL16" s="169">
        <v>68.075601374570454</v>
      </c>
      <c r="AM16" s="185">
        <f t="shared" si="7"/>
        <v>8</v>
      </c>
      <c r="AN16" s="494"/>
      <c r="AO16" s="169">
        <v>18</v>
      </c>
      <c r="AP16" s="169">
        <v>1254.5945945945946</v>
      </c>
      <c r="AQ16" s="169">
        <v>69.699699699699693</v>
      </c>
      <c r="AR16" s="185">
        <f t="shared" si="8"/>
        <v>7</v>
      </c>
      <c r="AS16" s="494"/>
      <c r="AT16" s="169">
        <v>18</v>
      </c>
      <c r="AU16" s="169">
        <v>1214.2105263157894</v>
      </c>
      <c r="AV16" s="169">
        <v>67.456140350877192</v>
      </c>
      <c r="AW16" s="185">
        <f t="shared" si="9"/>
        <v>8</v>
      </c>
      <c r="AX16" s="494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206"/>
      <c r="E17" s="169"/>
      <c r="F17" s="185"/>
      <c r="G17" s="183"/>
      <c r="H17" s="452"/>
      <c r="I17" s="185"/>
      <c r="J17" s="185"/>
      <c r="K17" s="185"/>
      <c r="L17" s="452"/>
      <c r="M17" s="184" t="e">
        <f>RANK(K17, $K$7:K$21)</f>
        <v>#N/A</v>
      </c>
      <c r="N17" s="454"/>
      <c r="O17" s="454"/>
      <c r="P17" s="169"/>
      <c r="Q17" s="169"/>
      <c r="R17" s="169"/>
      <c r="S17" s="185" t="e">
        <f t="shared" si="3"/>
        <v>#N/A</v>
      </c>
      <c r="T17" s="494"/>
      <c r="U17" s="169"/>
      <c r="V17" s="169"/>
      <c r="W17" s="169"/>
      <c r="X17" s="185">
        <f t="shared" si="4"/>
        <v>10</v>
      </c>
      <c r="Y17" s="494"/>
      <c r="Z17" s="169"/>
      <c r="AA17" s="169"/>
      <c r="AB17" s="169"/>
      <c r="AC17" s="185" t="e">
        <f t="shared" si="5"/>
        <v>#N/A</v>
      </c>
      <c r="AD17" s="494"/>
      <c r="AE17" s="169"/>
      <c r="AF17" s="169"/>
      <c r="AG17" s="169"/>
      <c r="AH17" s="185" t="e">
        <f t="shared" si="6"/>
        <v>#N/A</v>
      </c>
      <c r="AI17" s="494"/>
      <c r="AJ17" s="169"/>
      <c r="AK17" s="169"/>
      <c r="AL17" s="169"/>
      <c r="AM17" s="185" t="e">
        <f t="shared" si="7"/>
        <v>#N/A</v>
      </c>
      <c r="AN17" s="494"/>
      <c r="AO17" s="169"/>
      <c r="AP17" s="169"/>
      <c r="AQ17" s="169"/>
      <c r="AR17" s="185" t="e">
        <f t="shared" si="8"/>
        <v>#N/A</v>
      </c>
      <c r="AS17" s="494"/>
      <c r="AT17" s="169"/>
      <c r="AU17" s="169"/>
      <c r="AV17" s="169"/>
      <c r="AW17" s="185" t="e">
        <f t="shared" si="9"/>
        <v>#N/A</v>
      </c>
      <c r="AX17" s="494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206"/>
      <c r="E18" s="169"/>
      <c r="F18" s="185"/>
      <c r="G18" s="183"/>
      <c r="H18" s="452"/>
      <c r="I18" s="185"/>
      <c r="J18" s="185"/>
      <c r="K18" s="185"/>
      <c r="L18" s="452"/>
      <c r="M18" s="184" t="e">
        <f>RANK(K18, $K$7:K$21)</f>
        <v>#N/A</v>
      </c>
      <c r="N18" s="454"/>
      <c r="O18" s="454"/>
      <c r="P18" s="169"/>
      <c r="Q18" s="169"/>
      <c r="R18" s="169"/>
      <c r="S18" s="185" t="e">
        <f t="shared" si="3"/>
        <v>#N/A</v>
      </c>
      <c r="T18" s="494"/>
      <c r="U18" s="169"/>
      <c r="V18" s="169"/>
      <c r="W18" s="169"/>
      <c r="X18" s="185">
        <f t="shared" si="4"/>
        <v>10</v>
      </c>
      <c r="Y18" s="494"/>
      <c r="Z18" s="169"/>
      <c r="AA18" s="169"/>
      <c r="AB18" s="169"/>
      <c r="AC18" s="185" t="e">
        <f t="shared" si="5"/>
        <v>#N/A</v>
      </c>
      <c r="AD18" s="494"/>
      <c r="AE18" s="169"/>
      <c r="AF18" s="169"/>
      <c r="AG18" s="169"/>
      <c r="AH18" s="185" t="e">
        <f t="shared" si="6"/>
        <v>#N/A</v>
      </c>
      <c r="AI18" s="494"/>
      <c r="AJ18" s="169"/>
      <c r="AK18" s="169"/>
      <c r="AL18" s="169"/>
      <c r="AM18" s="185" t="e">
        <f t="shared" si="7"/>
        <v>#N/A</v>
      </c>
      <c r="AN18" s="494"/>
      <c r="AO18" s="169"/>
      <c r="AP18" s="169"/>
      <c r="AQ18" s="169"/>
      <c r="AR18" s="185" t="e">
        <f t="shared" si="8"/>
        <v>#N/A</v>
      </c>
      <c r="AS18" s="494"/>
      <c r="AT18" s="169"/>
      <c r="AU18" s="169"/>
      <c r="AV18" s="169"/>
      <c r="AW18" s="185" t="e">
        <f t="shared" si="9"/>
        <v>#N/A</v>
      </c>
      <c r="AX18" s="494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206"/>
      <c r="E19" s="169"/>
      <c r="F19" s="185"/>
      <c r="G19" s="183"/>
      <c r="H19" s="452"/>
      <c r="I19" s="185"/>
      <c r="J19" s="185"/>
      <c r="K19" s="185"/>
      <c r="L19" s="452"/>
      <c r="M19" s="184" t="e">
        <f>RANK(K19, $K$7:K$21)</f>
        <v>#N/A</v>
      </c>
      <c r="N19" s="454"/>
      <c r="O19" s="454"/>
      <c r="P19" s="169"/>
      <c r="Q19" s="169"/>
      <c r="R19" s="169"/>
      <c r="S19" s="185" t="e">
        <f t="shared" si="3"/>
        <v>#N/A</v>
      </c>
      <c r="T19" s="494"/>
      <c r="U19" s="169"/>
      <c r="V19" s="169"/>
      <c r="W19" s="169"/>
      <c r="X19" s="185">
        <f t="shared" si="4"/>
        <v>10</v>
      </c>
      <c r="Y19" s="494"/>
      <c r="Z19" s="169"/>
      <c r="AA19" s="169"/>
      <c r="AB19" s="169"/>
      <c r="AC19" s="185" t="e">
        <f t="shared" si="5"/>
        <v>#N/A</v>
      </c>
      <c r="AD19" s="494"/>
      <c r="AE19" s="169"/>
      <c r="AF19" s="169"/>
      <c r="AG19" s="169"/>
      <c r="AH19" s="185" t="e">
        <f t="shared" si="6"/>
        <v>#N/A</v>
      </c>
      <c r="AI19" s="494"/>
      <c r="AJ19" s="169"/>
      <c r="AK19" s="169"/>
      <c r="AL19" s="169"/>
      <c r="AM19" s="185" t="e">
        <f t="shared" si="7"/>
        <v>#N/A</v>
      </c>
      <c r="AN19" s="494"/>
      <c r="AO19" s="169"/>
      <c r="AP19" s="169"/>
      <c r="AQ19" s="169"/>
      <c r="AR19" s="185" t="e">
        <f t="shared" si="8"/>
        <v>#N/A</v>
      </c>
      <c r="AS19" s="494"/>
      <c r="AT19" s="169"/>
      <c r="AU19" s="169"/>
      <c r="AV19" s="169"/>
      <c r="AW19" s="185" t="e">
        <f t="shared" si="9"/>
        <v>#N/A</v>
      </c>
      <c r="AX19" s="494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206"/>
      <c r="E20" s="169"/>
      <c r="F20" s="185"/>
      <c r="G20" s="183"/>
      <c r="H20" s="452"/>
      <c r="I20" s="185"/>
      <c r="J20" s="185"/>
      <c r="K20" s="185"/>
      <c r="L20" s="452"/>
      <c r="M20" s="184" t="e">
        <f>RANK(K20, $K$7:K$21)</f>
        <v>#N/A</v>
      </c>
      <c r="N20" s="454"/>
      <c r="O20" s="454"/>
      <c r="P20" s="169"/>
      <c r="Q20" s="169"/>
      <c r="R20" s="169"/>
      <c r="S20" s="185" t="e">
        <f t="shared" si="3"/>
        <v>#N/A</v>
      </c>
      <c r="T20" s="494"/>
      <c r="U20" s="169"/>
      <c r="V20" s="169"/>
      <c r="W20" s="169"/>
      <c r="X20" s="185">
        <f t="shared" si="4"/>
        <v>10</v>
      </c>
      <c r="Y20" s="494"/>
      <c r="Z20" s="169"/>
      <c r="AA20" s="169"/>
      <c r="AB20" s="169"/>
      <c r="AC20" s="185" t="e">
        <f t="shared" si="5"/>
        <v>#N/A</v>
      </c>
      <c r="AD20" s="494"/>
      <c r="AE20" s="169"/>
      <c r="AF20" s="169"/>
      <c r="AG20" s="169"/>
      <c r="AH20" s="185" t="e">
        <f t="shared" si="6"/>
        <v>#N/A</v>
      </c>
      <c r="AI20" s="494"/>
      <c r="AJ20" s="169"/>
      <c r="AK20" s="169"/>
      <c r="AL20" s="169"/>
      <c r="AM20" s="185" t="e">
        <f t="shared" si="7"/>
        <v>#N/A</v>
      </c>
      <c r="AN20" s="494"/>
      <c r="AO20" s="169"/>
      <c r="AP20" s="169"/>
      <c r="AQ20" s="169"/>
      <c r="AR20" s="185" t="e">
        <f t="shared" si="8"/>
        <v>#N/A</v>
      </c>
      <c r="AS20" s="494"/>
      <c r="AT20" s="169"/>
      <c r="AU20" s="169"/>
      <c r="AV20" s="169"/>
      <c r="AW20" s="185" t="e">
        <f t="shared" si="9"/>
        <v>#N/A</v>
      </c>
      <c r="AX20" s="494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206"/>
      <c r="E21" s="169"/>
      <c r="F21" s="185"/>
      <c r="G21" s="183"/>
      <c r="H21" s="453"/>
      <c r="I21" s="185"/>
      <c r="J21" s="185"/>
      <c r="K21" s="185"/>
      <c r="L21" s="453"/>
      <c r="M21" s="169" t="e">
        <f>RANK(K21, $K$7:K$21)</f>
        <v>#N/A</v>
      </c>
      <c r="N21" s="454"/>
      <c r="O21" s="454"/>
      <c r="P21" s="169"/>
      <c r="Q21" s="169"/>
      <c r="R21" s="169"/>
      <c r="S21" s="185" t="e">
        <f t="shared" si="3"/>
        <v>#N/A</v>
      </c>
      <c r="T21" s="494"/>
      <c r="U21" s="169"/>
      <c r="V21" s="169"/>
      <c r="W21" s="169"/>
      <c r="X21" s="185">
        <f t="shared" si="4"/>
        <v>10</v>
      </c>
      <c r="Y21" s="494"/>
      <c r="Z21" s="169"/>
      <c r="AA21" s="169"/>
      <c r="AB21" s="169"/>
      <c r="AC21" s="185" t="e">
        <f t="shared" si="5"/>
        <v>#N/A</v>
      </c>
      <c r="AD21" s="494"/>
      <c r="AE21" s="169"/>
      <c r="AF21" s="169"/>
      <c r="AG21" s="169"/>
      <c r="AH21" s="185" t="e">
        <f t="shared" si="6"/>
        <v>#N/A</v>
      </c>
      <c r="AI21" s="494"/>
      <c r="AJ21" s="169"/>
      <c r="AK21" s="169"/>
      <c r="AL21" s="169"/>
      <c r="AM21" s="185" t="e">
        <f t="shared" si="7"/>
        <v>#N/A</v>
      </c>
      <c r="AN21" s="494"/>
      <c r="AO21" s="169"/>
      <c r="AP21" s="169"/>
      <c r="AQ21" s="169"/>
      <c r="AR21" s="185" t="e">
        <f t="shared" si="8"/>
        <v>#N/A</v>
      </c>
      <c r="AS21" s="494"/>
      <c r="AT21" s="169"/>
      <c r="AU21" s="169"/>
      <c r="AV21" s="169"/>
      <c r="AW21" s="185" t="e">
        <f t="shared" si="9"/>
        <v>#N/A</v>
      </c>
      <c r="AX21" s="494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70">
        <f>AT2+1</f>
        <v>45965</v>
      </c>
      <c r="Q22" s="471"/>
      <c r="R22" s="471"/>
      <c r="S22" s="471"/>
      <c r="T22" s="471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54" t="s">
        <v>312</v>
      </c>
      <c r="C27" s="185">
        <v>1</v>
      </c>
      <c r="D27" s="206" t="s">
        <v>313</v>
      </c>
      <c r="E27" s="169">
        <v>18</v>
      </c>
      <c r="F27" s="185">
        <v>1636</v>
      </c>
      <c r="G27" s="183">
        <v>90.888888888888886</v>
      </c>
      <c r="H27" s="451">
        <f>AVERAGE(G27:G41)</f>
        <v>92.956854145166844</v>
      </c>
      <c r="I27" s="169">
        <f>AVERAGE(P27,U27,Z27,AE27,AJ27,AO27,AT27)</f>
        <v>18</v>
      </c>
      <c r="J27" s="169">
        <f>AVERAGE(Q27,V27,AA27,AF27,AK27,AP27,AU27)</f>
        <v>1388.5435148504082</v>
      </c>
      <c r="K27" s="183">
        <f>AVERAGE(R27,W27,AB27,AG27,AL27,AQ27,AV27)</f>
        <v>77.141306380578243</v>
      </c>
      <c r="L27" s="451">
        <f>IFERROR(AVERAGE(K27:K41),"-")</f>
        <v>79.308428371577605</v>
      </c>
      <c r="M27" s="184">
        <f>RANK(K27, K$27:$K$41)</f>
        <v>4</v>
      </c>
      <c r="N27" s="454"/>
      <c r="O27" s="454"/>
      <c r="P27" s="169">
        <v>18</v>
      </c>
      <c r="Q27" s="169">
        <v>1392.8155339805826</v>
      </c>
      <c r="R27" s="169">
        <v>77.378640776699029</v>
      </c>
      <c r="S27" s="185">
        <f t="shared" ref="S27:S41" si="11">RANK(R27, R$27:R$41)</f>
        <v>4</v>
      </c>
      <c r="T27" s="494">
        <f>AVERAGE(R27:R41)</f>
        <v>79.619894602830968</v>
      </c>
      <c r="U27" s="169">
        <v>18</v>
      </c>
      <c r="V27" s="169">
        <v>1408.4848484848483</v>
      </c>
      <c r="W27" s="169">
        <v>78.249158249158242</v>
      </c>
      <c r="X27" s="185">
        <f t="shared" ref="X27:X41" si="12">RANK(W27, W$27:W$41)</f>
        <v>3</v>
      </c>
      <c r="Y27" s="494">
        <f>AVERAGE(W27:W41)</f>
        <v>79.742159732099395</v>
      </c>
      <c r="Z27" s="169">
        <v>18</v>
      </c>
      <c r="AA27" s="169">
        <v>1378.181818181818</v>
      </c>
      <c r="AB27" s="169">
        <v>76.565656565656553</v>
      </c>
      <c r="AC27" s="185">
        <f t="shared" ref="AC27:AC41" si="13">RANK(AB27, AB$27:AB$41)</f>
        <v>5</v>
      </c>
      <c r="AD27" s="494">
        <f>AVERAGE(AB27:AB41)</f>
        <v>81.119405292336523</v>
      </c>
      <c r="AE27" s="169">
        <v>18</v>
      </c>
      <c r="AF27" s="169">
        <v>1404.7058823529417</v>
      </c>
      <c r="AG27" s="169">
        <v>78.039215686274531</v>
      </c>
      <c r="AH27" s="185">
        <f t="shared" ref="AH27:AH41" si="14">RANK(AG27, AG$27:AG$41)</f>
        <v>3</v>
      </c>
      <c r="AI27" s="494">
        <f>AVERAGE(AG27:AG41)</f>
        <v>78.829472226417295</v>
      </c>
      <c r="AJ27" s="169">
        <v>18</v>
      </c>
      <c r="AK27" s="169">
        <v>1359.3548387096771</v>
      </c>
      <c r="AL27" s="169">
        <v>75.519713261648732</v>
      </c>
      <c r="AM27" s="185">
        <f t="shared" ref="AM27:AM41" si="15">RANK(AL27, AL$27:AL$41)</f>
        <v>5</v>
      </c>
      <c r="AN27" s="494">
        <f>AVERAGE(AL27:AL41)</f>
        <v>78.847412823243005</v>
      </c>
      <c r="AO27" s="169">
        <v>18</v>
      </c>
      <c r="AP27" s="169">
        <v>1391.7757009345796</v>
      </c>
      <c r="AQ27" s="169">
        <v>77.320872274143312</v>
      </c>
      <c r="AR27" s="185">
        <f t="shared" ref="AR27:AR41" si="16">RANK(AQ27, AQ$27:AQ$41)</f>
        <v>2</v>
      </c>
      <c r="AS27" s="494">
        <f>AVERAGE(AQ27:AQ41)</f>
        <v>78.372350562393663</v>
      </c>
      <c r="AT27" s="169">
        <v>18</v>
      </c>
      <c r="AU27" s="169">
        <v>1384.4859813084115</v>
      </c>
      <c r="AV27" s="169">
        <v>76.9158878504673</v>
      </c>
      <c r="AW27" s="185">
        <f t="shared" ref="AW27:AW41" si="17">RANK(AV27, AV$27:AV$41)</f>
        <v>3</v>
      </c>
      <c r="AX27" s="494">
        <f>AVERAGE(AV27:AV41)</f>
        <v>78.628303361722374</v>
      </c>
    </row>
    <row r="28" spans="2:54">
      <c r="B28" s="471"/>
      <c r="C28" s="185">
        <v>2</v>
      </c>
      <c r="D28" s="206" t="s">
        <v>314</v>
      </c>
      <c r="E28" s="169">
        <v>19</v>
      </c>
      <c r="F28" s="185">
        <v>1440</v>
      </c>
      <c r="G28" s="183">
        <v>75.78947368421052</v>
      </c>
      <c r="H28" s="452"/>
      <c r="I28" s="169">
        <f t="shared" ref="I28:I33" si="18">AVERAGE(P28,U28,Z28,AE28,AJ28,AO28,AT28)</f>
        <v>18</v>
      </c>
      <c r="J28" s="169">
        <f t="shared" ref="J28:J33" si="19">AVERAGE(Q28,V28,AA28,AF28,AK28,AP28,AU28)</f>
        <v>1339.083707457899</v>
      </c>
      <c r="K28" s="183">
        <f t="shared" ref="K28:K33" si="20">AVERAGE(R28,W28,AB28,AG28,AL28,AQ28,AV28)</f>
        <v>74.393539303216599</v>
      </c>
      <c r="L28" s="452"/>
      <c r="M28" s="184">
        <f>RANK(K28, K$27:$K$41)</f>
        <v>5</v>
      </c>
      <c r="N28" s="454"/>
      <c r="O28" s="454"/>
      <c r="P28" s="169">
        <v>18</v>
      </c>
      <c r="Q28" s="169">
        <v>1317</v>
      </c>
      <c r="R28" s="169">
        <v>73.166666666666671</v>
      </c>
      <c r="S28" s="185">
        <f t="shared" si="11"/>
        <v>6</v>
      </c>
      <c r="T28" s="494"/>
      <c r="U28" s="169">
        <v>18</v>
      </c>
      <c r="V28" s="169">
        <v>1345.2467532467533</v>
      </c>
      <c r="W28" s="169">
        <v>74.735930735930737</v>
      </c>
      <c r="X28" s="185">
        <f t="shared" si="12"/>
        <v>5</v>
      </c>
      <c r="Y28" s="494"/>
      <c r="Z28" s="169">
        <v>18</v>
      </c>
      <c r="AA28" s="169">
        <v>1355.6756756756754</v>
      </c>
      <c r="AB28" s="169">
        <v>75.315315315315303</v>
      </c>
      <c r="AC28" s="185">
        <f t="shared" si="13"/>
        <v>6</v>
      </c>
      <c r="AD28" s="494"/>
      <c r="AE28" s="169">
        <v>18</v>
      </c>
      <c r="AF28" s="169">
        <v>1336.0975609756101</v>
      </c>
      <c r="AG28" s="169">
        <v>74.227642276422785</v>
      </c>
      <c r="AH28" s="185">
        <f t="shared" si="14"/>
        <v>5</v>
      </c>
      <c r="AI28" s="494"/>
      <c r="AJ28" s="169">
        <v>18</v>
      </c>
      <c r="AK28" s="169">
        <v>1316.4705882352946</v>
      </c>
      <c r="AL28" s="169">
        <v>73.137254901960816</v>
      </c>
      <c r="AM28" s="185">
        <f t="shared" si="15"/>
        <v>6</v>
      </c>
      <c r="AN28" s="494"/>
      <c r="AO28" s="169">
        <v>18</v>
      </c>
      <c r="AP28" s="169">
        <v>1364.2718446601943</v>
      </c>
      <c r="AQ28" s="169">
        <v>75.792880258899686</v>
      </c>
      <c r="AR28" s="185">
        <f t="shared" si="16"/>
        <v>5</v>
      </c>
      <c r="AS28" s="494"/>
      <c r="AT28" s="169">
        <v>18</v>
      </c>
      <c r="AU28" s="169">
        <v>1338.8235294117646</v>
      </c>
      <c r="AV28" s="169">
        <v>74.379084967320253</v>
      </c>
      <c r="AW28" s="185">
        <f t="shared" si="17"/>
        <v>5</v>
      </c>
      <c r="AX28" s="494"/>
    </row>
    <row r="29" spans="2:54">
      <c r="B29" s="471"/>
      <c r="C29" s="185">
        <v>3</v>
      </c>
      <c r="D29" s="206" t="s">
        <v>315</v>
      </c>
      <c r="E29" s="169">
        <v>17</v>
      </c>
      <c r="F29" s="185">
        <v>1636</v>
      </c>
      <c r="G29" s="183">
        <v>96.235294117647058</v>
      </c>
      <c r="H29" s="452"/>
      <c r="I29" s="169">
        <f t="shared" si="18"/>
        <v>17.571428571428573</v>
      </c>
      <c r="J29" s="169">
        <f t="shared" si="19"/>
        <v>1386.1362308857172</v>
      </c>
      <c r="K29" s="183">
        <f t="shared" si="20"/>
        <v>78.949122409419701</v>
      </c>
      <c r="L29" s="452"/>
      <c r="M29" s="184">
        <f>RANK(K29, K$27:$K$41)</f>
        <v>2</v>
      </c>
      <c r="N29" s="454"/>
      <c r="O29" s="454"/>
      <c r="P29" s="169">
        <v>17</v>
      </c>
      <c r="Q29" s="169">
        <v>1390.7746987951805</v>
      </c>
      <c r="R29" s="169">
        <v>81.8102763997165</v>
      </c>
      <c r="S29" s="185">
        <f t="shared" si="11"/>
        <v>2</v>
      </c>
      <c r="T29" s="494"/>
      <c r="U29" s="169">
        <v>17</v>
      </c>
      <c r="V29" s="169">
        <v>1373.9085365853662</v>
      </c>
      <c r="W29" s="169">
        <v>80.818149210903897</v>
      </c>
      <c r="X29" s="185">
        <f t="shared" si="12"/>
        <v>2</v>
      </c>
      <c r="Y29" s="494"/>
      <c r="Z29" s="169">
        <v>17</v>
      </c>
      <c r="AA29" s="169">
        <v>1394.1254901960785</v>
      </c>
      <c r="AB29" s="169">
        <v>82.00738177623991</v>
      </c>
      <c r="AC29" s="185">
        <f t="shared" si="13"/>
        <v>2</v>
      </c>
      <c r="AD29" s="494"/>
      <c r="AE29" s="169">
        <v>18</v>
      </c>
      <c r="AF29" s="169">
        <v>1415.1999999999998</v>
      </c>
      <c r="AG29" s="169">
        <v>78.622222222222206</v>
      </c>
      <c r="AH29" s="185">
        <f t="shared" si="14"/>
        <v>2</v>
      </c>
      <c r="AI29" s="494"/>
      <c r="AJ29" s="169">
        <v>18</v>
      </c>
      <c r="AK29" s="169">
        <v>1381.0285714285717</v>
      </c>
      <c r="AL29" s="169">
        <v>76.723809523809535</v>
      </c>
      <c r="AM29" s="185">
        <f t="shared" si="15"/>
        <v>3</v>
      </c>
      <c r="AN29" s="494"/>
      <c r="AO29" s="169">
        <v>18</v>
      </c>
      <c r="AP29" s="169">
        <v>1384.6153846153843</v>
      </c>
      <c r="AQ29" s="169">
        <v>76.923076923076906</v>
      </c>
      <c r="AR29" s="185">
        <f t="shared" si="16"/>
        <v>4</v>
      </c>
      <c r="AS29" s="494"/>
      <c r="AT29" s="169">
        <v>18</v>
      </c>
      <c r="AU29" s="169">
        <v>1363.3009345794394</v>
      </c>
      <c r="AV29" s="169">
        <v>75.738940809968852</v>
      </c>
      <c r="AW29" s="185">
        <f t="shared" si="17"/>
        <v>4</v>
      </c>
      <c r="AX29" s="494"/>
    </row>
    <row r="30" spans="2:54">
      <c r="B30" s="471"/>
      <c r="C30" s="185">
        <v>4</v>
      </c>
      <c r="D30" s="206" t="s">
        <v>316</v>
      </c>
      <c r="E30" s="169">
        <v>20</v>
      </c>
      <c r="F30" s="185">
        <v>1636</v>
      </c>
      <c r="G30" s="183">
        <v>81.8</v>
      </c>
      <c r="H30" s="452"/>
      <c r="I30" s="169">
        <f t="shared" si="18"/>
        <v>20</v>
      </c>
      <c r="J30" s="169">
        <f t="shared" si="19"/>
        <v>1389.45951952631</v>
      </c>
      <c r="K30" s="183">
        <f t="shared" si="20"/>
        <v>69.472975976315496</v>
      </c>
      <c r="L30" s="452"/>
      <c r="M30" s="184">
        <f>RANK(K30, K$27:$K$41)</f>
        <v>7</v>
      </c>
      <c r="N30" s="454"/>
      <c r="O30" s="454"/>
      <c r="P30" s="169">
        <v>20</v>
      </c>
      <c r="Q30" s="169">
        <v>1371.9402985074628</v>
      </c>
      <c r="R30" s="169">
        <v>68.597014925373145</v>
      </c>
      <c r="S30" s="185">
        <f t="shared" si="11"/>
        <v>7</v>
      </c>
      <c r="T30" s="494"/>
      <c r="U30" s="169">
        <v>20</v>
      </c>
      <c r="V30" s="169">
        <v>1400.5970149253731</v>
      </c>
      <c r="W30" s="169">
        <v>70.02985074626865</v>
      </c>
      <c r="X30" s="185">
        <f t="shared" si="12"/>
        <v>7</v>
      </c>
      <c r="Y30" s="494"/>
      <c r="Z30" s="169">
        <v>20</v>
      </c>
      <c r="AA30" s="169">
        <v>1401.2903225806447</v>
      </c>
      <c r="AB30" s="169">
        <v>70.064516129032228</v>
      </c>
      <c r="AC30" s="185">
        <f t="shared" si="13"/>
        <v>7</v>
      </c>
      <c r="AD30" s="494"/>
      <c r="AE30" s="169">
        <v>20</v>
      </c>
      <c r="AF30" s="169">
        <v>1413.3333333333333</v>
      </c>
      <c r="AG30" s="169">
        <v>70.666666666666657</v>
      </c>
      <c r="AH30" s="185">
        <f t="shared" si="14"/>
        <v>6</v>
      </c>
      <c r="AI30" s="494"/>
      <c r="AJ30" s="169">
        <v>20</v>
      </c>
      <c r="AK30" s="169">
        <v>1381.9047619047624</v>
      </c>
      <c r="AL30" s="169">
        <v>69.095238095238116</v>
      </c>
      <c r="AM30" s="185">
        <f t="shared" si="15"/>
        <v>7</v>
      </c>
      <c r="AN30" s="494"/>
      <c r="AO30" s="169">
        <v>20</v>
      </c>
      <c r="AP30" s="169">
        <v>1357.7142857142851</v>
      </c>
      <c r="AQ30" s="169">
        <v>67.885714285714258</v>
      </c>
      <c r="AR30" s="185">
        <f t="shared" si="16"/>
        <v>7</v>
      </c>
      <c r="AS30" s="494"/>
      <c r="AT30" s="169">
        <v>20</v>
      </c>
      <c r="AU30" s="169">
        <v>1399.4366197183092</v>
      </c>
      <c r="AV30" s="169">
        <v>69.97183098591546</v>
      </c>
      <c r="AW30" s="185">
        <f t="shared" si="17"/>
        <v>7</v>
      </c>
      <c r="AX30" s="494"/>
    </row>
    <row r="31" spans="2:54">
      <c r="B31" s="471"/>
      <c r="C31" s="185">
        <v>5</v>
      </c>
      <c r="D31" s="206" t="s">
        <v>317</v>
      </c>
      <c r="E31" s="169">
        <v>17</v>
      </c>
      <c r="F31" s="185">
        <v>1636</v>
      </c>
      <c r="G31" s="183">
        <v>96.235294117647058</v>
      </c>
      <c r="H31" s="452"/>
      <c r="I31" s="169">
        <f t="shared" si="18"/>
        <v>18</v>
      </c>
      <c r="J31" s="169">
        <f t="shared" si="19"/>
        <v>1309.0828993666441</v>
      </c>
      <c r="K31" s="183">
        <f t="shared" si="20"/>
        <v>72.72682774259134</v>
      </c>
      <c r="L31" s="452"/>
      <c r="M31" s="184">
        <f>RANK(K31, K$27:$K$41)</f>
        <v>6</v>
      </c>
      <c r="N31" s="454"/>
      <c r="O31" s="454"/>
      <c r="P31" s="169">
        <v>18</v>
      </c>
      <c r="Q31" s="169">
        <v>1382.1428571428582</v>
      </c>
      <c r="R31" s="169">
        <v>76.785714285714349</v>
      </c>
      <c r="S31" s="185">
        <f t="shared" si="11"/>
        <v>5</v>
      </c>
      <c r="T31" s="494"/>
      <c r="U31" s="169">
        <v>18</v>
      </c>
      <c r="V31" s="169">
        <v>1336.5517241379321</v>
      </c>
      <c r="W31" s="169">
        <v>74.252873563218444</v>
      </c>
      <c r="X31" s="185">
        <f t="shared" si="12"/>
        <v>6</v>
      </c>
      <c r="Y31" s="494"/>
      <c r="Z31" s="169">
        <v>18</v>
      </c>
      <c r="AA31" s="169">
        <v>1397.1428571428582</v>
      </c>
      <c r="AB31" s="169">
        <v>77.619047619047677</v>
      </c>
      <c r="AC31" s="185">
        <f t="shared" si="13"/>
        <v>4</v>
      </c>
      <c r="AD31" s="494"/>
      <c r="AE31" s="169">
        <v>18</v>
      </c>
      <c r="AF31" s="169">
        <v>1173.6000000000004</v>
      </c>
      <c r="AG31" s="169">
        <v>65.200000000000017</v>
      </c>
      <c r="AH31" s="185">
        <f t="shared" si="14"/>
        <v>8</v>
      </c>
      <c r="AI31" s="494"/>
      <c r="AJ31" s="169">
        <v>18</v>
      </c>
      <c r="AK31" s="169">
        <v>1366.0000000000011</v>
      </c>
      <c r="AL31" s="169">
        <v>75.888888888888957</v>
      </c>
      <c r="AM31" s="185">
        <f t="shared" si="15"/>
        <v>4</v>
      </c>
      <c r="AN31" s="494"/>
      <c r="AO31" s="169">
        <v>18</v>
      </c>
      <c r="AP31" s="169">
        <v>1186.0000000000011</v>
      </c>
      <c r="AQ31" s="169">
        <v>65.888888888888957</v>
      </c>
      <c r="AR31" s="185">
        <f t="shared" si="16"/>
        <v>8</v>
      </c>
      <c r="AS31" s="494"/>
      <c r="AT31" s="169">
        <v>18</v>
      </c>
      <c r="AU31" s="169">
        <v>1322.1428571428582</v>
      </c>
      <c r="AV31" s="169">
        <v>73.45238095238102</v>
      </c>
      <c r="AW31" s="185">
        <f t="shared" si="17"/>
        <v>6</v>
      </c>
      <c r="AX31" s="494"/>
    </row>
    <row r="32" spans="2:54">
      <c r="B32" s="471"/>
      <c r="C32" s="185">
        <v>6</v>
      </c>
      <c r="D32" s="206" t="s">
        <v>318</v>
      </c>
      <c r="E32" s="169">
        <v>12</v>
      </c>
      <c r="F32" s="185">
        <v>1500</v>
      </c>
      <c r="G32" s="183">
        <v>125</v>
      </c>
      <c r="H32" s="452"/>
      <c r="I32" s="169">
        <f t="shared" si="18"/>
        <v>12</v>
      </c>
      <c r="J32" s="169">
        <f t="shared" si="19"/>
        <v>1383.3572306549272</v>
      </c>
      <c r="K32" s="183">
        <f t="shared" si="20"/>
        <v>115.27976922124397</v>
      </c>
      <c r="L32" s="452"/>
      <c r="M32" s="184">
        <f>RANK(K32, K$27:$K$41)</f>
        <v>1</v>
      </c>
      <c r="N32" s="454"/>
      <c r="O32" s="454"/>
      <c r="P32" s="169">
        <v>12</v>
      </c>
      <c r="Q32" s="169">
        <v>1372.941176470589</v>
      </c>
      <c r="R32" s="169">
        <v>114.41176470588242</v>
      </c>
      <c r="S32" s="185">
        <f t="shared" si="11"/>
        <v>1</v>
      </c>
      <c r="T32" s="494"/>
      <c r="U32" s="169">
        <v>12</v>
      </c>
      <c r="V32" s="169">
        <v>1376.7272727272716</v>
      </c>
      <c r="W32" s="169">
        <v>114.72727272727263</v>
      </c>
      <c r="X32" s="185">
        <f t="shared" si="12"/>
        <v>1</v>
      </c>
      <c r="Y32" s="494"/>
      <c r="Z32" s="169">
        <v>12</v>
      </c>
      <c r="AA32" s="169">
        <v>1399.5348837209301</v>
      </c>
      <c r="AB32" s="169">
        <v>116.62790697674417</v>
      </c>
      <c r="AC32" s="185">
        <f t="shared" si="13"/>
        <v>1</v>
      </c>
      <c r="AD32" s="494"/>
      <c r="AE32" s="169">
        <v>12</v>
      </c>
      <c r="AF32" s="169">
        <v>1414.736842105262</v>
      </c>
      <c r="AG32" s="169">
        <v>117.89473684210516</v>
      </c>
      <c r="AH32" s="185">
        <f t="shared" si="14"/>
        <v>1</v>
      </c>
      <c r="AI32" s="494"/>
      <c r="AJ32" s="169">
        <v>12</v>
      </c>
      <c r="AK32" s="169">
        <v>1375.3846153846146</v>
      </c>
      <c r="AL32" s="169">
        <v>114.61538461538454</v>
      </c>
      <c r="AM32" s="185">
        <f t="shared" si="15"/>
        <v>1</v>
      </c>
      <c r="AN32" s="494"/>
      <c r="AO32" s="169">
        <v>12</v>
      </c>
      <c r="AP32" s="169">
        <v>1405.714285714286</v>
      </c>
      <c r="AQ32" s="169">
        <v>117.14285714285717</v>
      </c>
      <c r="AR32" s="185">
        <f t="shared" si="16"/>
        <v>1</v>
      </c>
      <c r="AS32" s="494"/>
      <c r="AT32" s="169">
        <v>12</v>
      </c>
      <c r="AU32" s="169">
        <v>1338.4615384615392</v>
      </c>
      <c r="AV32" s="169">
        <v>111.5384615384616</v>
      </c>
      <c r="AW32" s="185">
        <f t="shared" si="17"/>
        <v>1</v>
      </c>
      <c r="AX32" s="494"/>
    </row>
    <row r="33" spans="2:50">
      <c r="B33" s="471"/>
      <c r="C33" s="185">
        <v>7</v>
      </c>
      <c r="D33" s="206" t="s">
        <v>319</v>
      </c>
      <c r="E33" s="169">
        <v>17</v>
      </c>
      <c r="F33" s="185">
        <v>1636</v>
      </c>
      <c r="G33" s="183">
        <v>96.235294117647058</v>
      </c>
      <c r="H33" s="452"/>
      <c r="I33" s="169">
        <f t="shared" si="18"/>
        <v>17.857142857142858</v>
      </c>
      <c r="J33" s="169">
        <f t="shared" si="19"/>
        <v>1399.3371066170582</v>
      </c>
      <c r="K33" s="183">
        <f t="shared" si="20"/>
        <v>78.385208070695583</v>
      </c>
      <c r="L33" s="452"/>
      <c r="M33" s="184">
        <f>RANK(K33, K$27:$K$41)</f>
        <v>3</v>
      </c>
      <c r="N33" s="454"/>
      <c r="O33" s="454"/>
      <c r="P33" s="169">
        <v>18</v>
      </c>
      <c r="Q33" s="169">
        <v>1422.5316455696202</v>
      </c>
      <c r="R33" s="169">
        <v>79.029535864978897</v>
      </c>
      <c r="S33" s="185">
        <f t="shared" si="11"/>
        <v>3</v>
      </c>
      <c r="T33" s="494"/>
      <c r="U33" s="169">
        <v>18</v>
      </c>
      <c r="V33" s="169">
        <v>1404.1558441558441</v>
      </c>
      <c r="W33" s="169">
        <v>78.008658008658003</v>
      </c>
      <c r="X33" s="185">
        <f t="shared" si="12"/>
        <v>4</v>
      </c>
      <c r="Y33" s="494"/>
      <c r="Z33" s="169">
        <v>17</v>
      </c>
      <c r="AA33" s="169">
        <v>1380.0000000000002</v>
      </c>
      <c r="AB33" s="169">
        <v>81.176470588235304</v>
      </c>
      <c r="AC33" s="185">
        <f t="shared" si="13"/>
        <v>3</v>
      </c>
      <c r="AD33" s="494"/>
      <c r="AE33" s="169">
        <v>18</v>
      </c>
      <c r="AF33" s="169">
        <v>1387.4999999999993</v>
      </c>
      <c r="AG33" s="169">
        <v>77.0833333333333</v>
      </c>
      <c r="AH33" s="185">
        <f t="shared" si="14"/>
        <v>4</v>
      </c>
      <c r="AI33" s="494"/>
      <c r="AJ33" s="169">
        <v>18</v>
      </c>
      <c r="AK33" s="169">
        <v>1410.8108108108106</v>
      </c>
      <c r="AL33" s="169">
        <v>78.378378378378372</v>
      </c>
      <c r="AM33" s="185">
        <f t="shared" si="15"/>
        <v>2</v>
      </c>
      <c r="AN33" s="494"/>
      <c r="AO33" s="169">
        <v>18</v>
      </c>
      <c r="AP33" s="169">
        <v>1391.5662650602412</v>
      </c>
      <c r="AQ33" s="169">
        <v>77.309236947791177</v>
      </c>
      <c r="AR33" s="185">
        <f t="shared" si="16"/>
        <v>3</v>
      </c>
      <c r="AS33" s="494"/>
      <c r="AT33" s="169">
        <v>18</v>
      </c>
      <c r="AU33" s="169">
        <v>1398.7951807228917</v>
      </c>
      <c r="AV33" s="169">
        <v>77.710843373493987</v>
      </c>
      <c r="AW33" s="185">
        <f t="shared" si="17"/>
        <v>2</v>
      </c>
      <c r="AX33" s="494"/>
    </row>
    <row r="34" spans="2:50">
      <c r="B34" s="471"/>
      <c r="C34" s="185">
        <v>8</v>
      </c>
      <c r="D34" s="206" t="s">
        <v>322</v>
      </c>
      <c r="E34" s="169">
        <v>17</v>
      </c>
      <c r="F34" s="185">
        <v>1385</v>
      </c>
      <c r="G34" s="183">
        <v>81.470588235294116</v>
      </c>
      <c r="H34" s="452"/>
      <c r="I34" s="169">
        <f t="shared" ref="I34" si="21">AVERAGE(P34,U34,Z34,AE34,AJ34,AO34,AT34)</f>
        <v>18.142857142857142</v>
      </c>
      <c r="J34" s="169">
        <f t="shared" ref="J34" si="22">AVERAGE(Q34,V34,AA34,AF34,AK34,AP34,AU34)</f>
        <v>1235.5332792337381</v>
      </c>
      <c r="K34" s="183">
        <f t="shared" ref="K34" si="23">AVERAGE(R34,W34,AB34,AG34,AL34,AQ34,AV34)</f>
        <v>68.118677868559914</v>
      </c>
      <c r="L34" s="452"/>
      <c r="M34" s="184">
        <f>RANK(K34, K$27:$K$41)</f>
        <v>8</v>
      </c>
      <c r="N34" s="454"/>
      <c r="O34" s="454"/>
      <c r="P34" s="169">
        <v>19</v>
      </c>
      <c r="Q34" s="169">
        <v>1249.8113207547167</v>
      </c>
      <c r="R34" s="169">
        <v>65.779543197616661</v>
      </c>
      <c r="S34" s="185">
        <f t="shared" si="11"/>
        <v>8</v>
      </c>
      <c r="T34" s="494"/>
      <c r="U34" s="169">
        <v>18</v>
      </c>
      <c r="V34" s="169">
        <v>1208.0769230769235</v>
      </c>
      <c r="W34" s="169">
        <v>67.115384615384642</v>
      </c>
      <c r="X34" s="185">
        <f t="shared" si="12"/>
        <v>8</v>
      </c>
      <c r="Y34" s="494"/>
      <c r="Z34" s="169">
        <v>18</v>
      </c>
      <c r="AA34" s="169">
        <v>1252.421052631579</v>
      </c>
      <c r="AB34" s="169">
        <v>69.578947368421055</v>
      </c>
      <c r="AC34" s="185">
        <f t="shared" si="13"/>
        <v>8</v>
      </c>
      <c r="AD34" s="494"/>
      <c r="AE34" s="169">
        <v>18</v>
      </c>
      <c r="AF34" s="169">
        <v>1240.2352941176468</v>
      </c>
      <c r="AG34" s="169">
        <v>68.901960784313715</v>
      </c>
      <c r="AH34" s="185">
        <f t="shared" si="14"/>
        <v>7</v>
      </c>
      <c r="AI34" s="494"/>
      <c r="AJ34" s="169">
        <v>18</v>
      </c>
      <c r="AK34" s="169">
        <v>1213.5714285714282</v>
      </c>
      <c r="AL34" s="169">
        <v>67.420634920634896</v>
      </c>
      <c r="AM34" s="185">
        <f t="shared" si="15"/>
        <v>8</v>
      </c>
      <c r="AN34" s="494"/>
      <c r="AO34" s="169">
        <v>18</v>
      </c>
      <c r="AP34" s="169">
        <v>1236.8750000000005</v>
      </c>
      <c r="AQ34" s="169">
        <v>68.7152777777778</v>
      </c>
      <c r="AR34" s="185">
        <f t="shared" si="16"/>
        <v>6</v>
      </c>
      <c r="AS34" s="494"/>
      <c r="AT34" s="169">
        <v>18</v>
      </c>
      <c r="AU34" s="169">
        <v>1247.7419354838712</v>
      </c>
      <c r="AV34" s="169">
        <v>69.318996415770627</v>
      </c>
      <c r="AW34" s="185">
        <f t="shared" si="17"/>
        <v>8</v>
      </c>
      <c r="AX34" s="494"/>
    </row>
    <row r="35" spans="2:50">
      <c r="B35" s="471"/>
      <c r="C35" s="185">
        <v>9</v>
      </c>
      <c r="D35" s="206"/>
      <c r="E35" s="169"/>
      <c r="F35" s="185"/>
      <c r="G35" s="183"/>
      <c r="H35" s="452"/>
      <c r="I35" s="169"/>
      <c r="J35" s="169"/>
      <c r="K35" s="183"/>
      <c r="L35" s="452"/>
      <c r="M35" s="184" t="e">
        <f>RANK(K35, K$27:$K$41)</f>
        <v>#N/A</v>
      </c>
      <c r="N35" s="454"/>
      <c r="O35" s="454"/>
      <c r="P35" s="169"/>
      <c r="Q35" s="169"/>
      <c r="R35" s="169"/>
      <c r="S35" s="185" t="e">
        <f t="shared" si="11"/>
        <v>#N/A</v>
      </c>
      <c r="T35" s="494"/>
      <c r="U35" s="169"/>
      <c r="V35" s="169"/>
      <c r="W35" s="169"/>
      <c r="X35" s="185" t="e">
        <f t="shared" si="12"/>
        <v>#N/A</v>
      </c>
      <c r="Y35" s="494"/>
      <c r="Z35" s="169"/>
      <c r="AA35" s="169"/>
      <c r="AB35" s="169"/>
      <c r="AC35" s="185" t="e">
        <f t="shared" si="13"/>
        <v>#N/A</v>
      </c>
      <c r="AD35" s="494"/>
      <c r="AE35" s="169"/>
      <c r="AF35" s="169"/>
      <c r="AG35" s="169"/>
      <c r="AH35" s="185" t="e">
        <f t="shared" si="14"/>
        <v>#N/A</v>
      </c>
      <c r="AI35" s="494"/>
      <c r="AJ35" s="169"/>
      <c r="AK35" s="169"/>
      <c r="AL35" s="169"/>
      <c r="AM35" s="185" t="e">
        <f t="shared" si="15"/>
        <v>#N/A</v>
      </c>
      <c r="AN35" s="494"/>
      <c r="AO35" s="169"/>
      <c r="AP35" s="169"/>
      <c r="AQ35" s="169"/>
      <c r="AR35" s="185" t="e">
        <f t="shared" si="16"/>
        <v>#N/A</v>
      </c>
      <c r="AS35" s="494"/>
      <c r="AT35" s="169"/>
      <c r="AU35" s="169"/>
      <c r="AV35" s="169"/>
      <c r="AW35" s="185" t="e">
        <f t="shared" si="17"/>
        <v>#N/A</v>
      </c>
      <c r="AX35" s="494"/>
    </row>
    <row r="36" spans="2:50">
      <c r="B36" s="471"/>
      <c r="C36" s="185">
        <v>10</v>
      </c>
      <c r="D36" s="206"/>
      <c r="E36" s="169"/>
      <c r="F36" s="185"/>
      <c r="G36" s="183"/>
      <c r="H36" s="452"/>
      <c r="I36" s="169"/>
      <c r="J36" s="169"/>
      <c r="K36" s="183"/>
      <c r="L36" s="452"/>
      <c r="M36" s="184" t="e">
        <f>RANK(K36, K$27:$K$41)</f>
        <v>#N/A</v>
      </c>
      <c r="N36" s="454"/>
      <c r="O36" s="454"/>
      <c r="P36" s="169"/>
      <c r="Q36" s="169"/>
      <c r="R36" s="169"/>
      <c r="S36" s="185" t="e">
        <f t="shared" si="11"/>
        <v>#N/A</v>
      </c>
      <c r="T36" s="494"/>
      <c r="U36" s="169"/>
      <c r="V36" s="169"/>
      <c r="W36" s="169"/>
      <c r="X36" s="185" t="e">
        <f t="shared" si="12"/>
        <v>#N/A</v>
      </c>
      <c r="Y36" s="494"/>
      <c r="Z36" s="169"/>
      <c r="AA36" s="169"/>
      <c r="AB36" s="169"/>
      <c r="AC36" s="185" t="e">
        <f t="shared" si="13"/>
        <v>#N/A</v>
      </c>
      <c r="AD36" s="494"/>
      <c r="AE36" s="169"/>
      <c r="AF36" s="169"/>
      <c r="AG36" s="169"/>
      <c r="AH36" s="185" t="e">
        <f t="shared" si="14"/>
        <v>#N/A</v>
      </c>
      <c r="AI36" s="494"/>
      <c r="AJ36" s="169"/>
      <c r="AK36" s="169"/>
      <c r="AL36" s="169"/>
      <c r="AM36" s="185" t="e">
        <f t="shared" si="15"/>
        <v>#N/A</v>
      </c>
      <c r="AN36" s="494"/>
      <c r="AO36" s="169"/>
      <c r="AP36" s="169"/>
      <c r="AQ36" s="169"/>
      <c r="AR36" s="185" t="e">
        <f t="shared" si="16"/>
        <v>#N/A</v>
      </c>
      <c r="AS36" s="494"/>
      <c r="AT36" s="169"/>
      <c r="AU36" s="169"/>
      <c r="AV36" s="169"/>
      <c r="AW36" s="185" t="e">
        <f t="shared" si="17"/>
        <v>#N/A</v>
      </c>
      <c r="AX36" s="494"/>
    </row>
    <row r="37" spans="2:50">
      <c r="B37" s="471"/>
      <c r="C37" s="185">
        <v>11</v>
      </c>
      <c r="D37" s="206"/>
      <c r="E37" s="169"/>
      <c r="F37" s="185"/>
      <c r="G37" s="183"/>
      <c r="H37" s="452"/>
      <c r="I37" s="185"/>
      <c r="J37" s="185"/>
      <c r="K37" s="185"/>
      <c r="L37" s="452"/>
      <c r="M37" s="184" t="e">
        <f>RANK(K37, K$27:$K$41)</f>
        <v>#N/A</v>
      </c>
      <c r="N37" s="454"/>
      <c r="O37" s="454"/>
      <c r="P37" s="169"/>
      <c r="Q37" s="169"/>
      <c r="R37" s="169"/>
      <c r="S37" s="185" t="e">
        <f t="shared" si="11"/>
        <v>#N/A</v>
      </c>
      <c r="T37" s="494"/>
      <c r="U37" s="169"/>
      <c r="V37" s="169"/>
      <c r="W37" s="169"/>
      <c r="X37" s="185" t="e">
        <f t="shared" si="12"/>
        <v>#N/A</v>
      </c>
      <c r="Y37" s="494"/>
      <c r="Z37" s="169"/>
      <c r="AA37" s="169"/>
      <c r="AB37" s="169"/>
      <c r="AC37" s="185" t="e">
        <f t="shared" si="13"/>
        <v>#N/A</v>
      </c>
      <c r="AD37" s="494"/>
      <c r="AE37" s="169"/>
      <c r="AF37" s="169"/>
      <c r="AG37" s="169"/>
      <c r="AH37" s="185" t="e">
        <f t="shared" si="14"/>
        <v>#N/A</v>
      </c>
      <c r="AI37" s="494"/>
      <c r="AJ37" s="169"/>
      <c r="AK37" s="169"/>
      <c r="AL37" s="169"/>
      <c r="AM37" s="185" t="e">
        <f t="shared" si="15"/>
        <v>#N/A</v>
      </c>
      <c r="AN37" s="494"/>
      <c r="AO37" s="169"/>
      <c r="AP37" s="169"/>
      <c r="AQ37" s="169"/>
      <c r="AR37" s="185" t="e">
        <f t="shared" si="16"/>
        <v>#N/A</v>
      </c>
      <c r="AS37" s="494"/>
      <c r="AT37" s="169"/>
      <c r="AU37" s="169"/>
      <c r="AV37" s="169"/>
      <c r="AW37" s="185" t="e">
        <f t="shared" si="17"/>
        <v>#N/A</v>
      </c>
      <c r="AX37" s="494"/>
    </row>
    <row r="38" spans="2:50">
      <c r="B38" s="471"/>
      <c r="C38" s="185">
        <v>12</v>
      </c>
      <c r="D38" s="206"/>
      <c r="E38" s="169"/>
      <c r="F38" s="185"/>
      <c r="G38" s="183"/>
      <c r="H38" s="452"/>
      <c r="I38" s="185"/>
      <c r="J38" s="185"/>
      <c r="K38" s="185"/>
      <c r="L38" s="452"/>
      <c r="M38" s="184" t="e">
        <f>RANK(K38, K$27:$K$41)</f>
        <v>#N/A</v>
      </c>
      <c r="N38" s="454"/>
      <c r="O38" s="454"/>
      <c r="P38" s="169"/>
      <c r="Q38" s="169"/>
      <c r="R38" s="169"/>
      <c r="S38" s="185" t="e">
        <f t="shared" si="11"/>
        <v>#N/A</v>
      </c>
      <c r="T38" s="494"/>
      <c r="U38" s="169"/>
      <c r="V38" s="169"/>
      <c r="W38" s="169"/>
      <c r="X38" s="185" t="e">
        <f t="shared" si="12"/>
        <v>#N/A</v>
      </c>
      <c r="Y38" s="494"/>
      <c r="Z38" s="169"/>
      <c r="AA38" s="169"/>
      <c r="AB38" s="169"/>
      <c r="AC38" s="185" t="e">
        <f t="shared" si="13"/>
        <v>#N/A</v>
      </c>
      <c r="AD38" s="494"/>
      <c r="AE38" s="169"/>
      <c r="AF38" s="169"/>
      <c r="AG38" s="169"/>
      <c r="AH38" s="185" t="e">
        <f t="shared" si="14"/>
        <v>#N/A</v>
      </c>
      <c r="AI38" s="494"/>
      <c r="AJ38" s="169"/>
      <c r="AK38" s="169"/>
      <c r="AL38" s="169"/>
      <c r="AM38" s="185" t="e">
        <f t="shared" si="15"/>
        <v>#N/A</v>
      </c>
      <c r="AN38" s="494"/>
      <c r="AO38" s="169"/>
      <c r="AP38" s="169"/>
      <c r="AQ38" s="169"/>
      <c r="AR38" s="185" t="e">
        <f t="shared" si="16"/>
        <v>#N/A</v>
      </c>
      <c r="AS38" s="494"/>
      <c r="AT38" s="169"/>
      <c r="AU38" s="169"/>
      <c r="AV38" s="169"/>
      <c r="AW38" s="185" t="e">
        <f t="shared" si="17"/>
        <v>#N/A</v>
      </c>
      <c r="AX38" s="494"/>
    </row>
    <row r="39" spans="2:50">
      <c r="B39" s="471"/>
      <c r="C39" s="185">
        <v>13</v>
      </c>
      <c r="D39" s="206"/>
      <c r="E39" s="169"/>
      <c r="F39" s="185"/>
      <c r="G39" s="183"/>
      <c r="H39" s="452"/>
      <c r="I39" s="185"/>
      <c r="J39" s="185"/>
      <c r="K39" s="185"/>
      <c r="L39" s="452"/>
      <c r="M39" s="184" t="e">
        <f>RANK(K39, K$27:$K$41)</f>
        <v>#N/A</v>
      </c>
      <c r="N39" s="454"/>
      <c r="O39" s="454"/>
      <c r="P39" s="169"/>
      <c r="Q39" s="169"/>
      <c r="R39" s="169"/>
      <c r="S39" s="185" t="e">
        <f t="shared" si="11"/>
        <v>#N/A</v>
      </c>
      <c r="T39" s="494"/>
      <c r="U39" s="169"/>
      <c r="V39" s="169"/>
      <c r="W39" s="169"/>
      <c r="X39" s="185" t="e">
        <f t="shared" si="12"/>
        <v>#N/A</v>
      </c>
      <c r="Y39" s="494"/>
      <c r="Z39" s="169"/>
      <c r="AA39" s="169"/>
      <c r="AB39" s="169"/>
      <c r="AC39" s="185" t="e">
        <f t="shared" si="13"/>
        <v>#N/A</v>
      </c>
      <c r="AD39" s="494"/>
      <c r="AE39" s="169"/>
      <c r="AF39" s="169"/>
      <c r="AG39" s="169"/>
      <c r="AH39" s="185" t="e">
        <f t="shared" si="14"/>
        <v>#N/A</v>
      </c>
      <c r="AI39" s="494"/>
      <c r="AJ39" s="169"/>
      <c r="AK39" s="169"/>
      <c r="AL39" s="169"/>
      <c r="AM39" s="185" t="e">
        <f t="shared" si="15"/>
        <v>#N/A</v>
      </c>
      <c r="AN39" s="494"/>
      <c r="AO39" s="169"/>
      <c r="AP39" s="169"/>
      <c r="AQ39" s="169"/>
      <c r="AR39" s="185" t="e">
        <f t="shared" si="16"/>
        <v>#N/A</v>
      </c>
      <c r="AS39" s="494"/>
      <c r="AT39" s="169"/>
      <c r="AU39" s="169"/>
      <c r="AV39" s="169"/>
      <c r="AW39" s="185" t="e">
        <f t="shared" si="17"/>
        <v>#N/A</v>
      </c>
      <c r="AX39" s="494"/>
    </row>
    <row r="40" spans="2:50">
      <c r="B40" s="471"/>
      <c r="C40" s="185">
        <v>14</v>
      </c>
      <c r="D40" s="206"/>
      <c r="E40" s="169"/>
      <c r="F40" s="185"/>
      <c r="G40" s="183"/>
      <c r="H40" s="452"/>
      <c r="I40" s="185"/>
      <c r="J40" s="185"/>
      <c r="K40" s="185"/>
      <c r="L40" s="452"/>
      <c r="M40" s="184" t="e">
        <f>RANK(K40, K$27:$K$41)</f>
        <v>#N/A</v>
      </c>
      <c r="N40" s="454"/>
      <c r="O40" s="454"/>
      <c r="P40" s="169"/>
      <c r="Q40" s="169"/>
      <c r="R40" s="169"/>
      <c r="S40" s="185" t="e">
        <f t="shared" si="11"/>
        <v>#N/A</v>
      </c>
      <c r="T40" s="494"/>
      <c r="U40" s="169"/>
      <c r="V40" s="169"/>
      <c r="W40" s="169"/>
      <c r="X40" s="185" t="e">
        <f t="shared" si="12"/>
        <v>#N/A</v>
      </c>
      <c r="Y40" s="494"/>
      <c r="Z40" s="169"/>
      <c r="AA40" s="169"/>
      <c r="AB40" s="169"/>
      <c r="AC40" s="185" t="e">
        <f t="shared" si="13"/>
        <v>#N/A</v>
      </c>
      <c r="AD40" s="494"/>
      <c r="AE40" s="169"/>
      <c r="AF40" s="169"/>
      <c r="AG40" s="169"/>
      <c r="AH40" s="185" t="e">
        <f t="shared" si="14"/>
        <v>#N/A</v>
      </c>
      <c r="AI40" s="494"/>
      <c r="AJ40" s="169"/>
      <c r="AK40" s="169"/>
      <c r="AL40" s="169"/>
      <c r="AM40" s="185" t="e">
        <f t="shared" si="15"/>
        <v>#N/A</v>
      </c>
      <c r="AN40" s="494"/>
      <c r="AO40" s="169"/>
      <c r="AP40" s="169"/>
      <c r="AQ40" s="169"/>
      <c r="AR40" s="185" t="e">
        <f t="shared" si="16"/>
        <v>#N/A</v>
      </c>
      <c r="AS40" s="494"/>
      <c r="AT40" s="169"/>
      <c r="AU40" s="169"/>
      <c r="AV40" s="169"/>
      <c r="AW40" s="185" t="e">
        <f t="shared" si="17"/>
        <v>#N/A</v>
      </c>
      <c r="AX40" s="494"/>
    </row>
    <row r="41" spans="2:50">
      <c r="B41" s="471"/>
      <c r="C41" s="185">
        <v>15</v>
      </c>
      <c r="D41" s="206"/>
      <c r="E41" s="169"/>
      <c r="F41" s="185"/>
      <c r="G41" s="183"/>
      <c r="H41" s="453"/>
      <c r="I41" s="185"/>
      <c r="J41" s="185"/>
      <c r="K41" s="185"/>
      <c r="L41" s="453"/>
      <c r="M41" s="169" t="e">
        <f>RANK(K41, K$27:$K$41)</f>
        <v>#N/A</v>
      </c>
      <c r="N41" s="454"/>
      <c r="O41" s="454"/>
      <c r="P41" s="169"/>
      <c r="Q41" s="169"/>
      <c r="R41" s="169"/>
      <c r="S41" s="185" t="e">
        <f t="shared" si="11"/>
        <v>#N/A</v>
      </c>
      <c r="T41" s="494"/>
      <c r="U41" s="169"/>
      <c r="V41" s="169"/>
      <c r="W41" s="169"/>
      <c r="X41" s="185" t="e">
        <f t="shared" si="12"/>
        <v>#N/A</v>
      </c>
      <c r="Y41" s="494"/>
      <c r="Z41" s="169"/>
      <c r="AA41" s="169"/>
      <c r="AB41" s="169"/>
      <c r="AC41" s="185" t="e">
        <f t="shared" si="13"/>
        <v>#N/A</v>
      </c>
      <c r="AD41" s="494"/>
      <c r="AE41" s="169"/>
      <c r="AF41" s="169"/>
      <c r="AG41" s="169"/>
      <c r="AH41" s="185" t="e">
        <f t="shared" si="14"/>
        <v>#N/A</v>
      </c>
      <c r="AI41" s="494"/>
      <c r="AJ41" s="169"/>
      <c r="AK41" s="169"/>
      <c r="AL41" s="169"/>
      <c r="AM41" s="185" t="e">
        <f t="shared" si="15"/>
        <v>#N/A</v>
      </c>
      <c r="AN41" s="494"/>
      <c r="AO41" s="169"/>
      <c r="AP41" s="169"/>
      <c r="AQ41" s="169"/>
      <c r="AR41" s="185" t="e">
        <f t="shared" si="16"/>
        <v>#N/A</v>
      </c>
      <c r="AS41" s="494"/>
      <c r="AT41" s="169"/>
      <c r="AU41" s="169"/>
      <c r="AV41" s="169"/>
      <c r="AW41" s="185" t="e">
        <f t="shared" si="17"/>
        <v>#N/A</v>
      </c>
      <c r="AX41" s="494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54" t="s">
        <v>312</v>
      </c>
      <c r="C47" s="185">
        <v>1</v>
      </c>
      <c r="D47" s="206"/>
      <c r="E47" s="169"/>
      <c r="F47" s="185"/>
      <c r="G47" s="183"/>
      <c r="H47" s="451" t="e">
        <f>AVERAGE(G47:G61)</f>
        <v>#DIV/0!</v>
      </c>
      <c r="I47" s="169" t="e">
        <f>AVERAGE(P47,U47,Z47,AE47,AJ47,AO47,AT47)</f>
        <v>#DIV/0!</v>
      </c>
      <c r="J47" s="169" t="e">
        <f>AVERAGE(Q47,V47,AA47,AF47,AK47,AP47,AU47)</f>
        <v>#DIV/0!</v>
      </c>
      <c r="K47" s="183" t="e">
        <f>AVERAGE(R47,W47,AB47,AG47,AL47,AQ47,AV47)</f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69"/>
      <c r="R47" s="169"/>
      <c r="S47" s="185" t="e">
        <f>RANK(R47, R$47:R$61)</f>
        <v>#N/A</v>
      </c>
      <c r="T47" s="494" t="e">
        <f>AVERAGE(R47:R61)</f>
        <v>#DIV/0!</v>
      </c>
      <c r="U47" s="169"/>
      <c r="V47" s="169"/>
      <c r="W47" s="169"/>
      <c r="X47" s="185" t="e">
        <f>RANK(W47, W$47:W$61)</f>
        <v>#N/A</v>
      </c>
      <c r="Y47" s="494" t="e">
        <f>AVERAGE(W47:W61)</f>
        <v>#DIV/0!</v>
      </c>
      <c r="Z47" s="169"/>
      <c r="AA47" s="169"/>
      <c r="AB47" s="169"/>
      <c r="AC47" s="185" t="e">
        <f>RANK(AB47, AB$47:AB$61)</f>
        <v>#N/A</v>
      </c>
      <c r="AD47" s="494" t="e">
        <f>AVERAGE(AB47:AB61)</f>
        <v>#DIV/0!</v>
      </c>
      <c r="AE47" s="169"/>
      <c r="AF47" s="169"/>
      <c r="AG47" s="169"/>
      <c r="AH47" s="185" t="e">
        <f>RANK(AG47, AG$47:AG$61)</f>
        <v>#N/A</v>
      </c>
      <c r="AI47" s="494" t="e">
        <f>AVERAGE(AG47:AG61)</f>
        <v>#DIV/0!</v>
      </c>
      <c r="AJ47" s="169"/>
      <c r="AK47" s="169"/>
      <c r="AL47" s="169"/>
      <c r="AM47" s="185" t="e">
        <f>RANK(AL47, AL$47:AL$61)</f>
        <v>#N/A</v>
      </c>
      <c r="AN47" s="494" t="e">
        <f>AVERAGE(AL47:AL61)</f>
        <v>#DIV/0!</v>
      </c>
      <c r="AO47" s="169"/>
      <c r="AP47" s="169"/>
      <c r="AQ47" s="169"/>
      <c r="AR47" s="185" t="e">
        <f>RANK(AQ47, AQ$47:AQ$61)</f>
        <v>#N/A</v>
      </c>
      <c r="AS47" s="494" t="e">
        <f>AVERAGE(AQ47:AQ61)</f>
        <v>#DIV/0!</v>
      </c>
      <c r="AT47" s="169"/>
      <c r="AU47" s="169"/>
      <c r="AV47" s="169"/>
      <c r="AW47" s="185" t="e">
        <f>RANK(AV47, AV$47:AV$61)</f>
        <v>#N/A</v>
      </c>
      <c r="AX47" s="494" t="e">
        <f>AVERAGE(AV47:AV61)</f>
        <v>#DIV/0!</v>
      </c>
    </row>
    <row r="48" spans="2:50">
      <c r="B48" s="471"/>
      <c r="C48" s="185">
        <v>2</v>
      </c>
      <c r="D48" s="206"/>
      <c r="E48" s="169"/>
      <c r="F48" s="185"/>
      <c r="G48" s="183"/>
      <c r="H48" s="452"/>
      <c r="I48" s="169" t="e">
        <f t="shared" ref="I48:I53" si="24">AVERAGE(P48,U48,Z48,AE48,AJ48,AO48,AT48)</f>
        <v>#DIV/0!</v>
      </c>
      <c r="J48" s="169" t="e">
        <f t="shared" ref="J48:J53" si="25">AVERAGE(Q48,V48,AA48,AF48,AK48,AP48,AU48)</f>
        <v>#DIV/0!</v>
      </c>
      <c r="K48" s="183" t="e">
        <f t="shared" ref="K48:K53" si="26">AVERAGE(R48,W48,AB48,AG48,AL48,AQ48,AV48)</f>
        <v>#DIV/0!</v>
      </c>
      <c r="L48" s="452"/>
      <c r="M48" s="184" t="e">
        <f>RANK(K48, K$47:$K$61)</f>
        <v>#DIV/0!</v>
      </c>
      <c r="N48" s="454"/>
      <c r="O48" s="454"/>
      <c r="P48" s="169"/>
      <c r="Q48" s="169"/>
      <c r="R48" s="169"/>
      <c r="S48" s="185" t="e">
        <f t="shared" ref="S48:S61" si="27">RANK(R48, R$47:R$61)</f>
        <v>#N/A</v>
      </c>
      <c r="T48" s="494"/>
      <c r="U48" s="169"/>
      <c r="V48" s="169"/>
      <c r="W48" s="169"/>
      <c r="X48" s="185" t="e">
        <f t="shared" ref="X48:X61" si="28">RANK(W48, W$47:W$61)</f>
        <v>#N/A</v>
      </c>
      <c r="Y48" s="494"/>
      <c r="Z48" s="169"/>
      <c r="AA48" s="169"/>
      <c r="AB48" s="169"/>
      <c r="AC48" s="185" t="e">
        <f t="shared" ref="AC48:AC61" si="29">RANK(AB48, AB$47:AB$61)</f>
        <v>#N/A</v>
      </c>
      <c r="AD48" s="494"/>
      <c r="AE48" s="169"/>
      <c r="AF48" s="169"/>
      <c r="AG48" s="169"/>
      <c r="AH48" s="185" t="e">
        <f t="shared" ref="AH48:AH61" si="30">RANK(AG48, AG$47:AG$61)</f>
        <v>#N/A</v>
      </c>
      <c r="AI48" s="494"/>
      <c r="AJ48" s="169"/>
      <c r="AK48" s="169"/>
      <c r="AL48" s="169"/>
      <c r="AM48" s="185" t="e">
        <f t="shared" ref="AM48:AM61" si="31">RANK(AL48, AL$47:AL$61)</f>
        <v>#N/A</v>
      </c>
      <c r="AN48" s="494"/>
      <c r="AO48" s="169"/>
      <c r="AP48" s="169"/>
      <c r="AQ48" s="169"/>
      <c r="AR48" s="185" t="e">
        <f t="shared" ref="AR48:AR61" si="32">RANK(AQ48, AQ$47:AQ$61)</f>
        <v>#N/A</v>
      </c>
      <c r="AS48" s="494"/>
      <c r="AT48" s="169"/>
      <c r="AU48" s="169"/>
      <c r="AV48" s="169"/>
      <c r="AW48" s="185" t="e">
        <f t="shared" ref="AW48:AW61" si="33">RANK(AV48, AV$47:AV$61)</f>
        <v>#N/A</v>
      </c>
      <c r="AX48" s="494"/>
    </row>
    <row r="49" spans="2:50">
      <c r="B49" s="471"/>
      <c r="C49" s="185">
        <v>3</v>
      </c>
      <c r="D49" s="206"/>
      <c r="E49" s="169"/>
      <c r="F49" s="185"/>
      <c r="G49" s="183"/>
      <c r="H49" s="452"/>
      <c r="I49" s="169" t="e">
        <f t="shared" si="24"/>
        <v>#DIV/0!</v>
      </c>
      <c r="J49" s="169" t="e">
        <f t="shared" si="25"/>
        <v>#DIV/0!</v>
      </c>
      <c r="K49" s="183" t="e">
        <f t="shared" si="26"/>
        <v>#DIV/0!</v>
      </c>
      <c r="L49" s="452"/>
      <c r="M49" s="184" t="e">
        <f>RANK(K49, K$47:$K$61)</f>
        <v>#DIV/0!</v>
      </c>
      <c r="N49" s="454"/>
      <c r="O49" s="454"/>
      <c r="P49" s="169"/>
      <c r="Q49" s="169"/>
      <c r="R49" s="169"/>
      <c r="S49" s="185" t="e">
        <f t="shared" si="27"/>
        <v>#N/A</v>
      </c>
      <c r="T49" s="494"/>
      <c r="U49" s="169"/>
      <c r="V49" s="169"/>
      <c r="W49" s="169"/>
      <c r="X49" s="185" t="e">
        <f t="shared" si="28"/>
        <v>#N/A</v>
      </c>
      <c r="Y49" s="494"/>
      <c r="Z49" s="169"/>
      <c r="AA49" s="169"/>
      <c r="AB49" s="169"/>
      <c r="AC49" s="185" t="e">
        <f t="shared" si="29"/>
        <v>#N/A</v>
      </c>
      <c r="AD49" s="494"/>
      <c r="AE49" s="169"/>
      <c r="AF49" s="169"/>
      <c r="AG49" s="169"/>
      <c r="AH49" s="185" t="e">
        <f t="shared" si="30"/>
        <v>#N/A</v>
      </c>
      <c r="AI49" s="494"/>
      <c r="AJ49" s="169"/>
      <c r="AK49" s="169"/>
      <c r="AL49" s="169"/>
      <c r="AM49" s="185" t="e">
        <f t="shared" si="31"/>
        <v>#N/A</v>
      </c>
      <c r="AN49" s="494"/>
      <c r="AO49" s="169"/>
      <c r="AP49" s="169"/>
      <c r="AQ49" s="169"/>
      <c r="AR49" s="185" t="e">
        <f t="shared" si="32"/>
        <v>#N/A</v>
      </c>
      <c r="AS49" s="494"/>
      <c r="AT49" s="169"/>
      <c r="AU49" s="169"/>
      <c r="AV49" s="169"/>
      <c r="AW49" s="185" t="e">
        <f t="shared" si="33"/>
        <v>#N/A</v>
      </c>
      <c r="AX49" s="494"/>
    </row>
    <row r="50" spans="2:50">
      <c r="B50" s="471"/>
      <c r="C50" s="185">
        <v>4</v>
      </c>
      <c r="D50" s="206"/>
      <c r="E50" s="169"/>
      <c r="F50" s="185"/>
      <c r="G50" s="183"/>
      <c r="H50" s="452"/>
      <c r="I50" s="169" t="e">
        <f t="shared" si="24"/>
        <v>#DIV/0!</v>
      </c>
      <c r="J50" s="169" t="e">
        <f t="shared" si="25"/>
        <v>#DIV/0!</v>
      </c>
      <c r="K50" s="183" t="e">
        <f t="shared" si="26"/>
        <v>#DIV/0!</v>
      </c>
      <c r="L50" s="452"/>
      <c r="M50" s="184" t="e">
        <f>RANK(K50, K$47:$K$61)</f>
        <v>#DIV/0!</v>
      </c>
      <c r="N50" s="454"/>
      <c r="O50" s="454"/>
      <c r="P50" s="169"/>
      <c r="Q50" s="169"/>
      <c r="R50" s="169"/>
      <c r="S50" s="185" t="e">
        <f t="shared" si="27"/>
        <v>#N/A</v>
      </c>
      <c r="T50" s="494"/>
      <c r="U50" s="169"/>
      <c r="V50" s="169"/>
      <c r="W50" s="169"/>
      <c r="X50" s="185" t="e">
        <f t="shared" si="28"/>
        <v>#N/A</v>
      </c>
      <c r="Y50" s="494"/>
      <c r="Z50" s="169"/>
      <c r="AA50" s="169"/>
      <c r="AB50" s="169"/>
      <c r="AC50" s="185" t="e">
        <f t="shared" si="29"/>
        <v>#N/A</v>
      </c>
      <c r="AD50" s="494"/>
      <c r="AE50" s="169"/>
      <c r="AF50" s="169"/>
      <c r="AG50" s="169"/>
      <c r="AH50" s="185" t="e">
        <f t="shared" si="30"/>
        <v>#N/A</v>
      </c>
      <c r="AI50" s="494"/>
      <c r="AJ50" s="169"/>
      <c r="AK50" s="169"/>
      <c r="AL50" s="169"/>
      <c r="AM50" s="185" t="e">
        <f t="shared" si="31"/>
        <v>#N/A</v>
      </c>
      <c r="AN50" s="494"/>
      <c r="AO50" s="169"/>
      <c r="AP50" s="169"/>
      <c r="AQ50" s="169"/>
      <c r="AR50" s="185" t="e">
        <f t="shared" si="32"/>
        <v>#N/A</v>
      </c>
      <c r="AS50" s="494"/>
      <c r="AT50" s="169"/>
      <c r="AU50" s="169"/>
      <c r="AV50" s="169"/>
      <c r="AW50" s="185" t="e">
        <f t="shared" si="33"/>
        <v>#N/A</v>
      </c>
      <c r="AX50" s="494"/>
    </row>
    <row r="51" spans="2:50">
      <c r="B51" s="471"/>
      <c r="C51" s="185">
        <v>5</v>
      </c>
      <c r="D51" s="206"/>
      <c r="E51" s="169"/>
      <c r="F51" s="185"/>
      <c r="G51" s="183"/>
      <c r="H51" s="452"/>
      <c r="I51" s="169" t="e">
        <f t="shared" si="24"/>
        <v>#DIV/0!</v>
      </c>
      <c r="J51" s="169" t="e">
        <f t="shared" si="25"/>
        <v>#DIV/0!</v>
      </c>
      <c r="K51" s="183" t="e">
        <f t="shared" si="26"/>
        <v>#DIV/0!</v>
      </c>
      <c r="L51" s="452"/>
      <c r="M51" s="184" t="e">
        <f>RANK(K51, K$47:$K$61)</f>
        <v>#DIV/0!</v>
      </c>
      <c r="N51" s="454"/>
      <c r="O51" s="454"/>
      <c r="P51" s="169"/>
      <c r="Q51" s="169"/>
      <c r="R51" s="169"/>
      <c r="S51" s="185" t="e">
        <f t="shared" si="27"/>
        <v>#N/A</v>
      </c>
      <c r="T51" s="494"/>
      <c r="U51" s="169"/>
      <c r="V51" s="169"/>
      <c r="W51" s="169"/>
      <c r="X51" s="185" t="e">
        <f t="shared" si="28"/>
        <v>#N/A</v>
      </c>
      <c r="Y51" s="494"/>
      <c r="Z51" s="169"/>
      <c r="AA51" s="169"/>
      <c r="AB51" s="169"/>
      <c r="AC51" s="185" t="e">
        <f t="shared" si="29"/>
        <v>#N/A</v>
      </c>
      <c r="AD51" s="494"/>
      <c r="AE51" s="169"/>
      <c r="AF51" s="169"/>
      <c r="AG51" s="169"/>
      <c r="AH51" s="185" t="e">
        <f t="shared" si="30"/>
        <v>#N/A</v>
      </c>
      <c r="AI51" s="494"/>
      <c r="AJ51" s="169"/>
      <c r="AK51" s="169"/>
      <c r="AL51" s="169"/>
      <c r="AM51" s="185" t="e">
        <f t="shared" si="31"/>
        <v>#N/A</v>
      </c>
      <c r="AN51" s="494"/>
      <c r="AO51" s="169"/>
      <c r="AP51" s="169"/>
      <c r="AQ51" s="169"/>
      <c r="AR51" s="185" t="e">
        <f t="shared" si="32"/>
        <v>#N/A</v>
      </c>
      <c r="AS51" s="494"/>
      <c r="AT51" s="169"/>
      <c r="AU51" s="169"/>
      <c r="AV51" s="169"/>
      <c r="AW51" s="185" t="e">
        <f t="shared" si="33"/>
        <v>#N/A</v>
      </c>
      <c r="AX51" s="494"/>
    </row>
    <row r="52" spans="2:50">
      <c r="B52" s="471"/>
      <c r="C52" s="185">
        <v>6</v>
      </c>
      <c r="D52" s="206"/>
      <c r="E52" s="169"/>
      <c r="F52" s="185"/>
      <c r="G52" s="183"/>
      <c r="H52" s="452"/>
      <c r="I52" s="169" t="e">
        <f t="shared" si="24"/>
        <v>#DIV/0!</v>
      </c>
      <c r="J52" s="169" t="e">
        <f t="shared" si="25"/>
        <v>#DIV/0!</v>
      </c>
      <c r="K52" s="183" t="e">
        <f t="shared" si="26"/>
        <v>#DIV/0!</v>
      </c>
      <c r="L52" s="452"/>
      <c r="M52" s="184" t="e">
        <f>RANK(K52, K$47:$K$61)</f>
        <v>#DIV/0!</v>
      </c>
      <c r="N52" s="454"/>
      <c r="O52" s="454"/>
      <c r="P52" s="169"/>
      <c r="Q52" s="169"/>
      <c r="R52" s="169"/>
      <c r="S52" s="185" t="e">
        <f t="shared" si="27"/>
        <v>#N/A</v>
      </c>
      <c r="T52" s="494"/>
      <c r="U52" s="169"/>
      <c r="V52" s="169"/>
      <c r="W52" s="169"/>
      <c r="X52" s="185" t="e">
        <f t="shared" si="28"/>
        <v>#N/A</v>
      </c>
      <c r="Y52" s="494"/>
      <c r="Z52" s="169"/>
      <c r="AA52" s="169"/>
      <c r="AB52" s="169"/>
      <c r="AC52" s="185" t="e">
        <f t="shared" si="29"/>
        <v>#N/A</v>
      </c>
      <c r="AD52" s="494"/>
      <c r="AE52" s="169"/>
      <c r="AF52" s="169"/>
      <c r="AG52" s="169"/>
      <c r="AH52" s="185" t="e">
        <f t="shared" si="30"/>
        <v>#N/A</v>
      </c>
      <c r="AI52" s="494"/>
      <c r="AJ52" s="169"/>
      <c r="AK52" s="169"/>
      <c r="AL52" s="169"/>
      <c r="AM52" s="185" t="e">
        <f t="shared" si="31"/>
        <v>#N/A</v>
      </c>
      <c r="AN52" s="494"/>
      <c r="AO52" s="169"/>
      <c r="AP52" s="169"/>
      <c r="AQ52" s="169"/>
      <c r="AR52" s="185" t="e">
        <f t="shared" si="32"/>
        <v>#N/A</v>
      </c>
      <c r="AS52" s="494"/>
      <c r="AT52" s="169"/>
      <c r="AU52" s="169"/>
      <c r="AV52" s="169"/>
      <c r="AW52" s="185" t="e">
        <f t="shared" si="33"/>
        <v>#N/A</v>
      </c>
      <c r="AX52" s="494"/>
    </row>
    <row r="53" spans="2:50">
      <c r="B53" s="471"/>
      <c r="C53" s="185">
        <v>7</v>
      </c>
      <c r="D53" s="206"/>
      <c r="E53" s="169"/>
      <c r="F53" s="185"/>
      <c r="G53" s="183"/>
      <c r="H53" s="452"/>
      <c r="I53" s="169" t="e">
        <f t="shared" si="24"/>
        <v>#DIV/0!</v>
      </c>
      <c r="J53" s="169" t="e">
        <f t="shared" si="25"/>
        <v>#DIV/0!</v>
      </c>
      <c r="K53" s="183" t="e">
        <f t="shared" si="26"/>
        <v>#DIV/0!</v>
      </c>
      <c r="L53" s="452"/>
      <c r="M53" s="184" t="e">
        <f>RANK(K53, K$47:$K$61)</f>
        <v>#DIV/0!</v>
      </c>
      <c r="N53" s="454"/>
      <c r="O53" s="454"/>
      <c r="P53" s="169"/>
      <c r="Q53" s="169"/>
      <c r="R53" s="169"/>
      <c r="S53" s="185" t="e">
        <f t="shared" si="27"/>
        <v>#N/A</v>
      </c>
      <c r="T53" s="494"/>
      <c r="U53" s="169"/>
      <c r="V53" s="169"/>
      <c r="W53" s="169"/>
      <c r="X53" s="185" t="e">
        <f t="shared" si="28"/>
        <v>#N/A</v>
      </c>
      <c r="Y53" s="494"/>
      <c r="Z53" s="169"/>
      <c r="AA53" s="169"/>
      <c r="AB53" s="169"/>
      <c r="AC53" s="185" t="e">
        <f t="shared" si="29"/>
        <v>#N/A</v>
      </c>
      <c r="AD53" s="494"/>
      <c r="AE53" s="169"/>
      <c r="AF53" s="169"/>
      <c r="AG53" s="169"/>
      <c r="AH53" s="185" t="e">
        <f t="shared" si="30"/>
        <v>#N/A</v>
      </c>
      <c r="AI53" s="494"/>
      <c r="AJ53" s="169"/>
      <c r="AK53" s="169"/>
      <c r="AL53" s="169"/>
      <c r="AM53" s="185" t="e">
        <f t="shared" si="31"/>
        <v>#N/A</v>
      </c>
      <c r="AN53" s="494"/>
      <c r="AO53" s="169"/>
      <c r="AP53" s="169"/>
      <c r="AQ53" s="169"/>
      <c r="AR53" s="185" t="e">
        <f t="shared" si="32"/>
        <v>#N/A</v>
      </c>
      <c r="AS53" s="494"/>
      <c r="AT53" s="169"/>
      <c r="AU53" s="169"/>
      <c r="AV53" s="169"/>
      <c r="AW53" s="185" t="e">
        <f t="shared" si="33"/>
        <v>#N/A</v>
      </c>
      <c r="AX53" s="494"/>
    </row>
    <row r="54" spans="2:50">
      <c r="B54" s="471"/>
      <c r="C54" s="185">
        <v>8</v>
      </c>
      <c r="D54" s="206"/>
      <c r="E54" s="169"/>
      <c r="F54" s="185"/>
      <c r="G54" s="183"/>
      <c r="H54" s="452"/>
      <c r="I54" s="169" t="e">
        <f t="shared" ref="I54:I56" si="34">AVERAGE(P54,U54,Z54,AE54,AJ54,AO54,AT54)</f>
        <v>#DIV/0!</v>
      </c>
      <c r="J54" s="169" t="e">
        <f t="shared" ref="J54:J56" si="35">AVERAGE(Q54,V54,AA54,AF54,AK54,AP54,AU54)</f>
        <v>#DIV/0!</v>
      </c>
      <c r="K54" s="183" t="e">
        <f t="shared" ref="K54:K56" si="36">AVERAGE(R54,W54,AB54,AG54,AL54,AQ54,AV54)</f>
        <v>#DIV/0!</v>
      </c>
      <c r="L54" s="452"/>
      <c r="M54" s="184" t="e">
        <f>RANK(K54, K$47:$K$61)</f>
        <v>#DIV/0!</v>
      </c>
      <c r="N54" s="454"/>
      <c r="O54" s="454"/>
      <c r="P54" s="169"/>
      <c r="Q54" s="169"/>
      <c r="R54" s="169"/>
      <c r="S54" s="185" t="e">
        <f t="shared" si="27"/>
        <v>#N/A</v>
      </c>
      <c r="T54" s="494"/>
      <c r="U54" s="169"/>
      <c r="V54" s="169"/>
      <c r="W54" s="169"/>
      <c r="X54" s="185" t="e">
        <f t="shared" si="28"/>
        <v>#N/A</v>
      </c>
      <c r="Y54" s="494"/>
      <c r="Z54" s="169"/>
      <c r="AA54" s="169"/>
      <c r="AB54" s="169"/>
      <c r="AC54" s="185" t="e">
        <f t="shared" si="29"/>
        <v>#N/A</v>
      </c>
      <c r="AD54" s="494"/>
      <c r="AE54" s="169"/>
      <c r="AF54" s="169"/>
      <c r="AG54" s="169"/>
      <c r="AH54" s="185" t="e">
        <f t="shared" si="30"/>
        <v>#N/A</v>
      </c>
      <c r="AI54" s="494"/>
      <c r="AJ54" s="169"/>
      <c r="AK54" s="169"/>
      <c r="AL54" s="169"/>
      <c r="AM54" s="185" t="e">
        <f t="shared" si="31"/>
        <v>#N/A</v>
      </c>
      <c r="AN54" s="494"/>
      <c r="AO54" s="169"/>
      <c r="AP54" s="169"/>
      <c r="AQ54" s="169"/>
      <c r="AR54" s="185" t="e">
        <f t="shared" si="32"/>
        <v>#N/A</v>
      </c>
      <c r="AS54" s="494"/>
      <c r="AT54" s="169"/>
      <c r="AU54" s="169"/>
      <c r="AV54" s="169"/>
      <c r="AW54" s="185" t="e">
        <f t="shared" si="33"/>
        <v>#N/A</v>
      </c>
      <c r="AX54" s="494"/>
    </row>
    <row r="55" spans="2:50">
      <c r="B55" s="471"/>
      <c r="C55" s="185">
        <v>9</v>
      </c>
      <c r="D55" s="206"/>
      <c r="E55" s="169"/>
      <c r="F55" s="185"/>
      <c r="G55" s="183"/>
      <c r="H55" s="452"/>
      <c r="I55" s="169" t="e">
        <f t="shared" si="34"/>
        <v>#DIV/0!</v>
      </c>
      <c r="J55" s="169" t="e">
        <f t="shared" si="35"/>
        <v>#DIV/0!</v>
      </c>
      <c r="K55" s="183" t="e">
        <f t="shared" si="36"/>
        <v>#DIV/0!</v>
      </c>
      <c r="L55" s="452"/>
      <c r="M55" s="184" t="e">
        <f>RANK(K55, K$47:$K$61)</f>
        <v>#DIV/0!</v>
      </c>
      <c r="N55" s="454"/>
      <c r="O55" s="454"/>
      <c r="P55" s="169"/>
      <c r="Q55" s="169"/>
      <c r="R55" s="169"/>
      <c r="S55" s="185" t="e">
        <f t="shared" si="27"/>
        <v>#N/A</v>
      </c>
      <c r="T55" s="494"/>
      <c r="U55" s="169"/>
      <c r="V55" s="169"/>
      <c r="W55" s="169"/>
      <c r="X55" s="185" t="e">
        <f t="shared" si="28"/>
        <v>#N/A</v>
      </c>
      <c r="Y55" s="494"/>
      <c r="Z55" s="169"/>
      <c r="AA55" s="169"/>
      <c r="AB55" s="169"/>
      <c r="AC55" s="185" t="e">
        <f t="shared" si="29"/>
        <v>#N/A</v>
      </c>
      <c r="AD55" s="494"/>
      <c r="AE55" s="169"/>
      <c r="AF55" s="169"/>
      <c r="AG55" s="169"/>
      <c r="AH55" s="185" t="e">
        <f t="shared" si="30"/>
        <v>#N/A</v>
      </c>
      <c r="AI55" s="494"/>
      <c r="AJ55" s="169"/>
      <c r="AK55" s="169"/>
      <c r="AL55" s="169"/>
      <c r="AM55" s="185" t="e">
        <f t="shared" si="31"/>
        <v>#N/A</v>
      </c>
      <c r="AN55" s="494"/>
      <c r="AO55" s="169"/>
      <c r="AP55" s="169"/>
      <c r="AQ55" s="169"/>
      <c r="AR55" s="185" t="e">
        <f t="shared" si="32"/>
        <v>#N/A</v>
      </c>
      <c r="AS55" s="494"/>
      <c r="AT55" s="169"/>
      <c r="AU55" s="169"/>
      <c r="AV55" s="169"/>
      <c r="AW55" s="185" t="e">
        <f t="shared" si="33"/>
        <v>#N/A</v>
      </c>
      <c r="AX55" s="494"/>
    </row>
    <row r="56" spans="2:50">
      <c r="B56" s="471"/>
      <c r="C56" s="185">
        <v>10</v>
      </c>
      <c r="D56" s="206"/>
      <c r="E56" s="169"/>
      <c r="F56" s="185"/>
      <c r="G56" s="183"/>
      <c r="H56" s="452"/>
      <c r="I56" s="169" t="e">
        <f t="shared" si="34"/>
        <v>#DIV/0!</v>
      </c>
      <c r="J56" s="169" t="e">
        <f t="shared" si="35"/>
        <v>#DIV/0!</v>
      </c>
      <c r="K56" s="183" t="e">
        <f t="shared" si="36"/>
        <v>#DIV/0!</v>
      </c>
      <c r="L56" s="452"/>
      <c r="M56" s="184" t="e">
        <f>RANK(K56, K$47:$K$61)</f>
        <v>#DIV/0!</v>
      </c>
      <c r="N56" s="454"/>
      <c r="O56" s="454"/>
      <c r="P56" s="169"/>
      <c r="Q56" s="169"/>
      <c r="R56" s="169"/>
      <c r="S56" s="185" t="e">
        <f t="shared" si="27"/>
        <v>#N/A</v>
      </c>
      <c r="T56" s="494"/>
      <c r="U56" s="169"/>
      <c r="V56" s="169"/>
      <c r="W56" s="169"/>
      <c r="X56" s="185" t="e">
        <f t="shared" si="28"/>
        <v>#N/A</v>
      </c>
      <c r="Y56" s="494"/>
      <c r="Z56" s="169"/>
      <c r="AA56" s="169"/>
      <c r="AB56" s="169"/>
      <c r="AC56" s="185" t="e">
        <f t="shared" si="29"/>
        <v>#N/A</v>
      </c>
      <c r="AD56" s="494"/>
      <c r="AE56" s="169"/>
      <c r="AF56" s="169"/>
      <c r="AG56" s="169"/>
      <c r="AH56" s="185" t="e">
        <f t="shared" si="30"/>
        <v>#N/A</v>
      </c>
      <c r="AI56" s="494"/>
      <c r="AJ56" s="169"/>
      <c r="AK56" s="169"/>
      <c r="AL56" s="169"/>
      <c r="AM56" s="185" t="e">
        <f t="shared" si="31"/>
        <v>#N/A</v>
      </c>
      <c r="AN56" s="494"/>
      <c r="AO56" s="169"/>
      <c r="AP56" s="169"/>
      <c r="AQ56" s="169"/>
      <c r="AR56" s="185" t="e">
        <f t="shared" si="32"/>
        <v>#N/A</v>
      </c>
      <c r="AS56" s="494"/>
      <c r="AT56" s="169"/>
      <c r="AU56" s="169"/>
      <c r="AV56" s="169"/>
      <c r="AW56" s="185" t="e">
        <f t="shared" si="33"/>
        <v>#N/A</v>
      </c>
      <c r="AX56" s="494"/>
    </row>
    <row r="57" spans="2:50">
      <c r="B57" s="471"/>
      <c r="C57" s="185">
        <v>11</v>
      </c>
      <c r="D57" s="206"/>
      <c r="E57" s="169"/>
      <c r="F57" s="185"/>
      <c r="G57" s="183"/>
      <c r="H57" s="452"/>
      <c r="I57" s="185"/>
      <c r="J57" s="185"/>
      <c r="K57" s="185"/>
      <c r="L57" s="452"/>
      <c r="M57" s="184" t="e">
        <f>RANK(K57, K$47:$K$61)</f>
        <v>#DIV/0!</v>
      </c>
      <c r="N57" s="454"/>
      <c r="O57" s="454"/>
      <c r="P57" s="169"/>
      <c r="Q57" s="169"/>
      <c r="R57" s="169"/>
      <c r="S57" s="185" t="e">
        <f t="shared" si="27"/>
        <v>#N/A</v>
      </c>
      <c r="T57" s="494"/>
      <c r="U57" s="169"/>
      <c r="V57" s="169"/>
      <c r="W57" s="169"/>
      <c r="X57" s="185" t="e">
        <f t="shared" si="28"/>
        <v>#N/A</v>
      </c>
      <c r="Y57" s="494"/>
      <c r="Z57" s="169"/>
      <c r="AA57" s="169"/>
      <c r="AB57" s="169"/>
      <c r="AC57" s="185" t="e">
        <f t="shared" si="29"/>
        <v>#N/A</v>
      </c>
      <c r="AD57" s="494"/>
      <c r="AE57" s="169"/>
      <c r="AF57" s="169"/>
      <c r="AG57" s="169"/>
      <c r="AH57" s="185" t="e">
        <f t="shared" si="30"/>
        <v>#N/A</v>
      </c>
      <c r="AI57" s="494"/>
      <c r="AJ57" s="169"/>
      <c r="AK57" s="169"/>
      <c r="AL57" s="169"/>
      <c r="AM57" s="185" t="e">
        <f t="shared" si="31"/>
        <v>#N/A</v>
      </c>
      <c r="AN57" s="494"/>
      <c r="AO57" s="169"/>
      <c r="AP57" s="169"/>
      <c r="AQ57" s="169"/>
      <c r="AR57" s="185" t="e">
        <f t="shared" si="32"/>
        <v>#N/A</v>
      </c>
      <c r="AS57" s="494"/>
      <c r="AT57" s="169"/>
      <c r="AU57" s="169"/>
      <c r="AV57" s="169"/>
      <c r="AW57" s="185" t="e">
        <f t="shared" si="33"/>
        <v>#N/A</v>
      </c>
      <c r="AX57" s="494"/>
    </row>
    <row r="58" spans="2:50">
      <c r="B58" s="471"/>
      <c r="C58" s="185">
        <v>12</v>
      </c>
      <c r="D58" s="206"/>
      <c r="E58" s="169"/>
      <c r="F58" s="185"/>
      <c r="G58" s="183"/>
      <c r="H58" s="452"/>
      <c r="I58" s="185"/>
      <c r="J58" s="185"/>
      <c r="K58" s="185"/>
      <c r="L58" s="452"/>
      <c r="M58" s="184" t="e">
        <f>RANK(K58, K$47:$K$61)</f>
        <v>#DIV/0!</v>
      </c>
      <c r="N58" s="454"/>
      <c r="O58" s="454"/>
      <c r="P58" s="169"/>
      <c r="Q58" s="169"/>
      <c r="R58" s="169"/>
      <c r="S58" s="185" t="e">
        <f t="shared" si="27"/>
        <v>#N/A</v>
      </c>
      <c r="T58" s="494"/>
      <c r="U58" s="169"/>
      <c r="V58" s="169"/>
      <c r="W58" s="169"/>
      <c r="X58" s="185" t="e">
        <f t="shared" si="28"/>
        <v>#N/A</v>
      </c>
      <c r="Y58" s="494"/>
      <c r="Z58" s="169"/>
      <c r="AA58" s="169"/>
      <c r="AB58" s="169"/>
      <c r="AC58" s="185" t="e">
        <f t="shared" si="29"/>
        <v>#N/A</v>
      </c>
      <c r="AD58" s="494"/>
      <c r="AE58" s="169"/>
      <c r="AF58" s="169"/>
      <c r="AG58" s="169"/>
      <c r="AH58" s="185" t="e">
        <f t="shared" si="30"/>
        <v>#N/A</v>
      </c>
      <c r="AI58" s="494"/>
      <c r="AJ58" s="169"/>
      <c r="AK58" s="169"/>
      <c r="AL58" s="169"/>
      <c r="AM58" s="185" t="e">
        <f t="shared" si="31"/>
        <v>#N/A</v>
      </c>
      <c r="AN58" s="494"/>
      <c r="AO58" s="169"/>
      <c r="AP58" s="169"/>
      <c r="AQ58" s="169"/>
      <c r="AR58" s="185" t="e">
        <f t="shared" si="32"/>
        <v>#N/A</v>
      </c>
      <c r="AS58" s="494"/>
      <c r="AT58" s="169"/>
      <c r="AU58" s="169"/>
      <c r="AV58" s="169"/>
      <c r="AW58" s="185" t="e">
        <f t="shared" si="33"/>
        <v>#N/A</v>
      </c>
      <c r="AX58" s="494"/>
    </row>
    <row r="59" spans="2:50">
      <c r="B59" s="471"/>
      <c r="C59" s="185">
        <v>13</v>
      </c>
      <c r="D59" s="206"/>
      <c r="E59" s="169"/>
      <c r="F59" s="185"/>
      <c r="G59" s="183"/>
      <c r="H59" s="452"/>
      <c r="I59" s="185"/>
      <c r="J59" s="185"/>
      <c r="K59" s="185"/>
      <c r="L59" s="452"/>
      <c r="M59" s="184" t="e">
        <f>RANK(K59, K$47:$K$61)</f>
        <v>#DIV/0!</v>
      </c>
      <c r="N59" s="454"/>
      <c r="O59" s="454"/>
      <c r="P59" s="169"/>
      <c r="Q59" s="169"/>
      <c r="R59" s="169"/>
      <c r="S59" s="185" t="e">
        <f t="shared" si="27"/>
        <v>#N/A</v>
      </c>
      <c r="T59" s="494"/>
      <c r="U59" s="169"/>
      <c r="V59" s="169"/>
      <c r="W59" s="169"/>
      <c r="X59" s="185" t="e">
        <f t="shared" si="28"/>
        <v>#N/A</v>
      </c>
      <c r="Y59" s="494"/>
      <c r="Z59" s="169"/>
      <c r="AA59" s="169"/>
      <c r="AB59" s="169"/>
      <c r="AC59" s="185" t="e">
        <f t="shared" si="29"/>
        <v>#N/A</v>
      </c>
      <c r="AD59" s="494"/>
      <c r="AE59" s="169"/>
      <c r="AF59" s="169"/>
      <c r="AG59" s="169"/>
      <c r="AH59" s="185" t="e">
        <f t="shared" si="30"/>
        <v>#N/A</v>
      </c>
      <c r="AI59" s="494"/>
      <c r="AJ59" s="169"/>
      <c r="AK59" s="169"/>
      <c r="AL59" s="169"/>
      <c r="AM59" s="185" t="e">
        <f t="shared" si="31"/>
        <v>#N/A</v>
      </c>
      <c r="AN59" s="494"/>
      <c r="AO59" s="169"/>
      <c r="AP59" s="169"/>
      <c r="AQ59" s="169"/>
      <c r="AR59" s="185" t="e">
        <f t="shared" si="32"/>
        <v>#N/A</v>
      </c>
      <c r="AS59" s="494"/>
      <c r="AT59" s="169"/>
      <c r="AU59" s="169"/>
      <c r="AV59" s="169"/>
      <c r="AW59" s="185" t="e">
        <f t="shared" si="33"/>
        <v>#N/A</v>
      </c>
      <c r="AX59" s="494"/>
    </row>
    <row r="60" spans="2:50">
      <c r="B60" s="471"/>
      <c r="C60" s="185">
        <v>14</v>
      </c>
      <c r="D60" s="206"/>
      <c r="E60" s="169"/>
      <c r="F60" s="185"/>
      <c r="G60" s="183"/>
      <c r="H60" s="452"/>
      <c r="I60" s="185"/>
      <c r="J60" s="185"/>
      <c r="K60" s="185"/>
      <c r="L60" s="452"/>
      <c r="M60" s="184" t="e">
        <f>RANK(K60, K$47:$K$61)</f>
        <v>#DIV/0!</v>
      </c>
      <c r="N60" s="454"/>
      <c r="O60" s="454"/>
      <c r="P60" s="169"/>
      <c r="Q60" s="169"/>
      <c r="R60" s="169"/>
      <c r="S60" s="185" t="e">
        <f t="shared" si="27"/>
        <v>#N/A</v>
      </c>
      <c r="T60" s="494"/>
      <c r="U60" s="169"/>
      <c r="V60" s="169"/>
      <c r="W60" s="169"/>
      <c r="X60" s="185" t="e">
        <f t="shared" si="28"/>
        <v>#N/A</v>
      </c>
      <c r="Y60" s="494"/>
      <c r="Z60" s="169"/>
      <c r="AA60" s="169"/>
      <c r="AB60" s="169"/>
      <c r="AC60" s="185" t="e">
        <f t="shared" si="29"/>
        <v>#N/A</v>
      </c>
      <c r="AD60" s="494"/>
      <c r="AE60" s="169"/>
      <c r="AF60" s="169"/>
      <c r="AG60" s="169"/>
      <c r="AH60" s="185" t="e">
        <f t="shared" si="30"/>
        <v>#N/A</v>
      </c>
      <c r="AI60" s="494"/>
      <c r="AJ60" s="169"/>
      <c r="AK60" s="169"/>
      <c r="AL60" s="169"/>
      <c r="AM60" s="185" t="e">
        <f t="shared" si="31"/>
        <v>#N/A</v>
      </c>
      <c r="AN60" s="494"/>
      <c r="AO60" s="169"/>
      <c r="AP60" s="169"/>
      <c r="AQ60" s="169"/>
      <c r="AR60" s="185" t="e">
        <f t="shared" si="32"/>
        <v>#N/A</v>
      </c>
      <c r="AS60" s="494"/>
      <c r="AT60" s="169"/>
      <c r="AU60" s="169"/>
      <c r="AV60" s="169"/>
      <c r="AW60" s="185" t="e">
        <f t="shared" si="33"/>
        <v>#N/A</v>
      </c>
      <c r="AX60" s="494"/>
    </row>
    <row r="61" spans="2:50">
      <c r="B61" s="471"/>
      <c r="C61" s="185">
        <v>15</v>
      </c>
      <c r="D61" s="206"/>
      <c r="E61" s="169"/>
      <c r="F61" s="185"/>
      <c r="G61" s="183"/>
      <c r="H61" s="453"/>
      <c r="I61" s="185"/>
      <c r="J61" s="185"/>
      <c r="K61" s="185"/>
      <c r="L61" s="453"/>
      <c r="M61" s="184" t="e">
        <f>RANK(K61, K$47:$K$61)</f>
        <v>#DIV/0!</v>
      </c>
      <c r="N61" s="454"/>
      <c r="O61" s="454"/>
      <c r="P61" s="169"/>
      <c r="Q61" s="169"/>
      <c r="R61" s="169"/>
      <c r="S61" s="185" t="e">
        <f t="shared" si="27"/>
        <v>#N/A</v>
      </c>
      <c r="T61" s="494"/>
      <c r="U61" s="169"/>
      <c r="V61" s="169"/>
      <c r="W61" s="169"/>
      <c r="X61" s="185" t="e">
        <f t="shared" si="28"/>
        <v>#N/A</v>
      </c>
      <c r="Y61" s="494"/>
      <c r="Z61" s="169"/>
      <c r="AA61" s="169"/>
      <c r="AB61" s="169"/>
      <c r="AC61" s="185" t="e">
        <f t="shared" si="29"/>
        <v>#N/A</v>
      </c>
      <c r="AD61" s="494"/>
      <c r="AE61" s="169"/>
      <c r="AF61" s="169"/>
      <c r="AG61" s="169"/>
      <c r="AH61" s="185" t="e">
        <f t="shared" si="30"/>
        <v>#N/A</v>
      </c>
      <c r="AI61" s="494"/>
      <c r="AJ61" s="169"/>
      <c r="AK61" s="169"/>
      <c r="AL61" s="169"/>
      <c r="AM61" s="185" t="e">
        <f t="shared" si="31"/>
        <v>#N/A</v>
      </c>
      <c r="AN61" s="494"/>
      <c r="AO61" s="169"/>
      <c r="AP61" s="169"/>
      <c r="AQ61" s="169"/>
      <c r="AR61" s="185" t="e">
        <f t="shared" si="32"/>
        <v>#N/A</v>
      </c>
      <c r="AS61" s="494"/>
      <c r="AT61" s="169"/>
      <c r="AU61" s="169"/>
      <c r="AV61" s="169"/>
      <c r="AW61" s="185" t="e">
        <f t="shared" si="33"/>
        <v>#N/A</v>
      </c>
      <c r="AX61" s="494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54" t="s">
        <v>312</v>
      </c>
      <c r="C67" s="185">
        <v>1</v>
      </c>
      <c r="D67" s="206"/>
      <c r="E67" s="169"/>
      <c r="F67" s="185"/>
      <c r="G67" s="183"/>
      <c r="H67" s="451" t="e">
        <f>AVERAGE(G67:G81)</f>
        <v>#DIV/0!</v>
      </c>
      <c r="I67" s="169" t="e">
        <f>AVERAGE(P67,U67,Z67,AE67,AJ67,AO67,AT67)</f>
        <v>#DIV/0!</v>
      </c>
      <c r="J67" s="169" t="e">
        <f>AVERAGE(Q67,V67,AA67,AF67,AK67,AP67,AU67)</f>
        <v>#DIV/0!</v>
      </c>
      <c r="K67" s="183" t="e">
        <f>AVERAGE(R67,W67,AB67,AG67,AL67,AQ67,AV67)</f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69"/>
      <c r="R67" s="169"/>
      <c r="S67" s="185" t="e">
        <f>RANK(R67, R$67:R$81)</f>
        <v>#N/A</v>
      </c>
      <c r="T67" s="494" t="e">
        <f>AVERAGE(R67:R81)</f>
        <v>#DIV/0!</v>
      </c>
      <c r="U67" s="169"/>
      <c r="V67" s="169"/>
      <c r="W67" s="169"/>
      <c r="X67" s="185" t="e">
        <f>RANK(W67, W$67:W$81)</f>
        <v>#N/A</v>
      </c>
      <c r="Y67" s="494" t="e">
        <f>AVERAGE(W67:W81)</f>
        <v>#DIV/0!</v>
      </c>
      <c r="Z67" s="169"/>
      <c r="AA67" s="169"/>
      <c r="AB67" s="169"/>
      <c r="AC67" s="185" t="e">
        <f>RANK(AB67, AB$67:AB$81)</f>
        <v>#N/A</v>
      </c>
      <c r="AD67" s="494" t="e">
        <f>AVERAGE(AB67:AB81)</f>
        <v>#DIV/0!</v>
      </c>
      <c r="AE67" s="169"/>
      <c r="AF67" s="169"/>
      <c r="AG67" s="169"/>
      <c r="AH67" s="185" t="e">
        <f>RANK(AG67, AG$67:AG$81)</f>
        <v>#N/A</v>
      </c>
      <c r="AI67" s="494" t="e">
        <f>AVERAGE(AG67:AG81)</f>
        <v>#DIV/0!</v>
      </c>
      <c r="AJ67" s="169"/>
      <c r="AK67" s="169"/>
      <c r="AL67" s="169"/>
      <c r="AM67" s="185" t="e">
        <f>RANK(AL67, AL$67:AL$81)</f>
        <v>#N/A</v>
      </c>
      <c r="AN67" s="494" t="e">
        <f>AVERAGE(AL67:AL81)</f>
        <v>#DIV/0!</v>
      </c>
      <c r="AO67" s="169"/>
      <c r="AP67" s="169"/>
      <c r="AQ67" s="169"/>
      <c r="AR67" s="185" t="e">
        <f>RANK(AQ67, AQ$67:AQ$81)</f>
        <v>#N/A</v>
      </c>
      <c r="AS67" s="494" t="e">
        <f>AVERAGE(AQ67:AQ81)</f>
        <v>#DIV/0!</v>
      </c>
      <c r="AT67" s="169"/>
      <c r="AU67" s="169"/>
      <c r="AV67" s="169"/>
      <c r="AW67" s="185" t="e">
        <f>RANK(AV67, AV$67:AV$81)</f>
        <v>#N/A</v>
      </c>
      <c r="AX67" s="494" t="e">
        <f>AVERAGE(AV67:AV81)</f>
        <v>#DIV/0!</v>
      </c>
    </row>
    <row r="68" spans="2:50">
      <c r="B68" s="471"/>
      <c r="C68" s="185">
        <v>2</v>
      </c>
      <c r="D68" s="206"/>
      <c r="E68" s="169"/>
      <c r="F68" s="185"/>
      <c r="G68" s="183"/>
      <c r="H68" s="452"/>
      <c r="I68" s="169" t="e">
        <f t="shared" ref="I68:I73" si="37">AVERAGE(P68,U68,Z68,AE68,AJ68,AO68,AT68)</f>
        <v>#DIV/0!</v>
      </c>
      <c r="J68" s="169" t="e">
        <f t="shared" ref="J68:J73" si="38">AVERAGE(Q68,V68,AA68,AF68,AK68,AP68,AU68)</f>
        <v>#DIV/0!</v>
      </c>
      <c r="K68" s="183" t="e">
        <f t="shared" ref="K68:K73" si="39">AVERAGE(R68,W68,AB68,AG68,AL68,AQ68,AV68)</f>
        <v>#DIV/0!</v>
      </c>
      <c r="L68" s="452"/>
      <c r="M68" s="184" t="e">
        <f>RANK(K68, K$67:$K$81)</f>
        <v>#DIV/0!</v>
      </c>
      <c r="N68" s="454"/>
      <c r="O68" s="454"/>
      <c r="P68" s="169"/>
      <c r="Q68" s="169"/>
      <c r="R68" s="169"/>
      <c r="S68" s="185" t="e">
        <f t="shared" ref="S68:S81" si="40">RANK(R68, R$67:R$81)</f>
        <v>#N/A</v>
      </c>
      <c r="T68" s="494"/>
      <c r="U68" s="169"/>
      <c r="V68" s="169"/>
      <c r="W68" s="169"/>
      <c r="X68" s="185" t="e">
        <f t="shared" ref="X68:X81" si="41">RANK(W68, W$67:W$81)</f>
        <v>#N/A</v>
      </c>
      <c r="Y68" s="494"/>
      <c r="Z68" s="169"/>
      <c r="AA68" s="169"/>
      <c r="AB68" s="169"/>
      <c r="AC68" s="185" t="e">
        <f t="shared" ref="AC68:AC81" si="42">RANK(AB68, AB$67:AB$81)</f>
        <v>#N/A</v>
      </c>
      <c r="AD68" s="494"/>
      <c r="AE68" s="169"/>
      <c r="AF68" s="169"/>
      <c r="AG68" s="169"/>
      <c r="AH68" s="185" t="e">
        <f t="shared" ref="AH68:AH81" si="43">RANK(AG68, AG$67:AG$81)</f>
        <v>#N/A</v>
      </c>
      <c r="AI68" s="494"/>
      <c r="AJ68" s="169"/>
      <c r="AK68" s="169"/>
      <c r="AL68" s="169"/>
      <c r="AM68" s="185" t="e">
        <f t="shared" ref="AM68:AM81" si="44">RANK(AL68, AL$67:AL$81)</f>
        <v>#N/A</v>
      </c>
      <c r="AN68" s="494"/>
      <c r="AO68" s="169"/>
      <c r="AP68" s="169"/>
      <c r="AQ68" s="169"/>
      <c r="AR68" s="185" t="e">
        <f t="shared" ref="AR68:AR81" si="45">RANK(AQ68, AQ$67:AQ$81)</f>
        <v>#N/A</v>
      </c>
      <c r="AS68" s="494"/>
      <c r="AT68" s="169"/>
      <c r="AU68" s="169"/>
      <c r="AV68" s="169"/>
      <c r="AW68" s="185" t="e">
        <f t="shared" ref="AW68:AW81" si="46">RANK(AV68, AV$67:AV$81)</f>
        <v>#N/A</v>
      </c>
      <c r="AX68" s="494"/>
    </row>
    <row r="69" spans="2:50">
      <c r="B69" s="471"/>
      <c r="C69" s="185">
        <v>3</v>
      </c>
      <c r="D69" s="206"/>
      <c r="E69" s="169"/>
      <c r="F69" s="185"/>
      <c r="G69" s="183"/>
      <c r="H69" s="452"/>
      <c r="I69" s="169" t="e">
        <f t="shared" si="37"/>
        <v>#DIV/0!</v>
      </c>
      <c r="J69" s="169" t="e">
        <f t="shared" si="38"/>
        <v>#DIV/0!</v>
      </c>
      <c r="K69" s="183" t="e">
        <f t="shared" si="39"/>
        <v>#DIV/0!</v>
      </c>
      <c r="L69" s="452"/>
      <c r="M69" s="184" t="e">
        <f>RANK(K69, K$67:$K$81)</f>
        <v>#DIV/0!</v>
      </c>
      <c r="N69" s="454"/>
      <c r="O69" s="454"/>
      <c r="P69" s="169"/>
      <c r="Q69" s="169"/>
      <c r="R69" s="169"/>
      <c r="S69" s="185" t="e">
        <f t="shared" si="40"/>
        <v>#N/A</v>
      </c>
      <c r="T69" s="494"/>
      <c r="U69" s="169"/>
      <c r="V69" s="169"/>
      <c r="W69" s="169"/>
      <c r="X69" s="185" t="e">
        <f t="shared" si="41"/>
        <v>#N/A</v>
      </c>
      <c r="Y69" s="494"/>
      <c r="Z69" s="169"/>
      <c r="AA69" s="169"/>
      <c r="AB69" s="169"/>
      <c r="AC69" s="185" t="e">
        <f t="shared" si="42"/>
        <v>#N/A</v>
      </c>
      <c r="AD69" s="494"/>
      <c r="AE69" s="169"/>
      <c r="AF69" s="169"/>
      <c r="AG69" s="169"/>
      <c r="AH69" s="185" t="e">
        <f t="shared" si="43"/>
        <v>#N/A</v>
      </c>
      <c r="AI69" s="494"/>
      <c r="AJ69" s="169"/>
      <c r="AK69" s="169"/>
      <c r="AL69" s="169"/>
      <c r="AM69" s="185" t="e">
        <f t="shared" si="44"/>
        <v>#N/A</v>
      </c>
      <c r="AN69" s="494"/>
      <c r="AO69" s="169"/>
      <c r="AP69" s="169"/>
      <c r="AQ69" s="169"/>
      <c r="AR69" s="185" t="e">
        <f t="shared" si="45"/>
        <v>#N/A</v>
      </c>
      <c r="AS69" s="494"/>
      <c r="AT69" s="169"/>
      <c r="AU69" s="169"/>
      <c r="AV69" s="169"/>
      <c r="AW69" s="185" t="e">
        <f t="shared" si="46"/>
        <v>#N/A</v>
      </c>
      <c r="AX69" s="494"/>
    </row>
    <row r="70" spans="2:50">
      <c r="B70" s="471"/>
      <c r="C70" s="185">
        <v>4</v>
      </c>
      <c r="D70" s="206"/>
      <c r="E70" s="169"/>
      <c r="F70" s="185"/>
      <c r="G70" s="183"/>
      <c r="H70" s="452"/>
      <c r="I70" s="169" t="e">
        <f t="shared" si="37"/>
        <v>#DIV/0!</v>
      </c>
      <c r="J70" s="169" t="e">
        <f t="shared" si="38"/>
        <v>#DIV/0!</v>
      </c>
      <c r="K70" s="183" t="e">
        <f t="shared" si="39"/>
        <v>#DIV/0!</v>
      </c>
      <c r="L70" s="452"/>
      <c r="M70" s="184" t="e">
        <f>RANK(K70, K$67:$K$81)</f>
        <v>#DIV/0!</v>
      </c>
      <c r="N70" s="454"/>
      <c r="O70" s="454"/>
      <c r="P70" s="169"/>
      <c r="Q70" s="169"/>
      <c r="R70" s="169"/>
      <c r="S70" s="185" t="e">
        <f t="shared" si="40"/>
        <v>#N/A</v>
      </c>
      <c r="T70" s="494"/>
      <c r="U70" s="169"/>
      <c r="V70" s="169"/>
      <c r="W70" s="169"/>
      <c r="X70" s="185" t="e">
        <f t="shared" si="41"/>
        <v>#N/A</v>
      </c>
      <c r="Y70" s="494"/>
      <c r="Z70" s="169"/>
      <c r="AA70" s="169"/>
      <c r="AB70" s="169"/>
      <c r="AC70" s="185" t="e">
        <f t="shared" si="42"/>
        <v>#N/A</v>
      </c>
      <c r="AD70" s="494"/>
      <c r="AE70" s="169"/>
      <c r="AF70" s="169"/>
      <c r="AG70" s="169"/>
      <c r="AH70" s="185" t="e">
        <f t="shared" si="43"/>
        <v>#N/A</v>
      </c>
      <c r="AI70" s="494"/>
      <c r="AJ70" s="169"/>
      <c r="AK70" s="169"/>
      <c r="AL70" s="169"/>
      <c r="AM70" s="185" t="e">
        <f t="shared" si="44"/>
        <v>#N/A</v>
      </c>
      <c r="AN70" s="494"/>
      <c r="AO70" s="169"/>
      <c r="AP70" s="169"/>
      <c r="AQ70" s="169"/>
      <c r="AR70" s="185" t="e">
        <f t="shared" si="45"/>
        <v>#N/A</v>
      </c>
      <c r="AS70" s="494"/>
      <c r="AT70" s="169"/>
      <c r="AU70" s="169"/>
      <c r="AV70" s="169"/>
      <c r="AW70" s="185" t="e">
        <f t="shared" si="46"/>
        <v>#N/A</v>
      </c>
      <c r="AX70" s="494"/>
    </row>
    <row r="71" spans="2:50">
      <c r="B71" s="471"/>
      <c r="C71" s="185">
        <v>5</v>
      </c>
      <c r="D71" s="206"/>
      <c r="E71" s="169"/>
      <c r="F71" s="185"/>
      <c r="G71" s="183"/>
      <c r="H71" s="452"/>
      <c r="I71" s="169" t="e">
        <f t="shared" si="37"/>
        <v>#DIV/0!</v>
      </c>
      <c r="J71" s="169" t="e">
        <f t="shared" si="38"/>
        <v>#DIV/0!</v>
      </c>
      <c r="K71" s="183" t="e">
        <f t="shared" si="39"/>
        <v>#DIV/0!</v>
      </c>
      <c r="L71" s="452"/>
      <c r="M71" s="184" t="e">
        <f>RANK(K71, K$67:$K$81)</f>
        <v>#DIV/0!</v>
      </c>
      <c r="N71" s="454"/>
      <c r="O71" s="454"/>
      <c r="P71" s="169"/>
      <c r="Q71" s="169"/>
      <c r="R71" s="169"/>
      <c r="S71" s="185" t="e">
        <f t="shared" si="40"/>
        <v>#N/A</v>
      </c>
      <c r="T71" s="494"/>
      <c r="U71" s="169"/>
      <c r="V71" s="169"/>
      <c r="W71" s="169"/>
      <c r="X71" s="185" t="e">
        <f t="shared" si="41"/>
        <v>#N/A</v>
      </c>
      <c r="Y71" s="494"/>
      <c r="Z71" s="169"/>
      <c r="AA71" s="169"/>
      <c r="AB71" s="169"/>
      <c r="AC71" s="185" t="e">
        <f t="shared" si="42"/>
        <v>#N/A</v>
      </c>
      <c r="AD71" s="494"/>
      <c r="AE71" s="169"/>
      <c r="AF71" s="169"/>
      <c r="AG71" s="169"/>
      <c r="AH71" s="185" t="e">
        <f t="shared" si="43"/>
        <v>#N/A</v>
      </c>
      <c r="AI71" s="494"/>
      <c r="AJ71" s="169"/>
      <c r="AK71" s="169"/>
      <c r="AL71" s="169"/>
      <c r="AM71" s="185" t="e">
        <f t="shared" si="44"/>
        <v>#N/A</v>
      </c>
      <c r="AN71" s="494"/>
      <c r="AO71" s="169"/>
      <c r="AP71" s="169"/>
      <c r="AQ71" s="169"/>
      <c r="AR71" s="185" t="e">
        <f t="shared" si="45"/>
        <v>#N/A</v>
      </c>
      <c r="AS71" s="494"/>
      <c r="AT71" s="169"/>
      <c r="AU71" s="169"/>
      <c r="AV71" s="169"/>
      <c r="AW71" s="185" t="e">
        <f t="shared" si="46"/>
        <v>#N/A</v>
      </c>
      <c r="AX71" s="494"/>
    </row>
    <row r="72" spans="2:50">
      <c r="B72" s="471"/>
      <c r="C72" s="185">
        <v>6</v>
      </c>
      <c r="D72" s="206"/>
      <c r="E72" s="169"/>
      <c r="F72" s="185"/>
      <c r="G72" s="183"/>
      <c r="H72" s="452"/>
      <c r="I72" s="169" t="e">
        <f t="shared" si="37"/>
        <v>#DIV/0!</v>
      </c>
      <c r="J72" s="169" t="e">
        <f t="shared" si="38"/>
        <v>#DIV/0!</v>
      </c>
      <c r="K72" s="183" t="e">
        <f t="shared" si="39"/>
        <v>#DIV/0!</v>
      </c>
      <c r="L72" s="452"/>
      <c r="M72" s="184" t="e">
        <f>RANK(K72, K$67:$K$81)</f>
        <v>#DIV/0!</v>
      </c>
      <c r="N72" s="454"/>
      <c r="O72" s="454"/>
      <c r="P72" s="169"/>
      <c r="Q72" s="169"/>
      <c r="R72" s="169"/>
      <c r="S72" s="185" t="e">
        <f t="shared" si="40"/>
        <v>#N/A</v>
      </c>
      <c r="T72" s="494"/>
      <c r="U72" s="169"/>
      <c r="V72" s="169"/>
      <c r="W72" s="169"/>
      <c r="X72" s="185" t="e">
        <f t="shared" si="41"/>
        <v>#N/A</v>
      </c>
      <c r="Y72" s="494"/>
      <c r="Z72" s="169"/>
      <c r="AA72" s="169"/>
      <c r="AB72" s="169"/>
      <c r="AC72" s="185" t="e">
        <f t="shared" si="42"/>
        <v>#N/A</v>
      </c>
      <c r="AD72" s="494"/>
      <c r="AE72" s="169"/>
      <c r="AF72" s="169"/>
      <c r="AG72" s="169"/>
      <c r="AH72" s="185" t="e">
        <f t="shared" si="43"/>
        <v>#N/A</v>
      </c>
      <c r="AI72" s="494"/>
      <c r="AJ72" s="169"/>
      <c r="AK72" s="169"/>
      <c r="AL72" s="169"/>
      <c r="AM72" s="185" t="e">
        <f t="shared" si="44"/>
        <v>#N/A</v>
      </c>
      <c r="AN72" s="494"/>
      <c r="AO72" s="169"/>
      <c r="AP72" s="169"/>
      <c r="AQ72" s="169"/>
      <c r="AR72" s="185" t="e">
        <f t="shared" si="45"/>
        <v>#N/A</v>
      </c>
      <c r="AS72" s="494"/>
      <c r="AT72" s="169"/>
      <c r="AU72" s="169"/>
      <c r="AV72" s="169"/>
      <c r="AW72" s="185" t="e">
        <f t="shared" si="46"/>
        <v>#N/A</v>
      </c>
      <c r="AX72" s="494"/>
    </row>
    <row r="73" spans="2:50">
      <c r="B73" s="471"/>
      <c r="C73" s="185">
        <v>7</v>
      </c>
      <c r="D73" s="206"/>
      <c r="E73" s="169"/>
      <c r="F73" s="185"/>
      <c r="G73" s="183"/>
      <c r="H73" s="452"/>
      <c r="I73" s="169" t="e">
        <f t="shared" si="37"/>
        <v>#DIV/0!</v>
      </c>
      <c r="J73" s="169" t="e">
        <f t="shared" si="38"/>
        <v>#DIV/0!</v>
      </c>
      <c r="K73" s="183" t="e">
        <f t="shared" si="39"/>
        <v>#DIV/0!</v>
      </c>
      <c r="L73" s="452"/>
      <c r="M73" s="184" t="e">
        <f>RANK(K73, K$67:$K$81)</f>
        <v>#DIV/0!</v>
      </c>
      <c r="N73" s="454"/>
      <c r="O73" s="454"/>
      <c r="P73" s="169"/>
      <c r="Q73" s="169"/>
      <c r="R73" s="169"/>
      <c r="S73" s="185" t="e">
        <f t="shared" si="40"/>
        <v>#N/A</v>
      </c>
      <c r="T73" s="494"/>
      <c r="U73" s="169"/>
      <c r="V73" s="169"/>
      <c r="W73" s="169"/>
      <c r="X73" s="185" t="e">
        <f t="shared" si="41"/>
        <v>#N/A</v>
      </c>
      <c r="Y73" s="494"/>
      <c r="Z73" s="169"/>
      <c r="AA73" s="169"/>
      <c r="AB73" s="169"/>
      <c r="AC73" s="185" t="e">
        <f t="shared" si="42"/>
        <v>#N/A</v>
      </c>
      <c r="AD73" s="494"/>
      <c r="AE73" s="169"/>
      <c r="AF73" s="169"/>
      <c r="AG73" s="169"/>
      <c r="AH73" s="185" t="e">
        <f t="shared" si="43"/>
        <v>#N/A</v>
      </c>
      <c r="AI73" s="494"/>
      <c r="AJ73" s="169"/>
      <c r="AK73" s="169"/>
      <c r="AL73" s="169"/>
      <c r="AM73" s="185" t="e">
        <f t="shared" si="44"/>
        <v>#N/A</v>
      </c>
      <c r="AN73" s="494"/>
      <c r="AO73" s="169"/>
      <c r="AP73" s="169"/>
      <c r="AQ73" s="169"/>
      <c r="AR73" s="185" t="e">
        <f t="shared" si="45"/>
        <v>#N/A</v>
      </c>
      <c r="AS73" s="494"/>
      <c r="AT73" s="169"/>
      <c r="AU73" s="169"/>
      <c r="AV73" s="169"/>
      <c r="AW73" s="185" t="e">
        <f t="shared" si="46"/>
        <v>#N/A</v>
      </c>
      <c r="AX73" s="494"/>
    </row>
    <row r="74" spans="2:50">
      <c r="B74" s="471"/>
      <c r="C74" s="185">
        <v>8</v>
      </c>
      <c r="D74" s="206"/>
      <c r="E74" s="169"/>
      <c r="F74" s="185"/>
      <c r="G74" s="183"/>
      <c r="H74" s="452"/>
      <c r="I74" s="169" t="e">
        <f t="shared" ref="I74:K76" si="47">AVERAGE(P74,U74,Z74,AE74,AJ74,AO74,AT74)</f>
        <v>#DIV/0!</v>
      </c>
      <c r="J74" s="169" t="e">
        <f t="shared" si="47"/>
        <v>#DIV/0!</v>
      </c>
      <c r="K74" s="183" t="e">
        <f t="shared" si="47"/>
        <v>#DIV/0!</v>
      </c>
      <c r="L74" s="452"/>
      <c r="M74" s="184" t="e">
        <f>RANK(K74, K$67:$K$81)</f>
        <v>#DIV/0!</v>
      </c>
      <c r="N74" s="454"/>
      <c r="O74" s="454"/>
      <c r="P74" s="169"/>
      <c r="Q74" s="169"/>
      <c r="R74" s="169"/>
      <c r="S74" s="185" t="e">
        <f t="shared" si="40"/>
        <v>#N/A</v>
      </c>
      <c r="T74" s="494"/>
      <c r="U74" s="169"/>
      <c r="V74" s="169"/>
      <c r="W74" s="169"/>
      <c r="X74" s="185" t="e">
        <f t="shared" si="41"/>
        <v>#N/A</v>
      </c>
      <c r="Y74" s="494"/>
      <c r="Z74" s="169"/>
      <c r="AA74" s="169"/>
      <c r="AB74" s="169"/>
      <c r="AC74" s="185" t="e">
        <f t="shared" si="42"/>
        <v>#N/A</v>
      </c>
      <c r="AD74" s="494"/>
      <c r="AE74" s="169"/>
      <c r="AF74" s="169"/>
      <c r="AG74" s="169"/>
      <c r="AH74" s="185" t="e">
        <f t="shared" si="43"/>
        <v>#N/A</v>
      </c>
      <c r="AI74" s="494"/>
      <c r="AJ74" s="169"/>
      <c r="AK74" s="169"/>
      <c r="AL74" s="169"/>
      <c r="AM74" s="185" t="e">
        <f t="shared" si="44"/>
        <v>#N/A</v>
      </c>
      <c r="AN74" s="494"/>
      <c r="AO74" s="169"/>
      <c r="AP74" s="169"/>
      <c r="AQ74" s="169"/>
      <c r="AR74" s="185" t="e">
        <f t="shared" si="45"/>
        <v>#N/A</v>
      </c>
      <c r="AS74" s="494"/>
      <c r="AT74" s="169"/>
      <c r="AU74" s="169"/>
      <c r="AV74" s="169"/>
      <c r="AW74" s="185" t="e">
        <f t="shared" si="46"/>
        <v>#N/A</v>
      </c>
      <c r="AX74" s="494"/>
    </row>
    <row r="75" spans="2:50">
      <c r="B75" s="471"/>
      <c r="C75" s="185">
        <v>9</v>
      </c>
      <c r="D75" s="206"/>
      <c r="E75" s="169"/>
      <c r="F75" s="185"/>
      <c r="G75" s="183"/>
      <c r="H75" s="452"/>
      <c r="I75" s="169" t="e">
        <f t="shared" si="47"/>
        <v>#DIV/0!</v>
      </c>
      <c r="J75" s="169" t="e">
        <f t="shared" si="47"/>
        <v>#DIV/0!</v>
      </c>
      <c r="K75" s="183" t="e">
        <f t="shared" si="47"/>
        <v>#DIV/0!</v>
      </c>
      <c r="L75" s="452"/>
      <c r="M75" s="184" t="e">
        <f>RANK(K75, K$67:$K$81)</f>
        <v>#DIV/0!</v>
      </c>
      <c r="N75" s="454"/>
      <c r="O75" s="454"/>
      <c r="P75" s="169"/>
      <c r="Q75" s="169"/>
      <c r="R75" s="169"/>
      <c r="S75" s="185" t="e">
        <f t="shared" si="40"/>
        <v>#N/A</v>
      </c>
      <c r="T75" s="494"/>
      <c r="U75" s="169"/>
      <c r="V75" s="169"/>
      <c r="W75" s="169"/>
      <c r="X75" s="185" t="e">
        <f t="shared" si="41"/>
        <v>#N/A</v>
      </c>
      <c r="Y75" s="494"/>
      <c r="Z75" s="169"/>
      <c r="AA75" s="169"/>
      <c r="AB75" s="169"/>
      <c r="AC75" s="185" t="e">
        <f t="shared" si="42"/>
        <v>#N/A</v>
      </c>
      <c r="AD75" s="494"/>
      <c r="AE75" s="169"/>
      <c r="AF75" s="169"/>
      <c r="AG75" s="169"/>
      <c r="AH75" s="185" t="e">
        <f t="shared" si="43"/>
        <v>#N/A</v>
      </c>
      <c r="AI75" s="494"/>
      <c r="AJ75" s="169"/>
      <c r="AK75" s="169"/>
      <c r="AL75" s="169"/>
      <c r="AM75" s="185" t="e">
        <f t="shared" si="44"/>
        <v>#N/A</v>
      </c>
      <c r="AN75" s="494"/>
      <c r="AO75" s="169"/>
      <c r="AP75" s="169"/>
      <c r="AQ75" s="169"/>
      <c r="AR75" s="185" t="e">
        <f t="shared" si="45"/>
        <v>#N/A</v>
      </c>
      <c r="AS75" s="494"/>
      <c r="AT75" s="169"/>
      <c r="AU75" s="169"/>
      <c r="AV75" s="169"/>
      <c r="AW75" s="185" t="e">
        <f t="shared" si="46"/>
        <v>#N/A</v>
      </c>
      <c r="AX75" s="494"/>
    </row>
    <row r="76" spans="2:50">
      <c r="B76" s="471"/>
      <c r="C76" s="185">
        <v>10</v>
      </c>
      <c r="D76" s="206"/>
      <c r="E76" s="169"/>
      <c r="F76" s="185"/>
      <c r="G76" s="183"/>
      <c r="H76" s="452"/>
      <c r="I76" s="169" t="e">
        <f t="shared" si="47"/>
        <v>#DIV/0!</v>
      </c>
      <c r="J76" s="169" t="e">
        <f t="shared" si="47"/>
        <v>#DIV/0!</v>
      </c>
      <c r="K76" s="183" t="e">
        <f t="shared" si="47"/>
        <v>#DIV/0!</v>
      </c>
      <c r="L76" s="452"/>
      <c r="M76" s="184" t="e">
        <f>RANK(K76, K$67:$K$81)</f>
        <v>#DIV/0!</v>
      </c>
      <c r="N76" s="454"/>
      <c r="O76" s="454"/>
      <c r="P76" s="169"/>
      <c r="Q76" s="169"/>
      <c r="R76" s="169"/>
      <c r="S76" s="185" t="e">
        <f t="shared" si="40"/>
        <v>#N/A</v>
      </c>
      <c r="T76" s="494"/>
      <c r="U76" s="169"/>
      <c r="V76" s="169"/>
      <c r="W76" s="169"/>
      <c r="X76" s="185" t="e">
        <f t="shared" si="41"/>
        <v>#N/A</v>
      </c>
      <c r="Y76" s="494"/>
      <c r="Z76" s="169"/>
      <c r="AA76" s="169"/>
      <c r="AB76" s="169"/>
      <c r="AC76" s="185" t="e">
        <f t="shared" si="42"/>
        <v>#N/A</v>
      </c>
      <c r="AD76" s="494"/>
      <c r="AE76" s="169"/>
      <c r="AF76" s="169"/>
      <c r="AG76" s="169"/>
      <c r="AH76" s="185" t="e">
        <f t="shared" si="43"/>
        <v>#N/A</v>
      </c>
      <c r="AI76" s="494"/>
      <c r="AJ76" s="169"/>
      <c r="AK76" s="169"/>
      <c r="AL76" s="169"/>
      <c r="AM76" s="185" t="e">
        <f t="shared" si="44"/>
        <v>#N/A</v>
      </c>
      <c r="AN76" s="494"/>
      <c r="AO76" s="169"/>
      <c r="AP76" s="169"/>
      <c r="AQ76" s="169"/>
      <c r="AR76" s="185" t="e">
        <f t="shared" si="45"/>
        <v>#N/A</v>
      </c>
      <c r="AS76" s="494"/>
      <c r="AT76" s="169"/>
      <c r="AU76" s="169"/>
      <c r="AV76" s="169"/>
      <c r="AW76" s="185" t="e">
        <f t="shared" si="46"/>
        <v>#N/A</v>
      </c>
      <c r="AX76" s="494"/>
    </row>
    <row r="77" spans="2:50">
      <c r="B77" s="471"/>
      <c r="C77" s="185">
        <v>11</v>
      </c>
      <c r="D77" s="206"/>
      <c r="E77" s="169"/>
      <c r="F77" s="185"/>
      <c r="G77" s="183"/>
      <c r="H77" s="452"/>
      <c r="I77" s="185"/>
      <c r="J77" s="185"/>
      <c r="K77" s="185"/>
      <c r="L77" s="452"/>
      <c r="M77" s="184" t="e">
        <f>RANK(K77, K$67:$K$81)</f>
        <v>#DIV/0!</v>
      </c>
      <c r="N77" s="454"/>
      <c r="O77" s="454"/>
      <c r="P77" s="169"/>
      <c r="Q77" s="169"/>
      <c r="R77" s="169"/>
      <c r="S77" s="185" t="e">
        <f t="shared" si="40"/>
        <v>#N/A</v>
      </c>
      <c r="T77" s="494"/>
      <c r="U77" s="169"/>
      <c r="V77" s="169"/>
      <c r="W77" s="169"/>
      <c r="X77" s="185" t="e">
        <f t="shared" si="41"/>
        <v>#N/A</v>
      </c>
      <c r="Y77" s="494"/>
      <c r="Z77" s="169"/>
      <c r="AA77" s="169"/>
      <c r="AB77" s="169"/>
      <c r="AC77" s="185" t="e">
        <f t="shared" si="42"/>
        <v>#N/A</v>
      </c>
      <c r="AD77" s="494"/>
      <c r="AE77" s="169"/>
      <c r="AF77" s="169"/>
      <c r="AG77" s="169"/>
      <c r="AH77" s="185" t="e">
        <f t="shared" si="43"/>
        <v>#N/A</v>
      </c>
      <c r="AI77" s="494"/>
      <c r="AJ77" s="169"/>
      <c r="AK77" s="169"/>
      <c r="AL77" s="169"/>
      <c r="AM77" s="185" t="e">
        <f t="shared" si="44"/>
        <v>#N/A</v>
      </c>
      <c r="AN77" s="494"/>
      <c r="AO77" s="169"/>
      <c r="AP77" s="169"/>
      <c r="AQ77" s="169"/>
      <c r="AR77" s="185" t="e">
        <f t="shared" si="45"/>
        <v>#N/A</v>
      </c>
      <c r="AS77" s="494"/>
      <c r="AT77" s="169"/>
      <c r="AU77" s="169"/>
      <c r="AV77" s="169"/>
      <c r="AW77" s="185" t="e">
        <f t="shared" si="46"/>
        <v>#N/A</v>
      </c>
      <c r="AX77" s="494"/>
    </row>
    <row r="78" spans="2:50">
      <c r="B78" s="471"/>
      <c r="C78" s="185">
        <v>12</v>
      </c>
      <c r="D78" s="206"/>
      <c r="E78" s="169"/>
      <c r="F78" s="185"/>
      <c r="G78" s="183"/>
      <c r="H78" s="452"/>
      <c r="I78" s="185"/>
      <c r="J78" s="185"/>
      <c r="K78" s="185"/>
      <c r="L78" s="452"/>
      <c r="M78" s="184" t="e">
        <f>RANK(K78, K$67:$K$81)</f>
        <v>#DIV/0!</v>
      </c>
      <c r="N78" s="454"/>
      <c r="O78" s="454"/>
      <c r="P78" s="169"/>
      <c r="Q78" s="169"/>
      <c r="R78" s="169"/>
      <c r="S78" s="185" t="e">
        <f t="shared" si="40"/>
        <v>#N/A</v>
      </c>
      <c r="T78" s="494"/>
      <c r="U78" s="169"/>
      <c r="V78" s="169"/>
      <c r="W78" s="169"/>
      <c r="X78" s="185" t="e">
        <f t="shared" si="41"/>
        <v>#N/A</v>
      </c>
      <c r="Y78" s="494"/>
      <c r="Z78" s="169"/>
      <c r="AA78" s="169"/>
      <c r="AB78" s="169"/>
      <c r="AC78" s="185" t="e">
        <f t="shared" si="42"/>
        <v>#N/A</v>
      </c>
      <c r="AD78" s="494"/>
      <c r="AE78" s="169"/>
      <c r="AF78" s="169"/>
      <c r="AG78" s="169"/>
      <c r="AH78" s="185" t="e">
        <f t="shared" si="43"/>
        <v>#N/A</v>
      </c>
      <c r="AI78" s="494"/>
      <c r="AJ78" s="169"/>
      <c r="AK78" s="169"/>
      <c r="AL78" s="169"/>
      <c r="AM78" s="185" t="e">
        <f t="shared" si="44"/>
        <v>#N/A</v>
      </c>
      <c r="AN78" s="494"/>
      <c r="AO78" s="169"/>
      <c r="AP78" s="169"/>
      <c r="AQ78" s="169"/>
      <c r="AR78" s="185" t="e">
        <f t="shared" si="45"/>
        <v>#N/A</v>
      </c>
      <c r="AS78" s="494"/>
      <c r="AT78" s="169"/>
      <c r="AU78" s="169"/>
      <c r="AV78" s="169"/>
      <c r="AW78" s="185" t="e">
        <f t="shared" si="46"/>
        <v>#N/A</v>
      </c>
      <c r="AX78" s="494"/>
    </row>
    <row r="79" spans="2:50">
      <c r="B79" s="471"/>
      <c r="C79" s="185">
        <v>13</v>
      </c>
      <c r="D79" s="206"/>
      <c r="E79" s="169"/>
      <c r="F79" s="185"/>
      <c r="G79" s="183"/>
      <c r="H79" s="452"/>
      <c r="I79" s="185"/>
      <c r="J79" s="185"/>
      <c r="K79" s="185"/>
      <c r="L79" s="452"/>
      <c r="M79" s="184" t="e">
        <f>RANK(K79, K$67:$K$81)</f>
        <v>#DIV/0!</v>
      </c>
      <c r="N79" s="454"/>
      <c r="O79" s="454"/>
      <c r="P79" s="169"/>
      <c r="Q79" s="169"/>
      <c r="R79" s="169"/>
      <c r="S79" s="185" t="e">
        <f t="shared" si="40"/>
        <v>#N/A</v>
      </c>
      <c r="T79" s="494"/>
      <c r="U79" s="169"/>
      <c r="V79" s="169"/>
      <c r="W79" s="169"/>
      <c r="X79" s="185" t="e">
        <f t="shared" si="41"/>
        <v>#N/A</v>
      </c>
      <c r="Y79" s="494"/>
      <c r="Z79" s="169"/>
      <c r="AA79" s="169"/>
      <c r="AB79" s="169"/>
      <c r="AC79" s="185" t="e">
        <f t="shared" si="42"/>
        <v>#N/A</v>
      </c>
      <c r="AD79" s="494"/>
      <c r="AE79" s="169"/>
      <c r="AF79" s="169"/>
      <c r="AG79" s="169"/>
      <c r="AH79" s="185" t="e">
        <f t="shared" si="43"/>
        <v>#N/A</v>
      </c>
      <c r="AI79" s="494"/>
      <c r="AJ79" s="169"/>
      <c r="AK79" s="169"/>
      <c r="AL79" s="169"/>
      <c r="AM79" s="185" t="e">
        <f t="shared" si="44"/>
        <v>#N/A</v>
      </c>
      <c r="AN79" s="494"/>
      <c r="AO79" s="169"/>
      <c r="AP79" s="169"/>
      <c r="AQ79" s="169"/>
      <c r="AR79" s="185" t="e">
        <f t="shared" si="45"/>
        <v>#N/A</v>
      </c>
      <c r="AS79" s="494"/>
      <c r="AT79" s="169"/>
      <c r="AU79" s="169"/>
      <c r="AV79" s="169"/>
      <c r="AW79" s="185" t="e">
        <f t="shared" si="46"/>
        <v>#N/A</v>
      </c>
      <c r="AX79" s="494"/>
    </row>
    <row r="80" spans="2:50">
      <c r="B80" s="471"/>
      <c r="C80" s="185">
        <v>14</v>
      </c>
      <c r="D80" s="206"/>
      <c r="E80" s="169"/>
      <c r="F80" s="185"/>
      <c r="G80" s="183"/>
      <c r="H80" s="452"/>
      <c r="I80" s="185"/>
      <c r="J80" s="185"/>
      <c r="K80" s="185"/>
      <c r="L80" s="452"/>
      <c r="M80" s="184" t="e">
        <f>RANK(K80, K$67:$K$81)</f>
        <v>#DIV/0!</v>
      </c>
      <c r="N80" s="454"/>
      <c r="O80" s="454"/>
      <c r="P80" s="169"/>
      <c r="Q80" s="169"/>
      <c r="R80" s="169"/>
      <c r="S80" s="185" t="e">
        <f t="shared" si="40"/>
        <v>#N/A</v>
      </c>
      <c r="T80" s="494"/>
      <c r="U80" s="169"/>
      <c r="V80" s="169"/>
      <c r="W80" s="169"/>
      <c r="X80" s="185" t="e">
        <f t="shared" si="41"/>
        <v>#N/A</v>
      </c>
      <c r="Y80" s="494"/>
      <c r="Z80" s="169"/>
      <c r="AA80" s="169"/>
      <c r="AB80" s="169"/>
      <c r="AC80" s="185" t="e">
        <f t="shared" si="42"/>
        <v>#N/A</v>
      </c>
      <c r="AD80" s="494"/>
      <c r="AE80" s="169"/>
      <c r="AF80" s="169"/>
      <c r="AG80" s="169"/>
      <c r="AH80" s="185" t="e">
        <f t="shared" si="43"/>
        <v>#N/A</v>
      </c>
      <c r="AI80" s="494"/>
      <c r="AJ80" s="169"/>
      <c r="AK80" s="169"/>
      <c r="AL80" s="169"/>
      <c r="AM80" s="185" t="e">
        <f t="shared" si="44"/>
        <v>#N/A</v>
      </c>
      <c r="AN80" s="494"/>
      <c r="AO80" s="169"/>
      <c r="AP80" s="169"/>
      <c r="AQ80" s="169"/>
      <c r="AR80" s="185" t="e">
        <f t="shared" si="45"/>
        <v>#N/A</v>
      </c>
      <c r="AS80" s="494"/>
      <c r="AT80" s="169"/>
      <c r="AU80" s="169"/>
      <c r="AV80" s="169"/>
      <c r="AW80" s="185" t="e">
        <f t="shared" si="46"/>
        <v>#N/A</v>
      </c>
      <c r="AX80" s="494"/>
    </row>
    <row r="81" spans="2:50">
      <c r="B81" s="471"/>
      <c r="C81" s="185">
        <v>15</v>
      </c>
      <c r="D81" s="206"/>
      <c r="E81" s="169"/>
      <c r="F81" s="185"/>
      <c r="G81" s="183"/>
      <c r="H81" s="453"/>
      <c r="I81" s="185"/>
      <c r="J81" s="185"/>
      <c r="K81" s="185"/>
      <c r="L81" s="453"/>
      <c r="M81" s="184" t="e">
        <f>RANK(K81, K$67:$K$81)</f>
        <v>#DIV/0!</v>
      </c>
      <c r="N81" s="454"/>
      <c r="O81" s="454"/>
      <c r="P81" s="169"/>
      <c r="Q81" s="169"/>
      <c r="R81" s="169"/>
      <c r="S81" s="185" t="e">
        <f t="shared" si="40"/>
        <v>#N/A</v>
      </c>
      <c r="T81" s="494"/>
      <c r="U81" s="169"/>
      <c r="V81" s="169"/>
      <c r="W81" s="169"/>
      <c r="X81" s="185" t="e">
        <f t="shared" si="41"/>
        <v>#N/A</v>
      </c>
      <c r="Y81" s="494"/>
      <c r="Z81" s="169"/>
      <c r="AA81" s="169"/>
      <c r="AB81" s="169"/>
      <c r="AC81" s="185" t="e">
        <f t="shared" si="42"/>
        <v>#N/A</v>
      </c>
      <c r="AD81" s="494"/>
      <c r="AE81" s="169"/>
      <c r="AF81" s="169"/>
      <c r="AG81" s="169"/>
      <c r="AH81" s="185" t="e">
        <f t="shared" si="43"/>
        <v>#N/A</v>
      </c>
      <c r="AI81" s="494"/>
      <c r="AJ81" s="169"/>
      <c r="AK81" s="169"/>
      <c r="AL81" s="169"/>
      <c r="AM81" s="185" t="e">
        <f t="shared" si="44"/>
        <v>#N/A</v>
      </c>
      <c r="AN81" s="494"/>
      <c r="AO81" s="169"/>
      <c r="AP81" s="169"/>
      <c r="AQ81" s="169"/>
      <c r="AR81" s="185" t="e">
        <f t="shared" si="45"/>
        <v>#N/A</v>
      </c>
      <c r="AS81" s="494"/>
      <c r="AT81" s="169"/>
      <c r="AU81" s="169"/>
      <c r="AV81" s="169"/>
      <c r="AW81" s="185" t="e">
        <f t="shared" si="46"/>
        <v>#N/A</v>
      </c>
      <c r="AX81" s="494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54" t="s">
        <v>312</v>
      </c>
      <c r="C87" s="185">
        <v>1</v>
      </c>
      <c r="D87" s="206"/>
      <c r="E87" s="169"/>
      <c r="F87" s="185"/>
      <c r="G87" s="183"/>
      <c r="H87" s="451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69"/>
      <c r="R87" s="169"/>
      <c r="S87" s="185" t="e">
        <f>RANK(R87, R$87:R$101)</f>
        <v>#N/A</v>
      </c>
      <c r="T87" s="494" t="e">
        <f>AVERAGE(R87:R101)</f>
        <v>#DIV/0!</v>
      </c>
      <c r="U87" s="169"/>
      <c r="V87" s="169"/>
      <c r="W87" s="169"/>
      <c r="X87" s="185" t="e">
        <f>RANK(W87, W$87:W$101)</f>
        <v>#N/A</v>
      </c>
      <c r="Y87" s="494" t="e">
        <f>AVERAGE(W87:W101)</f>
        <v>#DIV/0!</v>
      </c>
      <c r="Z87" s="169"/>
      <c r="AA87" s="169"/>
      <c r="AB87" s="169"/>
      <c r="AC87" s="185" t="e">
        <f>RANK(AB87, AB$87:AB$101)</f>
        <v>#N/A</v>
      </c>
      <c r="AD87" s="494" t="e">
        <f>AVERAGE(AB87:AB101)</f>
        <v>#DIV/0!</v>
      </c>
      <c r="AE87" s="169"/>
      <c r="AF87" s="169"/>
      <c r="AG87" s="169"/>
      <c r="AH87" s="185" t="e">
        <f>RANK(AG87, AG$87:AG$101)</f>
        <v>#N/A</v>
      </c>
      <c r="AI87" s="494" t="e">
        <f>AVERAGE(AG87:AG101)</f>
        <v>#DIV/0!</v>
      </c>
      <c r="AJ87" s="169"/>
      <c r="AK87" s="169"/>
      <c r="AL87" s="169"/>
      <c r="AM87" s="185" t="e">
        <f>RANK(AL87, AL$87:AL$101)</f>
        <v>#N/A</v>
      </c>
      <c r="AN87" s="494" t="e">
        <f>AVERAGE(AL87:AL101)</f>
        <v>#DIV/0!</v>
      </c>
      <c r="AO87" s="169"/>
      <c r="AP87" s="169"/>
      <c r="AQ87" s="169"/>
      <c r="AR87" s="185" t="e">
        <f>RANK(AQ87, AQ$87:AQ$101)</f>
        <v>#N/A</v>
      </c>
      <c r="AS87" s="494" t="e">
        <f>AVERAGE(AQ87:AQ101)</f>
        <v>#DIV/0!</v>
      </c>
      <c r="AT87" s="169"/>
      <c r="AU87" s="169"/>
      <c r="AV87" s="169"/>
      <c r="AW87" s="185" t="e">
        <f>RANK(AV87, AV$87:AV$101)</f>
        <v>#N/A</v>
      </c>
      <c r="AX87" s="494" t="e">
        <f>AVERAGE(AV87:AV101)</f>
        <v>#DIV/0!</v>
      </c>
    </row>
    <row r="88" spans="2:50">
      <c r="B88" s="471"/>
      <c r="C88" s="185">
        <v>2</v>
      </c>
      <c r="D88" s="206"/>
      <c r="E88" s="169"/>
      <c r="F88" s="185"/>
      <c r="G88" s="183"/>
      <c r="H88" s="452"/>
      <c r="I88" s="169" t="e">
        <f t="shared" ref="I88:K93" si="48">AVERAGE(P88,U88,Z88,AE88,AJ88,AO88,AT88)</f>
        <v>#DIV/0!</v>
      </c>
      <c r="J88" s="169" t="e">
        <f t="shared" si="48"/>
        <v>#DIV/0!</v>
      </c>
      <c r="K88" s="183" t="e">
        <f t="shared" si="48"/>
        <v>#DIV/0!</v>
      </c>
      <c r="L88" s="452"/>
      <c r="M88" s="184" t="e">
        <f>RANK(K88, K$87:$K$101)</f>
        <v>#DIV/0!</v>
      </c>
      <c r="N88" s="454"/>
      <c r="O88" s="454"/>
      <c r="P88" s="169"/>
      <c r="Q88" s="169"/>
      <c r="R88" s="169"/>
      <c r="S88" s="185" t="e">
        <f t="shared" ref="S88:S101" si="49">RANK(R88, R$87:R$101)</f>
        <v>#N/A</v>
      </c>
      <c r="T88" s="494"/>
      <c r="U88" s="169"/>
      <c r="V88" s="169"/>
      <c r="W88" s="169"/>
      <c r="X88" s="185" t="e">
        <f t="shared" ref="X88:X101" si="50">RANK(W88, W$87:W$101)</f>
        <v>#N/A</v>
      </c>
      <c r="Y88" s="494"/>
      <c r="Z88" s="169"/>
      <c r="AA88" s="169"/>
      <c r="AB88" s="169"/>
      <c r="AC88" s="185" t="e">
        <f t="shared" ref="AC88:AC101" si="51">RANK(AB88, AB$87:AB$101)</f>
        <v>#N/A</v>
      </c>
      <c r="AD88" s="494"/>
      <c r="AE88" s="169"/>
      <c r="AF88" s="169"/>
      <c r="AG88" s="169"/>
      <c r="AH88" s="185" t="e">
        <f t="shared" ref="AH88:AH101" si="52">RANK(AG88, AG$87:AG$101)</f>
        <v>#N/A</v>
      </c>
      <c r="AI88" s="494"/>
      <c r="AJ88" s="169"/>
      <c r="AK88" s="169"/>
      <c r="AL88" s="169"/>
      <c r="AM88" s="185" t="e">
        <f t="shared" ref="AM88:AM101" si="53">RANK(AL88, AL$87:AL$101)</f>
        <v>#N/A</v>
      </c>
      <c r="AN88" s="494"/>
      <c r="AO88" s="169"/>
      <c r="AP88" s="169"/>
      <c r="AQ88" s="169"/>
      <c r="AR88" s="185" t="e">
        <f t="shared" ref="AR88:AR101" si="54">RANK(AQ88, AQ$87:AQ$101)</f>
        <v>#N/A</v>
      </c>
      <c r="AS88" s="494"/>
      <c r="AT88" s="169"/>
      <c r="AU88" s="169"/>
      <c r="AV88" s="169"/>
      <c r="AW88" s="185" t="e">
        <f t="shared" ref="AW88:AW101" si="55">RANK(AV88, AV$87:AV$101)</f>
        <v>#N/A</v>
      </c>
      <c r="AX88" s="494"/>
    </row>
    <row r="89" spans="2:50">
      <c r="B89" s="471"/>
      <c r="C89" s="185">
        <v>3</v>
      </c>
      <c r="D89" s="206"/>
      <c r="E89" s="169"/>
      <c r="F89" s="185"/>
      <c r="G89" s="183"/>
      <c r="H89" s="452"/>
      <c r="I89" s="169" t="e">
        <f t="shared" si="48"/>
        <v>#DIV/0!</v>
      </c>
      <c r="J89" s="169" t="e">
        <f t="shared" si="48"/>
        <v>#DIV/0!</v>
      </c>
      <c r="K89" s="183" t="e">
        <f t="shared" si="48"/>
        <v>#DIV/0!</v>
      </c>
      <c r="L89" s="452"/>
      <c r="M89" s="184" t="e">
        <f>RANK(K89, K$87:$K$101)</f>
        <v>#DIV/0!</v>
      </c>
      <c r="N89" s="454"/>
      <c r="O89" s="454"/>
      <c r="P89" s="169"/>
      <c r="Q89" s="169"/>
      <c r="R89" s="169"/>
      <c r="S89" s="185" t="e">
        <f t="shared" si="49"/>
        <v>#N/A</v>
      </c>
      <c r="T89" s="494"/>
      <c r="U89" s="169"/>
      <c r="V89" s="169"/>
      <c r="W89" s="169"/>
      <c r="X89" s="185" t="e">
        <f t="shared" si="50"/>
        <v>#N/A</v>
      </c>
      <c r="Y89" s="494"/>
      <c r="Z89" s="169"/>
      <c r="AA89" s="169"/>
      <c r="AB89" s="169"/>
      <c r="AC89" s="185" t="e">
        <f t="shared" si="51"/>
        <v>#N/A</v>
      </c>
      <c r="AD89" s="494"/>
      <c r="AE89" s="169"/>
      <c r="AF89" s="169"/>
      <c r="AG89" s="169"/>
      <c r="AH89" s="185" t="e">
        <f t="shared" si="52"/>
        <v>#N/A</v>
      </c>
      <c r="AI89" s="494"/>
      <c r="AJ89" s="169"/>
      <c r="AK89" s="169"/>
      <c r="AL89" s="169"/>
      <c r="AM89" s="185" t="e">
        <f t="shared" si="53"/>
        <v>#N/A</v>
      </c>
      <c r="AN89" s="494"/>
      <c r="AO89" s="169"/>
      <c r="AP89" s="169"/>
      <c r="AQ89" s="169"/>
      <c r="AR89" s="185" t="e">
        <f t="shared" si="54"/>
        <v>#N/A</v>
      </c>
      <c r="AS89" s="494"/>
      <c r="AT89" s="169"/>
      <c r="AU89" s="169"/>
      <c r="AV89" s="169"/>
      <c r="AW89" s="185" t="e">
        <f t="shared" si="55"/>
        <v>#N/A</v>
      </c>
      <c r="AX89" s="494"/>
    </row>
    <row r="90" spans="2:50">
      <c r="B90" s="471"/>
      <c r="C90" s="185">
        <v>4</v>
      </c>
      <c r="D90" s="206"/>
      <c r="E90" s="169"/>
      <c r="F90" s="185"/>
      <c r="G90" s="183"/>
      <c r="H90" s="452"/>
      <c r="I90" s="169" t="e">
        <f t="shared" si="48"/>
        <v>#DIV/0!</v>
      </c>
      <c r="J90" s="169" t="e">
        <f t="shared" si="48"/>
        <v>#DIV/0!</v>
      </c>
      <c r="K90" s="183" t="e">
        <f t="shared" si="48"/>
        <v>#DIV/0!</v>
      </c>
      <c r="L90" s="452"/>
      <c r="M90" s="184" t="e">
        <f>RANK(K90, K$87:$K$101)</f>
        <v>#DIV/0!</v>
      </c>
      <c r="N90" s="454"/>
      <c r="O90" s="454"/>
      <c r="P90" s="169"/>
      <c r="Q90" s="169"/>
      <c r="R90" s="169"/>
      <c r="S90" s="185" t="e">
        <f t="shared" si="49"/>
        <v>#N/A</v>
      </c>
      <c r="T90" s="494"/>
      <c r="U90" s="169"/>
      <c r="V90" s="169"/>
      <c r="W90" s="169"/>
      <c r="X90" s="185" t="e">
        <f t="shared" si="50"/>
        <v>#N/A</v>
      </c>
      <c r="Y90" s="494"/>
      <c r="Z90" s="169"/>
      <c r="AA90" s="169"/>
      <c r="AB90" s="169"/>
      <c r="AC90" s="185" t="e">
        <f t="shared" si="51"/>
        <v>#N/A</v>
      </c>
      <c r="AD90" s="494"/>
      <c r="AE90" s="169"/>
      <c r="AF90" s="169"/>
      <c r="AG90" s="169"/>
      <c r="AH90" s="185" t="e">
        <f t="shared" si="52"/>
        <v>#N/A</v>
      </c>
      <c r="AI90" s="494"/>
      <c r="AJ90" s="169"/>
      <c r="AK90" s="169"/>
      <c r="AL90" s="169"/>
      <c r="AM90" s="185" t="e">
        <f t="shared" si="53"/>
        <v>#N/A</v>
      </c>
      <c r="AN90" s="494"/>
      <c r="AO90" s="169"/>
      <c r="AP90" s="169"/>
      <c r="AQ90" s="169"/>
      <c r="AR90" s="185" t="e">
        <f t="shared" si="54"/>
        <v>#N/A</v>
      </c>
      <c r="AS90" s="494"/>
      <c r="AT90" s="169"/>
      <c r="AU90" s="169"/>
      <c r="AV90" s="169"/>
      <c r="AW90" s="185" t="e">
        <f t="shared" si="55"/>
        <v>#N/A</v>
      </c>
      <c r="AX90" s="494"/>
    </row>
    <row r="91" spans="2:50">
      <c r="B91" s="471"/>
      <c r="C91" s="185">
        <v>5</v>
      </c>
      <c r="D91" s="206"/>
      <c r="E91" s="169"/>
      <c r="F91" s="185"/>
      <c r="G91" s="183"/>
      <c r="H91" s="452"/>
      <c r="I91" s="169" t="e">
        <f t="shared" si="48"/>
        <v>#DIV/0!</v>
      </c>
      <c r="J91" s="169" t="e">
        <f t="shared" si="48"/>
        <v>#DIV/0!</v>
      </c>
      <c r="K91" s="183" t="e">
        <f t="shared" si="48"/>
        <v>#DIV/0!</v>
      </c>
      <c r="L91" s="452"/>
      <c r="M91" s="184" t="e">
        <f>RANK(K91, K$87:$K$101)</f>
        <v>#DIV/0!</v>
      </c>
      <c r="N91" s="454"/>
      <c r="O91" s="454"/>
      <c r="P91" s="169"/>
      <c r="Q91" s="169"/>
      <c r="R91" s="169"/>
      <c r="S91" s="185" t="e">
        <f t="shared" si="49"/>
        <v>#N/A</v>
      </c>
      <c r="T91" s="494"/>
      <c r="U91" s="169"/>
      <c r="V91" s="169"/>
      <c r="W91" s="169"/>
      <c r="X91" s="185" t="e">
        <f t="shared" si="50"/>
        <v>#N/A</v>
      </c>
      <c r="Y91" s="494"/>
      <c r="Z91" s="169"/>
      <c r="AA91" s="169"/>
      <c r="AB91" s="169"/>
      <c r="AC91" s="185" t="e">
        <f t="shared" si="51"/>
        <v>#N/A</v>
      </c>
      <c r="AD91" s="494"/>
      <c r="AE91" s="169"/>
      <c r="AF91" s="169"/>
      <c r="AG91" s="169"/>
      <c r="AH91" s="185" t="e">
        <f t="shared" si="52"/>
        <v>#N/A</v>
      </c>
      <c r="AI91" s="494"/>
      <c r="AJ91" s="169"/>
      <c r="AK91" s="169"/>
      <c r="AL91" s="169"/>
      <c r="AM91" s="185" t="e">
        <f t="shared" si="53"/>
        <v>#N/A</v>
      </c>
      <c r="AN91" s="494"/>
      <c r="AO91" s="169"/>
      <c r="AP91" s="169"/>
      <c r="AQ91" s="169"/>
      <c r="AR91" s="185" t="e">
        <f t="shared" si="54"/>
        <v>#N/A</v>
      </c>
      <c r="AS91" s="494"/>
      <c r="AT91" s="169"/>
      <c r="AU91" s="169"/>
      <c r="AV91" s="169"/>
      <c r="AW91" s="185" t="e">
        <f t="shared" si="55"/>
        <v>#N/A</v>
      </c>
      <c r="AX91" s="494"/>
    </row>
    <row r="92" spans="2:50">
      <c r="B92" s="471"/>
      <c r="C92" s="185">
        <v>6</v>
      </c>
      <c r="D92" s="206"/>
      <c r="E92" s="169"/>
      <c r="F92" s="185"/>
      <c r="G92" s="183"/>
      <c r="H92" s="452"/>
      <c r="I92" s="169" t="e">
        <f t="shared" si="48"/>
        <v>#DIV/0!</v>
      </c>
      <c r="J92" s="169" t="e">
        <f t="shared" si="48"/>
        <v>#DIV/0!</v>
      </c>
      <c r="K92" s="183" t="e">
        <f t="shared" si="48"/>
        <v>#DIV/0!</v>
      </c>
      <c r="L92" s="452"/>
      <c r="M92" s="184" t="e">
        <f>RANK(K92, K$87:$K$101)</f>
        <v>#DIV/0!</v>
      </c>
      <c r="N92" s="454"/>
      <c r="O92" s="454"/>
      <c r="P92" s="169"/>
      <c r="Q92" s="169"/>
      <c r="R92" s="169"/>
      <c r="S92" s="185" t="e">
        <f t="shared" si="49"/>
        <v>#N/A</v>
      </c>
      <c r="T92" s="494"/>
      <c r="U92" s="169"/>
      <c r="V92" s="169"/>
      <c r="W92" s="169"/>
      <c r="X92" s="185" t="e">
        <f t="shared" si="50"/>
        <v>#N/A</v>
      </c>
      <c r="Y92" s="494"/>
      <c r="Z92" s="169"/>
      <c r="AA92" s="169"/>
      <c r="AB92" s="169"/>
      <c r="AC92" s="185" t="e">
        <f t="shared" si="51"/>
        <v>#N/A</v>
      </c>
      <c r="AD92" s="494"/>
      <c r="AE92" s="169"/>
      <c r="AF92" s="169"/>
      <c r="AG92" s="169"/>
      <c r="AH92" s="185" t="e">
        <f t="shared" si="52"/>
        <v>#N/A</v>
      </c>
      <c r="AI92" s="494"/>
      <c r="AJ92" s="169"/>
      <c r="AK92" s="169"/>
      <c r="AL92" s="169"/>
      <c r="AM92" s="185" t="e">
        <f t="shared" si="53"/>
        <v>#N/A</v>
      </c>
      <c r="AN92" s="494"/>
      <c r="AO92" s="169"/>
      <c r="AP92" s="169"/>
      <c r="AQ92" s="169"/>
      <c r="AR92" s="185" t="e">
        <f t="shared" si="54"/>
        <v>#N/A</v>
      </c>
      <c r="AS92" s="494"/>
      <c r="AT92" s="169"/>
      <c r="AU92" s="169"/>
      <c r="AV92" s="169"/>
      <c r="AW92" s="185" t="e">
        <f t="shared" si="55"/>
        <v>#N/A</v>
      </c>
      <c r="AX92" s="494"/>
    </row>
    <row r="93" spans="2:50">
      <c r="B93" s="471"/>
      <c r="C93" s="185">
        <v>7</v>
      </c>
      <c r="D93" s="206"/>
      <c r="E93" s="169"/>
      <c r="F93" s="185"/>
      <c r="G93" s="183"/>
      <c r="H93" s="452"/>
      <c r="I93" s="169" t="e">
        <f t="shared" si="48"/>
        <v>#DIV/0!</v>
      </c>
      <c r="J93" s="169" t="e">
        <f t="shared" si="48"/>
        <v>#DIV/0!</v>
      </c>
      <c r="K93" s="183" t="e">
        <f t="shared" si="48"/>
        <v>#DIV/0!</v>
      </c>
      <c r="L93" s="452"/>
      <c r="M93" s="184" t="e">
        <f>RANK(K93, K$87:$K$101)</f>
        <v>#DIV/0!</v>
      </c>
      <c r="N93" s="454"/>
      <c r="O93" s="454"/>
      <c r="P93" s="169"/>
      <c r="Q93" s="169"/>
      <c r="R93" s="169"/>
      <c r="S93" s="185" t="e">
        <f t="shared" si="49"/>
        <v>#N/A</v>
      </c>
      <c r="T93" s="494"/>
      <c r="U93" s="169"/>
      <c r="V93" s="169"/>
      <c r="W93" s="169"/>
      <c r="X93" s="185" t="e">
        <f t="shared" si="50"/>
        <v>#N/A</v>
      </c>
      <c r="Y93" s="494"/>
      <c r="Z93" s="169"/>
      <c r="AA93" s="169"/>
      <c r="AB93" s="169"/>
      <c r="AC93" s="185" t="e">
        <f t="shared" si="51"/>
        <v>#N/A</v>
      </c>
      <c r="AD93" s="494"/>
      <c r="AE93" s="169"/>
      <c r="AF93" s="169"/>
      <c r="AG93" s="169"/>
      <c r="AH93" s="185" t="e">
        <f t="shared" si="52"/>
        <v>#N/A</v>
      </c>
      <c r="AI93" s="494"/>
      <c r="AJ93" s="169"/>
      <c r="AK93" s="169"/>
      <c r="AL93" s="169"/>
      <c r="AM93" s="185" t="e">
        <f t="shared" si="53"/>
        <v>#N/A</v>
      </c>
      <c r="AN93" s="494"/>
      <c r="AO93" s="169"/>
      <c r="AP93" s="169"/>
      <c r="AQ93" s="169"/>
      <c r="AR93" s="185" t="e">
        <f t="shared" si="54"/>
        <v>#N/A</v>
      </c>
      <c r="AS93" s="494"/>
      <c r="AT93" s="169"/>
      <c r="AU93" s="169"/>
      <c r="AV93" s="169"/>
      <c r="AW93" s="185" t="e">
        <f t="shared" si="55"/>
        <v>#N/A</v>
      </c>
      <c r="AX93" s="494"/>
    </row>
    <row r="94" spans="2:50">
      <c r="B94" s="471"/>
      <c r="C94" s="185">
        <v>8</v>
      </c>
      <c r="D94" s="206"/>
      <c r="E94" s="169"/>
      <c r="F94" s="185"/>
      <c r="G94" s="183"/>
      <c r="H94" s="452"/>
      <c r="I94" s="169" t="e">
        <f t="shared" ref="I94:I96" si="56">AVERAGE(P94,U94,Z94,AE94,AJ94,AO94,AT94)</f>
        <v>#DIV/0!</v>
      </c>
      <c r="J94" s="169" t="e">
        <f t="shared" ref="J94:J96" si="57">AVERAGE(Q94,V94,AA94,AF94,AK94,AP94,AU94)</f>
        <v>#DIV/0!</v>
      </c>
      <c r="K94" s="183" t="e">
        <f t="shared" ref="K94:K96" si="58">AVERAGE(R94,W94,AB94,AG94,AL94,AQ94,AV94)</f>
        <v>#DIV/0!</v>
      </c>
      <c r="L94" s="452"/>
      <c r="M94" s="184" t="e">
        <f>RANK(K94, K$87:$K$101)</f>
        <v>#DIV/0!</v>
      </c>
      <c r="N94" s="454"/>
      <c r="O94" s="454"/>
      <c r="P94" s="169"/>
      <c r="Q94" s="169"/>
      <c r="R94" s="169"/>
      <c r="S94" s="185" t="e">
        <f t="shared" si="49"/>
        <v>#N/A</v>
      </c>
      <c r="T94" s="494"/>
      <c r="U94" s="169"/>
      <c r="V94" s="169"/>
      <c r="W94" s="169"/>
      <c r="X94" s="185" t="e">
        <f t="shared" si="50"/>
        <v>#N/A</v>
      </c>
      <c r="Y94" s="494"/>
      <c r="Z94" s="169"/>
      <c r="AA94" s="169"/>
      <c r="AB94" s="169"/>
      <c r="AC94" s="185" t="e">
        <f t="shared" si="51"/>
        <v>#N/A</v>
      </c>
      <c r="AD94" s="494"/>
      <c r="AE94" s="169"/>
      <c r="AF94" s="169"/>
      <c r="AG94" s="169"/>
      <c r="AH94" s="185" t="e">
        <f t="shared" si="52"/>
        <v>#N/A</v>
      </c>
      <c r="AI94" s="494"/>
      <c r="AJ94" s="169"/>
      <c r="AK94" s="169"/>
      <c r="AL94" s="169"/>
      <c r="AM94" s="185" t="e">
        <f t="shared" si="53"/>
        <v>#N/A</v>
      </c>
      <c r="AN94" s="494"/>
      <c r="AO94" s="169"/>
      <c r="AP94" s="169"/>
      <c r="AQ94" s="169"/>
      <c r="AR94" s="185" t="e">
        <f t="shared" si="54"/>
        <v>#N/A</v>
      </c>
      <c r="AS94" s="494"/>
      <c r="AT94" s="169"/>
      <c r="AU94" s="169"/>
      <c r="AV94" s="169"/>
      <c r="AW94" s="185" t="e">
        <f t="shared" si="55"/>
        <v>#N/A</v>
      </c>
      <c r="AX94" s="494"/>
    </row>
    <row r="95" spans="2:50">
      <c r="B95" s="471"/>
      <c r="C95" s="185">
        <v>9</v>
      </c>
      <c r="D95" s="206"/>
      <c r="E95" s="169"/>
      <c r="F95" s="185"/>
      <c r="G95" s="183"/>
      <c r="H95" s="452"/>
      <c r="I95" s="169" t="e">
        <f t="shared" si="56"/>
        <v>#DIV/0!</v>
      </c>
      <c r="J95" s="169" t="e">
        <f t="shared" si="57"/>
        <v>#DIV/0!</v>
      </c>
      <c r="K95" s="183" t="e">
        <f t="shared" si="58"/>
        <v>#DIV/0!</v>
      </c>
      <c r="L95" s="452"/>
      <c r="M95" s="184" t="e">
        <f>RANK(K95, K$87:$K$101)</f>
        <v>#DIV/0!</v>
      </c>
      <c r="N95" s="454"/>
      <c r="O95" s="454"/>
      <c r="P95" s="169"/>
      <c r="Q95" s="169"/>
      <c r="R95" s="169"/>
      <c r="S95" s="185" t="e">
        <f t="shared" si="49"/>
        <v>#N/A</v>
      </c>
      <c r="T95" s="494"/>
      <c r="U95" s="169"/>
      <c r="V95" s="169"/>
      <c r="W95" s="169"/>
      <c r="X95" s="185" t="e">
        <f t="shared" si="50"/>
        <v>#N/A</v>
      </c>
      <c r="Y95" s="494"/>
      <c r="Z95" s="169"/>
      <c r="AA95" s="169"/>
      <c r="AB95" s="169"/>
      <c r="AC95" s="185" t="e">
        <f t="shared" si="51"/>
        <v>#N/A</v>
      </c>
      <c r="AD95" s="494"/>
      <c r="AE95" s="169"/>
      <c r="AF95" s="169"/>
      <c r="AG95" s="169"/>
      <c r="AH95" s="185" t="e">
        <f t="shared" si="52"/>
        <v>#N/A</v>
      </c>
      <c r="AI95" s="494"/>
      <c r="AJ95" s="169"/>
      <c r="AK95" s="169"/>
      <c r="AL95" s="169"/>
      <c r="AM95" s="185" t="e">
        <f t="shared" si="53"/>
        <v>#N/A</v>
      </c>
      <c r="AN95" s="494"/>
      <c r="AO95" s="169"/>
      <c r="AP95" s="169"/>
      <c r="AQ95" s="169"/>
      <c r="AR95" s="185" t="e">
        <f t="shared" si="54"/>
        <v>#N/A</v>
      </c>
      <c r="AS95" s="494"/>
      <c r="AT95" s="169"/>
      <c r="AU95" s="169"/>
      <c r="AV95" s="169"/>
      <c r="AW95" s="185" t="e">
        <f t="shared" si="55"/>
        <v>#N/A</v>
      </c>
      <c r="AX95" s="494"/>
    </row>
    <row r="96" spans="2:50">
      <c r="B96" s="471"/>
      <c r="C96" s="185">
        <v>10</v>
      </c>
      <c r="D96" s="206"/>
      <c r="E96" s="169"/>
      <c r="F96" s="185"/>
      <c r="G96" s="183"/>
      <c r="H96" s="452"/>
      <c r="I96" s="169" t="e">
        <f t="shared" si="56"/>
        <v>#DIV/0!</v>
      </c>
      <c r="J96" s="169" t="e">
        <f t="shared" si="57"/>
        <v>#DIV/0!</v>
      </c>
      <c r="K96" s="183" t="e">
        <f t="shared" si="58"/>
        <v>#DIV/0!</v>
      </c>
      <c r="L96" s="452"/>
      <c r="M96" s="184" t="e">
        <f>RANK(K96, K$87:$K$101)</f>
        <v>#DIV/0!</v>
      </c>
      <c r="N96" s="454"/>
      <c r="O96" s="454"/>
      <c r="P96" s="169"/>
      <c r="Q96" s="169"/>
      <c r="R96" s="169"/>
      <c r="S96" s="185" t="e">
        <f t="shared" si="49"/>
        <v>#N/A</v>
      </c>
      <c r="T96" s="494"/>
      <c r="U96" s="169"/>
      <c r="V96" s="169"/>
      <c r="W96" s="169"/>
      <c r="X96" s="185" t="e">
        <f t="shared" si="50"/>
        <v>#N/A</v>
      </c>
      <c r="Y96" s="494"/>
      <c r="Z96" s="169"/>
      <c r="AA96" s="169"/>
      <c r="AB96" s="169"/>
      <c r="AC96" s="185" t="e">
        <f t="shared" si="51"/>
        <v>#N/A</v>
      </c>
      <c r="AD96" s="494"/>
      <c r="AE96" s="169"/>
      <c r="AF96" s="169"/>
      <c r="AG96" s="169"/>
      <c r="AH96" s="185" t="e">
        <f t="shared" si="52"/>
        <v>#N/A</v>
      </c>
      <c r="AI96" s="494"/>
      <c r="AJ96" s="169"/>
      <c r="AK96" s="169"/>
      <c r="AL96" s="169"/>
      <c r="AM96" s="185" t="e">
        <f t="shared" si="53"/>
        <v>#N/A</v>
      </c>
      <c r="AN96" s="494"/>
      <c r="AO96" s="169"/>
      <c r="AP96" s="169"/>
      <c r="AQ96" s="169"/>
      <c r="AR96" s="185" t="e">
        <f t="shared" si="54"/>
        <v>#N/A</v>
      </c>
      <c r="AS96" s="494"/>
      <c r="AT96" s="169"/>
      <c r="AU96" s="169"/>
      <c r="AV96" s="169"/>
      <c r="AW96" s="185" t="e">
        <f t="shared" si="55"/>
        <v>#N/A</v>
      </c>
      <c r="AX96" s="494"/>
    </row>
    <row r="97" spans="2:50">
      <c r="B97" s="471"/>
      <c r="C97" s="185">
        <v>11</v>
      </c>
      <c r="D97" s="206"/>
      <c r="E97" s="169"/>
      <c r="F97" s="185"/>
      <c r="G97" s="183"/>
      <c r="H97" s="452"/>
      <c r="I97" s="185"/>
      <c r="J97" s="185"/>
      <c r="K97" s="185"/>
      <c r="L97" s="452"/>
      <c r="M97" s="184" t="e">
        <f>RANK(K97, K$87:$K$101)</f>
        <v>#DIV/0!</v>
      </c>
      <c r="N97" s="454"/>
      <c r="O97" s="454"/>
      <c r="P97" s="169"/>
      <c r="Q97" s="169"/>
      <c r="R97" s="169"/>
      <c r="S97" s="185" t="e">
        <f t="shared" si="49"/>
        <v>#N/A</v>
      </c>
      <c r="T97" s="494"/>
      <c r="U97" s="169"/>
      <c r="V97" s="169"/>
      <c r="W97" s="169"/>
      <c r="X97" s="185" t="e">
        <f t="shared" si="50"/>
        <v>#N/A</v>
      </c>
      <c r="Y97" s="494"/>
      <c r="Z97" s="169"/>
      <c r="AA97" s="169"/>
      <c r="AB97" s="169"/>
      <c r="AC97" s="185" t="e">
        <f t="shared" si="51"/>
        <v>#N/A</v>
      </c>
      <c r="AD97" s="494"/>
      <c r="AE97" s="169"/>
      <c r="AF97" s="169"/>
      <c r="AG97" s="169"/>
      <c r="AH97" s="185" t="e">
        <f t="shared" si="52"/>
        <v>#N/A</v>
      </c>
      <c r="AI97" s="494"/>
      <c r="AJ97" s="169"/>
      <c r="AK97" s="169"/>
      <c r="AL97" s="169"/>
      <c r="AM97" s="185" t="e">
        <f t="shared" si="53"/>
        <v>#N/A</v>
      </c>
      <c r="AN97" s="494"/>
      <c r="AO97" s="169"/>
      <c r="AP97" s="169"/>
      <c r="AQ97" s="169"/>
      <c r="AR97" s="185" t="e">
        <f t="shared" si="54"/>
        <v>#N/A</v>
      </c>
      <c r="AS97" s="494"/>
      <c r="AT97" s="169"/>
      <c r="AU97" s="169"/>
      <c r="AV97" s="169"/>
      <c r="AW97" s="185" t="e">
        <f t="shared" si="55"/>
        <v>#N/A</v>
      </c>
      <c r="AX97" s="494"/>
    </row>
    <row r="98" spans="2:50">
      <c r="B98" s="471"/>
      <c r="C98" s="185">
        <v>12</v>
      </c>
      <c r="D98" s="206"/>
      <c r="E98" s="169"/>
      <c r="F98" s="185"/>
      <c r="G98" s="183"/>
      <c r="H98" s="452"/>
      <c r="I98" s="185"/>
      <c r="J98" s="185"/>
      <c r="K98" s="185"/>
      <c r="L98" s="452"/>
      <c r="M98" s="184" t="e">
        <f>RANK(K98, K$87:$K$101)</f>
        <v>#DIV/0!</v>
      </c>
      <c r="N98" s="454"/>
      <c r="O98" s="454"/>
      <c r="P98" s="169"/>
      <c r="Q98" s="169"/>
      <c r="R98" s="169"/>
      <c r="S98" s="185" t="e">
        <f t="shared" si="49"/>
        <v>#N/A</v>
      </c>
      <c r="T98" s="494"/>
      <c r="U98" s="169"/>
      <c r="V98" s="169"/>
      <c r="W98" s="169"/>
      <c r="X98" s="185" t="e">
        <f t="shared" si="50"/>
        <v>#N/A</v>
      </c>
      <c r="Y98" s="494"/>
      <c r="Z98" s="169"/>
      <c r="AA98" s="169"/>
      <c r="AB98" s="169"/>
      <c r="AC98" s="185" t="e">
        <f t="shared" si="51"/>
        <v>#N/A</v>
      </c>
      <c r="AD98" s="494"/>
      <c r="AE98" s="169"/>
      <c r="AF98" s="169"/>
      <c r="AG98" s="169"/>
      <c r="AH98" s="185" t="e">
        <f t="shared" si="52"/>
        <v>#N/A</v>
      </c>
      <c r="AI98" s="494"/>
      <c r="AJ98" s="169"/>
      <c r="AK98" s="169"/>
      <c r="AL98" s="169"/>
      <c r="AM98" s="185" t="e">
        <f t="shared" si="53"/>
        <v>#N/A</v>
      </c>
      <c r="AN98" s="494"/>
      <c r="AO98" s="169"/>
      <c r="AP98" s="169"/>
      <c r="AQ98" s="169"/>
      <c r="AR98" s="185" t="e">
        <f t="shared" si="54"/>
        <v>#N/A</v>
      </c>
      <c r="AS98" s="494"/>
      <c r="AT98" s="169"/>
      <c r="AU98" s="169"/>
      <c r="AV98" s="169"/>
      <c r="AW98" s="185" t="e">
        <f t="shared" si="55"/>
        <v>#N/A</v>
      </c>
      <c r="AX98" s="494"/>
    </row>
    <row r="99" spans="2:50">
      <c r="B99" s="471"/>
      <c r="C99" s="185">
        <v>13</v>
      </c>
      <c r="D99" s="206"/>
      <c r="E99" s="169"/>
      <c r="F99" s="185"/>
      <c r="G99" s="183"/>
      <c r="H99" s="452"/>
      <c r="I99" s="185"/>
      <c r="J99" s="185"/>
      <c r="K99" s="185"/>
      <c r="L99" s="452"/>
      <c r="M99" s="184" t="e">
        <f>RANK(K99, K$87:$K$101)</f>
        <v>#DIV/0!</v>
      </c>
      <c r="N99" s="454"/>
      <c r="O99" s="454"/>
      <c r="P99" s="169"/>
      <c r="Q99" s="169"/>
      <c r="R99" s="169"/>
      <c r="S99" s="185" t="e">
        <f t="shared" si="49"/>
        <v>#N/A</v>
      </c>
      <c r="T99" s="494"/>
      <c r="U99" s="169"/>
      <c r="V99" s="169"/>
      <c r="W99" s="169"/>
      <c r="X99" s="185" t="e">
        <f t="shared" si="50"/>
        <v>#N/A</v>
      </c>
      <c r="Y99" s="494"/>
      <c r="Z99" s="169"/>
      <c r="AA99" s="169"/>
      <c r="AB99" s="169"/>
      <c r="AC99" s="185" t="e">
        <f t="shared" si="51"/>
        <v>#N/A</v>
      </c>
      <c r="AD99" s="494"/>
      <c r="AE99" s="169"/>
      <c r="AF99" s="169"/>
      <c r="AG99" s="169"/>
      <c r="AH99" s="185" t="e">
        <f t="shared" si="52"/>
        <v>#N/A</v>
      </c>
      <c r="AI99" s="494"/>
      <c r="AJ99" s="169"/>
      <c r="AK99" s="169"/>
      <c r="AL99" s="169"/>
      <c r="AM99" s="185" t="e">
        <f t="shared" si="53"/>
        <v>#N/A</v>
      </c>
      <c r="AN99" s="494"/>
      <c r="AO99" s="169"/>
      <c r="AP99" s="169"/>
      <c r="AQ99" s="169"/>
      <c r="AR99" s="185" t="e">
        <f t="shared" si="54"/>
        <v>#N/A</v>
      </c>
      <c r="AS99" s="494"/>
      <c r="AT99" s="169"/>
      <c r="AU99" s="169"/>
      <c r="AV99" s="169"/>
      <c r="AW99" s="185" t="e">
        <f t="shared" si="55"/>
        <v>#N/A</v>
      </c>
      <c r="AX99" s="494"/>
    </row>
    <row r="100" spans="2:50">
      <c r="B100" s="471"/>
      <c r="C100" s="185">
        <v>14</v>
      </c>
      <c r="D100" s="206"/>
      <c r="E100" s="169"/>
      <c r="F100" s="185"/>
      <c r="G100" s="183"/>
      <c r="H100" s="452"/>
      <c r="I100" s="185"/>
      <c r="J100" s="185"/>
      <c r="K100" s="185"/>
      <c r="L100" s="452"/>
      <c r="M100" s="184" t="e">
        <f>RANK(K100, K$87:$K$101)</f>
        <v>#DIV/0!</v>
      </c>
      <c r="N100" s="454"/>
      <c r="O100" s="454"/>
      <c r="P100" s="169"/>
      <c r="Q100" s="169"/>
      <c r="R100" s="169"/>
      <c r="S100" s="185" t="e">
        <f t="shared" si="49"/>
        <v>#N/A</v>
      </c>
      <c r="T100" s="494"/>
      <c r="U100" s="169"/>
      <c r="V100" s="169"/>
      <c r="W100" s="169"/>
      <c r="X100" s="185" t="e">
        <f t="shared" si="50"/>
        <v>#N/A</v>
      </c>
      <c r="Y100" s="494"/>
      <c r="Z100" s="169"/>
      <c r="AA100" s="169"/>
      <c r="AB100" s="169"/>
      <c r="AC100" s="185" t="e">
        <f t="shared" si="51"/>
        <v>#N/A</v>
      </c>
      <c r="AD100" s="494"/>
      <c r="AE100" s="169"/>
      <c r="AF100" s="169"/>
      <c r="AG100" s="169"/>
      <c r="AH100" s="185" t="e">
        <f t="shared" si="52"/>
        <v>#N/A</v>
      </c>
      <c r="AI100" s="494"/>
      <c r="AJ100" s="169"/>
      <c r="AK100" s="169"/>
      <c r="AL100" s="169"/>
      <c r="AM100" s="185" t="e">
        <f t="shared" si="53"/>
        <v>#N/A</v>
      </c>
      <c r="AN100" s="494"/>
      <c r="AO100" s="169"/>
      <c r="AP100" s="169"/>
      <c r="AQ100" s="169"/>
      <c r="AR100" s="185" t="e">
        <f t="shared" si="54"/>
        <v>#N/A</v>
      </c>
      <c r="AS100" s="494"/>
      <c r="AT100" s="169"/>
      <c r="AU100" s="169"/>
      <c r="AV100" s="169"/>
      <c r="AW100" s="185" t="e">
        <f t="shared" si="55"/>
        <v>#N/A</v>
      </c>
      <c r="AX100" s="494"/>
    </row>
    <row r="101" spans="2:50">
      <c r="B101" s="471"/>
      <c r="C101" s="185">
        <v>15</v>
      </c>
      <c r="D101" s="206"/>
      <c r="E101" s="169"/>
      <c r="F101" s="185"/>
      <c r="G101" s="183"/>
      <c r="H101" s="453"/>
      <c r="I101" s="185"/>
      <c r="J101" s="185"/>
      <c r="K101" s="185"/>
      <c r="L101" s="453"/>
      <c r="M101" s="169" t="e">
        <f>RANK(K101, K$87:$K$101)</f>
        <v>#DIV/0!</v>
      </c>
      <c r="N101" s="454"/>
      <c r="O101" s="454"/>
      <c r="P101" s="169"/>
      <c r="Q101" s="169"/>
      <c r="R101" s="169"/>
      <c r="S101" s="185" t="e">
        <f t="shared" si="49"/>
        <v>#N/A</v>
      </c>
      <c r="T101" s="494"/>
      <c r="U101" s="169"/>
      <c r="V101" s="169"/>
      <c r="W101" s="169"/>
      <c r="X101" s="185" t="e">
        <f t="shared" si="50"/>
        <v>#N/A</v>
      </c>
      <c r="Y101" s="494"/>
      <c r="Z101" s="169"/>
      <c r="AA101" s="169"/>
      <c r="AB101" s="169"/>
      <c r="AC101" s="185" t="e">
        <f t="shared" si="51"/>
        <v>#N/A</v>
      </c>
      <c r="AD101" s="494"/>
      <c r="AE101" s="169"/>
      <c r="AF101" s="169"/>
      <c r="AG101" s="169"/>
      <c r="AH101" s="185" t="e">
        <f t="shared" si="52"/>
        <v>#N/A</v>
      </c>
      <c r="AI101" s="494"/>
      <c r="AJ101" s="169"/>
      <c r="AK101" s="169"/>
      <c r="AL101" s="169"/>
      <c r="AM101" s="185" t="e">
        <f t="shared" si="53"/>
        <v>#N/A</v>
      </c>
      <c r="AN101" s="494"/>
      <c r="AO101" s="169"/>
      <c r="AP101" s="169"/>
      <c r="AQ101" s="169"/>
      <c r="AR101" s="185" t="e">
        <f t="shared" si="54"/>
        <v>#N/A</v>
      </c>
      <c r="AS101" s="494"/>
      <c r="AT101" s="169"/>
      <c r="AU101" s="169"/>
      <c r="AV101" s="169"/>
      <c r="AW101" s="185" t="e">
        <f t="shared" si="55"/>
        <v>#N/A</v>
      </c>
      <c r="AX101" s="494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54" t="s">
        <v>312</v>
      </c>
      <c r="C107" s="185">
        <v>1</v>
      </c>
      <c r="D107" s="206"/>
      <c r="E107" s="169"/>
      <c r="F107" s="185"/>
      <c r="G107" s="183"/>
      <c r="H107" s="451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51" t="str">
        <f>IFERROR(AVERAGE(K107:K121),"-")</f>
        <v>-</v>
      </c>
      <c r="M107" s="184" t="e">
        <f>RANK(K107, K$87:$K$101)</f>
        <v>#DIV/0!</v>
      </c>
      <c r="N107" s="454"/>
      <c r="O107" s="454"/>
      <c r="P107" s="169"/>
      <c r="Q107" s="169"/>
      <c r="R107" s="169"/>
      <c r="S107" s="185" t="e">
        <f>RANK(R107, R$87:R$101)</f>
        <v>#N/A</v>
      </c>
      <c r="T107" s="494" t="e">
        <f>AVERAGE(R107:R121)</f>
        <v>#DIV/0!</v>
      </c>
      <c r="U107" s="169"/>
      <c r="V107" s="169"/>
      <c r="W107" s="169"/>
      <c r="X107" s="185" t="e">
        <f>RANK(W107, W$87:W$101)</f>
        <v>#N/A</v>
      </c>
      <c r="Y107" s="494" t="e">
        <f>AVERAGE(W107:W121)</f>
        <v>#DIV/0!</v>
      </c>
      <c r="Z107" s="169"/>
      <c r="AA107" s="169"/>
      <c r="AB107" s="169"/>
      <c r="AC107" s="185" t="e">
        <f>RANK(AB107, AB$87:AB$101)</f>
        <v>#N/A</v>
      </c>
      <c r="AD107" s="494" t="e">
        <f>AVERAGE(AB107:AB121)</f>
        <v>#DIV/0!</v>
      </c>
      <c r="AE107" s="169"/>
      <c r="AF107" s="169"/>
      <c r="AG107" s="169"/>
      <c r="AH107" s="185" t="e">
        <f>RANK(AG107, AG$87:AG$101)</f>
        <v>#N/A</v>
      </c>
      <c r="AI107" s="494" t="e">
        <f>AVERAGE(AG107:AG121)</f>
        <v>#DIV/0!</v>
      </c>
      <c r="AJ107" s="169"/>
      <c r="AK107" s="169"/>
      <c r="AL107" s="169"/>
      <c r="AM107" s="185" t="e">
        <f>RANK(AL107, AL$87:AL$101)</f>
        <v>#N/A</v>
      </c>
      <c r="AN107" s="494" t="e">
        <f>AVERAGE(AL107:AL121)</f>
        <v>#DIV/0!</v>
      </c>
      <c r="AO107" s="169"/>
      <c r="AP107" s="169"/>
      <c r="AQ107" s="169"/>
      <c r="AR107" s="185" t="e">
        <f>RANK(AQ107, AQ$87:AQ$101)</f>
        <v>#N/A</v>
      </c>
      <c r="AS107" s="494" t="e">
        <f>AVERAGE(AQ107:AQ121)</f>
        <v>#DIV/0!</v>
      </c>
      <c r="AT107" s="169"/>
      <c r="AU107" s="169"/>
      <c r="AV107" s="169"/>
      <c r="AW107" s="185" t="e">
        <f>RANK(AV107, AV$87:AV$101)</f>
        <v>#N/A</v>
      </c>
      <c r="AX107" s="494" t="e">
        <f>AVERAGE(AV107:AV121)</f>
        <v>#DIV/0!</v>
      </c>
    </row>
    <row r="108" spans="2:50">
      <c r="B108" s="471"/>
      <c r="C108" s="185">
        <v>2</v>
      </c>
      <c r="D108" s="206"/>
      <c r="E108" s="169"/>
      <c r="F108" s="185"/>
      <c r="G108" s="183"/>
      <c r="H108" s="452"/>
      <c r="I108" s="169" t="e">
        <f t="shared" ref="I108:I116" si="59">AVERAGE(P108,U108,Z108,AE108,AJ108,AO108,AT108)</f>
        <v>#DIV/0!</v>
      </c>
      <c r="J108" s="169" t="e">
        <f t="shared" ref="J108:J116" si="60">AVERAGE(Q108,V108,AA108,AF108,AK108,AP108,AU108)</f>
        <v>#DIV/0!</v>
      </c>
      <c r="K108" s="183" t="e">
        <f t="shared" ref="K108:K116" si="61">AVERAGE(R108,W108,AB108,AG108,AL108,AQ108,AV108)</f>
        <v>#DIV/0!</v>
      </c>
      <c r="L108" s="452"/>
      <c r="M108" s="184" t="e">
        <f>RANK(K108, K$87:$K$101)</f>
        <v>#DIV/0!</v>
      </c>
      <c r="N108" s="454"/>
      <c r="O108" s="454"/>
      <c r="P108" s="169"/>
      <c r="Q108" s="169"/>
      <c r="R108" s="169"/>
      <c r="S108" s="185" t="e">
        <f t="shared" ref="S108:S121" si="62">RANK(R108, R$87:R$101)</f>
        <v>#N/A</v>
      </c>
      <c r="T108" s="494"/>
      <c r="U108" s="169"/>
      <c r="V108" s="169"/>
      <c r="W108" s="169"/>
      <c r="X108" s="185" t="e">
        <f t="shared" ref="X108:X121" si="63">RANK(W108, W$87:W$101)</f>
        <v>#N/A</v>
      </c>
      <c r="Y108" s="494"/>
      <c r="Z108" s="169"/>
      <c r="AA108" s="169"/>
      <c r="AB108" s="169"/>
      <c r="AC108" s="185" t="e">
        <f t="shared" ref="AC108:AC121" si="64">RANK(AB108, AB$87:AB$101)</f>
        <v>#N/A</v>
      </c>
      <c r="AD108" s="494"/>
      <c r="AE108" s="169"/>
      <c r="AF108" s="169"/>
      <c r="AG108" s="169"/>
      <c r="AH108" s="185" t="e">
        <f t="shared" ref="AH108:AH121" si="65">RANK(AG108, AG$87:AG$101)</f>
        <v>#N/A</v>
      </c>
      <c r="AI108" s="494"/>
      <c r="AJ108" s="169"/>
      <c r="AK108" s="169"/>
      <c r="AL108" s="169"/>
      <c r="AM108" s="185" t="e">
        <f t="shared" ref="AM108:AM121" si="66">RANK(AL108, AL$87:AL$101)</f>
        <v>#N/A</v>
      </c>
      <c r="AN108" s="494"/>
      <c r="AO108" s="169"/>
      <c r="AP108" s="169"/>
      <c r="AQ108" s="169"/>
      <c r="AR108" s="185" t="e">
        <f t="shared" ref="AR108:AR121" si="67">RANK(AQ108, AQ$87:AQ$101)</f>
        <v>#N/A</v>
      </c>
      <c r="AS108" s="494"/>
      <c r="AT108" s="169"/>
      <c r="AU108" s="169"/>
      <c r="AV108" s="169"/>
      <c r="AW108" s="185" t="e">
        <f t="shared" ref="AW108:AW121" si="68">RANK(AV108, AV$87:AV$101)</f>
        <v>#N/A</v>
      </c>
      <c r="AX108" s="494"/>
    </row>
    <row r="109" spans="2:50">
      <c r="B109" s="471"/>
      <c r="C109" s="185">
        <v>3</v>
      </c>
      <c r="D109" s="206"/>
      <c r="E109" s="169"/>
      <c r="F109" s="185"/>
      <c r="G109" s="183"/>
      <c r="H109" s="452"/>
      <c r="I109" s="169" t="e">
        <f t="shared" si="59"/>
        <v>#DIV/0!</v>
      </c>
      <c r="J109" s="169" t="e">
        <f t="shared" si="60"/>
        <v>#DIV/0!</v>
      </c>
      <c r="K109" s="183" t="e">
        <f t="shared" si="61"/>
        <v>#DIV/0!</v>
      </c>
      <c r="L109" s="452"/>
      <c r="M109" s="184" t="e">
        <f>RANK(K109, K$87:$K$101)</f>
        <v>#DIV/0!</v>
      </c>
      <c r="N109" s="454"/>
      <c r="O109" s="454"/>
      <c r="P109" s="169"/>
      <c r="Q109" s="169"/>
      <c r="R109" s="169"/>
      <c r="S109" s="185" t="e">
        <f t="shared" si="62"/>
        <v>#N/A</v>
      </c>
      <c r="T109" s="494"/>
      <c r="U109" s="169"/>
      <c r="V109" s="169"/>
      <c r="W109" s="169"/>
      <c r="X109" s="185" t="e">
        <f t="shared" si="63"/>
        <v>#N/A</v>
      </c>
      <c r="Y109" s="494"/>
      <c r="Z109" s="169"/>
      <c r="AA109" s="169"/>
      <c r="AB109" s="169"/>
      <c r="AC109" s="185" t="e">
        <f t="shared" si="64"/>
        <v>#N/A</v>
      </c>
      <c r="AD109" s="494"/>
      <c r="AE109" s="169"/>
      <c r="AF109" s="169"/>
      <c r="AG109" s="169"/>
      <c r="AH109" s="185" t="e">
        <f t="shared" si="65"/>
        <v>#N/A</v>
      </c>
      <c r="AI109" s="494"/>
      <c r="AJ109" s="169"/>
      <c r="AK109" s="169"/>
      <c r="AL109" s="169"/>
      <c r="AM109" s="185" t="e">
        <f t="shared" si="66"/>
        <v>#N/A</v>
      </c>
      <c r="AN109" s="494"/>
      <c r="AO109" s="169"/>
      <c r="AP109" s="169"/>
      <c r="AQ109" s="169"/>
      <c r="AR109" s="185" t="e">
        <f t="shared" si="67"/>
        <v>#N/A</v>
      </c>
      <c r="AS109" s="494"/>
      <c r="AT109" s="169"/>
      <c r="AU109" s="169"/>
      <c r="AV109" s="169"/>
      <c r="AW109" s="185" t="e">
        <f t="shared" si="68"/>
        <v>#N/A</v>
      </c>
      <c r="AX109" s="494"/>
    </row>
    <row r="110" spans="2:50">
      <c r="B110" s="471"/>
      <c r="C110" s="185">
        <v>4</v>
      </c>
      <c r="D110" s="206"/>
      <c r="E110" s="169"/>
      <c r="F110" s="185"/>
      <c r="G110" s="183"/>
      <c r="H110" s="452"/>
      <c r="I110" s="169" t="e">
        <f t="shared" si="59"/>
        <v>#DIV/0!</v>
      </c>
      <c r="J110" s="169" t="e">
        <f t="shared" si="60"/>
        <v>#DIV/0!</v>
      </c>
      <c r="K110" s="183" t="e">
        <f t="shared" si="61"/>
        <v>#DIV/0!</v>
      </c>
      <c r="L110" s="452"/>
      <c r="M110" s="184" t="e">
        <f>RANK(K110, K$87:$K$101)</f>
        <v>#DIV/0!</v>
      </c>
      <c r="N110" s="454"/>
      <c r="O110" s="454"/>
      <c r="P110" s="169"/>
      <c r="Q110" s="169"/>
      <c r="R110" s="169"/>
      <c r="S110" s="185" t="e">
        <f t="shared" si="62"/>
        <v>#N/A</v>
      </c>
      <c r="T110" s="494"/>
      <c r="U110" s="169"/>
      <c r="V110" s="169"/>
      <c r="W110" s="169"/>
      <c r="X110" s="185" t="e">
        <f t="shared" si="63"/>
        <v>#N/A</v>
      </c>
      <c r="Y110" s="494"/>
      <c r="Z110" s="169"/>
      <c r="AA110" s="169"/>
      <c r="AB110" s="169"/>
      <c r="AC110" s="185" t="e">
        <f t="shared" si="64"/>
        <v>#N/A</v>
      </c>
      <c r="AD110" s="494"/>
      <c r="AE110" s="169"/>
      <c r="AF110" s="169"/>
      <c r="AG110" s="169"/>
      <c r="AH110" s="185" t="e">
        <f t="shared" si="65"/>
        <v>#N/A</v>
      </c>
      <c r="AI110" s="494"/>
      <c r="AJ110" s="169"/>
      <c r="AK110" s="169"/>
      <c r="AL110" s="169"/>
      <c r="AM110" s="185" t="e">
        <f t="shared" si="66"/>
        <v>#N/A</v>
      </c>
      <c r="AN110" s="494"/>
      <c r="AO110" s="169"/>
      <c r="AP110" s="169"/>
      <c r="AQ110" s="169"/>
      <c r="AR110" s="185" t="e">
        <f t="shared" si="67"/>
        <v>#N/A</v>
      </c>
      <c r="AS110" s="494"/>
      <c r="AT110" s="169"/>
      <c r="AU110" s="169"/>
      <c r="AV110" s="169"/>
      <c r="AW110" s="185" t="e">
        <f t="shared" si="68"/>
        <v>#N/A</v>
      </c>
      <c r="AX110" s="494"/>
    </row>
    <row r="111" spans="2:50">
      <c r="B111" s="471"/>
      <c r="C111" s="185">
        <v>5</v>
      </c>
      <c r="D111" s="206"/>
      <c r="E111" s="169"/>
      <c r="F111" s="185"/>
      <c r="G111" s="183"/>
      <c r="H111" s="452"/>
      <c r="I111" s="169" t="e">
        <f t="shared" si="59"/>
        <v>#DIV/0!</v>
      </c>
      <c r="J111" s="169" t="e">
        <f t="shared" si="60"/>
        <v>#DIV/0!</v>
      </c>
      <c r="K111" s="183" t="e">
        <f t="shared" si="61"/>
        <v>#DIV/0!</v>
      </c>
      <c r="L111" s="452"/>
      <c r="M111" s="184" t="e">
        <f>RANK(K111, K$87:$K$101)</f>
        <v>#DIV/0!</v>
      </c>
      <c r="N111" s="454"/>
      <c r="O111" s="454"/>
      <c r="P111" s="169"/>
      <c r="Q111" s="169"/>
      <c r="R111" s="169"/>
      <c r="S111" s="185" t="e">
        <f t="shared" si="62"/>
        <v>#N/A</v>
      </c>
      <c r="T111" s="494"/>
      <c r="U111" s="169"/>
      <c r="V111" s="169"/>
      <c r="W111" s="169"/>
      <c r="X111" s="185" t="e">
        <f t="shared" si="63"/>
        <v>#N/A</v>
      </c>
      <c r="Y111" s="494"/>
      <c r="Z111" s="169"/>
      <c r="AA111" s="169"/>
      <c r="AB111" s="169"/>
      <c r="AC111" s="185" t="e">
        <f t="shared" si="64"/>
        <v>#N/A</v>
      </c>
      <c r="AD111" s="494"/>
      <c r="AE111" s="169"/>
      <c r="AF111" s="169"/>
      <c r="AG111" s="169"/>
      <c r="AH111" s="185" t="e">
        <f t="shared" si="65"/>
        <v>#N/A</v>
      </c>
      <c r="AI111" s="494"/>
      <c r="AJ111" s="169"/>
      <c r="AK111" s="169"/>
      <c r="AL111" s="169"/>
      <c r="AM111" s="185" t="e">
        <f t="shared" si="66"/>
        <v>#N/A</v>
      </c>
      <c r="AN111" s="494"/>
      <c r="AO111" s="169"/>
      <c r="AP111" s="169"/>
      <c r="AQ111" s="169"/>
      <c r="AR111" s="185" t="e">
        <f t="shared" si="67"/>
        <v>#N/A</v>
      </c>
      <c r="AS111" s="494"/>
      <c r="AT111" s="169"/>
      <c r="AU111" s="169"/>
      <c r="AV111" s="169"/>
      <c r="AW111" s="185" t="e">
        <f t="shared" si="68"/>
        <v>#N/A</v>
      </c>
      <c r="AX111" s="494"/>
    </row>
    <row r="112" spans="2:50">
      <c r="B112" s="471"/>
      <c r="C112" s="185">
        <v>6</v>
      </c>
      <c r="D112" s="206"/>
      <c r="E112" s="169"/>
      <c r="F112" s="185"/>
      <c r="G112" s="183"/>
      <c r="H112" s="452"/>
      <c r="I112" s="169" t="e">
        <f t="shared" si="59"/>
        <v>#DIV/0!</v>
      </c>
      <c r="J112" s="169" t="e">
        <f t="shared" si="60"/>
        <v>#DIV/0!</v>
      </c>
      <c r="K112" s="183" t="e">
        <f t="shared" si="61"/>
        <v>#DIV/0!</v>
      </c>
      <c r="L112" s="452"/>
      <c r="M112" s="184" t="e">
        <f>RANK(K112, K$87:$K$101)</f>
        <v>#DIV/0!</v>
      </c>
      <c r="N112" s="454"/>
      <c r="O112" s="454"/>
      <c r="P112" s="169"/>
      <c r="Q112" s="169"/>
      <c r="R112" s="169"/>
      <c r="S112" s="185" t="e">
        <f t="shared" si="62"/>
        <v>#N/A</v>
      </c>
      <c r="T112" s="494"/>
      <c r="U112" s="169"/>
      <c r="V112" s="169"/>
      <c r="W112" s="169"/>
      <c r="X112" s="185" t="e">
        <f t="shared" si="63"/>
        <v>#N/A</v>
      </c>
      <c r="Y112" s="494"/>
      <c r="Z112" s="169"/>
      <c r="AA112" s="169"/>
      <c r="AB112" s="169"/>
      <c r="AC112" s="185" t="e">
        <f t="shared" si="64"/>
        <v>#N/A</v>
      </c>
      <c r="AD112" s="494"/>
      <c r="AE112" s="169"/>
      <c r="AF112" s="169"/>
      <c r="AG112" s="169"/>
      <c r="AH112" s="185" t="e">
        <f t="shared" si="65"/>
        <v>#N/A</v>
      </c>
      <c r="AI112" s="494"/>
      <c r="AJ112" s="169"/>
      <c r="AK112" s="169"/>
      <c r="AL112" s="169"/>
      <c r="AM112" s="185" t="e">
        <f t="shared" si="66"/>
        <v>#N/A</v>
      </c>
      <c r="AN112" s="494"/>
      <c r="AO112" s="169"/>
      <c r="AP112" s="169"/>
      <c r="AQ112" s="169"/>
      <c r="AR112" s="185" t="e">
        <f t="shared" si="67"/>
        <v>#N/A</v>
      </c>
      <c r="AS112" s="494"/>
      <c r="AT112" s="169"/>
      <c r="AU112" s="169"/>
      <c r="AV112" s="169"/>
      <c r="AW112" s="185" t="e">
        <f t="shared" si="68"/>
        <v>#N/A</v>
      </c>
      <c r="AX112" s="494"/>
    </row>
    <row r="113" spans="2:50">
      <c r="B113" s="471"/>
      <c r="C113" s="185">
        <v>7</v>
      </c>
      <c r="D113" s="206"/>
      <c r="E113" s="169"/>
      <c r="F113" s="185"/>
      <c r="G113" s="183"/>
      <c r="H113" s="452"/>
      <c r="I113" s="169" t="e">
        <f t="shared" si="59"/>
        <v>#DIV/0!</v>
      </c>
      <c r="J113" s="169" t="e">
        <f t="shared" si="60"/>
        <v>#DIV/0!</v>
      </c>
      <c r="K113" s="183" t="e">
        <f t="shared" si="61"/>
        <v>#DIV/0!</v>
      </c>
      <c r="L113" s="452"/>
      <c r="M113" s="184" t="e">
        <f>RANK(K113, K$87:$K$101)</f>
        <v>#DIV/0!</v>
      </c>
      <c r="N113" s="454"/>
      <c r="O113" s="454"/>
      <c r="P113" s="169"/>
      <c r="Q113" s="169"/>
      <c r="R113" s="169"/>
      <c r="S113" s="185" t="e">
        <f t="shared" si="62"/>
        <v>#N/A</v>
      </c>
      <c r="T113" s="494"/>
      <c r="U113" s="169"/>
      <c r="V113" s="169"/>
      <c r="W113" s="169"/>
      <c r="X113" s="185" t="e">
        <f t="shared" si="63"/>
        <v>#N/A</v>
      </c>
      <c r="Y113" s="494"/>
      <c r="Z113" s="169"/>
      <c r="AA113" s="169"/>
      <c r="AB113" s="169"/>
      <c r="AC113" s="185" t="e">
        <f t="shared" si="64"/>
        <v>#N/A</v>
      </c>
      <c r="AD113" s="494"/>
      <c r="AE113" s="169"/>
      <c r="AF113" s="169"/>
      <c r="AG113" s="169"/>
      <c r="AH113" s="185" t="e">
        <f t="shared" si="65"/>
        <v>#N/A</v>
      </c>
      <c r="AI113" s="494"/>
      <c r="AJ113" s="169"/>
      <c r="AK113" s="169"/>
      <c r="AL113" s="169"/>
      <c r="AM113" s="185" t="e">
        <f t="shared" si="66"/>
        <v>#N/A</v>
      </c>
      <c r="AN113" s="494"/>
      <c r="AO113" s="169"/>
      <c r="AP113" s="169"/>
      <c r="AQ113" s="169"/>
      <c r="AR113" s="185" t="e">
        <f t="shared" si="67"/>
        <v>#N/A</v>
      </c>
      <c r="AS113" s="494"/>
      <c r="AT113" s="169"/>
      <c r="AU113" s="169"/>
      <c r="AV113" s="169"/>
      <c r="AW113" s="185" t="e">
        <f t="shared" si="68"/>
        <v>#N/A</v>
      </c>
      <c r="AX113" s="494"/>
    </row>
    <row r="114" spans="2:50">
      <c r="B114" s="471"/>
      <c r="C114" s="185">
        <v>8</v>
      </c>
      <c r="D114" s="206"/>
      <c r="E114" s="169"/>
      <c r="F114" s="185"/>
      <c r="G114" s="183"/>
      <c r="H114" s="452"/>
      <c r="I114" s="169" t="e">
        <f t="shared" si="59"/>
        <v>#DIV/0!</v>
      </c>
      <c r="J114" s="169" t="e">
        <f t="shared" si="60"/>
        <v>#DIV/0!</v>
      </c>
      <c r="K114" s="183" t="e">
        <f t="shared" si="61"/>
        <v>#DIV/0!</v>
      </c>
      <c r="L114" s="452"/>
      <c r="M114" s="184" t="e">
        <f>RANK(K114, K$87:$K$101)</f>
        <v>#DIV/0!</v>
      </c>
      <c r="N114" s="454"/>
      <c r="O114" s="454"/>
      <c r="P114" s="169"/>
      <c r="Q114" s="169"/>
      <c r="R114" s="169"/>
      <c r="S114" s="185" t="e">
        <f t="shared" si="62"/>
        <v>#N/A</v>
      </c>
      <c r="T114" s="494"/>
      <c r="U114" s="169"/>
      <c r="V114" s="169"/>
      <c r="W114" s="169"/>
      <c r="X114" s="185" t="e">
        <f t="shared" si="63"/>
        <v>#N/A</v>
      </c>
      <c r="Y114" s="494"/>
      <c r="Z114" s="169"/>
      <c r="AA114" s="169"/>
      <c r="AB114" s="169"/>
      <c r="AC114" s="185" t="e">
        <f t="shared" si="64"/>
        <v>#N/A</v>
      </c>
      <c r="AD114" s="494"/>
      <c r="AE114" s="169"/>
      <c r="AF114" s="169"/>
      <c r="AG114" s="169"/>
      <c r="AH114" s="185" t="e">
        <f t="shared" si="65"/>
        <v>#N/A</v>
      </c>
      <c r="AI114" s="494"/>
      <c r="AJ114" s="169"/>
      <c r="AK114" s="169"/>
      <c r="AL114" s="169"/>
      <c r="AM114" s="185" t="e">
        <f t="shared" si="66"/>
        <v>#N/A</v>
      </c>
      <c r="AN114" s="494"/>
      <c r="AO114" s="169"/>
      <c r="AP114" s="169"/>
      <c r="AQ114" s="169"/>
      <c r="AR114" s="185" t="e">
        <f t="shared" si="67"/>
        <v>#N/A</v>
      </c>
      <c r="AS114" s="494"/>
      <c r="AT114" s="169"/>
      <c r="AU114" s="169"/>
      <c r="AV114" s="169"/>
      <c r="AW114" s="185" t="e">
        <f t="shared" si="68"/>
        <v>#N/A</v>
      </c>
      <c r="AX114" s="494"/>
    </row>
    <row r="115" spans="2:50">
      <c r="B115" s="471"/>
      <c r="C115" s="185">
        <v>9</v>
      </c>
      <c r="D115" s="206"/>
      <c r="E115" s="169"/>
      <c r="F115" s="185"/>
      <c r="G115" s="183"/>
      <c r="H115" s="452"/>
      <c r="I115" s="169" t="e">
        <f t="shared" si="59"/>
        <v>#DIV/0!</v>
      </c>
      <c r="J115" s="169" t="e">
        <f t="shared" si="60"/>
        <v>#DIV/0!</v>
      </c>
      <c r="K115" s="183" t="e">
        <f t="shared" si="61"/>
        <v>#DIV/0!</v>
      </c>
      <c r="L115" s="452"/>
      <c r="M115" s="184" t="e">
        <f>RANK(K115, K$87:$K$101)</f>
        <v>#DIV/0!</v>
      </c>
      <c r="N115" s="454"/>
      <c r="O115" s="454"/>
      <c r="P115" s="169"/>
      <c r="Q115" s="169"/>
      <c r="R115" s="169"/>
      <c r="S115" s="185" t="e">
        <f t="shared" si="62"/>
        <v>#N/A</v>
      </c>
      <c r="T115" s="494"/>
      <c r="U115" s="169"/>
      <c r="V115" s="169"/>
      <c r="W115" s="169"/>
      <c r="X115" s="185" t="e">
        <f t="shared" si="63"/>
        <v>#N/A</v>
      </c>
      <c r="Y115" s="494"/>
      <c r="Z115" s="169"/>
      <c r="AA115" s="169"/>
      <c r="AB115" s="169"/>
      <c r="AC115" s="185" t="e">
        <f t="shared" si="64"/>
        <v>#N/A</v>
      </c>
      <c r="AD115" s="494"/>
      <c r="AE115" s="169"/>
      <c r="AF115" s="169"/>
      <c r="AG115" s="169"/>
      <c r="AH115" s="185" t="e">
        <f t="shared" si="65"/>
        <v>#N/A</v>
      </c>
      <c r="AI115" s="494"/>
      <c r="AJ115" s="169"/>
      <c r="AK115" s="169"/>
      <c r="AL115" s="169"/>
      <c r="AM115" s="185" t="e">
        <f t="shared" si="66"/>
        <v>#N/A</v>
      </c>
      <c r="AN115" s="494"/>
      <c r="AO115" s="169"/>
      <c r="AP115" s="169"/>
      <c r="AQ115" s="169"/>
      <c r="AR115" s="185" t="e">
        <f t="shared" si="67"/>
        <v>#N/A</v>
      </c>
      <c r="AS115" s="494"/>
      <c r="AT115" s="169"/>
      <c r="AU115" s="169"/>
      <c r="AV115" s="169"/>
      <c r="AW115" s="185" t="e">
        <f t="shared" si="68"/>
        <v>#N/A</v>
      </c>
      <c r="AX115" s="494"/>
    </row>
    <row r="116" spans="2:50">
      <c r="B116" s="471"/>
      <c r="C116" s="185">
        <v>10</v>
      </c>
      <c r="D116" s="206"/>
      <c r="E116" s="169"/>
      <c r="F116" s="185"/>
      <c r="G116" s="183"/>
      <c r="H116" s="452"/>
      <c r="I116" s="169" t="e">
        <f t="shared" si="59"/>
        <v>#DIV/0!</v>
      </c>
      <c r="J116" s="169" t="e">
        <f t="shared" si="60"/>
        <v>#DIV/0!</v>
      </c>
      <c r="K116" s="183" t="e">
        <f t="shared" si="61"/>
        <v>#DIV/0!</v>
      </c>
      <c r="L116" s="452"/>
      <c r="M116" s="184" t="e">
        <f>RANK(K116, K$87:$K$101)</f>
        <v>#DIV/0!</v>
      </c>
      <c r="N116" s="454"/>
      <c r="O116" s="454"/>
      <c r="P116" s="169"/>
      <c r="Q116" s="169"/>
      <c r="R116" s="169"/>
      <c r="S116" s="185" t="e">
        <f t="shared" si="62"/>
        <v>#N/A</v>
      </c>
      <c r="T116" s="494"/>
      <c r="U116" s="169"/>
      <c r="V116" s="169"/>
      <c r="W116" s="169"/>
      <c r="X116" s="185" t="e">
        <f t="shared" si="63"/>
        <v>#N/A</v>
      </c>
      <c r="Y116" s="494"/>
      <c r="Z116" s="169"/>
      <c r="AA116" s="169"/>
      <c r="AB116" s="169"/>
      <c r="AC116" s="185" t="e">
        <f t="shared" si="64"/>
        <v>#N/A</v>
      </c>
      <c r="AD116" s="494"/>
      <c r="AE116" s="169"/>
      <c r="AF116" s="169"/>
      <c r="AG116" s="169"/>
      <c r="AH116" s="185" t="e">
        <f t="shared" si="65"/>
        <v>#N/A</v>
      </c>
      <c r="AI116" s="494"/>
      <c r="AJ116" s="169"/>
      <c r="AK116" s="169"/>
      <c r="AL116" s="169"/>
      <c r="AM116" s="185" t="e">
        <f t="shared" si="66"/>
        <v>#N/A</v>
      </c>
      <c r="AN116" s="494"/>
      <c r="AO116" s="169"/>
      <c r="AP116" s="169"/>
      <c r="AQ116" s="169"/>
      <c r="AR116" s="185" t="e">
        <f t="shared" si="67"/>
        <v>#N/A</v>
      </c>
      <c r="AS116" s="494"/>
      <c r="AT116" s="169"/>
      <c r="AU116" s="169"/>
      <c r="AV116" s="169"/>
      <c r="AW116" s="185" t="e">
        <f t="shared" si="68"/>
        <v>#N/A</v>
      </c>
      <c r="AX116" s="494"/>
    </row>
    <row r="117" spans="2:50">
      <c r="B117" s="471"/>
      <c r="C117" s="185">
        <v>11</v>
      </c>
      <c r="D117" s="206"/>
      <c r="E117" s="169"/>
      <c r="F117" s="185"/>
      <c r="G117" s="183"/>
      <c r="H117" s="452"/>
      <c r="I117" s="185"/>
      <c r="J117" s="185"/>
      <c r="K117" s="185"/>
      <c r="L117" s="452"/>
      <c r="M117" s="184" t="e">
        <f>RANK(K117, K$87:$K$101)</f>
        <v>#DIV/0!</v>
      </c>
      <c r="N117" s="454"/>
      <c r="O117" s="454"/>
      <c r="P117" s="169"/>
      <c r="Q117" s="169"/>
      <c r="R117" s="169"/>
      <c r="S117" s="185" t="e">
        <f t="shared" si="62"/>
        <v>#N/A</v>
      </c>
      <c r="T117" s="494"/>
      <c r="U117" s="169"/>
      <c r="V117" s="169"/>
      <c r="W117" s="169"/>
      <c r="X117" s="185" t="e">
        <f t="shared" si="63"/>
        <v>#N/A</v>
      </c>
      <c r="Y117" s="494"/>
      <c r="Z117" s="169"/>
      <c r="AA117" s="169"/>
      <c r="AB117" s="169"/>
      <c r="AC117" s="185" t="e">
        <f t="shared" si="64"/>
        <v>#N/A</v>
      </c>
      <c r="AD117" s="494"/>
      <c r="AE117" s="169"/>
      <c r="AF117" s="169"/>
      <c r="AG117" s="169"/>
      <c r="AH117" s="185" t="e">
        <f t="shared" si="65"/>
        <v>#N/A</v>
      </c>
      <c r="AI117" s="494"/>
      <c r="AJ117" s="169"/>
      <c r="AK117" s="169"/>
      <c r="AL117" s="169"/>
      <c r="AM117" s="185" t="e">
        <f t="shared" si="66"/>
        <v>#N/A</v>
      </c>
      <c r="AN117" s="494"/>
      <c r="AO117" s="169"/>
      <c r="AP117" s="169"/>
      <c r="AQ117" s="169"/>
      <c r="AR117" s="185" t="e">
        <f t="shared" si="67"/>
        <v>#N/A</v>
      </c>
      <c r="AS117" s="494"/>
      <c r="AT117" s="169"/>
      <c r="AU117" s="169"/>
      <c r="AV117" s="169"/>
      <c r="AW117" s="185" t="e">
        <f t="shared" si="68"/>
        <v>#N/A</v>
      </c>
      <c r="AX117" s="494"/>
    </row>
    <row r="118" spans="2:50">
      <c r="B118" s="471"/>
      <c r="C118" s="185">
        <v>12</v>
      </c>
      <c r="D118" s="206"/>
      <c r="E118" s="169"/>
      <c r="F118" s="185"/>
      <c r="G118" s="183"/>
      <c r="H118" s="452"/>
      <c r="I118" s="185"/>
      <c r="J118" s="185"/>
      <c r="K118" s="185"/>
      <c r="L118" s="452"/>
      <c r="M118" s="184" t="e">
        <f>RANK(K118, K$87:$K$101)</f>
        <v>#DIV/0!</v>
      </c>
      <c r="N118" s="454"/>
      <c r="O118" s="454"/>
      <c r="P118" s="169"/>
      <c r="Q118" s="169"/>
      <c r="R118" s="169"/>
      <c r="S118" s="185" t="e">
        <f t="shared" si="62"/>
        <v>#N/A</v>
      </c>
      <c r="T118" s="494"/>
      <c r="U118" s="169"/>
      <c r="V118" s="169"/>
      <c r="W118" s="169"/>
      <c r="X118" s="185" t="e">
        <f t="shared" si="63"/>
        <v>#N/A</v>
      </c>
      <c r="Y118" s="494"/>
      <c r="Z118" s="169"/>
      <c r="AA118" s="169"/>
      <c r="AB118" s="169"/>
      <c r="AC118" s="185" t="e">
        <f t="shared" si="64"/>
        <v>#N/A</v>
      </c>
      <c r="AD118" s="494"/>
      <c r="AE118" s="169"/>
      <c r="AF118" s="169"/>
      <c r="AG118" s="169"/>
      <c r="AH118" s="185" t="e">
        <f t="shared" si="65"/>
        <v>#N/A</v>
      </c>
      <c r="AI118" s="494"/>
      <c r="AJ118" s="169"/>
      <c r="AK118" s="169"/>
      <c r="AL118" s="169"/>
      <c r="AM118" s="185" t="e">
        <f t="shared" si="66"/>
        <v>#N/A</v>
      </c>
      <c r="AN118" s="494"/>
      <c r="AO118" s="169"/>
      <c r="AP118" s="169"/>
      <c r="AQ118" s="169"/>
      <c r="AR118" s="185" t="e">
        <f t="shared" si="67"/>
        <v>#N/A</v>
      </c>
      <c r="AS118" s="494"/>
      <c r="AT118" s="169"/>
      <c r="AU118" s="169"/>
      <c r="AV118" s="169"/>
      <c r="AW118" s="185" t="e">
        <f t="shared" si="68"/>
        <v>#N/A</v>
      </c>
      <c r="AX118" s="494"/>
    </row>
    <row r="119" spans="2:50">
      <c r="B119" s="471"/>
      <c r="C119" s="185">
        <v>13</v>
      </c>
      <c r="D119" s="206"/>
      <c r="E119" s="169"/>
      <c r="F119" s="185"/>
      <c r="G119" s="183"/>
      <c r="H119" s="452"/>
      <c r="I119" s="185"/>
      <c r="J119" s="185"/>
      <c r="K119" s="185"/>
      <c r="L119" s="452"/>
      <c r="M119" s="184" t="e">
        <f>RANK(K119, K$87:$K$101)</f>
        <v>#DIV/0!</v>
      </c>
      <c r="N119" s="454"/>
      <c r="O119" s="454"/>
      <c r="P119" s="169"/>
      <c r="Q119" s="169"/>
      <c r="R119" s="169"/>
      <c r="S119" s="185" t="e">
        <f t="shared" si="62"/>
        <v>#N/A</v>
      </c>
      <c r="T119" s="494"/>
      <c r="U119" s="169"/>
      <c r="V119" s="169"/>
      <c r="W119" s="169"/>
      <c r="X119" s="185" t="e">
        <f t="shared" si="63"/>
        <v>#N/A</v>
      </c>
      <c r="Y119" s="494"/>
      <c r="Z119" s="169"/>
      <c r="AA119" s="169"/>
      <c r="AB119" s="169"/>
      <c r="AC119" s="185" t="e">
        <f t="shared" si="64"/>
        <v>#N/A</v>
      </c>
      <c r="AD119" s="494"/>
      <c r="AE119" s="169"/>
      <c r="AF119" s="169"/>
      <c r="AG119" s="169"/>
      <c r="AH119" s="185" t="e">
        <f t="shared" si="65"/>
        <v>#N/A</v>
      </c>
      <c r="AI119" s="494"/>
      <c r="AJ119" s="169"/>
      <c r="AK119" s="169"/>
      <c r="AL119" s="169"/>
      <c r="AM119" s="185" t="e">
        <f t="shared" si="66"/>
        <v>#N/A</v>
      </c>
      <c r="AN119" s="494"/>
      <c r="AO119" s="169"/>
      <c r="AP119" s="169"/>
      <c r="AQ119" s="169"/>
      <c r="AR119" s="185" t="e">
        <f t="shared" si="67"/>
        <v>#N/A</v>
      </c>
      <c r="AS119" s="494"/>
      <c r="AT119" s="169"/>
      <c r="AU119" s="169"/>
      <c r="AV119" s="169"/>
      <c r="AW119" s="185" t="e">
        <f t="shared" si="68"/>
        <v>#N/A</v>
      </c>
      <c r="AX119" s="494"/>
    </row>
    <row r="120" spans="2:50">
      <c r="B120" s="471"/>
      <c r="C120" s="185">
        <v>14</v>
      </c>
      <c r="D120" s="206"/>
      <c r="E120" s="169"/>
      <c r="F120" s="185"/>
      <c r="G120" s="183"/>
      <c r="H120" s="452"/>
      <c r="I120" s="185"/>
      <c r="J120" s="185"/>
      <c r="K120" s="185"/>
      <c r="L120" s="452"/>
      <c r="M120" s="184" t="e">
        <f>RANK(K120, K$87:$K$101)</f>
        <v>#DIV/0!</v>
      </c>
      <c r="N120" s="454"/>
      <c r="O120" s="454"/>
      <c r="P120" s="169"/>
      <c r="Q120" s="169"/>
      <c r="R120" s="169"/>
      <c r="S120" s="185" t="e">
        <f t="shared" si="62"/>
        <v>#N/A</v>
      </c>
      <c r="T120" s="494"/>
      <c r="U120" s="169"/>
      <c r="V120" s="169"/>
      <c r="W120" s="169"/>
      <c r="X120" s="185" t="e">
        <f t="shared" si="63"/>
        <v>#N/A</v>
      </c>
      <c r="Y120" s="494"/>
      <c r="Z120" s="169"/>
      <c r="AA120" s="169"/>
      <c r="AB120" s="169"/>
      <c r="AC120" s="185" t="e">
        <f t="shared" si="64"/>
        <v>#N/A</v>
      </c>
      <c r="AD120" s="494"/>
      <c r="AE120" s="169"/>
      <c r="AF120" s="169"/>
      <c r="AG120" s="169"/>
      <c r="AH120" s="185" t="e">
        <f t="shared" si="65"/>
        <v>#N/A</v>
      </c>
      <c r="AI120" s="494"/>
      <c r="AJ120" s="169"/>
      <c r="AK120" s="169"/>
      <c r="AL120" s="169"/>
      <c r="AM120" s="185" t="e">
        <f t="shared" si="66"/>
        <v>#N/A</v>
      </c>
      <c r="AN120" s="494"/>
      <c r="AO120" s="169"/>
      <c r="AP120" s="169"/>
      <c r="AQ120" s="169"/>
      <c r="AR120" s="185" t="e">
        <f t="shared" si="67"/>
        <v>#N/A</v>
      </c>
      <c r="AS120" s="494"/>
      <c r="AT120" s="169"/>
      <c r="AU120" s="169"/>
      <c r="AV120" s="169"/>
      <c r="AW120" s="185" t="e">
        <f t="shared" si="68"/>
        <v>#N/A</v>
      </c>
      <c r="AX120" s="494"/>
    </row>
    <row r="121" spans="2:50">
      <c r="B121" s="471"/>
      <c r="C121" s="185">
        <v>15</v>
      </c>
      <c r="D121" s="206"/>
      <c r="E121" s="169"/>
      <c r="F121" s="185"/>
      <c r="G121" s="183"/>
      <c r="H121" s="453"/>
      <c r="I121" s="185"/>
      <c r="J121" s="185"/>
      <c r="K121" s="185"/>
      <c r="L121" s="453"/>
      <c r="M121" s="169" t="e">
        <f>RANK(K121, K$87:$K$101)</f>
        <v>#DIV/0!</v>
      </c>
      <c r="N121" s="454"/>
      <c r="O121" s="454"/>
      <c r="P121" s="169"/>
      <c r="Q121" s="169"/>
      <c r="R121" s="169"/>
      <c r="S121" s="185" t="e">
        <f t="shared" si="62"/>
        <v>#N/A</v>
      </c>
      <c r="T121" s="494"/>
      <c r="U121" s="169"/>
      <c r="V121" s="169"/>
      <c r="W121" s="169"/>
      <c r="X121" s="185" t="e">
        <f t="shared" si="63"/>
        <v>#N/A</v>
      </c>
      <c r="Y121" s="494"/>
      <c r="Z121" s="169"/>
      <c r="AA121" s="169"/>
      <c r="AB121" s="169"/>
      <c r="AC121" s="185" t="e">
        <f t="shared" si="64"/>
        <v>#N/A</v>
      </c>
      <c r="AD121" s="494"/>
      <c r="AE121" s="169"/>
      <c r="AF121" s="169"/>
      <c r="AG121" s="169"/>
      <c r="AH121" s="185" t="e">
        <f t="shared" si="65"/>
        <v>#N/A</v>
      </c>
      <c r="AI121" s="494"/>
      <c r="AJ121" s="169"/>
      <c r="AK121" s="169"/>
      <c r="AL121" s="169"/>
      <c r="AM121" s="185" t="e">
        <f t="shared" si="66"/>
        <v>#N/A</v>
      </c>
      <c r="AN121" s="494"/>
      <c r="AO121" s="169"/>
      <c r="AP121" s="169"/>
      <c r="AQ121" s="169"/>
      <c r="AR121" s="185" t="e">
        <f t="shared" si="67"/>
        <v>#N/A</v>
      </c>
      <c r="AS121" s="494"/>
      <c r="AT121" s="169"/>
      <c r="AU121" s="169"/>
      <c r="AV121" s="169"/>
      <c r="AW121" s="185" t="e">
        <f t="shared" si="68"/>
        <v>#N/A</v>
      </c>
      <c r="AX121" s="494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54" t="s">
        <v>312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J137" si="69">AVERAGEIF($D$7:$D$121,$D128,I$7:I$121)</f>
        <v>#DIV/0!</v>
      </c>
      <c r="J128" s="169" t="e">
        <f t="shared" si="69"/>
        <v>#DIV/0!</v>
      </c>
      <c r="K128" s="169" t="e">
        <f t="shared" ref="K128:K137" si="70"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 t="e">
        <f t="shared" si="69"/>
        <v>#DIV/0!</v>
      </c>
      <c r="J129" s="169" t="e">
        <f t="shared" si="69"/>
        <v>#DIV/0!</v>
      </c>
      <c r="K129" s="169" t="e">
        <f t="shared" si="70"/>
        <v>#DIV/0!</v>
      </c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 t="e">
        <f t="shared" si="69"/>
        <v>#DIV/0!</v>
      </c>
      <c r="J130" s="169" t="e">
        <f t="shared" si="69"/>
        <v>#DIV/0!</v>
      </c>
      <c r="K130" s="169" t="e">
        <f t="shared" si="70"/>
        <v>#DIV/0!</v>
      </c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 t="e">
        <f t="shared" si="69"/>
        <v>#DIV/0!</v>
      </c>
      <c r="J131" s="169" t="e">
        <f t="shared" si="69"/>
        <v>#DIV/0!</v>
      </c>
      <c r="K131" s="169" t="e">
        <f t="shared" si="70"/>
        <v>#DIV/0!</v>
      </c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 t="e">
        <f t="shared" si="69"/>
        <v>#DIV/0!</v>
      </c>
      <c r="J132" s="169" t="e">
        <f t="shared" si="69"/>
        <v>#DIV/0!</v>
      </c>
      <c r="K132" s="169" t="e">
        <f t="shared" si="70"/>
        <v>#DIV/0!</v>
      </c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 t="e">
        <f t="shared" si="69"/>
        <v>#DIV/0!</v>
      </c>
      <c r="J133" s="169" t="e">
        <f t="shared" si="69"/>
        <v>#DIV/0!</v>
      </c>
      <c r="K133" s="169" t="e">
        <f t="shared" si="70"/>
        <v>#DIV/0!</v>
      </c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 t="e">
        <f t="shared" si="69"/>
        <v>#DIV/0!</v>
      </c>
      <c r="J134" s="169" t="e">
        <f t="shared" si="69"/>
        <v>#DIV/0!</v>
      </c>
      <c r="K134" s="169" t="e">
        <f t="shared" si="70"/>
        <v>#DIV/0!</v>
      </c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 t="e">
        <f t="shared" si="69"/>
        <v>#DIV/0!</v>
      </c>
      <c r="J135" s="169" t="e">
        <f t="shared" si="69"/>
        <v>#DIV/0!</v>
      </c>
      <c r="K135" s="169" t="e">
        <f t="shared" si="70"/>
        <v>#DIV/0!</v>
      </c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 t="e">
        <f t="shared" si="69"/>
        <v>#DIV/0!</v>
      </c>
      <c r="J136" s="169" t="e">
        <f t="shared" si="69"/>
        <v>#DIV/0!</v>
      </c>
      <c r="K136" s="169" t="e">
        <f t="shared" si="70"/>
        <v>#DIV/0!</v>
      </c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 t="e">
        <f t="shared" si="69"/>
        <v>#DIV/0!</v>
      </c>
      <c r="J137" s="169" t="e">
        <f t="shared" si="69"/>
        <v>#DIV/0!</v>
      </c>
      <c r="K137" s="169" t="e">
        <f t="shared" si="70"/>
        <v>#DIV/0!</v>
      </c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/>
      <c r="J138" s="169"/>
      <c r="K138" s="169"/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zoomScale="55" zoomScaleNormal="55" workbookViewId="0">
      <pane xSplit="15" topLeftCell="U1" activePane="topRight" state="frozen"/>
      <selection pane="topRight" activeCell="L27" sqref="L27:L4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119.3911767288601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54" t="s">
        <v>323</v>
      </c>
      <c r="C7" s="185">
        <v>1</v>
      </c>
      <c r="D7" s="206" t="s">
        <v>324</v>
      </c>
      <c r="E7" s="169">
        <v>21</v>
      </c>
      <c r="F7" s="185">
        <v>2400</v>
      </c>
      <c r="G7" s="183">
        <v>114.28571428571429</v>
      </c>
      <c r="H7" s="451">
        <f>AVERAGE(G7:G21)</f>
        <v>143.60275689223059</v>
      </c>
      <c r="I7" s="169">
        <f>AVERAGE(P7,U7,Z7,AE7,AJ7,AO7,AT7)</f>
        <v>20.857142857142858</v>
      </c>
      <c r="J7" s="169">
        <f>AVERAGE(Q7,V7,AA7,AF7,AK7,AP7,AU7)</f>
        <v>2168.4204490553893</v>
      </c>
      <c r="K7" s="183">
        <f>AVERAGE(R7,W7,AB7,AG7,AL7,AQ7,AV7)</f>
        <v>104.00892220707728</v>
      </c>
      <c r="L7" s="451">
        <f>IFERROR(AVERAGE(K7:K21),"-")</f>
        <v>119.81396780056511</v>
      </c>
      <c r="M7" s="184">
        <f>RANK(K7, $K$7:K$21)</f>
        <v>5</v>
      </c>
      <c r="N7" s="454"/>
      <c r="O7" s="454"/>
      <c r="P7" s="169">
        <v>20</v>
      </c>
      <c r="Q7" s="183">
        <v>2207.3684210526326</v>
      </c>
      <c r="R7" s="183">
        <v>110.36842105263163</v>
      </c>
      <c r="S7" s="185">
        <f>RANK(R7, R$7:R$21)</f>
        <v>4</v>
      </c>
      <c r="T7" s="451">
        <f>AVERAGE(R7:R21)</f>
        <v>119.44108555804564</v>
      </c>
      <c r="U7" s="169">
        <v>21</v>
      </c>
      <c r="V7" s="183">
        <v>2129.5890410958909</v>
      </c>
      <c r="W7" s="183">
        <v>101.40900195694719</v>
      </c>
      <c r="X7" s="185">
        <f>RANK(W7, W$7:W$21)</f>
        <v>5</v>
      </c>
      <c r="Y7" s="451">
        <f>AVERAGE(W7:W21)</f>
        <v>118.33730633713745</v>
      </c>
      <c r="Z7" s="169">
        <v>21</v>
      </c>
      <c r="AA7" s="183">
        <v>2203.3846153846152</v>
      </c>
      <c r="AB7" s="183">
        <v>104.92307692307692</v>
      </c>
      <c r="AC7" s="185">
        <f>RANK(AB7, AB$7:AB$21)</f>
        <v>5</v>
      </c>
      <c r="AD7" s="451">
        <f>AVERAGE(AB7:AB21)</f>
        <v>118.88947151719489</v>
      </c>
      <c r="AE7" s="169">
        <v>21</v>
      </c>
      <c r="AF7" s="183">
        <v>2110.3124999999995</v>
      </c>
      <c r="AG7" s="183">
        <v>100.4910714285714</v>
      </c>
      <c r="AH7" s="185">
        <f>RANK(AG7, AG$7:AG$21)</f>
        <v>5</v>
      </c>
      <c r="AI7" s="451">
        <f>AVERAGE(AG7:AG21)</f>
        <v>119.56030422874782</v>
      </c>
      <c r="AJ7" s="169">
        <v>21</v>
      </c>
      <c r="AK7" s="183">
        <v>2194.6874999999995</v>
      </c>
      <c r="AL7" s="183">
        <v>104.50892857142856</v>
      </c>
      <c r="AM7" s="185">
        <f>RANK(AL7, AL$7:AL$21)</f>
        <v>5</v>
      </c>
      <c r="AN7" s="451">
        <f>AVERAGE(AL7:AL21)</f>
        <v>123.18872128062625</v>
      </c>
      <c r="AO7" s="169">
        <v>21</v>
      </c>
      <c r="AP7" s="183">
        <v>2138.1081081081093</v>
      </c>
      <c r="AQ7" s="183">
        <v>101.81467181467187</v>
      </c>
      <c r="AR7" s="185">
        <f>RANK(AQ7, AQ$7:AQ$21)</f>
        <v>5</v>
      </c>
      <c r="AS7" s="451">
        <f>AVERAGE(AQ7:AQ21)</f>
        <v>118.92085873634328</v>
      </c>
      <c r="AT7" s="169">
        <v>21</v>
      </c>
      <c r="AU7" s="183">
        <v>2195.4929577464791</v>
      </c>
      <c r="AV7" s="183">
        <v>104.54728370221329</v>
      </c>
      <c r="AW7" s="185">
        <f>RANK(AV7, AV$7:AV$21)</f>
        <v>5</v>
      </c>
      <c r="AX7" s="494">
        <f>AVERAGE(AV7:AV21)</f>
        <v>120.36002694586053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206" t="s">
        <v>325</v>
      </c>
      <c r="E8" s="169">
        <v>18</v>
      </c>
      <c r="F8" s="185">
        <v>3000</v>
      </c>
      <c r="G8" s="183">
        <v>166.66666666666666</v>
      </c>
      <c r="H8" s="452"/>
      <c r="I8" s="169">
        <f t="shared" ref="I8:I11" si="0">AVERAGE(P8,U8,Z8,AE8,AJ8,AO8,AT8)</f>
        <v>18.857142857142858</v>
      </c>
      <c r="J8" s="169">
        <f t="shared" ref="J8:J11" si="1">AVERAGE(Q8,V8,AA8,AF8,AK8,AP8,AU8)</f>
        <v>2376.8830668252508</v>
      </c>
      <c r="K8" s="183">
        <f t="shared" ref="K8:K11" si="2">AVERAGE(R8,W8,AB8,AG8,AL8,AQ8,AV8)</f>
        <v>126.10107020557872</v>
      </c>
      <c r="L8" s="452"/>
      <c r="M8" s="184">
        <f>RANK(K8, $K$7:K$21)</f>
        <v>3</v>
      </c>
      <c r="N8" s="454"/>
      <c r="O8" s="454"/>
      <c r="P8" s="185">
        <v>19</v>
      </c>
      <c r="Q8" s="183">
        <v>2326.6666666666679</v>
      </c>
      <c r="R8" s="183">
        <v>122.45614035087726</v>
      </c>
      <c r="S8" s="185">
        <f t="shared" ref="S8:S21" si="3">RANK(R8, R$7:R$21)</f>
        <v>3</v>
      </c>
      <c r="T8" s="452"/>
      <c r="U8" s="185">
        <v>19</v>
      </c>
      <c r="V8" s="183">
        <v>2392.3404255319156</v>
      </c>
      <c r="W8" s="183">
        <v>125.91265397536398</v>
      </c>
      <c r="X8" s="185">
        <f t="shared" ref="X8:X21" si="4">RANK(W8, W$7:W$21)</f>
        <v>3</v>
      </c>
      <c r="Y8" s="452"/>
      <c r="Z8" s="185">
        <v>19</v>
      </c>
      <c r="AA8" s="183">
        <v>2311.2500000000005</v>
      </c>
      <c r="AB8" s="183">
        <v>121.64473684210529</v>
      </c>
      <c r="AC8" s="185">
        <f t="shared" ref="AC8:AC21" si="5">RANK(AB8, AB$7:AB$21)</f>
        <v>3</v>
      </c>
      <c r="AD8" s="452"/>
      <c r="AE8" s="185">
        <v>19</v>
      </c>
      <c r="AF8" s="183">
        <v>2362.978723404256</v>
      </c>
      <c r="AG8" s="183">
        <v>124.36730123180295</v>
      </c>
      <c r="AH8" s="185">
        <f t="shared" ref="AH8:AH21" si="6">RANK(AG8, AG$7:AG$21)</f>
        <v>3</v>
      </c>
      <c r="AI8" s="452"/>
      <c r="AJ8" s="185">
        <v>18</v>
      </c>
      <c r="AK8" s="183">
        <v>2398.695652173913</v>
      </c>
      <c r="AL8" s="183">
        <v>133.26086956521738</v>
      </c>
      <c r="AM8" s="185">
        <f t="shared" ref="AM8:AM21" si="7">RANK(AL8, AL$7:AL$21)</f>
        <v>2</v>
      </c>
      <c r="AN8" s="452"/>
      <c r="AO8" s="185">
        <v>19</v>
      </c>
      <c r="AP8" s="183">
        <v>2425.0000000000009</v>
      </c>
      <c r="AQ8" s="183">
        <v>127.63157894736847</v>
      </c>
      <c r="AR8" s="185">
        <f t="shared" ref="AR8:AR21" si="8">RANK(AQ8, AQ$7:AQ$21)</f>
        <v>3</v>
      </c>
      <c r="AS8" s="452"/>
      <c r="AT8" s="185">
        <v>19</v>
      </c>
      <c r="AU8" s="183">
        <v>2421.2500000000009</v>
      </c>
      <c r="AV8" s="183">
        <v>127.43421052631584</v>
      </c>
      <c r="AW8" s="185">
        <f t="shared" ref="AW8:AW21" si="9">RANK(AV8, AV$7:AV$21)</f>
        <v>3</v>
      </c>
      <c r="AX8" s="494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206" t="s">
        <v>326</v>
      </c>
      <c r="E9" s="169">
        <v>18</v>
      </c>
      <c r="F9" s="185">
        <v>3000</v>
      </c>
      <c r="G9" s="183">
        <v>166.66666666666666</v>
      </c>
      <c r="H9" s="452"/>
      <c r="I9" s="169">
        <f t="shared" si="0"/>
        <v>18.857142857142858</v>
      </c>
      <c r="J9" s="169">
        <f t="shared" si="1"/>
        <v>2458.2845036319623</v>
      </c>
      <c r="K9" s="183">
        <f t="shared" si="2"/>
        <v>130.40827856566358</v>
      </c>
      <c r="L9" s="452"/>
      <c r="M9" s="184">
        <f>RANK(K9, $K$7:K$21)</f>
        <v>1</v>
      </c>
      <c r="N9" s="454"/>
      <c r="O9" s="454"/>
      <c r="P9" s="185">
        <v>19</v>
      </c>
      <c r="Q9" s="183">
        <v>2401.0169491525444</v>
      </c>
      <c r="R9" s="183">
        <v>126.36931311329181</v>
      </c>
      <c r="S9" s="185">
        <f t="shared" si="3"/>
        <v>2</v>
      </c>
      <c r="T9" s="452"/>
      <c r="U9" s="185">
        <v>19</v>
      </c>
      <c r="V9" s="183">
        <v>2436.0000000000014</v>
      </c>
      <c r="W9" s="183">
        <v>128.21052631578954</v>
      </c>
      <c r="X9" s="185">
        <f t="shared" si="4"/>
        <v>2</v>
      </c>
      <c r="Y9" s="452"/>
      <c r="Z9" s="185">
        <v>19</v>
      </c>
      <c r="AA9" s="183">
        <v>2457.7777777777792</v>
      </c>
      <c r="AB9" s="183">
        <v>129.3567251461989</v>
      </c>
      <c r="AC9" s="185">
        <f t="shared" si="5"/>
        <v>2</v>
      </c>
      <c r="AD9" s="452"/>
      <c r="AE9" s="185">
        <v>19</v>
      </c>
      <c r="AF9" s="183">
        <v>2542.2222222222199</v>
      </c>
      <c r="AG9" s="183">
        <v>133.80116959064316</v>
      </c>
      <c r="AH9" s="185">
        <f t="shared" si="6"/>
        <v>1</v>
      </c>
      <c r="AI9" s="452"/>
      <c r="AJ9" s="185">
        <v>18</v>
      </c>
      <c r="AK9" s="183">
        <v>2453.5714285714266</v>
      </c>
      <c r="AL9" s="183">
        <v>136.30952380952371</v>
      </c>
      <c r="AM9" s="185">
        <f t="shared" si="7"/>
        <v>1</v>
      </c>
      <c r="AN9" s="452"/>
      <c r="AO9" s="185">
        <v>19</v>
      </c>
      <c r="AP9" s="183">
        <v>2428.4745762711882</v>
      </c>
      <c r="AQ9" s="183">
        <v>127.81445138269412</v>
      </c>
      <c r="AR9" s="185">
        <f t="shared" si="8"/>
        <v>1</v>
      </c>
      <c r="AS9" s="452"/>
      <c r="AT9" s="185">
        <v>19</v>
      </c>
      <c r="AU9" s="183">
        <v>2488.9285714285734</v>
      </c>
      <c r="AV9" s="183">
        <v>130.99624060150387</v>
      </c>
      <c r="AW9" s="185">
        <f t="shared" si="9"/>
        <v>1</v>
      </c>
      <c r="AX9" s="494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206" t="s">
        <v>327</v>
      </c>
      <c r="E10" s="169">
        <v>19</v>
      </c>
      <c r="F10" s="185">
        <v>3000</v>
      </c>
      <c r="G10" s="183">
        <v>157.89473684210526</v>
      </c>
      <c r="H10" s="452"/>
      <c r="I10" s="169">
        <f t="shared" si="0"/>
        <v>19</v>
      </c>
      <c r="J10" s="169">
        <f t="shared" si="1"/>
        <v>2472.2915699197069</v>
      </c>
      <c r="K10" s="183">
        <f t="shared" si="2"/>
        <v>130.12060894314249</v>
      </c>
      <c r="L10" s="452"/>
      <c r="M10" s="184">
        <f>RANK(K10, $K$7:K$21)</f>
        <v>2</v>
      </c>
      <c r="N10" s="454"/>
      <c r="O10" s="454"/>
      <c r="P10" s="185">
        <v>19</v>
      </c>
      <c r="Q10" s="183">
        <v>2451.2195121951208</v>
      </c>
      <c r="R10" s="183">
        <v>129.01155327342741</v>
      </c>
      <c r="S10" s="185">
        <f t="shared" si="3"/>
        <v>1</v>
      </c>
      <c r="T10" s="452"/>
      <c r="U10" s="185">
        <v>19</v>
      </c>
      <c r="V10" s="183">
        <v>2447.3239436619692</v>
      </c>
      <c r="W10" s="183">
        <v>128.80652335062996</v>
      </c>
      <c r="X10" s="185">
        <f t="shared" si="4"/>
        <v>1</v>
      </c>
      <c r="Y10" s="452"/>
      <c r="Z10" s="185">
        <v>19</v>
      </c>
      <c r="AA10" s="183">
        <v>2501.1428571428546</v>
      </c>
      <c r="AB10" s="183">
        <v>131.63909774436078</v>
      </c>
      <c r="AC10" s="185">
        <f t="shared" si="5"/>
        <v>1</v>
      </c>
      <c r="AD10" s="452"/>
      <c r="AE10" s="185">
        <v>19</v>
      </c>
      <c r="AF10" s="183">
        <v>2506.5671641791014</v>
      </c>
      <c r="AG10" s="183">
        <v>131.92458758837375</v>
      </c>
      <c r="AH10" s="185">
        <f t="shared" si="6"/>
        <v>2</v>
      </c>
      <c r="AI10" s="452"/>
      <c r="AJ10" s="185">
        <v>19</v>
      </c>
      <c r="AK10" s="183">
        <v>2515.6521739130408</v>
      </c>
      <c r="AL10" s="183">
        <v>132.4027459954232</v>
      </c>
      <c r="AM10" s="185">
        <f t="shared" si="7"/>
        <v>3</v>
      </c>
      <c r="AN10" s="452"/>
      <c r="AO10" s="185">
        <v>19</v>
      </c>
      <c r="AP10" s="183">
        <v>2425.7142857142844</v>
      </c>
      <c r="AQ10" s="183">
        <v>127.66917293233075</v>
      </c>
      <c r="AR10" s="185">
        <f t="shared" si="8"/>
        <v>2</v>
      </c>
      <c r="AS10" s="452"/>
      <c r="AT10" s="185">
        <v>19</v>
      </c>
      <c r="AU10" s="183">
        <v>2458.4210526315774</v>
      </c>
      <c r="AV10" s="183">
        <v>129.39058171745145</v>
      </c>
      <c r="AW10" s="185">
        <f t="shared" si="9"/>
        <v>2</v>
      </c>
      <c r="AX10" s="494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206" t="s">
        <v>328</v>
      </c>
      <c r="E11" s="169">
        <v>20</v>
      </c>
      <c r="F11" s="185">
        <v>2250</v>
      </c>
      <c r="G11" s="183">
        <v>112.5</v>
      </c>
      <c r="H11" s="452"/>
      <c r="I11" s="169">
        <f t="shared" si="0"/>
        <v>20</v>
      </c>
      <c r="J11" s="169">
        <f t="shared" si="1"/>
        <v>2168.6191816272708</v>
      </c>
      <c r="K11" s="183">
        <f t="shared" si="2"/>
        <v>108.43095908136353</v>
      </c>
      <c r="L11" s="452"/>
      <c r="M11" s="184">
        <f>RANK(K11, $K$7:K$21)</f>
        <v>4</v>
      </c>
      <c r="N11" s="454"/>
      <c r="O11" s="454"/>
      <c r="P11" s="185">
        <v>20</v>
      </c>
      <c r="Q11" s="183">
        <v>2180.0000000000023</v>
      </c>
      <c r="R11" s="183">
        <v>109.00000000000011</v>
      </c>
      <c r="S11" s="185">
        <f t="shared" si="3"/>
        <v>5</v>
      </c>
      <c r="T11" s="452"/>
      <c r="U11" s="185">
        <v>20</v>
      </c>
      <c r="V11" s="183">
        <v>2146.9565217391305</v>
      </c>
      <c r="W11" s="183">
        <v>107.34782608695653</v>
      </c>
      <c r="X11" s="185">
        <f t="shared" si="4"/>
        <v>4</v>
      </c>
      <c r="Y11" s="452"/>
      <c r="Z11" s="185">
        <v>20</v>
      </c>
      <c r="AA11" s="183">
        <v>2137.6744186046508</v>
      </c>
      <c r="AB11" s="183">
        <v>106.88372093023254</v>
      </c>
      <c r="AC11" s="185">
        <f t="shared" si="5"/>
        <v>4</v>
      </c>
      <c r="AD11" s="452"/>
      <c r="AE11" s="185">
        <v>20</v>
      </c>
      <c r="AF11" s="183">
        <v>2144.3478260869565</v>
      </c>
      <c r="AG11" s="183">
        <v>107.21739130434783</v>
      </c>
      <c r="AH11" s="185">
        <f t="shared" si="6"/>
        <v>4</v>
      </c>
      <c r="AI11" s="452"/>
      <c r="AJ11" s="185">
        <v>20</v>
      </c>
      <c r="AK11" s="183">
        <v>2189.2307692307681</v>
      </c>
      <c r="AL11" s="183">
        <v>109.46153846153841</v>
      </c>
      <c r="AM11" s="185">
        <f t="shared" si="7"/>
        <v>4</v>
      </c>
      <c r="AN11" s="452"/>
      <c r="AO11" s="185">
        <v>20</v>
      </c>
      <c r="AP11" s="183">
        <v>2193.4883720930229</v>
      </c>
      <c r="AQ11" s="183">
        <v>109.67441860465115</v>
      </c>
      <c r="AR11" s="185">
        <f t="shared" si="8"/>
        <v>4</v>
      </c>
      <c r="AS11" s="452"/>
      <c r="AT11" s="185">
        <v>20</v>
      </c>
      <c r="AU11" s="183">
        <v>2188.6363636363635</v>
      </c>
      <c r="AV11" s="183">
        <v>109.43181818181817</v>
      </c>
      <c r="AW11" s="185">
        <f t="shared" si="9"/>
        <v>4</v>
      </c>
      <c r="AX11" s="494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206"/>
      <c r="E12" s="169"/>
      <c r="F12" s="185"/>
      <c r="G12" s="183"/>
      <c r="H12" s="452"/>
      <c r="I12" s="169"/>
      <c r="J12" s="169"/>
      <c r="K12" s="183"/>
      <c r="L12" s="452"/>
      <c r="M12" s="184" t="e">
        <f>RANK(K12, $K$7:K$21)</f>
        <v>#N/A</v>
      </c>
      <c r="N12" s="454"/>
      <c r="O12" s="454"/>
      <c r="P12" s="185"/>
      <c r="Q12" s="183"/>
      <c r="R12" s="183"/>
      <c r="S12" s="185" t="e">
        <f t="shared" si="3"/>
        <v>#N/A</v>
      </c>
      <c r="T12" s="452"/>
      <c r="U12" s="185"/>
      <c r="V12" s="183"/>
      <c r="W12" s="183"/>
      <c r="X12" s="185" t="e">
        <f t="shared" si="4"/>
        <v>#N/A</v>
      </c>
      <c r="Y12" s="452"/>
      <c r="Z12" s="185"/>
      <c r="AA12" s="183"/>
      <c r="AB12" s="183"/>
      <c r="AC12" s="185" t="e">
        <f t="shared" si="5"/>
        <v>#N/A</v>
      </c>
      <c r="AD12" s="452"/>
      <c r="AE12" s="185"/>
      <c r="AF12" s="183"/>
      <c r="AG12" s="183"/>
      <c r="AH12" s="185" t="e">
        <f t="shared" si="6"/>
        <v>#N/A</v>
      </c>
      <c r="AI12" s="452"/>
      <c r="AJ12" s="185"/>
      <c r="AK12" s="183"/>
      <c r="AL12" s="183"/>
      <c r="AM12" s="185" t="e">
        <f t="shared" si="7"/>
        <v>#N/A</v>
      </c>
      <c r="AN12" s="452"/>
      <c r="AO12" s="185"/>
      <c r="AP12" s="183"/>
      <c r="AQ12" s="183"/>
      <c r="AR12" s="185" t="e">
        <f t="shared" si="8"/>
        <v>#N/A</v>
      </c>
      <c r="AS12" s="452"/>
      <c r="AT12" s="185"/>
      <c r="AU12" s="183"/>
      <c r="AV12" s="183"/>
      <c r="AW12" s="185" t="e">
        <f t="shared" si="9"/>
        <v>#N/A</v>
      </c>
      <c r="AX12" s="494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206"/>
      <c r="E13" s="169"/>
      <c r="F13" s="185"/>
      <c r="G13" s="183"/>
      <c r="H13" s="452"/>
      <c r="I13" s="169"/>
      <c r="J13" s="169"/>
      <c r="K13" s="183"/>
      <c r="L13" s="452"/>
      <c r="M13" s="184" t="e">
        <f>RANK(K13, $K$7:K$21)</f>
        <v>#N/A</v>
      </c>
      <c r="N13" s="454"/>
      <c r="O13" s="454"/>
      <c r="P13" s="185"/>
      <c r="Q13" s="183"/>
      <c r="R13" s="183"/>
      <c r="S13" s="185" t="e">
        <f t="shared" si="3"/>
        <v>#N/A</v>
      </c>
      <c r="T13" s="452"/>
      <c r="U13" s="185"/>
      <c r="V13" s="183"/>
      <c r="W13" s="183"/>
      <c r="X13" s="185" t="e">
        <f t="shared" si="4"/>
        <v>#N/A</v>
      </c>
      <c r="Y13" s="452"/>
      <c r="Z13" s="185"/>
      <c r="AA13" s="183"/>
      <c r="AB13" s="183"/>
      <c r="AC13" s="185" t="e">
        <f t="shared" si="5"/>
        <v>#N/A</v>
      </c>
      <c r="AD13" s="452"/>
      <c r="AE13" s="185"/>
      <c r="AF13" s="183"/>
      <c r="AG13" s="183"/>
      <c r="AH13" s="185" t="e">
        <f t="shared" si="6"/>
        <v>#N/A</v>
      </c>
      <c r="AI13" s="452"/>
      <c r="AJ13" s="185"/>
      <c r="AK13" s="183"/>
      <c r="AL13" s="183"/>
      <c r="AM13" s="185" t="e">
        <f t="shared" si="7"/>
        <v>#N/A</v>
      </c>
      <c r="AN13" s="452"/>
      <c r="AO13" s="185"/>
      <c r="AP13" s="183"/>
      <c r="AQ13" s="183"/>
      <c r="AR13" s="185" t="e">
        <f t="shared" si="8"/>
        <v>#N/A</v>
      </c>
      <c r="AS13" s="452"/>
      <c r="AT13" s="185"/>
      <c r="AU13" s="183"/>
      <c r="AV13" s="183"/>
      <c r="AW13" s="185" t="e">
        <f t="shared" si="9"/>
        <v>#N/A</v>
      </c>
      <c r="AX13" s="494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206"/>
      <c r="E14" s="169"/>
      <c r="F14" s="185"/>
      <c r="G14" s="183"/>
      <c r="H14" s="452"/>
      <c r="I14" s="169"/>
      <c r="J14" s="169"/>
      <c r="K14" s="183"/>
      <c r="L14" s="452"/>
      <c r="M14" s="184" t="e">
        <f>RANK(K14, $K$7:K$21)</f>
        <v>#N/A</v>
      </c>
      <c r="N14" s="454"/>
      <c r="O14" s="454"/>
      <c r="P14" s="185"/>
      <c r="Q14" s="183"/>
      <c r="R14" s="183"/>
      <c r="S14" s="185" t="e">
        <f t="shared" si="3"/>
        <v>#N/A</v>
      </c>
      <c r="T14" s="452"/>
      <c r="U14" s="185"/>
      <c r="V14" s="183"/>
      <c r="W14" s="183"/>
      <c r="X14" s="185" t="e">
        <f t="shared" si="4"/>
        <v>#N/A</v>
      </c>
      <c r="Y14" s="452"/>
      <c r="Z14" s="185"/>
      <c r="AA14" s="183"/>
      <c r="AB14" s="183"/>
      <c r="AC14" s="185" t="e">
        <f t="shared" si="5"/>
        <v>#N/A</v>
      </c>
      <c r="AD14" s="452"/>
      <c r="AE14" s="185"/>
      <c r="AF14" s="183"/>
      <c r="AG14" s="183"/>
      <c r="AH14" s="185" t="e">
        <f t="shared" si="6"/>
        <v>#N/A</v>
      </c>
      <c r="AI14" s="452"/>
      <c r="AJ14" s="185"/>
      <c r="AK14" s="183"/>
      <c r="AL14" s="183"/>
      <c r="AM14" s="185" t="e">
        <f t="shared" si="7"/>
        <v>#N/A</v>
      </c>
      <c r="AN14" s="452"/>
      <c r="AO14" s="185"/>
      <c r="AP14" s="183"/>
      <c r="AQ14" s="183"/>
      <c r="AR14" s="185" t="e">
        <f t="shared" si="8"/>
        <v>#N/A</v>
      </c>
      <c r="AS14" s="452"/>
      <c r="AT14" s="185"/>
      <c r="AU14" s="183"/>
      <c r="AV14" s="183"/>
      <c r="AW14" s="185" t="e">
        <f t="shared" si="9"/>
        <v>#N/A</v>
      </c>
      <c r="AX14" s="494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206"/>
      <c r="E15" s="169"/>
      <c r="F15" s="185"/>
      <c r="G15" s="183"/>
      <c r="H15" s="452"/>
      <c r="I15" s="169"/>
      <c r="J15" s="169"/>
      <c r="K15" s="183"/>
      <c r="L15" s="452"/>
      <c r="M15" s="184" t="e">
        <f>RANK(K15, $K$7:K$21)</f>
        <v>#N/A</v>
      </c>
      <c r="N15" s="454"/>
      <c r="O15" s="454"/>
      <c r="P15" s="185"/>
      <c r="Q15" s="183"/>
      <c r="R15" s="183"/>
      <c r="S15" s="185" t="e">
        <f t="shared" si="3"/>
        <v>#N/A</v>
      </c>
      <c r="T15" s="452"/>
      <c r="U15" s="185"/>
      <c r="V15" s="183"/>
      <c r="W15" s="183"/>
      <c r="X15" s="185" t="e">
        <f t="shared" si="4"/>
        <v>#N/A</v>
      </c>
      <c r="Y15" s="452"/>
      <c r="Z15" s="185"/>
      <c r="AA15" s="183"/>
      <c r="AB15" s="183"/>
      <c r="AC15" s="185" t="e">
        <f t="shared" si="5"/>
        <v>#N/A</v>
      </c>
      <c r="AD15" s="452"/>
      <c r="AE15" s="185"/>
      <c r="AF15" s="183"/>
      <c r="AG15" s="183"/>
      <c r="AH15" s="185" t="e">
        <f t="shared" si="6"/>
        <v>#N/A</v>
      </c>
      <c r="AI15" s="452"/>
      <c r="AJ15" s="185"/>
      <c r="AK15" s="183"/>
      <c r="AL15" s="183"/>
      <c r="AM15" s="185" t="e">
        <f t="shared" si="7"/>
        <v>#N/A</v>
      </c>
      <c r="AN15" s="452"/>
      <c r="AO15" s="185"/>
      <c r="AP15" s="183"/>
      <c r="AQ15" s="183"/>
      <c r="AR15" s="185" t="e">
        <f t="shared" si="8"/>
        <v>#N/A</v>
      </c>
      <c r="AS15" s="452"/>
      <c r="AT15" s="185"/>
      <c r="AU15" s="183"/>
      <c r="AV15" s="183"/>
      <c r="AW15" s="185" t="e">
        <f t="shared" si="9"/>
        <v>#N/A</v>
      </c>
      <c r="AX15" s="494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206"/>
      <c r="E16" s="169"/>
      <c r="F16" s="185"/>
      <c r="G16" s="183"/>
      <c r="H16" s="452"/>
      <c r="I16" s="169"/>
      <c r="J16" s="169"/>
      <c r="K16" s="183"/>
      <c r="L16" s="452"/>
      <c r="M16" s="184" t="e">
        <f>RANK(K16, $K$7:K$21)</f>
        <v>#N/A</v>
      </c>
      <c r="N16" s="454"/>
      <c r="O16" s="454"/>
      <c r="P16" s="185"/>
      <c r="Q16" s="185"/>
      <c r="R16" s="183"/>
      <c r="S16" s="185" t="e">
        <f t="shared" si="3"/>
        <v>#N/A</v>
      </c>
      <c r="T16" s="452"/>
      <c r="U16" s="185"/>
      <c r="V16" s="185"/>
      <c r="W16" s="183"/>
      <c r="X16" s="185" t="e">
        <f t="shared" si="4"/>
        <v>#N/A</v>
      </c>
      <c r="Y16" s="452"/>
      <c r="Z16" s="185"/>
      <c r="AA16" s="185"/>
      <c r="AB16" s="183"/>
      <c r="AC16" s="185" t="e">
        <f t="shared" si="5"/>
        <v>#N/A</v>
      </c>
      <c r="AD16" s="452"/>
      <c r="AE16" s="185"/>
      <c r="AF16" s="185"/>
      <c r="AG16" s="183"/>
      <c r="AH16" s="185" t="e">
        <f t="shared" si="6"/>
        <v>#N/A</v>
      </c>
      <c r="AI16" s="452"/>
      <c r="AJ16" s="185"/>
      <c r="AK16" s="185"/>
      <c r="AL16" s="183"/>
      <c r="AM16" s="185" t="e">
        <f t="shared" si="7"/>
        <v>#N/A</v>
      </c>
      <c r="AN16" s="452"/>
      <c r="AO16" s="185"/>
      <c r="AP16" s="185"/>
      <c r="AQ16" s="183"/>
      <c r="AR16" s="185" t="e">
        <f t="shared" si="8"/>
        <v>#N/A</v>
      </c>
      <c r="AS16" s="452"/>
      <c r="AT16" s="185"/>
      <c r="AU16" s="185"/>
      <c r="AV16" s="183"/>
      <c r="AW16" s="185" t="e">
        <f t="shared" si="9"/>
        <v>#N/A</v>
      </c>
      <c r="AX16" s="494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206"/>
      <c r="E17" s="169"/>
      <c r="F17" s="185"/>
      <c r="G17" s="183"/>
      <c r="H17" s="452"/>
      <c r="I17" s="185"/>
      <c r="J17" s="185"/>
      <c r="K17" s="185"/>
      <c r="L17" s="452"/>
      <c r="M17" s="184" t="e">
        <f>RANK(K17, $K$7:K$21)</f>
        <v>#N/A</v>
      </c>
      <c r="N17" s="454"/>
      <c r="O17" s="454"/>
      <c r="P17" s="185"/>
      <c r="Q17" s="185"/>
      <c r="R17" s="185"/>
      <c r="S17" s="185" t="e">
        <f t="shared" si="3"/>
        <v>#N/A</v>
      </c>
      <c r="T17" s="452"/>
      <c r="U17" s="185"/>
      <c r="V17" s="185"/>
      <c r="W17" s="185"/>
      <c r="X17" s="185" t="e">
        <f t="shared" si="4"/>
        <v>#N/A</v>
      </c>
      <c r="Y17" s="452"/>
      <c r="Z17" s="185"/>
      <c r="AA17" s="185"/>
      <c r="AB17" s="185"/>
      <c r="AC17" s="185" t="e">
        <f t="shared" si="5"/>
        <v>#N/A</v>
      </c>
      <c r="AD17" s="452"/>
      <c r="AE17" s="185"/>
      <c r="AF17" s="185"/>
      <c r="AG17" s="185"/>
      <c r="AH17" s="185" t="e">
        <f t="shared" si="6"/>
        <v>#N/A</v>
      </c>
      <c r="AI17" s="452"/>
      <c r="AJ17" s="185"/>
      <c r="AK17" s="185"/>
      <c r="AL17" s="185"/>
      <c r="AM17" s="185" t="e">
        <f t="shared" si="7"/>
        <v>#N/A</v>
      </c>
      <c r="AN17" s="452"/>
      <c r="AO17" s="185"/>
      <c r="AP17" s="185"/>
      <c r="AQ17" s="185"/>
      <c r="AR17" s="185" t="e">
        <f t="shared" si="8"/>
        <v>#N/A</v>
      </c>
      <c r="AS17" s="452"/>
      <c r="AT17" s="185"/>
      <c r="AU17" s="185"/>
      <c r="AV17" s="185"/>
      <c r="AW17" s="185" t="e">
        <f t="shared" si="9"/>
        <v>#N/A</v>
      </c>
      <c r="AX17" s="494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206"/>
      <c r="E18" s="169"/>
      <c r="F18" s="185"/>
      <c r="G18" s="183"/>
      <c r="H18" s="452"/>
      <c r="I18" s="185"/>
      <c r="J18" s="185"/>
      <c r="K18" s="185"/>
      <c r="L18" s="452"/>
      <c r="M18" s="184" t="e">
        <f>RANK(K18, $K$7:K$21)</f>
        <v>#N/A</v>
      </c>
      <c r="N18" s="454"/>
      <c r="O18" s="454"/>
      <c r="P18" s="185"/>
      <c r="Q18" s="185"/>
      <c r="R18" s="185"/>
      <c r="S18" s="185" t="e">
        <f t="shared" si="3"/>
        <v>#N/A</v>
      </c>
      <c r="T18" s="452"/>
      <c r="U18" s="185"/>
      <c r="V18" s="185"/>
      <c r="W18" s="185"/>
      <c r="X18" s="185" t="e">
        <f t="shared" si="4"/>
        <v>#N/A</v>
      </c>
      <c r="Y18" s="452"/>
      <c r="Z18" s="185"/>
      <c r="AA18" s="185"/>
      <c r="AB18" s="185"/>
      <c r="AC18" s="185" t="e">
        <f t="shared" si="5"/>
        <v>#N/A</v>
      </c>
      <c r="AD18" s="452"/>
      <c r="AE18" s="185"/>
      <c r="AF18" s="185"/>
      <c r="AG18" s="185"/>
      <c r="AH18" s="185" t="e">
        <f t="shared" si="6"/>
        <v>#N/A</v>
      </c>
      <c r="AI18" s="452"/>
      <c r="AJ18" s="185"/>
      <c r="AK18" s="185"/>
      <c r="AL18" s="185"/>
      <c r="AM18" s="185" t="e">
        <f t="shared" si="7"/>
        <v>#N/A</v>
      </c>
      <c r="AN18" s="452"/>
      <c r="AO18" s="185"/>
      <c r="AP18" s="185"/>
      <c r="AQ18" s="185"/>
      <c r="AR18" s="185" t="e">
        <f t="shared" si="8"/>
        <v>#N/A</v>
      </c>
      <c r="AS18" s="452"/>
      <c r="AT18" s="185"/>
      <c r="AU18" s="185"/>
      <c r="AV18" s="185"/>
      <c r="AW18" s="185" t="e">
        <f t="shared" si="9"/>
        <v>#N/A</v>
      </c>
      <c r="AX18" s="494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206"/>
      <c r="E19" s="169"/>
      <c r="F19" s="185"/>
      <c r="G19" s="183"/>
      <c r="H19" s="452"/>
      <c r="I19" s="185"/>
      <c r="J19" s="185"/>
      <c r="K19" s="185"/>
      <c r="L19" s="452"/>
      <c r="M19" s="184" t="e">
        <f>RANK(K19, $K$7:K$21)</f>
        <v>#N/A</v>
      </c>
      <c r="N19" s="454"/>
      <c r="O19" s="454"/>
      <c r="P19" s="185"/>
      <c r="Q19" s="185"/>
      <c r="R19" s="185"/>
      <c r="S19" s="185" t="e">
        <f t="shared" si="3"/>
        <v>#N/A</v>
      </c>
      <c r="T19" s="452"/>
      <c r="U19" s="185"/>
      <c r="V19" s="185"/>
      <c r="W19" s="185"/>
      <c r="X19" s="185" t="e">
        <f t="shared" si="4"/>
        <v>#N/A</v>
      </c>
      <c r="Y19" s="452"/>
      <c r="Z19" s="185"/>
      <c r="AA19" s="185"/>
      <c r="AB19" s="185"/>
      <c r="AC19" s="185" t="e">
        <f t="shared" si="5"/>
        <v>#N/A</v>
      </c>
      <c r="AD19" s="452"/>
      <c r="AE19" s="185"/>
      <c r="AF19" s="185"/>
      <c r="AG19" s="185"/>
      <c r="AH19" s="185" t="e">
        <f t="shared" si="6"/>
        <v>#N/A</v>
      </c>
      <c r="AI19" s="452"/>
      <c r="AJ19" s="185"/>
      <c r="AK19" s="185"/>
      <c r="AL19" s="185"/>
      <c r="AM19" s="185" t="e">
        <f t="shared" si="7"/>
        <v>#N/A</v>
      </c>
      <c r="AN19" s="452"/>
      <c r="AO19" s="185"/>
      <c r="AP19" s="185"/>
      <c r="AQ19" s="185"/>
      <c r="AR19" s="185" t="e">
        <f t="shared" si="8"/>
        <v>#N/A</v>
      </c>
      <c r="AS19" s="452"/>
      <c r="AT19" s="185"/>
      <c r="AU19" s="185"/>
      <c r="AV19" s="185"/>
      <c r="AW19" s="185" t="e">
        <f t="shared" si="9"/>
        <v>#N/A</v>
      </c>
      <c r="AX19" s="494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206"/>
      <c r="E20" s="169"/>
      <c r="F20" s="185"/>
      <c r="G20" s="183"/>
      <c r="H20" s="452"/>
      <c r="I20" s="185"/>
      <c r="J20" s="185"/>
      <c r="K20" s="185"/>
      <c r="L20" s="452"/>
      <c r="M20" s="184" t="e">
        <f>RANK(K20, $K$7:K$21)</f>
        <v>#N/A</v>
      </c>
      <c r="N20" s="454"/>
      <c r="O20" s="454"/>
      <c r="P20" s="185"/>
      <c r="Q20" s="185"/>
      <c r="R20" s="185"/>
      <c r="S20" s="185" t="e">
        <f t="shared" si="3"/>
        <v>#N/A</v>
      </c>
      <c r="T20" s="452"/>
      <c r="U20" s="185"/>
      <c r="V20" s="185"/>
      <c r="W20" s="185"/>
      <c r="X20" s="185" t="e">
        <f t="shared" si="4"/>
        <v>#N/A</v>
      </c>
      <c r="Y20" s="452"/>
      <c r="Z20" s="185"/>
      <c r="AA20" s="185"/>
      <c r="AB20" s="185"/>
      <c r="AC20" s="185" t="e">
        <f t="shared" si="5"/>
        <v>#N/A</v>
      </c>
      <c r="AD20" s="452"/>
      <c r="AE20" s="185"/>
      <c r="AF20" s="185"/>
      <c r="AG20" s="185"/>
      <c r="AH20" s="185" t="e">
        <f t="shared" si="6"/>
        <v>#N/A</v>
      </c>
      <c r="AI20" s="452"/>
      <c r="AJ20" s="185"/>
      <c r="AK20" s="185"/>
      <c r="AL20" s="185"/>
      <c r="AM20" s="185" t="e">
        <f t="shared" si="7"/>
        <v>#N/A</v>
      </c>
      <c r="AN20" s="452"/>
      <c r="AO20" s="185"/>
      <c r="AP20" s="185"/>
      <c r="AQ20" s="185"/>
      <c r="AR20" s="185" t="e">
        <f t="shared" si="8"/>
        <v>#N/A</v>
      </c>
      <c r="AS20" s="452"/>
      <c r="AT20" s="185"/>
      <c r="AU20" s="185"/>
      <c r="AV20" s="185"/>
      <c r="AW20" s="185" t="e">
        <f t="shared" si="9"/>
        <v>#N/A</v>
      </c>
      <c r="AX20" s="494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206"/>
      <c r="E21" s="169"/>
      <c r="F21" s="185"/>
      <c r="G21" s="183"/>
      <c r="H21" s="453"/>
      <c r="I21" s="185"/>
      <c r="J21" s="185"/>
      <c r="K21" s="185"/>
      <c r="L21" s="453"/>
      <c r="M21" s="169" t="e">
        <f>RANK(K21, $K$7:K$21)</f>
        <v>#N/A</v>
      </c>
      <c r="N21" s="454"/>
      <c r="O21" s="454"/>
      <c r="P21" s="185"/>
      <c r="Q21" s="185"/>
      <c r="R21" s="185"/>
      <c r="S21" s="185" t="e">
        <f t="shared" si="3"/>
        <v>#N/A</v>
      </c>
      <c r="T21" s="453"/>
      <c r="U21" s="185"/>
      <c r="V21" s="185"/>
      <c r="W21" s="185"/>
      <c r="X21" s="185" t="e">
        <f t="shared" si="4"/>
        <v>#N/A</v>
      </c>
      <c r="Y21" s="453"/>
      <c r="Z21" s="185"/>
      <c r="AA21" s="185"/>
      <c r="AB21" s="185"/>
      <c r="AC21" s="185" t="e">
        <f t="shared" si="5"/>
        <v>#N/A</v>
      </c>
      <c r="AD21" s="453"/>
      <c r="AE21" s="185"/>
      <c r="AF21" s="185"/>
      <c r="AG21" s="185"/>
      <c r="AH21" s="185" t="e">
        <f t="shared" si="6"/>
        <v>#N/A</v>
      </c>
      <c r="AI21" s="453"/>
      <c r="AJ21" s="185"/>
      <c r="AK21" s="185"/>
      <c r="AL21" s="185"/>
      <c r="AM21" s="185" t="e">
        <f t="shared" si="7"/>
        <v>#N/A</v>
      </c>
      <c r="AN21" s="453"/>
      <c r="AO21" s="185"/>
      <c r="AP21" s="185"/>
      <c r="AQ21" s="185"/>
      <c r="AR21" s="185" t="e">
        <f t="shared" si="8"/>
        <v>#N/A</v>
      </c>
      <c r="AS21" s="453"/>
      <c r="AT21" s="185"/>
      <c r="AU21" s="185"/>
      <c r="AV21" s="185"/>
      <c r="AW21" s="185" t="e">
        <f t="shared" si="9"/>
        <v>#N/A</v>
      </c>
      <c r="AX21" s="494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70">
        <f>AT2+1</f>
        <v>45965</v>
      </c>
      <c r="Q22" s="471"/>
      <c r="R22" s="471"/>
      <c r="S22" s="471"/>
      <c r="T22" s="471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54" t="s">
        <v>323</v>
      </c>
      <c r="C27" s="185">
        <v>1</v>
      </c>
      <c r="D27" s="206" t="s">
        <v>324</v>
      </c>
      <c r="E27" s="169">
        <v>21</v>
      </c>
      <c r="F27" s="185">
        <v>2400</v>
      </c>
      <c r="G27" s="183">
        <v>114.28571428571429</v>
      </c>
      <c r="H27" s="451">
        <f>AVERAGE(G27:G41)</f>
        <v>143.60275689223059</v>
      </c>
      <c r="I27" s="169">
        <f t="shared" ref="I27:K29" si="11">AVERAGE(P27,U27,Z27,AE27,AJ27,AO27,AT27)</f>
        <v>21</v>
      </c>
      <c r="J27" s="169">
        <f t="shared" si="11"/>
        <v>2171.4837923463119</v>
      </c>
      <c r="K27" s="183">
        <f t="shared" si="11"/>
        <v>103.40399011172913</v>
      </c>
      <c r="L27" s="451">
        <f>IFERROR(AVERAGE(K27:K41),"-")</f>
        <v>118.9683856571551</v>
      </c>
      <c r="M27" s="184">
        <f>RANK(K27, K$27:$K$41)</f>
        <v>5</v>
      </c>
      <c r="N27" s="454"/>
      <c r="O27" s="454"/>
      <c r="P27" s="169">
        <v>21</v>
      </c>
      <c r="Q27" s="183">
        <v>2137.8082191780823</v>
      </c>
      <c r="R27" s="183">
        <v>101.80039138943249</v>
      </c>
      <c r="S27" s="185">
        <f t="shared" ref="S27:S41" si="12">RANK(R27, R$27:R$41)</f>
        <v>5</v>
      </c>
      <c r="T27" s="451">
        <f>AVERAGE(R27:R41)</f>
        <v>118.82408258265227</v>
      </c>
      <c r="U27" s="169">
        <v>21</v>
      </c>
      <c r="V27" s="183">
        <v>2122.3076923076933</v>
      </c>
      <c r="W27" s="183">
        <v>101.06227106227111</v>
      </c>
      <c r="X27" s="185">
        <f t="shared" ref="X27:X41" si="13">RANK(W27, W$27:W$41)</f>
        <v>5</v>
      </c>
      <c r="Y27" s="451">
        <f>AVERAGE(W27:W41)</f>
        <v>118.72579250483173</v>
      </c>
      <c r="Z27" s="169">
        <v>21</v>
      </c>
      <c r="AA27" s="183">
        <v>2227.6056338028175</v>
      </c>
      <c r="AB27" s="183">
        <v>106.07645875251512</v>
      </c>
      <c r="AC27" s="185">
        <f t="shared" ref="AC27:AC41" si="14">RANK(AB27, AB$27:AB$41)</f>
        <v>5</v>
      </c>
      <c r="AD27" s="451">
        <f>AVERAGE(AB27:AB41)</f>
        <v>119.87587177198532</v>
      </c>
      <c r="AE27" s="169">
        <v>21</v>
      </c>
      <c r="AF27" s="183">
        <v>2136.8571428571431</v>
      </c>
      <c r="AG27" s="183">
        <v>101.75510204081634</v>
      </c>
      <c r="AH27" s="185">
        <f t="shared" ref="AH27:AH41" si="15">RANK(AG27, AG$27:AG$41)</f>
        <v>5</v>
      </c>
      <c r="AI27" s="451">
        <f>AVERAGE(AG27:AG41)</f>
        <v>118.96829815785891</v>
      </c>
      <c r="AJ27" s="169">
        <v>21</v>
      </c>
      <c r="AK27" s="183">
        <v>2202.8571428571431</v>
      </c>
      <c r="AL27" s="183">
        <v>104.89795918367348</v>
      </c>
      <c r="AM27" s="185">
        <f t="shared" ref="AM27:AM41" si="16">RANK(AL27, AL$27:AL$41)</f>
        <v>5</v>
      </c>
      <c r="AN27" s="451">
        <f>AVERAGE(AL27:AL41)</f>
        <v>118.18394251987797</v>
      </c>
      <c r="AO27" s="169">
        <v>21</v>
      </c>
      <c r="AP27" s="183">
        <v>2191.0588235294113</v>
      </c>
      <c r="AQ27" s="183">
        <v>104.33613445378148</v>
      </c>
      <c r="AR27" s="185">
        <f t="shared" ref="AR27:AR41" si="17">RANK(AQ27, AQ$27:AQ$41)</f>
        <v>5</v>
      </c>
      <c r="AS27" s="451">
        <f>AVERAGE(AQ27:AQ41)</f>
        <v>119.65012960208007</v>
      </c>
      <c r="AT27" s="169">
        <v>21</v>
      </c>
      <c r="AU27" s="183">
        <v>2181.8918918918926</v>
      </c>
      <c r="AV27" s="183">
        <v>103.89961389961393</v>
      </c>
      <c r="AW27" s="185">
        <f t="shared" ref="AW27:AW41" si="18">RANK(AV27, AV$27:AV$41)</f>
        <v>5</v>
      </c>
      <c r="AX27" s="494">
        <f>AVERAGE(AV27:AV41)</f>
        <v>118.55058246079923</v>
      </c>
    </row>
    <row r="28" spans="2:54">
      <c r="B28" s="471"/>
      <c r="C28" s="185">
        <v>2</v>
      </c>
      <c r="D28" s="206" t="s">
        <v>325</v>
      </c>
      <c r="E28" s="169">
        <v>18</v>
      </c>
      <c r="F28" s="185">
        <v>3000</v>
      </c>
      <c r="G28" s="183">
        <v>166.66666666666666</v>
      </c>
      <c r="H28" s="452"/>
      <c r="I28" s="169">
        <f t="shared" si="11"/>
        <v>19</v>
      </c>
      <c r="J28" s="169">
        <f t="shared" si="11"/>
        <v>2345.1660271309838</v>
      </c>
      <c r="K28" s="183">
        <f t="shared" si="11"/>
        <v>123.42979090163071</v>
      </c>
      <c r="L28" s="452"/>
      <c r="M28" s="184">
        <f>RANK(K28, K$27:$K$41)</f>
        <v>3</v>
      </c>
      <c r="N28" s="454"/>
      <c r="O28" s="454"/>
      <c r="P28" s="185">
        <v>19</v>
      </c>
      <c r="Q28" s="183">
        <v>2345.1063829787236</v>
      </c>
      <c r="R28" s="183">
        <v>123.42665173572229</v>
      </c>
      <c r="S28" s="185">
        <f t="shared" si="12"/>
        <v>3</v>
      </c>
      <c r="T28" s="452"/>
      <c r="U28" s="185">
        <v>19</v>
      </c>
      <c r="V28" s="183">
        <v>2327.0588235294131</v>
      </c>
      <c r="W28" s="183">
        <v>122.47678018575859</v>
      </c>
      <c r="X28" s="185">
        <f t="shared" si="13"/>
        <v>3</v>
      </c>
      <c r="Y28" s="452"/>
      <c r="Z28" s="185">
        <v>19</v>
      </c>
      <c r="AA28" s="183">
        <v>2340.0000000000009</v>
      </c>
      <c r="AB28" s="183">
        <v>123.15789473684215</v>
      </c>
      <c r="AC28" s="185">
        <f t="shared" si="14"/>
        <v>3</v>
      </c>
      <c r="AD28" s="452"/>
      <c r="AE28" s="185">
        <v>19</v>
      </c>
      <c r="AF28" s="183">
        <v>2337.6470588235302</v>
      </c>
      <c r="AG28" s="183">
        <v>123.03405572755422</v>
      </c>
      <c r="AH28" s="185">
        <f t="shared" si="15"/>
        <v>3</v>
      </c>
      <c r="AI28" s="452"/>
      <c r="AJ28" s="185">
        <v>19</v>
      </c>
      <c r="AK28" s="183">
        <v>2343.5294117647068</v>
      </c>
      <c r="AL28" s="183">
        <v>123.34365325077404</v>
      </c>
      <c r="AM28" s="185">
        <f t="shared" si="16"/>
        <v>3</v>
      </c>
      <c r="AN28" s="452"/>
      <c r="AO28" s="185">
        <v>19</v>
      </c>
      <c r="AP28" s="183">
        <v>2396.6666666666642</v>
      </c>
      <c r="AQ28" s="183">
        <v>126.14035087719286</v>
      </c>
      <c r="AR28" s="185">
        <f t="shared" si="17"/>
        <v>3</v>
      </c>
      <c r="AS28" s="452"/>
      <c r="AT28" s="185">
        <v>19</v>
      </c>
      <c r="AU28" s="183">
        <v>2326.1538461538471</v>
      </c>
      <c r="AV28" s="183">
        <v>122.4291497975709</v>
      </c>
      <c r="AW28" s="185">
        <f t="shared" si="18"/>
        <v>3</v>
      </c>
      <c r="AX28" s="494"/>
    </row>
    <row r="29" spans="2:54">
      <c r="B29" s="471"/>
      <c r="C29" s="185">
        <v>3</v>
      </c>
      <c r="D29" s="206" t="s">
        <v>326</v>
      </c>
      <c r="E29" s="169">
        <v>18</v>
      </c>
      <c r="F29" s="185">
        <v>3000</v>
      </c>
      <c r="G29" s="183">
        <v>166.66666666666666</v>
      </c>
      <c r="H29" s="452"/>
      <c r="I29" s="169">
        <f t="shared" si="11"/>
        <v>19</v>
      </c>
      <c r="J29" s="169">
        <f t="shared" si="11"/>
        <v>2457.9319832709684</v>
      </c>
      <c r="K29" s="183">
        <f t="shared" si="11"/>
        <v>129.36484122478782</v>
      </c>
      <c r="L29" s="452"/>
      <c r="M29" s="184">
        <f>RANK(K29, K$27:$K$41)</f>
        <v>2</v>
      </c>
      <c r="N29" s="454"/>
      <c r="O29" s="454"/>
      <c r="P29" s="185">
        <v>19</v>
      </c>
      <c r="Q29" s="183">
        <v>2444.7272727272743</v>
      </c>
      <c r="R29" s="183">
        <v>128.66985645933022</v>
      </c>
      <c r="S29" s="185">
        <f t="shared" si="12"/>
        <v>2</v>
      </c>
      <c r="T29" s="452"/>
      <c r="U29" s="185">
        <v>19</v>
      </c>
      <c r="V29" s="183">
        <v>2439.6610169491546</v>
      </c>
      <c r="W29" s="183">
        <v>128.40321141837657</v>
      </c>
      <c r="X29" s="185">
        <f t="shared" si="13"/>
        <v>2</v>
      </c>
      <c r="Y29" s="452"/>
      <c r="Z29" s="185">
        <v>19</v>
      </c>
      <c r="AA29" s="183">
        <v>2494.0000000000023</v>
      </c>
      <c r="AB29" s="183">
        <v>131.26315789473696</v>
      </c>
      <c r="AC29" s="185">
        <f t="shared" si="14"/>
        <v>1</v>
      </c>
      <c r="AD29" s="452"/>
      <c r="AE29" s="185">
        <v>19</v>
      </c>
      <c r="AF29" s="183">
        <v>2528.135593220341</v>
      </c>
      <c r="AG29" s="183">
        <v>133.05976806422848</v>
      </c>
      <c r="AH29" s="185">
        <f t="shared" si="15"/>
        <v>1</v>
      </c>
      <c r="AI29" s="452"/>
      <c r="AJ29" s="185">
        <v>19</v>
      </c>
      <c r="AK29" s="183">
        <v>2419.0000000000023</v>
      </c>
      <c r="AL29" s="183">
        <v>127.31578947368433</v>
      </c>
      <c r="AM29" s="185">
        <f t="shared" si="16"/>
        <v>2</v>
      </c>
      <c r="AN29" s="452"/>
      <c r="AO29" s="185">
        <v>19</v>
      </c>
      <c r="AP29" s="183">
        <v>2440.0000000000023</v>
      </c>
      <c r="AQ29" s="183">
        <v>128.42105263157907</v>
      </c>
      <c r="AR29" s="185">
        <f t="shared" si="17"/>
        <v>2</v>
      </c>
      <c r="AS29" s="452"/>
      <c r="AT29" s="185">
        <v>19</v>
      </c>
      <c r="AU29" s="183">
        <v>2440.0000000000023</v>
      </c>
      <c r="AV29" s="183">
        <v>128.42105263157907</v>
      </c>
      <c r="AW29" s="185">
        <f t="shared" si="18"/>
        <v>2</v>
      </c>
      <c r="AX29" s="494"/>
    </row>
    <row r="30" spans="2:54">
      <c r="B30" s="471"/>
      <c r="C30" s="185">
        <v>4</v>
      </c>
      <c r="D30" s="206" t="s">
        <v>327</v>
      </c>
      <c r="E30" s="169">
        <v>19</v>
      </c>
      <c r="F30" s="185">
        <v>3000</v>
      </c>
      <c r="G30" s="183">
        <v>157.89473684210526</v>
      </c>
      <c r="H30" s="452"/>
      <c r="I30" s="169">
        <f t="shared" ref="I30:I31" si="19">AVERAGE(P30,U30,Z30,AE30,AJ30,AO30,AT30)</f>
        <v>19</v>
      </c>
      <c r="J30" s="169">
        <f t="shared" ref="J30:J31" si="20">AVERAGE(Q30,V30,AA30,AF30,AK30,AP30,AU30)</f>
        <v>2479.39019381653</v>
      </c>
      <c r="K30" s="183">
        <f t="shared" ref="K30:K31" si="21">AVERAGE(R30,W30,AB30,AG30,AL30,AQ30,AV30)</f>
        <v>130.49422072718582</v>
      </c>
      <c r="L30" s="452"/>
      <c r="M30" s="184">
        <f>RANK(K30, K$27:$K$41)</f>
        <v>1</v>
      </c>
      <c r="N30" s="454"/>
      <c r="O30" s="454"/>
      <c r="P30" s="185">
        <v>19</v>
      </c>
      <c r="Q30" s="183">
        <v>2517.4285714285688</v>
      </c>
      <c r="R30" s="183">
        <v>132.49624060150362</v>
      </c>
      <c r="S30" s="185">
        <f t="shared" si="12"/>
        <v>1</v>
      </c>
      <c r="T30" s="452"/>
      <c r="U30" s="185">
        <v>19</v>
      </c>
      <c r="V30" s="183">
        <v>2497.2972972972957</v>
      </c>
      <c r="W30" s="183">
        <v>131.43669985775242</v>
      </c>
      <c r="X30" s="185">
        <f t="shared" si="13"/>
        <v>1</v>
      </c>
      <c r="Y30" s="452"/>
      <c r="Z30" s="185">
        <v>19</v>
      </c>
      <c r="AA30" s="183">
        <v>2459.9999999999991</v>
      </c>
      <c r="AB30" s="183">
        <v>129.47368421052627</v>
      </c>
      <c r="AC30" s="185">
        <f t="shared" si="14"/>
        <v>2</v>
      </c>
      <c r="AD30" s="452"/>
      <c r="AE30" s="185">
        <v>19</v>
      </c>
      <c r="AF30" s="183">
        <v>2491.898734177214</v>
      </c>
      <c r="AG30" s="183">
        <v>131.15256495669547</v>
      </c>
      <c r="AH30" s="185">
        <f t="shared" si="15"/>
        <v>2</v>
      </c>
      <c r="AI30" s="452"/>
      <c r="AJ30" s="185">
        <v>19</v>
      </c>
      <c r="AK30" s="183">
        <v>2438.5185185185178</v>
      </c>
      <c r="AL30" s="183">
        <v>128.34307992202724</v>
      </c>
      <c r="AM30" s="185">
        <f t="shared" si="16"/>
        <v>1</v>
      </c>
      <c r="AN30" s="452"/>
      <c r="AO30" s="185">
        <v>19</v>
      </c>
      <c r="AP30" s="183">
        <v>2504</v>
      </c>
      <c r="AQ30" s="183">
        <v>131.78947368421052</v>
      </c>
      <c r="AR30" s="185">
        <f t="shared" si="17"/>
        <v>1</v>
      </c>
      <c r="AS30" s="452"/>
      <c r="AT30" s="185">
        <v>19</v>
      </c>
      <c r="AU30" s="183">
        <v>2446.5882352941171</v>
      </c>
      <c r="AV30" s="183">
        <v>128.76780185758511</v>
      </c>
      <c r="AW30" s="185">
        <f t="shared" si="18"/>
        <v>1</v>
      </c>
      <c r="AX30" s="494"/>
    </row>
    <row r="31" spans="2:54">
      <c r="B31" s="471"/>
      <c r="C31" s="185">
        <v>5</v>
      </c>
      <c r="D31" s="206" t="s">
        <v>328</v>
      </c>
      <c r="E31" s="169">
        <v>20</v>
      </c>
      <c r="F31" s="185">
        <v>2250</v>
      </c>
      <c r="G31" s="183">
        <v>112.5</v>
      </c>
      <c r="H31" s="452"/>
      <c r="I31" s="169">
        <f t="shared" si="19"/>
        <v>20</v>
      </c>
      <c r="J31" s="169">
        <f t="shared" si="20"/>
        <v>2162.9817064088379</v>
      </c>
      <c r="K31" s="183">
        <f t="shared" si="21"/>
        <v>108.1490853204419</v>
      </c>
      <c r="L31" s="452"/>
      <c r="M31" s="184">
        <f>RANK(K31, K$27:$K$41)</f>
        <v>4</v>
      </c>
      <c r="N31" s="454"/>
      <c r="O31" s="454"/>
      <c r="P31" s="185">
        <v>20</v>
      </c>
      <c r="Q31" s="183">
        <v>2154.5454545454545</v>
      </c>
      <c r="R31" s="183">
        <v>107.72727272727272</v>
      </c>
      <c r="S31" s="185">
        <f t="shared" si="12"/>
        <v>4</v>
      </c>
      <c r="T31" s="452"/>
      <c r="U31" s="185">
        <v>20</v>
      </c>
      <c r="V31" s="183">
        <v>2205.0000000000009</v>
      </c>
      <c r="W31" s="183">
        <v>110.25000000000004</v>
      </c>
      <c r="X31" s="185">
        <f t="shared" si="13"/>
        <v>4</v>
      </c>
      <c r="Y31" s="452"/>
      <c r="Z31" s="185">
        <v>20</v>
      </c>
      <c r="AA31" s="183">
        <v>2188.1632653061233</v>
      </c>
      <c r="AB31" s="183">
        <v>109.40816326530617</v>
      </c>
      <c r="AC31" s="185">
        <f t="shared" si="14"/>
        <v>4</v>
      </c>
      <c r="AD31" s="452"/>
      <c r="AE31" s="185">
        <v>20</v>
      </c>
      <c r="AF31" s="183">
        <v>2116.8000000000006</v>
      </c>
      <c r="AG31" s="183">
        <v>105.84000000000003</v>
      </c>
      <c r="AH31" s="185">
        <f t="shared" si="15"/>
        <v>4</v>
      </c>
      <c r="AI31" s="452"/>
      <c r="AJ31" s="185">
        <v>20</v>
      </c>
      <c r="AK31" s="183">
        <v>2140.3846153846166</v>
      </c>
      <c r="AL31" s="183">
        <v>107.01923076923083</v>
      </c>
      <c r="AM31" s="185">
        <f t="shared" si="16"/>
        <v>4</v>
      </c>
      <c r="AN31" s="452"/>
      <c r="AO31" s="185">
        <v>20</v>
      </c>
      <c r="AP31" s="183">
        <v>2151.2727272727288</v>
      </c>
      <c r="AQ31" s="183">
        <v>107.56363636363645</v>
      </c>
      <c r="AR31" s="185">
        <f t="shared" si="17"/>
        <v>4</v>
      </c>
      <c r="AS31" s="452"/>
      <c r="AT31" s="185">
        <v>20</v>
      </c>
      <c r="AU31" s="183">
        <v>2184.7058823529424</v>
      </c>
      <c r="AV31" s="183">
        <v>109.23529411764711</v>
      </c>
      <c r="AW31" s="185">
        <f t="shared" si="18"/>
        <v>4</v>
      </c>
      <c r="AX31" s="494"/>
    </row>
    <row r="32" spans="2:54">
      <c r="B32" s="471"/>
      <c r="C32" s="185">
        <v>6</v>
      </c>
      <c r="D32" s="206"/>
      <c r="E32" s="169"/>
      <c r="F32" s="185"/>
      <c r="G32" s="183"/>
      <c r="H32" s="452"/>
      <c r="I32" s="169"/>
      <c r="J32" s="169"/>
      <c r="K32" s="183"/>
      <c r="L32" s="452"/>
      <c r="M32" s="184" t="e">
        <f>RANK(K32, K$27:$K$41)</f>
        <v>#N/A</v>
      </c>
      <c r="N32" s="454"/>
      <c r="O32" s="454"/>
      <c r="P32" s="185"/>
      <c r="Q32" s="183"/>
      <c r="R32" s="183"/>
      <c r="S32" s="185" t="e">
        <f t="shared" si="12"/>
        <v>#N/A</v>
      </c>
      <c r="T32" s="452"/>
      <c r="U32" s="185"/>
      <c r="V32" s="183"/>
      <c r="W32" s="183"/>
      <c r="X32" s="185" t="e">
        <f t="shared" si="13"/>
        <v>#N/A</v>
      </c>
      <c r="Y32" s="452"/>
      <c r="Z32" s="185"/>
      <c r="AA32" s="183"/>
      <c r="AB32" s="183"/>
      <c r="AC32" s="185" t="e">
        <f t="shared" si="14"/>
        <v>#N/A</v>
      </c>
      <c r="AD32" s="452"/>
      <c r="AE32" s="185"/>
      <c r="AF32" s="183"/>
      <c r="AG32" s="183"/>
      <c r="AH32" s="185" t="e">
        <f t="shared" si="15"/>
        <v>#N/A</v>
      </c>
      <c r="AI32" s="452"/>
      <c r="AJ32" s="185"/>
      <c r="AK32" s="183"/>
      <c r="AL32" s="183"/>
      <c r="AM32" s="185" t="e">
        <f t="shared" si="16"/>
        <v>#N/A</v>
      </c>
      <c r="AN32" s="452"/>
      <c r="AO32" s="185"/>
      <c r="AP32" s="183"/>
      <c r="AQ32" s="183"/>
      <c r="AR32" s="185" t="e">
        <f t="shared" si="17"/>
        <v>#N/A</v>
      </c>
      <c r="AS32" s="452"/>
      <c r="AT32" s="185"/>
      <c r="AU32" s="183"/>
      <c r="AV32" s="183"/>
      <c r="AW32" s="185" t="e">
        <f t="shared" si="18"/>
        <v>#N/A</v>
      </c>
      <c r="AX32" s="494"/>
    </row>
    <row r="33" spans="2:50">
      <c r="B33" s="471"/>
      <c r="C33" s="185">
        <v>7</v>
      </c>
      <c r="D33" s="206"/>
      <c r="E33" s="169"/>
      <c r="F33" s="185"/>
      <c r="G33" s="183"/>
      <c r="H33" s="452"/>
      <c r="I33" s="169"/>
      <c r="J33" s="169"/>
      <c r="K33" s="183"/>
      <c r="L33" s="452"/>
      <c r="M33" s="184" t="e">
        <f>RANK(K33, K$27:$K$41)</f>
        <v>#N/A</v>
      </c>
      <c r="N33" s="454"/>
      <c r="O33" s="454"/>
      <c r="P33" s="185"/>
      <c r="Q33" s="183"/>
      <c r="R33" s="183"/>
      <c r="S33" s="185" t="e">
        <f t="shared" si="12"/>
        <v>#N/A</v>
      </c>
      <c r="T33" s="452"/>
      <c r="U33" s="185"/>
      <c r="V33" s="183"/>
      <c r="W33" s="183"/>
      <c r="X33" s="185" t="e">
        <f t="shared" si="13"/>
        <v>#N/A</v>
      </c>
      <c r="Y33" s="452"/>
      <c r="Z33" s="185"/>
      <c r="AA33" s="183"/>
      <c r="AB33" s="183"/>
      <c r="AC33" s="185" t="e">
        <f t="shared" si="14"/>
        <v>#N/A</v>
      </c>
      <c r="AD33" s="452"/>
      <c r="AE33" s="185"/>
      <c r="AF33" s="183"/>
      <c r="AG33" s="183"/>
      <c r="AH33" s="185" t="e">
        <f t="shared" si="15"/>
        <v>#N/A</v>
      </c>
      <c r="AI33" s="452"/>
      <c r="AJ33" s="185"/>
      <c r="AK33" s="183"/>
      <c r="AL33" s="183"/>
      <c r="AM33" s="185" t="e">
        <f t="shared" si="16"/>
        <v>#N/A</v>
      </c>
      <c r="AN33" s="452"/>
      <c r="AO33" s="185"/>
      <c r="AP33" s="183"/>
      <c r="AQ33" s="183"/>
      <c r="AR33" s="185" t="e">
        <f t="shared" si="17"/>
        <v>#N/A</v>
      </c>
      <c r="AS33" s="452"/>
      <c r="AT33" s="185"/>
      <c r="AU33" s="183"/>
      <c r="AV33" s="183"/>
      <c r="AW33" s="185" t="e">
        <f t="shared" si="18"/>
        <v>#N/A</v>
      </c>
      <c r="AX33" s="494"/>
    </row>
    <row r="34" spans="2:50">
      <c r="B34" s="471"/>
      <c r="C34" s="185">
        <v>8</v>
      </c>
      <c r="D34" s="206"/>
      <c r="E34" s="169"/>
      <c r="F34" s="185"/>
      <c r="G34" s="183"/>
      <c r="H34" s="452"/>
      <c r="I34" s="169"/>
      <c r="J34" s="169"/>
      <c r="K34" s="183"/>
      <c r="L34" s="452"/>
      <c r="M34" s="184" t="e">
        <f>RANK(K34, K$27:$K$41)</f>
        <v>#N/A</v>
      </c>
      <c r="N34" s="454"/>
      <c r="O34" s="454"/>
      <c r="P34" s="185"/>
      <c r="Q34" s="183"/>
      <c r="R34" s="183"/>
      <c r="S34" s="185" t="e">
        <f t="shared" si="12"/>
        <v>#N/A</v>
      </c>
      <c r="T34" s="452"/>
      <c r="U34" s="185"/>
      <c r="V34" s="183"/>
      <c r="W34" s="183"/>
      <c r="X34" s="185" t="e">
        <f t="shared" si="13"/>
        <v>#N/A</v>
      </c>
      <c r="Y34" s="452"/>
      <c r="Z34" s="185"/>
      <c r="AA34" s="183"/>
      <c r="AB34" s="183"/>
      <c r="AC34" s="185" t="e">
        <f t="shared" si="14"/>
        <v>#N/A</v>
      </c>
      <c r="AD34" s="452"/>
      <c r="AE34" s="185"/>
      <c r="AF34" s="183"/>
      <c r="AG34" s="183"/>
      <c r="AH34" s="185" t="e">
        <f t="shared" si="15"/>
        <v>#N/A</v>
      </c>
      <c r="AI34" s="452"/>
      <c r="AJ34" s="185"/>
      <c r="AK34" s="183"/>
      <c r="AL34" s="183"/>
      <c r="AM34" s="185" t="e">
        <f t="shared" si="16"/>
        <v>#N/A</v>
      </c>
      <c r="AN34" s="452"/>
      <c r="AO34" s="185"/>
      <c r="AP34" s="183"/>
      <c r="AQ34" s="183"/>
      <c r="AR34" s="185" t="e">
        <f t="shared" si="17"/>
        <v>#N/A</v>
      </c>
      <c r="AS34" s="452"/>
      <c r="AT34" s="185"/>
      <c r="AU34" s="183"/>
      <c r="AV34" s="183"/>
      <c r="AW34" s="185" t="e">
        <f t="shared" si="18"/>
        <v>#N/A</v>
      </c>
      <c r="AX34" s="494"/>
    </row>
    <row r="35" spans="2:50">
      <c r="B35" s="471"/>
      <c r="C35" s="185">
        <v>9</v>
      </c>
      <c r="D35" s="206"/>
      <c r="E35" s="169"/>
      <c r="F35" s="185"/>
      <c r="G35" s="183"/>
      <c r="H35" s="452"/>
      <c r="I35" s="169"/>
      <c r="J35" s="169"/>
      <c r="K35" s="183"/>
      <c r="L35" s="452"/>
      <c r="M35" s="184" t="e">
        <f>RANK(K35, K$27:$K$41)</f>
        <v>#N/A</v>
      </c>
      <c r="N35" s="454"/>
      <c r="O35" s="454"/>
      <c r="P35" s="185"/>
      <c r="Q35" s="183"/>
      <c r="R35" s="183"/>
      <c r="S35" s="185" t="e">
        <f t="shared" si="12"/>
        <v>#N/A</v>
      </c>
      <c r="T35" s="452"/>
      <c r="U35" s="185"/>
      <c r="V35" s="183"/>
      <c r="W35" s="183"/>
      <c r="X35" s="185" t="e">
        <f t="shared" si="13"/>
        <v>#N/A</v>
      </c>
      <c r="Y35" s="452"/>
      <c r="Z35" s="185"/>
      <c r="AA35" s="183"/>
      <c r="AB35" s="183"/>
      <c r="AC35" s="185" t="e">
        <f t="shared" si="14"/>
        <v>#N/A</v>
      </c>
      <c r="AD35" s="452"/>
      <c r="AE35" s="185"/>
      <c r="AF35" s="183"/>
      <c r="AG35" s="183"/>
      <c r="AH35" s="185" t="e">
        <f t="shared" si="15"/>
        <v>#N/A</v>
      </c>
      <c r="AI35" s="452"/>
      <c r="AJ35" s="185"/>
      <c r="AK35" s="183"/>
      <c r="AL35" s="183"/>
      <c r="AM35" s="185" t="e">
        <f t="shared" si="16"/>
        <v>#N/A</v>
      </c>
      <c r="AN35" s="452"/>
      <c r="AO35" s="185"/>
      <c r="AP35" s="183"/>
      <c r="AQ35" s="183"/>
      <c r="AR35" s="185" t="e">
        <f t="shared" si="17"/>
        <v>#N/A</v>
      </c>
      <c r="AS35" s="452"/>
      <c r="AT35" s="185"/>
      <c r="AU35" s="183"/>
      <c r="AV35" s="183"/>
      <c r="AW35" s="185" t="e">
        <f t="shared" si="18"/>
        <v>#N/A</v>
      </c>
      <c r="AX35" s="494"/>
    </row>
    <row r="36" spans="2:50">
      <c r="B36" s="471"/>
      <c r="C36" s="185">
        <v>10</v>
      </c>
      <c r="D36" s="206"/>
      <c r="E36" s="169"/>
      <c r="F36" s="185"/>
      <c r="G36" s="183"/>
      <c r="H36" s="452"/>
      <c r="I36" s="169"/>
      <c r="J36" s="169"/>
      <c r="K36" s="183"/>
      <c r="L36" s="452"/>
      <c r="M36" s="184" t="e">
        <f>RANK(K36, K$27:$K$41)</f>
        <v>#N/A</v>
      </c>
      <c r="N36" s="454"/>
      <c r="O36" s="454"/>
      <c r="P36" s="185"/>
      <c r="Q36" s="185"/>
      <c r="R36" s="183"/>
      <c r="S36" s="185" t="e">
        <f t="shared" si="12"/>
        <v>#N/A</v>
      </c>
      <c r="T36" s="452"/>
      <c r="U36" s="185"/>
      <c r="V36" s="185"/>
      <c r="W36" s="183"/>
      <c r="X36" s="185" t="e">
        <f t="shared" si="13"/>
        <v>#N/A</v>
      </c>
      <c r="Y36" s="452"/>
      <c r="Z36" s="185"/>
      <c r="AA36" s="185"/>
      <c r="AB36" s="183"/>
      <c r="AC36" s="185" t="e">
        <f t="shared" si="14"/>
        <v>#N/A</v>
      </c>
      <c r="AD36" s="452"/>
      <c r="AE36" s="185"/>
      <c r="AF36" s="185"/>
      <c r="AG36" s="183"/>
      <c r="AH36" s="185" t="e">
        <f t="shared" si="15"/>
        <v>#N/A</v>
      </c>
      <c r="AI36" s="452"/>
      <c r="AJ36" s="185"/>
      <c r="AK36" s="185"/>
      <c r="AL36" s="183"/>
      <c r="AM36" s="185" t="e">
        <f t="shared" si="16"/>
        <v>#N/A</v>
      </c>
      <c r="AN36" s="452"/>
      <c r="AO36" s="185"/>
      <c r="AP36" s="185"/>
      <c r="AQ36" s="183"/>
      <c r="AR36" s="185" t="e">
        <f t="shared" si="17"/>
        <v>#N/A</v>
      </c>
      <c r="AS36" s="452"/>
      <c r="AT36" s="185"/>
      <c r="AU36" s="185"/>
      <c r="AV36" s="183"/>
      <c r="AW36" s="185" t="e">
        <f t="shared" si="18"/>
        <v>#N/A</v>
      </c>
      <c r="AX36" s="494"/>
    </row>
    <row r="37" spans="2:50">
      <c r="B37" s="471"/>
      <c r="C37" s="185">
        <v>11</v>
      </c>
      <c r="D37" s="206"/>
      <c r="E37" s="169"/>
      <c r="F37" s="185"/>
      <c r="G37" s="183"/>
      <c r="H37" s="452"/>
      <c r="I37" s="185"/>
      <c r="J37" s="185"/>
      <c r="K37" s="185"/>
      <c r="L37" s="452"/>
      <c r="M37" s="184" t="e">
        <f>RANK(K37, K$27:$K$41)</f>
        <v>#N/A</v>
      </c>
      <c r="N37" s="454"/>
      <c r="O37" s="454"/>
      <c r="P37" s="185"/>
      <c r="Q37" s="185"/>
      <c r="R37" s="185"/>
      <c r="S37" s="185" t="e">
        <f t="shared" si="12"/>
        <v>#N/A</v>
      </c>
      <c r="T37" s="452"/>
      <c r="U37" s="185"/>
      <c r="V37" s="185"/>
      <c r="W37" s="185"/>
      <c r="X37" s="185" t="e">
        <f t="shared" si="13"/>
        <v>#N/A</v>
      </c>
      <c r="Y37" s="452"/>
      <c r="Z37" s="185"/>
      <c r="AA37" s="185"/>
      <c r="AB37" s="185"/>
      <c r="AC37" s="185" t="e">
        <f t="shared" si="14"/>
        <v>#N/A</v>
      </c>
      <c r="AD37" s="452"/>
      <c r="AE37" s="185"/>
      <c r="AF37" s="185"/>
      <c r="AG37" s="185"/>
      <c r="AH37" s="185" t="e">
        <f t="shared" si="15"/>
        <v>#N/A</v>
      </c>
      <c r="AI37" s="452"/>
      <c r="AJ37" s="185"/>
      <c r="AK37" s="185"/>
      <c r="AL37" s="185"/>
      <c r="AM37" s="185" t="e">
        <f t="shared" si="16"/>
        <v>#N/A</v>
      </c>
      <c r="AN37" s="452"/>
      <c r="AO37" s="185"/>
      <c r="AP37" s="185"/>
      <c r="AQ37" s="185"/>
      <c r="AR37" s="185" t="e">
        <f t="shared" si="17"/>
        <v>#N/A</v>
      </c>
      <c r="AS37" s="452"/>
      <c r="AT37" s="185"/>
      <c r="AU37" s="185"/>
      <c r="AV37" s="185"/>
      <c r="AW37" s="185" t="e">
        <f t="shared" si="18"/>
        <v>#N/A</v>
      </c>
      <c r="AX37" s="494"/>
    </row>
    <row r="38" spans="2:50">
      <c r="B38" s="471"/>
      <c r="C38" s="185">
        <v>12</v>
      </c>
      <c r="D38" s="206"/>
      <c r="E38" s="169"/>
      <c r="F38" s="185"/>
      <c r="G38" s="183"/>
      <c r="H38" s="452"/>
      <c r="I38" s="185"/>
      <c r="J38" s="185"/>
      <c r="K38" s="185"/>
      <c r="L38" s="452"/>
      <c r="M38" s="184" t="e">
        <f>RANK(K38, K$27:$K$41)</f>
        <v>#N/A</v>
      </c>
      <c r="N38" s="454"/>
      <c r="O38" s="454"/>
      <c r="P38" s="185"/>
      <c r="Q38" s="185"/>
      <c r="R38" s="185"/>
      <c r="S38" s="185" t="e">
        <f t="shared" si="12"/>
        <v>#N/A</v>
      </c>
      <c r="T38" s="452"/>
      <c r="U38" s="185"/>
      <c r="V38" s="185"/>
      <c r="W38" s="185"/>
      <c r="X38" s="185" t="e">
        <f t="shared" si="13"/>
        <v>#N/A</v>
      </c>
      <c r="Y38" s="452"/>
      <c r="Z38" s="185"/>
      <c r="AA38" s="185"/>
      <c r="AB38" s="185"/>
      <c r="AC38" s="185" t="e">
        <f t="shared" si="14"/>
        <v>#N/A</v>
      </c>
      <c r="AD38" s="452"/>
      <c r="AE38" s="185"/>
      <c r="AF38" s="185"/>
      <c r="AG38" s="185"/>
      <c r="AH38" s="185" t="e">
        <f t="shared" si="15"/>
        <v>#N/A</v>
      </c>
      <c r="AI38" s="452"/>
      <c r="AJ38" s="185"/>
      <c r="AK38" s="185"/>
      <c r="AL38" s="185"/>
      <c r="AM38" s="185" t="e">
        <f t="shared" si="16"/>
        <v>#N/A</v>
      </c>
      <c r="AN38" s="452"/>
      <c r="AO38" s="185"/>
      <c r="AP38" s="185"/>
      <c r="AQ38" s="185"/>
      <c r="AR38" s="185" t="e">
        <f t="shared" si="17"/>
        <v>#N/A</v>
      </c>
      <c r="AS38" s="452"/>
      <c r="AT38" s="185"/>
      <c r="AU38" s="185"/>
      <c r="AV38" s="185"/>
      <c r="AW38" s="185" t="e">
        <f t="shared" si="18"/>
        <v>#N/A</v>
      </c>
      <c r="AX38" s="494"/>
    </row>
    <row r="39" spans="2:50">
      <c r="B39" s="471"/>
      <c r="C39" s="185">
        <v>13</v>
      </c>
      <c r="D39" s="206"/>
      <c r="E39" s="169"/>
      <c r="F39" s="185"/>
      <c r="G39" s="183"/>
      <c r="H39" s="452"/>
      <c r="I39" s="185"/>
      <c r="J39" s="185"/>
      <c r="K39" s="185"/>
      <c r="L39" s="452"/>
      <c r="M39" s="184" t="e">
        <f>RANK(K39, K$27:$K$41)</f>
        <v>#N/A</v>
      </c>
      <c r="N39" s="454"/>
      <c r="O39" s="454"/>
      <c r="P39" s="185"/>
      <c r="Q39" s="185"/>
      <c r="R39" s="185"/>
      <c r="S39" s="185" t="e">
        <f t="shared" si="12"/>
        <v>#N/A</v>
      </c>
      <c r="T39" s="452"/>
      <c r="U39" s="185"/>
      <c r="V39" s="185"/>
      <c r="W39" s="185"/>
      <c r="X39" s="185" t="e">
        <f t="shared" si="13"/>
        <v>#N/A</v>
      </c>
      <c r="Y39" s="452"/>
      <c r="Z39" s="185"/>
      <c r="AA39" s="185"/>
      <c r="AB39" s="185"/>
      <c r="AC39" s="185" t="e">
        <f t="shared" si="14"/>
        <v>#N/A</v>
      </c>
      <c r="AD39" s="452"/>
      <c r="AE39" s="185"/>
      <c r="AF39" s="185"/>
      <c r="AG39" s="185"/>
      <c r="AH39" s="185" t="e">
        <f t="shared" si="15"/>
        <v>#N/A</v>
      </c>
      <c r="AI39" s="452"/>
      <c r="AJ39" s="185"/>
      <c r="AK39" s="185"/>
      <c r="AL39" s="185"/>
      <c r="AM39" s="185" t="e">
        <f t="shared" si="16"/>
        <v>#N/A</v>
      </c>
      <c r="AN39" s="452"/>
      <c r="AO39" s="185"/>
      <c r="AP39" s="185"/>
      <c r="AQ39" s="185"/>
      <c r="AR39" s="185" t="e">
        <f t="shared" si="17"/>
        <v>#N/A</v>
      </c>
      <c r="AS39" s="452"/>
      <c r="AT39" s="185"/>
      <c r="AU39" s="185"/>
      <c r="AV39" s="185"/>
      <c r="AW39" s="185" t="e">
        <f t="shared" si="18"/>
        <v>#N/A</v>
      </c>
      <c r="AX39" s="494"/>
    </row>
    <row r="40" spans="2:50">
      <c r="B40" s="471"/>
      <c r="C40" s="185">
        <v>14</v>
      </c>
      <c r="D40" s="206"/>
      <c r="E40" s="169"/>
      <c r="F40" s="185"/>
      <c r="G40" s="183"/>
      <c r="H40" s="452"/>
      <c r="I40" s="185"/>
      <c r="J40" s="185"/>
      <c r="K40" s="185"/>
      <c r="L40" s="452"/>
      <c r="M40" s="184" t="e">
        <f>RANK(K40, K$27:$K$41)</f>
        <v>#N/A</v>
      </c>
      <c r="N40" s="454"/>
      <c r="O40" s="454"/>
      <c r="P40" s="185"/>
      <c r="Q40" s="185"/>
      <c r="R40" s="185"/>
      <c r="S40" s="185" t="e">
        <f t="shared" si="12"/>
        <v>#N/A</v>
      </c>
      <c r="T40" s="452"/>
      <c r="U40" s="185"/>
      <c r="V40" s="185"/>
      <c r="W40" s="185"/>
      <c r="X40" s="185" t="e">
        <f t="shared" si="13"/>
        <v>#N/A</v>
      </c>
      <c r="Y40" s="452"/>
      <c r="Z40" s="185"/>
      <c r="AA40" s="185"/>
      <c r="AB40" s="185"/>
      <c r="AC40" s="185" t="e">
        <f t="shared" si="14"/>
        <v>#N/A</v>
      </c>
      <c r="AD40" s="452"/>
      <c r="AE40" s="185"/>
      <c r="AF40" s="185"/>
      <c r="AG40" s="185"/>
      <c r="AH40" s="185" t="e">
        <f t="shared" si="15"/>
        <v>#N/A</v>
      </c>
      <c r="AI40" s="452"/>
      <c r="AJ40" s="185"/>
      <c r="AK40" s="185"/>
      <c r="AL40" s="185"/>
      <c r="AM40" s="185" t="e">
        <f t="shared" si="16"/>
        <v>#N/A</v>
      </c>
      <c r="AN40" s="452"/>
      <c r="AO40" s="185"/>
      <c r="AP40" s="185"/>
      <c r="AQ40" s="185"/>
      <c r="AR40" s="185" t="e">
        <f t="shared" si="17"/>
        <v>#N/A</v>
      </c>
      <c r="AS40" s="452"/>
      <c r="AT40" s="185"/>
      <c r="AU40" s="185"/>
      <c r="AV40" s="185"/>
      <c r="AW40" s="185" t="e">
        <f t="shared" si="18"/>
        <v>#N/A</v>
      </c>
      <c r="AX40" s="494"/>
    </row>
    <row r="41" spans="2:50">
      <c r="B41" s="471"/>
      <c r="C41" s="185">
        <v>15</v>
      </c>
      <c r="D41" s="206"/>
      <c r="E41" s="169"/>
      <c r="F41" s="185"/>
      <c r="G41" s="183"/>
      <c r="H41" s="453"/>
      <c r="I41" s="185"/>
      <c r="J41" s="185"/>
      <c r="K41" s="185"/>
      <c r="L41" s="453"/>
      <c r="M41" s="169" t="e">
        <f>RANK(K41, K$27:$K$41)</f>
        <v>#N/A</v>
      </c>
      <c r="N41" s="454"/>
      <c r="O41" s="454"/>
      <c r="P41" s="185"/>
      <c r="Q41" s="185"/>
      <c r="R41" s="185"/>
      <c r="S41" s="185" t="e">
        <f t="shared" si="12"/>
        <v>#N/A</v>
      </c>
      <c r="T41" s="453"/>
      <c r="U41" s="185"/>
      <c r="V41" s="185"/>
      <c r="W41" s="185"/>
      <c r="X41" s="185" t="e">
        <f t="shared" si="13"/>
        <v>#N/A</v>
      </c>
      <c r="Y41" s="453"/>
      <c r="Z41" s="185"/>
      <c r="AA41" s="185"/>
      <c r="AB41" s="185"/>
      <c r="AC41" s="185" t="e">
        <f t="shared" si="14"/>
        <v>#N/A</v>
      </c>
      <c r="AD41" s="453"/>
      <c r="AE41" s="185"/>
      <c r="AF41" s="185"/>
      <c r="AG41" s="185"/>
      <c r="AH41" s="185" t="e">
        <f t="shared" si="15"/>
        <v>#N/A</v>
      </c>
      <c r="AI41" s="453"/>
      <c r="AJ41" s="185"/>
      <c r="AK41" s="185"/>
      <c r="AL41" s="185"/>
      <c r="AM41" s="185" t="e">
        <f t="shared" si="16"/>
        <v>#N/A</v>
      </c>
      <c r="AN41" s="453"/>
      <c r="AO41" s="185"/>
      <c r="AP41" s="185"/>
      <c r="AQ41" s="185"/>
      <c r="AR41" s="185" t="e">
        <f t="shared" si="17"/>
        <v>#N/A</v>
      </c>
      <c r="AS41" s="453"/>
      <c r="AT41" s="185"/>
      <c r="AU41" s="185"/>
      <c r="AV41" s="185"/>
      <c r="AW41" s="185" t="e">
        <f t="shared" si="18"/>
        <v>#N/A</v>
      </c>
      <c r="AX41" s="494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54" t="s">
        <v>323</v>
      </c>
      <c r="C47" s="185">
        <v>1</v>
      </c>
      <c r="D47" s="206"/>
      <c r="E47" s="169"/>
      <c r="F47" s="185"/>
      <c r="G47" s="183"/>
      <c r="H47" s="451" t="e">
        <f>AVERAGE(G47:G61)</f>
        <v>#DIV/0!</v>
      </c>
      <c r="I47" s="169" t="e">
        <f t="shared" ref="I47:K50" si="22">AVERAGE(P47,U47,Z47,AE47,AJ47,AO47,AT47)</f>
        <v>#DIV/0!</v>
      </c>
      <c r="J47" s="169" t="e">
        <f t="shared" si="22"/>
        <v>#DIV/0!</v>
      </c>
      <c r="K47" s="183" t="e">
        <f t="shared" si="22"/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83"/>
      <c r="R47" s="183"/>
      <c r="S47" s="185" t="e">
        <f>RANK(R47, R$47:R$61)</f>
        <v>#N/A</v>
      </c>
      <c r="T47" s="451" t="e">
        <f>AVERAGE(R47:R61)</f>
        <v>#DIV/0!</v>
      </c>
      <c r="U47" s="169"/>
      <c r="V47" s="183"/>
      <c r="W47" s="183"/>
      <c r="X47" s="185" t="e">
        <f>RANK(W47, W$47:W$61)</f>
        <v>#N/A</v>
      </c>
      <c r="Y47" s="451" t="e">
        <f>AVERAGE(W47:W61)</f>
        <v>#DIV/0!</v>
      </c>
      <c r="Z47" s="169"/>
      <c r="AA47" s="183"/>
      <c r="AB47" s="183"/>
      <c r="AC47" s="185" t="e">
        <f>RANK(AB47, AB$47:AB$61)</f>
        <v>#N/A</v>
      </c>
      <c r="AD47" s="451" t="e">
        <f>AVERAGE(AB47:AB61)</f>
        <v>#DIV/0!</v>
      </c>
      <c r="AE47" s="169"/>
      <c r="AF47" s="183"/>
      <c r="AG47" s="183"/>
      <c r="AH47" s="185" t="e">
        <f>RANK(AG47, AG$47:AG$61)</f>
        <v>#N/A</v>
      </c>
      <c r="AI47" s="451" t="e">
        <f>AVERAGE(AG47:AG61)</f>
        <v>#DIV/0!</v>
      </c>
      <c r="AJ47" s="169"/>
      <c r="AK47" s="183"/>
      <c r="AL47" s="183"/>
      <c r="AM47" s="185" t="e">
        <f>RANK(AL47, AL$47:AL$61)</f>
        <v>#N/A</v>
      </c>
      <c r="AN47" s="451" t="e">
        <f>AVERAGE(AL47:AL61)</f>
        <v>#DIV/0!</v>
      </c>
      <c r="AO47" s="169"/>
      <c r="AP47" s="183"/>
      <c r="AQ47" s="183"/>
      <c r="AR47" s="185" t="e">
        <f>RANK(AQ47, AQ$47:AQ$61)</f>
        <v>#N/A</v>
      </c>
      <c r="AS47" s="451" t="e">
        <f>AVERAGE(AQ47:AQ61)</f>
        <v>#DIV/0!</v>
      </c>
      <c r="AT47" s="169"/>
      <c r="AU47" s="183"/>
      <c r="AV47" s="183"/>
      <c r="AW47" s="185" t="e">
        <f>RANK(AV47, AV$47:AV$61)</f>
        <v>#N/A</v>
      </c>
      <c r="AX47" s="494" t="e">
        <f>AVERAGE(AV47:AV61)</f>
        <v>#DIV/0!</v>
      </c>
    </row>
    <row r="48" spans="2:50">
      <c r="B48" s="471"/>
      <c r="C48" s="185">
        <v>2</v>
      </c>
      <c r="D48" s="206"/>
      <c r="E48" s="169"/>
      <c r="F48" s="185"/>
      <c r="G48" s="183"/>
      <c r="H48" s="452"/>
      <c r="I48" s="169" t="e">
        <f t="shared" si="22"/>
        <v>#DIV/0!</v>
      </c>
      <c r="J48" s="169" t="e">
        <f t="shared" si="22"/>
        <v>#DIV/0!</v>
      </c>
      <c r="K48" s="183" t="e">
        <f t="shared" si="22"/>
        <v>#DIV/0!</v>
      </c>
      <c r="L48" s="452"/>
      <c r="M48" s="184" t="e">
        <f>RANK(K48, K$47:$K$61)</f>
        <v>#DIV/0!</v>
      </c>
      <c r="N48" s="454"/>
      <c r="O48" s="454"/>
      <c r="P48" s="185"/>
      <c r="Q48" s="183"/>
      <c r="R48" s="183"/>
      <c r="S48" s="185" t="e">
        <f t="shared" ref="S48:S61" si="23">RANK(R48, R$47:R$61)</f>
        <v>#N/A</v>
      </c>
      <c r="T48" s="452"/>
      <c r="U48" s="185"/>
      <c r="V48" s="183"/>
      <c r="W48" s="183"/>
      <c r="X48" s="185" t="e">
        <f t="shared" ref="X48:X61" si="24">RANK(W48, W$47:W$61)</f>
        <v>#N/A</v>
      </c>
      <c r="Y48" s="452"/>
      <c r="Z48" s="185"/>
      <c r="AA48" s="183"/>
      <c r="AB48" s="183"/>
      <c r="AC48" s="185" t="e">
        <f t="shared" ref="AC48:AC61" si="25">RANK(AB48, AB$47:AB$61)</f>
        <v>#N/A</v>
      </c>
      <c r="AD48" s="452"/>
      <c r="AE48" s="185"/>
      <c r="AF48" s="183"/>
      <c r="AG48" s="183"/>
      <c r="AH48" s="185" t="e">
        <f t="shared" ref="AH48:AH61" si="26">RANK(AG48, AG$47:AG$61)</f>
        <v>#N/A</v>
      </c>
      <c r="AI48" s="452"/>
      <c r="AJ48" s="185"/>
      <c r="AK48" s="183"/>
      <c r="AL48" s="183"/>
      <c r="AM48" s="185" t="e">
        <f t="shared" ref="AM48:AM61" si="27">RANK(AL48, AL$47:AL$61)</f>
        <v>#N/A</v>
      </c>
      <c r="AN48" s="452"/>
      <c r="AO48" s="185"/>
      <c r="AP48" s="183"/>
      <c r="AQ48" s="183"/>
      <c r="AR48" s="185" t="e">
        <f t="shared" ref="AR48:AR61" si="28">RANK(AQ48, AQ$47:AQ$61)</f>
        <v>#N/A</v>
      </c>
      <c r="AS48" s="452"/>
      <c r="AT48" s="185"/>
      <c r="AU48" s="183"/>
      <c r="AV48" s="183"/>
      <c r="AW48" s="185" t="e">
        <f t="shared" ref="AW48:AW61" si="29">RANK(AV48, AV$47:AV$61)</f>
        <v>#N/A</v>
      </c>
      <c r="AX48" s="494"/>
    </row>
    <row r="49" spans="2:50">
      <c r="B49" s="471"/>
      <c r="C49" s="185">
        <v>3</v>
      </c>
      <c r="D49" s="206"/>
      <c r="E49" s="169"/>
      <c r="F49" s="185"/>
      <c r="G49" s="183"/>
      <c r="H49" s="452"/>
      <c r="I49" s="169" t="e">
        <f t="shared" si="22"/>
        <v>#DIV/0!</v>
      </c>
      <c r="J49" s="169" t="e">
        <f t="shared" si="22"/>
        <v>#DIV/0!</v>
      </c>
      <c r="K49" s="183" t="e">
        <f t="shared" si="22"/>
        <v>#DIV/0!</v>
      </c>
      <c r="L49" s="452"/>
      <c r="M49" s="184" t="e">
        <f>RANK(K49, K$47:$K$61)</f>
        <v>#DIV/0!</v>
      </c>
      <c r="N49" s="454"/>
      <c r="O49" s="454"/>
      <c r="P49" s="185"/>
      <c r="Q49" s="183"/>
      <c r="R49" s="183"/>
      <c r="S49" s="185" t="e">
        <f t="shared" si="23"/>
        <v>#N/A</v>
      </c>
      <c r="T49" s="452"/>
      <c r="U49" s="185"/>
      <c r="V49" s="183"/>
      <c r="W49" s="183"/>
      <c r="X49" s="185" t="e">
        <f t="shared" si="24"/>
        <v>#N/A</v>
      </c>
      <c r="Y49" s="452"/>
      <c r="Z49" s="185"/>
      <c r="AA49" s="183"/>
      <c r="AB49" s="183"/>
      <c r="AC49" s="185" t="e">
        <f t="shared" si="25"/>
        <v>#N/A</v>
      </c>
      <c r="AD49" s="452"/>
      <c r="AE49" s="185"/>
      <c r="AF49" s="183"/>
      <c r="AG49" s="183"/>
      <c r="AH49" s="185" t="e">
        <f t="shared" si="26"/>
        <v>#N/A</v>
      </c>
      <c r="AI49" s="452"/>
      <c r="AJ49" s="185"/>
      <c r="AK49" s="183"/>
      <c r="AL49" s="183"/>
      <c r="AM49" s="185" t="e">
        <f t="shared" si="27"/>
        <v>#N/A</v>
      </c>
      <c r="AN49" s="452"/>
      <c r="AO49" s="185"/>
      <c r="AP49" s="183"/>
      <c r="AQ49" s="183"/>
      <c r="AR49" s="185" t="e">
        <f t="shared" si="28"/>
        <v>#N/A</v>
      </c>
      <c r="AS49" s="452"/>
      <c r="AT49" s="185"/>
      <c r="AU49" s="183"/>
      <c r="AV49" s="183"/>
      <c r="AW49" s="185" t="e">
        <f t="shared" si="29"/>
        <v>#N/A</v>
      </c>
      <c r="AX49" s="494"/>
    </row>
    <row r="50" spans="2:50">
      <c r="B50" s="471"/>
      <c r="C50" s="185">
        <v>4</v>
      </c>
      <c r="D50" s="206"/>
      <c r="E50" s="169"/>
      <c r="F50" s="185"/>
      <c r="G50" s="183"/>
      <c r="H50" s="452"/>
      <c r="I50" s="169" t="e">
        <f t="shared" si="22"/>
        <v>#DIV/0!</v>
      </c>
      <c r="J50" s="169" t="e">
        <f t="shared" si="22"/>
        <v>#DIV/0!</v>
      </c>
      <c r="K50" s="183" t="e">
        <f t="shared" si="22"/>
        <v>#DIV/0!</v>
      </c>
      <c r="L50" s="452"/>
      <c r="M50" s="184" t="e">
        <f>RANK(K50, K$47:$K$61)</f>
        <v>#DIV/0!</v>
      </c>
      <c r="N50" s="454"/>
      <c r="O50" s="454"/>
      <c r="P50" s="185"/>
      <c r="Q50" s="183"/>
      <c r="R50" s="183"/>
      <c r="S50" s="185" t="e">
        <f t="shared" si="23"/>
        <v>#N/A</v>
      </c>
      <c r="T50" s="452"/>
      <c r="U50" s="185"/>
      <c r="V50" s="183"/>
      <c r="W50" s="183"/>
      <c r="X50" s="185" t="e">
        <f t="shared" si="24"/>
        <v>#N/A</v>
      </c>
      <c r="Y50" s="452"/>
      <c r="Z50" s="185"/>
      <c r="AA50" s="183"/>
      <c r="AB50" s="183"/>
      <c r="AC50" s="185" t="e">
        <f t="shared" si="25"/>
        <v>#N/A</v>
      </c>
      <c r="AD50" s="452"/>
      <c r="AE50" s="185"/>
      <c r="AF50" s="183"/>
      <c r="AG50" s="183"/>
      <c r="AH50" s="185" t="e">
        <f t="shared" si="26"/>
        <v>#N/A</v>
      </c>
      <c r="AI50" s="452"/>
      <c r="AJ50" s="185"/>
      <c r="AK50" s="183"/>
      <c r="AL50" s="183"/>
      <c r="AM50" s="185" t="e">
        <f t="shared" si="27"/>
        <v>#N/A</v>
      </c>
      <c r="AN50" s="452"/>
      <c r="AO50" s="185"/>
      <c r="AP50" s="183"/>
      <c r="AQ50" s="183"/>
      <c r="AR50" s="185" t="e">
        <f t="shared" si="28"/>
        <v>#N/A</v>
      </c>
      <c r="AS50" s="452"/>
      <c r="AT50" s="185"/>
      <c r="AU50" s="183"/>
      <c r="AV50" s="183"/>
      <c r="AW50" s="185" t="e">
        <f t="shared" si="29"/>
        <v>#N/A</v>
      </c>
      <c r="AX50" s="494"/>
    </row>
    <row r="51" spans="2:50">
      <c r="B51" s="471"/>
      <c r="C51" s="185">
        <v>5</v>
      </c>
      <c r="D51" s="206"/>
      <c r="E51" s="169"/>
      <c r="F51" s="185"/>
      <c r="G51" s="183"/>
      <c r="H51" s="452"/>
      <c r="I51" s="169"/>
      <c r="J51" s="169"/>
      <c r="K51" s="183"/>
      <c r="L51" s="452"/>
      <c r="M51" s="184" t="e">
        <f>RANK(K51, K$47:$K$61)</f>
        <v>#DIV/0!</v>
      </c>
      <c r="N51" s="454"/>
      <c r="O51" s="454"/>
      <c r="P51" s="185"/>
      <c r="Q51" s="183"/>
      <c r="R51" s="183"/>
      <c r="S51" s="185" t="e">
        <f t="shared" si="23"/>
        <v>#N/A</v>
      </c>
      <c r="T51" s="452"/>
      <c r="U51" s="185"/>
      <c r="V51" s="183"/>
      <c r="W51" s="183"/>
      <c r="X51" s="185" t="e">
        <f t="shared" si="24"/>
        <v>#N/A</v>
      </c>
      <c r="Y51" s="452"/>
      <c r="Z51" s="185"/>
      <c r="AA51" s="183"/>
      <c r="AB51" s="183"/>
      <c r="AC51" s="185" t="e">
        <f t="shared" si="25"/>
        <v>#N/A</v>
      </c>
      <c r="AD51" s="452"/>
      <c r="AE51" s="185"/>
      <c r="AF51" s="183"/>
      <c r="AG51" s="183"/>
      <c r="AH51" s="185" t="e">
        <f t="shared" si="26"/>
        <v>#N/A</v>
      </c>
      <c r="AI51" s="452"/>
      <c r="AJ51" s="185"/>
      <c r="AK51" s="183"/>
      <c r="AL51" s="183"/>
      <c r="AM51" s="185" t="e">
        <f t="shared" si="27"/>
        <v>#N/A</v>
      </c>
      <c r="AN51" s="452"/>
      <c r="AO51" s="185"/>
      <c r="AP51" s="183"/>
      <c r="AQ51" s="183"/>
      <c r="AR51" s="185" t="e">
        <f t="shared" si="28"/>
        <v>#N/A</v>
      </c>
      <c r="AS51" s="452"/>
      <c r="AT51" s="185"/>
      <c r="AU51" s="183"/>
      <c r="AV51" s="183"/>
      <c r="AW51" s="185" t="e">
        <f t="shared" si="29"/>
        <v>#N/A</v>
      </c>
      <c r="AX51" s="494"/>
    </row>
    <row r="52" spans="2:50">
      <c r="B52" s="471"/>
      <c r="C52" s="185">
        <v>6</v>
      </c>
      <c r="D52" s="206"/>
      <c r="E52" s="169"/>
      <c r="F52" s="185"/>
      <c r="G52" s="183"/>
      <c r="H52" s="452"/>
      <c r="I52" s="169"/>
      <c r="J52" s="169"/>
      <c r="K52" s="183"/>
      <c r="L52" s="452"/>
      <c r="M52" s="184" t="e">
        <f>RANK(K52, K$47:$K$61)</f>
        <v>#DIV/0!</v>
      </c>
      <c r="N52" s="454"/>
      <c r="O52" s="454"/>
      <c r="P52" s="185"/>
      <c r="Q52" s="183"/>
      <c r="R52" s="183"/>
      <c r="S52" s="185" t="e">
        <f t="shared" si="23"/>
        <v>#N/A</v>
      </c>
      <c r="T52" s="452"/>
      <c r="U52" s="185"/>
      <c r="V52" s="183"/>
      <c r="W52" s="183"/>
      <c r="X52" s="185" t="e">
        <f t="shared" si="24"/>
        <v>#N/A</v>
      </c>
      <c r="Y52" s="452"/>
      <c r="Z52" s="185"/>
      <c r="AA52" s="183"/>
      <c r="AB52" s="183"/>
      <c r="AC52" s="185" t="e">
        <f t="shared" si="25"/>
        <v>#N/A</v>
      </c>
      <c r="AD52" s="452"/>
      <c r="AE52" s="185"/>
      <c r="AF52" s="183"/>
      <c r="AG52" s="183"/>
      <c r="AH52" s="185" t="e">
        <f t="shared" si="26"/>
        <v>#N/A</v>
      </c>
      <c r="AI52" s="452"/>
      <c r="AJ52" s="185"/>
      <c r="AK52" s="183"/>
      <c r="AL52" s="183"/>
      <c r="AM52" s="185" t="e">
        <f t="shared" si="27"/>
        <v>#N/A</v>
      </c>
      <c r="AN52" s="452"/>
      <c r="AO52" s="185"/>
      <c r="AP52" s="183"/>
      <c r="AQ52" s="183"/>
      <c r="AR52" s="185" t="e">
        <f t="shared" si="28"/>
        <v>#N/A</v>
      </c>
      <c r="AS52" s="452"/>
      <c r="AT52" s="185"/>
      <c r="AU52" s="183"/>
      <c r="AV52" s="183"/>
      <c r="AW52" s="185" t="e">
        <f t="shared" si="29"/>
        <v>#N/A</v>
      </c>
      <c r="AX52" s="494"/>
    </row>
    <row r="53" spans="2:50">
      <c r="B53" s="471"/>
      <c r="C53" s="185">
        <v>7</v>
      </c>
      <c r="D53" s="206"/>
      <c r="E53" s="169"/>
      <c r="F53" s="185"/>
      <c r="G53" s="183"/>
      <c r="H53" s="452"/>
      <c r="I53" s="169"/>
      <c r="J53" s="169"/>
      <c r="K53" s="183"/>
      <c r="L53" s="452"/>
      <c r="M53" s="184" t="e">
        <f>RANK(K53, K$47:$K$61)</f>
        <v>#DIV/0!</v>
      </c>
      <c r="N53" s="454"/>
      <c r="O53" s="454"/>
      <c r="P53" s="185"/>
      <c r="Q53" s="183"/>
      <c r="R53" s="183"/>
      <c r="S53" s="185" t="e">
        <f t="shared" si="23"/>
        <v>#N/A</v>
      </c>
      <c r="T53" s="452"/>
      <c r="U53" s="185"/>
      <c r="V53" s="183"/>
      <c r="W53" s="183"/>
      <c r="X53" s="185" t="e">
        <f t="shared" si="24"/>
        <v>#N/A</v>
      </c>
      <c r="Y53" s="452"/>
      <c r="Z53" s="185"/>
      <c r="AA53" s="183"/>
      <c r="AB53" s="183"/>
      <c r="AC53" s="185" t="e">
        <f t="shared" si="25"/>
        <v>#N/A</v>
      </c>
      <c r="AD53" s="452"/>
      <c r="AE53" s="185"/>
      <c r="AF53" s="183"/>
      <c r="AG53" s="183"/>
      <c r="AH53" s="185" t="e">
        <f t="shared" si="26"/>
        <v>#N/A</v>
      </c>
      <c r="AI53" s="452"/>
      <c r="AJ53" s="185"/>
      <c r="AK53" s="183"/>
      <c r="AL53" s="183"/>
      <c r="AM53" s="185" t="e">
        <f t="shared" si="27"/>
        <v>#N/A</v>
      </c>
      <c r="AN53" s="452"/>
      <c r="AO53" s="185"/>
      <c r="AP53" s="183"/>
      <c r="AQ53" s="183"/>
      <c r="AR53" s="185" t="e">
        <f t="shared" si="28"/>
        <v>#N/A</v>
      </c>
      <c r="AS53" s="452"/>
      <c r="AT53" s="185"/>
      <c r="AU53" s="183"/>
      <c r="AV53" s="183"/>
      <c r="AW53" s="185" t="e">
        <f t="shared" si="29"/>
        <v>#N/A</v>
      </c>
      <c r="AX53" s="494"/>
    </row>
    <row r="54" spans="2:50">
      <c r="B54" s="471"/>
      <c r="C54" s="185">
        <v>8</v>
      </c>
      <c r="D54" s="206"/>
      <c r="E54" s="169"/>
      <c r="F54" s="185"/>
      <c r="G54" s="183"/>
      <c r="H54" s="452"/>
      <c r="I54" s="169"/>
      <c r="J54" s="169"/>
      <c r="K54" s="183"/>
      <c r="L54" s="452"/>
      <c r="M54" s="184" t="e">
        <f>RANK(K54, K$47:$K$61)</f>
        <v>#DIV/0!</v>
      </c>
      <c r="N54" s="454"/>
      <c r="O54" s="454"/>
      <c r="P54" s="185"/>
      <c r="Q54" s="183"/>
      <c r="R54" s="183"/>
      <c r="S54" s="185" t="e">
        <f t="shared" si="23"/>
        <v>#N/A</v>
      </c>
      <c r="T54" s="452"/>
      <c r="U54" s="185"/>
      <c r="V54" s="183"/>
      <c r="W54" s="183"/>
      <c r="X54" s="185" t="e">
        <f t="shared" si="24"/>
        <v>#N/A</v>
      </c>
      <c r="Y54" s="452"/>
      <c r="Z54" s="185"/>
      <c r="AA54" s="183"/>
      <c r="AB54" s="183"/>
      <c r="AC54" s="185" t="e">
        <f t="shared" si="25"/>
        <v>#N/A</v>
      </c>
      <c r="AD54" s="452"/>
      <c r="AE54" s="185"/>
      <c r="AF54" s="183"/>
      <c r="AG54" s="183"/>
      <c r="AH54" s="185" t="e">
        <f t="shared" si="26"/>
        <v>#N/A</v>
      </c>
      <c r="AI54" s="452"/>
      <c r="AJ54" s="185"/>
      <c r="AK54" s="183"/>
      <c r="AL54" s="183"/>
      <c r="AM54" s="185" t="e">
        <f t="shared" si="27"/>
        <v>#N/A</v>
      </c>
      <c r="AN54" s="452"/>
      <c r="AO54" s="185"/>
      <c r="AP54" s="183"/>
      <c r="AQ54" s="183"/>
      <c r="AR54" s="185" t="e">
        <f t="shared" si="28"/>
        <v>#N/A</v>
      </c>
      <c r="AS54" s="452"/>
      <c r="AT54" s="185"/>
      <c r="AU54" s="183"/>
      <c r="AV54" s="183"/>
      <c r="AW54" s="185" t="e">
        <f t="shared" si="29"/>
        <v>#N/A</v>
      </c>
      <c r="AX54" s="494"/>
    </row>
    <row r="55" spans="2:50">
      <c r="B55" s="471"/>
      <c r="C55" s="185">
        <v>9</v>
      </c>
      <c r="D55" s="206"/>
      <c r="E55" s="169"/>
      <c r="F55" s="185"/>
      <c r="G55" s="183"/>
      <c r="H55" s="452"/>
      <c r="I55" s="169"/>
      <c r="J55" s="169"/>
      <c r="K55" s="183"/>
      <c r="L55" s="452"/>
      <c r="M55" s="184" t="e">
        <f>RANK(K55, K$47:$K$61)</f>
        <v>#DIV/0!</v>
      </c>
      <c r="N55" s="454"/>
      <c r="O55" s="454"/>
      <c r="P55" s="185"/>
      <c r="Q55" s="183"/>
      <c r="R55" s="183"/>
      <c r="S55" s="185" t="e">
        <f t="shared" si="23"/>
        <v>#N/A</v>
      </c>
      <c r="T55" s="452"/>
      <c r="U55" s="185"/>
      <c r="V55" s="183"/>
      <c r="W55" s="183"/>
      <c r="X55" s="185" t="e">
        <f t="shared" si="24"/>
        <v>#N/A</v>
      </c>
      <c r="Y55" s="452"/>
      <c r="Z55" s="185"/>
      <c r="AA55" s="183"/>
      <c r="AB55" s="183"/>
      <c r="AC55" s="185" t="e">
        <f t="shared" si="25"/>
        <v>#N/A</v>
      </c>
      <c r="AD55" s="452"/>
      <c r="AE55" s="185"/>
      <c r="AF55" s="183"/>
      <c r="AG55" s="183"/>
      <c r="AH55" s="185" t="e">
        <f t="shared" si="26"/>
        <v>#N/A</v>
      </c>
      <c r="AI55" s="452"/>
      <c r="AJ55" s="185"/>
      <c r="AK55" s="183"/>
      <c r="AL55" s="183"/>
      <c r="AM55" s="185" t="e">
        <f t="shared" si="27"/>
        <v>#N/A</v>
      </c>
      <c r="AN55" s="452"/>
      <c r="AO55" s="185"/>
      <c r="AP55" s="183"/>
      <c r="AQ55" s="183"/>
      <c r="AR55" s="185" t="e">
        <f t="shared" si="28"/>
        <v>#N/A</v>
      </c>
      <c r="AS55" s="452"/>
      <c r="AT55" s="185"/>
      <c r="AU55" s="183"/>
      <c r="AV55" s="183"/>
      <c r="AW55" s="185" t="e">
        <f t="shared" si="29"/>
        <v>#N/A</v>
      </c>
      <c r="AX55" s="494"/>
    </row>
    <row r="56" spans="2:50">
      <c r="B56" s="471"/>
      <c r="C56" s="185">
        <v>10</v>
      </c>
      <c r="D56" s="206"/>
      <c r="E56" s="169"/>
      <c r="F56" s="185"/>
      <c r="G56" s="183"/>
      <c r="H56" s="452"/>
      <c r="I56" s="169"/>
      <c r="J56" s="169"/>
      <c r="K56" s="183"/>
      <c r="L56" s="452"/>
      <c r="M56" s="184" t="e">
        <f>RANK(K56, K$47:$K$61)</f>
        <v>#DIV/0!</v>
      </c>
      <c r="N56" s="454"/>
      <c r="O56" s="454"/>
      <c r="P56" s="185"/>
      <c r="Q56" s="185"/>
      <c r="R56" s="183"/>
      <c r="S56" s="185" t="e">
        <f t="shared" si="23"/>
        <v>#N/A</v>
      </c>
      <c r="T56" s="452"/>
      <c r="U56" s="185"/>
      <c r="V56" s="185"/>
      <c r="W56" s="183"/>
      <c r="X56" s="185" t="e">
        <f t="shared" si="24"/>
        <v>#N/A</v>
      </c>
      <c r="Y56" s="452"/>
      <c r="Z56" s="185"/>
      <c r="AA56" s="185"/>
      <c r="AB56" s="183"/>
      <c r="AC56" s="185" t="e">
        <f t="shared" si="25"/>
        <v>#N/A</v>
      </c>
      <c r="AD56" s="452"/>
      <c r="AE56" s="185"/>
      <c r="AF56" s="185"/>
      <c r="AG56" s="183"/>
      <c r="AH56" s="185" t="e">
        <f t="shared" si="26"/>
        <v>#N/A</v>
      </c>
      <c r="AI56" s="452"/>
      <c r="AJ56" s="185"/>
      <c r="AK56" s="185"/>
      <c r="AL56" s="183"/>
      <c r="AM56" s="185" t="e">
        <f t="shared" si="27"/>
        <v>#N/A</v>
      </c>
      <c r="AN56" s="452"/>
      <c r="AO56" s="185"/>
      <c r="AP56" s="185"/>
      <c r="AQ56" s="183"/>
      <c r="AR56" s="185" t="e">
        <f t="shared" si="28"/>
        <v>#N/A</v>
      </c>
      <c r="AS56" s="452"/>
      <c r="AT56" s="185"/>
      <c r="AU56" s="185"/>
      <c r="AV56" s="183"/>
      <c r="AW56" s="185" t="e">
        <f t="shared" si="29"/>
        <v>#N/A</v>
      </c>
      <c r="AX56" s="494"/>
    </row>
    <row r="57" spans="2:50">
      <c r="B57" s="471"/>
      <c r="C57" s="185">
        <v>11</v>
      </c>
      <c r="D57" s="206"/>
      <c r="E57" s="169"/>
      <c r="F57" s="185"/>
      <c r="G57" s="183"/>
      <c r="H57" s="452"/>
      <c r="I57" s="185"/>
      <c r="J57" s="185"/>
      <c r="K57" s="185"/>
      <c r="L57" s="452"/>
      <c r="M57" s="184" t="e">
        <f>RANK(K57, K$47:$K$61)</f>
        <v>#DIV/0!</v>
      </c>
      <c r="N57" s="454"/>
      <c r="O57" s="454"/>
      <c r="P57" s="185"/>
      <c r="Q57" s="185"/>
      <c r="R57" s="185"/>
      <c r="S57" s="185" t="e">
        <f t="shared" si="23"/>
        <v>#N/A</v>
      </c>
      <c r="T57" s="452"/>
      <c r="U57" s="185"/>
      <c r="V57" s="185"/>
      <c r="W57" s="185"/>
      <c r="X57" s="185" t="e">
        <f t="shared" si="24"/>
        <v>#N/A</v>
      </c>
      <c r="Y57" s="452"/>
      <c r="Z57" s="185"/>
      <c r="AA57" s="185"/>
      <c r="AB57" s="185"/>
      <c r="AC57" s="185" t="e">
        <f t="shared" si="25"/>
        <v>#N/A</v>
      </c>
      <c r="AD57" s="452"/>
      <c r="AE57" s="185"/>
      <c r="AF57" s="185"/>
      <c r="AG57" s="185"/>
      <c r="AH57" s="185" t="e">
        <f t="shared" si="26"/>
        <v>#N/A</v>
      </c>
      <c r="AI57" s="452"/>
      <c r="AJ57" s="185"/>
      <c r="AK57" s="185"/>
      <c r="AL57" s="185"/>
      <c r="AM57" s="185" t="e">
        <f t="shared" si="27"/>
        <v>#N/A</v>
      </c>
      <c r="AN57" s="452"/>
      <c r="AO57" s="185"/>
      <c r="AP57" s="185"/>
      <c r="AQ57" s="185"/>
      <c r="AR57" s="185" t="e">
        <f t="shared" si="28"/>
        <v>#N/A</v>
      </c>
      <c r="AS57" s="452"/>
      <c r="AT57" s="185"/>
      <c r="AU57" s="185"/>
      <c r="AV57" s="185"/>
      <c r="AW57" s="185" t="e">
        <f t="shared" si="29"/>
        <v>#N/A</v>
      </c>
      <c r="AX57" s="494"/>
    </row>
    <row r="58" spans="2:50">
      <c r="B58" s="471"/>
      <c r="C58" s="185">
        <v>12</v>
      </c>
      <c r="D58" s="206"/>
      <c r="E58" s="169"/>
      <c r="F58" s="185"/>
      <c r="G58" s="183"/>
      <c r="H58" s="452"/>
      <c r="I58" s="185"/>
      <c r="J58" s="185"/>
      <c r="K58" s="185"/>
      <c r="L58" s="452"/>
      <c r="M58" s="184" t="e">
        <f>RANK(K58, K$47:$K$61)</f>
        <v>#DIV/0!</v>
      </c>
      <c r="N58" s="454"/>
      <c r="O58" s="454"/>
      <c r="P58" s="185"/>
      <c r="Q58" s="185"/>
      <c r="R58" s="185"/>
      <c r="S58" s="185" t="e">
        <f t="shared" si="23"/>
        <v>#N/A</v>
      </c>
      <c r="T58" s="452"/>
      <c r="U58" s="185"/>
      <c r="V58" s="185"/>
      <c r="W58" s="185"/>
      <c r="X58" s="185" t="e">
        <f t="shared" si="24"/>
        <v>#N/A</v>
      </c>
      <c r="Y58" s="452"/>
      <c r="Z58" s="185"/>
      <c r="AA58" s="185"/>
      <c r="AB58" s="185"/>
      <c r="AC58" s="185" t="e">
        <f t="shared" si="25"/>
        <v>#N/A</v>
      </c>
      <c r="AD58" s="452"/>
      <c r="AE58" s="185"/>
      <c r="AF58" s="185"/>
      <c r="AG58" s="185"/>
      <c r="AH58" s="185" t="e">
        <f t="shared" si="26"/>
        <v>#N/A</v>
      </c>
      <c r="AI58" s="452"/>
      <c r="AJ58" s="185"/>
      <c r="AK58" s="185"/>
      <c r="AL58" s="185"/>
      <c r="AM58" s="185" t="e">
        <f t="shared" si="27"/>
        <v>#N/A</v>
      </c>
      <c r="AN58" s="452"/>
      <c r="AO58" s="185"/>
      <c r="AP58" s="185"/>
      <c r="AQ58" s="185"/>
      <c r="AR58" s="185" t="e">
        <f t="shared" si="28"/>
        <v>#N/A</v>
      </c>
      <c r="AS58" s="452"/>
      <c r="AT58" s="185"/>
      <c r="AU58" s="185"/>
      <c r="AV58" s="185"/>
      <c r="AW58" s="185" t="e">
        <f t="shared" si="29"/>
        <v>#N/A</v>
      </c>
      <c r="AX58" s="494"/>
    </row>
    <row r="59" spans="2:50">
      <c r="B59" s="471"/>
      <c r="C59" s="185">
        <v>13</v>
      </c>
      <c r="D59" s="206"/>
      <c r="E59" s="169"/>
      <c r="F59" s="185"/>
      <c r="G59" s="183"/>
      <c r="H59" s="452"/>
      <c r="I59" s="185"/>
      <c r="J59" s="185"/>
      <c r="K59" s="185"/>
      <c r="L59" s="452"/>
      <c r="M59" s="184" t="e">
        <f>RANK(K59, K$47:$K$61)</f>
        <v>#DIV/0!</v>
      </c>
      <c r="N59" s="454"/>
      <c r="O59" s="454"/>
      <c r="P59" s="185"/>
      <c r="Q59" s="185"/>
      <c r="R59" s="185"/>
      <c r="S59" s="185" t="e">
        <f t="shared" si="23"/>
        <v>#N/A</v>
      </c>
      <c r="T59" s="452"/>
      <c r="U59" s="185"/>
      <c r="V59" s="185"/>
      <c r="W59" s="185"/>
      <c r="X59" s="185" t="e">
        <f t="shared" si="24"/>
        <v>#N/A</v>
      </c>
      <c r="Y59" s="452"/>
      <c r="Z59" s="185"/>
      <c r="AA59" s="185"/>
      <c r="AB59" s="185"/>
      <c r="AC59" s="185" t="e">
        <f t="shared" si="25"/>
        <v>#N/A</v>
      </c>
      <c r="AD59" s="452"/>
      <c r="AE59" s="185"/>
      <c r="AF59" s="185"/>
      <c r="AG59" s="185"/>
      <c r="AH59" s="185" t="e">
        <f t="shared" si="26"/>
        <v>#N/A</v>
      </c>
      <c r="AI59" s="452"/>
      <c r="AJ59" s="185"/>
      <c r="AK59" s="185"/>
      <c r="AL59" s="185"/>
      <c r="AM59" s="185" t="e">
        <f t="shared" si="27"/>
        <v>#N/A</v>
      </c>
      <c r="AN59" s="452"/>
      <c r="AO59" s="185"/>
      <c r="AP59" s="185"/>
      <c r="AQ59" s="185"/>
      <c r="AR59" s="185" t="e">
        <f t="shared" si="28"/>
        <v>#N/A</v>
      </c>
      <c r="AS59" s="452"/>
      <c r="AT59" s="185"/>
      <c r="AU59" s="185"/>
      <c r="AV59" s="185"/>
      <c r="AW59" s="185" t="e">
        <f t="shared" si="29"/>
        <v>#N/A</v>
      </c>
      <c r="AX59" s="494"/>
    </row>
    <row r="60" spans="2:50">
      <c r="B60" s="471"/>
      <c r="C60" s="185">
        <v>14</v>
      </c>
      <c r="D60" s="206"/>
      <c r="E60" s="169"/>
      <c r="F60" s="185"/>
      <c r="G60" s="183"/>
      <c r="H60" s="452"/>
      <c r="I60" s="185"/>
      <c r="J60" s="185"/>
      <c r="K60" s="185"/>
      <c r="L60" s="452"/>
      <c r="M60" s="184" t="e">
        <f>RANK(K60, K$47:$K$61)</f>
        <v>#DIV/0!</v>
      </c>
      <c r="N60" s="454"/>
      <c r="O60" s="454"/>
      <c r="P60" s="185"/>
      <c r="Q60" s="185"/>
      <c r="R60" s="185"/>
      <c r="S60" s="185" t="e">
        <f t="shared" si="23"/>
        <v>#N/A</v>
      </c>
      <c r="T60" s="452"/>
      <c r="U60" s="185"/>
      <c r="V60" s="185"/>
      <c r="W60" s="185"/>
      <c r="X60" s="185" t="e">
        <f t="shared" si="24"/>
        <v>#N/A</v>
      </c>
      <c r="Y60" s="452"/>
      <c r="Z60" s="185"/>
      <c r="AA60" s="185"/>
      <c r="AB60" s="185"/>
      <c r="AC60" s="185" t="e">
        <f t="shared" si="25"/>
        <v>#N/A</v>
      </c>
      <c r="AD60" s="452"/>
      <c r="AE60" s="185"/>
      <c r="AF60" s="185"/>
      <c r="AG60" s="185"/>
      <c r="AH60" s="185" t="e">
        <f t="shared" si="26"/>
        <v>#N/A</v>
      </c>
      <c r="AI60" s="452"/>
      <c r="AJ60" s="185"/>
      <c r="AK60" s="185"/>
      <c r="AL60" s="185"/>
      <c r="AM60" s="185" t="e">
        <f t="shared" si="27"/>
        <v>#N/A</v>
      </c>
      <c r="AN60" s="452"/>
      <c r="AO60" s="185"/>
      <c r="AP60" s="185"/>
      <c r="AQ60" s="185"/>
      <c r="AR60" s="185" t="e">
        <f t="shared" si="28"/>
        <v>#N/A</v>
      </c>
      <c r="AS60" s="452"/>
      <c r="AT60" s="185"/>
      <c r="AU60" s="185"/>
      <c r="AV60" s="185"/>
      <c r="AW60" s="185" t="e">
        <f t="shared" si="29"/>
        <v>#N/A</v>
      </c>
      <c r="AX60" s="494"/>
    </row>
    <row r="61" spans="2:50">
      <c r="B61" s="471"/>
      <c r="C61" s="185">
        <v>15</v>
      </c>
      <c r="D61" s="206"/>
      <c r="E61" s="169"/>
      <c r="F61" s="185"/>
      <c r="G61" s="183"/>
      <c r="H61" s="453"/>
      <c r="I61" s="185"/>
      <c r="J61" s="185"/>
      <c r="K61" s="185"/>
      <c r="L61" s="453"/>
      <c r="M61" s="184" t="e">
        <f>RANK(K61, K$47:$K$61)</f>
        <v>#DIV/0!</v>
      </c>
      <c r="N61" s="454"/>
      <c r="O61" s="454"/>
      <c r="P61" s="185"/>
      <c r="Q61" s="185"/>
      <c r="R61" s="185"/>
      <c r="S61" s="185" t="e">
        <f t="shared" si="23"/>
        <v>#N/A</v>
      </c>
      <c r="T61" s="453"/>
      <c r="U61" s="185"/>
      <c r="V61" s="185"/>
      <c r="W61" s="185"/>
      <c r="X61" s="185" t="e">
        <f t="shared" si="24"/>
        <v>#N/A</v>
      </c>
      <c r="Y61" s="453"/>
      <c r="Z61" s="185"/>
      <c r="AA61" s="185"/>
      <c r="AB61" s="185"/>
      <c r="AC61" s="185" t="e">
        <f t="shared" si="25"/>
        <v>#N/A</v>
      </c>
      <c r="AD61" s="453"/>
      <c r="AE61" s="185"/>
      <c r="AF61" s="185"/>
      <c r="AG61" s="185"/>
      <c r="AH61" s="185" t="e">
        <f t="shared" si="26"/>
        <v>#N/A</v>
      </c>
      <c r="AI61" s="453"/>
      <c r="AJ61" s="185"/>
      <c r="AK61" s="185"/>
      <c r="AL61" s="185"/>
      <c r="AM61" s="185" t="e">
        <f t="shared" si="27"/>
        <v>#N/A</v>
      </c>
      <c r="AN61" s="453"/>
      <c r="AO61" s="185"/>
      <c r="AP61" s="185"/>
      <c r="AQ61" s="185"/>
      <c r="AR61" s="185" t="e">
        <f t="shared" si="28"/>
        <v>#N/A</v>
      </c>
      <c r="AS61" s="453"/>
      <c r="AT61" s="185"/>
      <c r="AU61" s="185"/>
      <c r="AV61" s="185"/>
      <c r="AW61" s="185" t="e">
        <f t="shared" si="29"/>
        <v>#N/A</v>
      </c>
      <c r="AX61" s="494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54" t="s">
        <v>323</v>
      </c>
      <c r="C67" s="185">
        <v>1</v>
      </c>
      <c r="D67" s="206"/>
      <c r="E67" s="169"/>
      <c r="F67" s="185"/>
      <c r="G67" s="183"/>
      <c r="H67" s="451" t="e">
        <f>AVERAGE(G67:G81)</f>
        <v>#DIV/0!</v>
      </c>
      <c r="I67" s="169" t="e">
        <f t="shared" ref="I67:K70" si="30">AVERAGE(P67,U67,Z67,AE67,AJ67,AO67,AT67)</f>
        <v>#DIV/0!</v>
      </c>
      <c r="J67" s="169" t="e">
        <f t="shared" si="30"/>
        <v>#DIV/0!</v>
      </c>
      <c r="K67" s="183" t="e">
        <f t="shared" si="30"/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83"/>
      <c r="R67" s="183"/>
      <c r="S67" s="185" t="e">
        <f>RANK(R67, R$67:R$81)</f>
        <v>#N/A</v>
      </c>
      <c r="T67" s="451" t="e">
        <f>AVERAGE(R67:R81)</f>
        <v>#DIV/0!</v>
      </c>
      <c r="U67" s="169"/>
      <c r="V67" s="183"/>
      <c r="W67" s="183"/>
      <c r="X67" s="185" t="e">
        <f>RANK(W67, W$67:W$81)</f>
        <v>#N/A</v>
      </c>
      <c r="Y67" s="451" t="e">
        <f>AVERAGE(W67:W81)</f>
        <v>#DIV/0!</v>
      </c>
      <c r="Z67" s="169"/>
      <c r="AA67" s="183"/>
      <c r="AB67" s="183"/>
      <c r="AC67" s="185" t="e">
        <f>RANK(AB67, AB$67:AB$81)</f>
        <v>#N/A</v>
      </c>
      <c r="AD67" s="451" t="e">
        <f>AVERAGE(AB67:AB81)</f>
        <v>#DIV/0!</v>
      </c>
      <c r="AE67" s="169"/>
      <c r="AF67" s="183"/>
      <c r="AG67" s="183"/>
      <c r="AH67" s="185" t="e">
        <f>RANK(AG67, AG$67:AG$81)</f>
        <v>#N/A</v>
      </c>
      <c r="AI67" s="451" t="e">
        <f>AVERAGE(AG67:AG81)</f>
        <v>#DIV/0!</v>
      </c>
      <c r="AJ67" s="169"/>
      <c r="AK67" s="183"/>
      <c r="AL67" s="183"/>
      <c r="AM67" s="185" t="e">
        <f>RANK(AL67, AL$67:AL$81)</f>
        <v>#N/A</v>
      </c>
      <c r="AN67" s="451" t="e">
        <f>AVERAGE(AL67:AL81)</f>
        <v>#DIV/0!</v>
      </c>
      <c r="AO67" s="169"/>
      <c r="AP67" s="183"/>
      <c r="AQ67" s="183"/>
      <c r="AR67" s="185" t="e">
        <f>RANK(AQ67, AQ$67:AQ$81)</f>
        <v>#N/A</v>
      </c>
      <c r="AS67" s="451" t="e">
        <f>AVERAGE(AQ67:AQ81)</f>
        <v>#DIV/0!</v>
      </c>
      <c r="AT67" s="169"/>
      <c r="AU67" s="183"/>
      <c r="AV67" s="183"/>
      <c r="AW67" s="185" t="e">
        <f>RANK(AV67, AV$67:AV$81)</f>
        <v>#N/A</v>
      </c>
      <c r="AX67" s="494" t="e">
        <f>AVERAGE(AV67:AV81)</f>
        <v>#DIV/0!</v>
      </c>
    </row>
    <row r="68" spans="2:50">
      <c r="B68" s="471"/>
      <c r="C68" s="185">
        <v>2</v>
      </c>
      <c r="D68" s="206"/>
      <c r="E68" s="169"/>
      <c r="F68" s="185"/>
      <c r="G68" s="183"/>
      <c r="H68" s="452"/>
      <c r="I68" s="169" t="e">
        <f t="shared" si="30"/>
        <v>#DIV/0!</v>
      </c>
      <c r="J68" s="169" t="e">
        <f t="shared" si="30"/>
        <v>#DIV/0!</v>
      </c>
      <c r="K68" s="183" t="e">
        <f t="shared" si="30"/>
        <v>#DIV/0!</v>
      </c>
      <c r="L68" s="452"/>
      <c r="M68" s="184" t="e">
        <f>RANK(K68, K$67:$K$81)</f>
        <v>#DIV/0!</v>
      </c>
      <c r="N68" s="454"/>
      <c r="O68" s="454"/>
      <c r="P68" s="185"/>
      <c r="Q68" s="183"/>
      <c r="R68" s="183"/>
      <c r="S68" s="185" t="e">
        <f t="shared" ref="S68:S81" si="31">RANK(R68, R$67:R$81)</f>
        <v>#N/A</v>
      </c>
      <c r="T68" s="452"/>
      <c r="U68" s="185"/>
      <c r="V68" s="183"/>
      <c r="W68" s="183"/>
      <c r="X68" s="185" t="e">
        <f t="shared" ref="X68:X81" si="32">RANK(W68, W$67:W$81)</f>
        <v>#N/A</v>
      </c>
      <c r="Y68" s="452"/>
      <c r="Z68" s="185"/>
      <c r="AA68" s="183"/>
      <c r="AB68" s="183"/>
      <c r="AC68" s="185" t="e">
        <f t="shared" ref="AC68:AC81" si="33">RANK(AB68, AB$67:AB$81)</f>
        <v>#N/A</v>
      </c>
      <c r="AD68" s="452"/>
      <c r="AE68" s="185"/>
      <c r="AF68" s="183"/>
      <c r="AG68" s="183"/>
      <c r="AH68" s="185" t="e">
        <f t="shared" ref="AH68:AH81" si="34">RANK(AG68, AG$67:AG$81)</f>
        <v>#N/A</v>
      </c>
      <c r="AI68" s="452"/>
      <c r="AJ68" s="185"/>
      <c r="AK68" s="183"/>
      <c r="AL68" s="183"/>
      <c r="AM68" s="185" t="e">
        <f t="shared" ref="AM68:AM81" si="35">RANK(AL68, AL$67:AL$81)</f>
        <v>#N/A</v>
      </c>
      <c r="AN68" s="452"/>
      <c r="AO68" s="185"/>
      <c r="AP68" s="183"/>
      <c r="AQ68" s="183"/>
      <c r="AR68" s="185" t="e">
        <f t="shared" ref="AR68:AR81" si="36">RANK(AQ68, AQ$67:AQ$81)</f>
        <v>#N/A</v>
      </c>
      <c r="AS68" s="452"/>
      <c r="AT68" s="185"/>
      <c r="AU68" s="183"/>
      <c r="AV68" s="183"/>
      <c r="AW68" s="185" t="e">
        <f t="shared" ref="AW68:AW81" si="37">RANK(AV68, AV$67:AV$81)</f>
        <v>#N/A</v>
      </c>
      <c r="AX68" s="494"/>
    </row>
    <row r="69" spans="2:50">
      <c r="B69" s="471"/>
      <c r="C69" s="185">
        <v>3</v>
      </c>
      <c r="D69" s="206"/>
      <c r="E69" s="169"/>
      <c r="F69" s="185"/>
      <c r="G69" s="183"/>
      <c r="H69" s="452"/>
      <c r="I69" s="169" t="e">
        <f t="shared" si="30"/>
        <v>#DIV/0!</v>
      </c>
      <c r="J69" s="169" t="e">
        <f t="shared" si="30"/>
        <v>#DIV/0!</v>
      </c>
      <c r="K69" s="183" t="e">
        <f t="shared" si="30"/>
        <v>#DIV/0!</v>
      </c>
      <c r="L69" s="452"/>
      <c r="M69" s="184" t="e">
        <f>RANK(K69, K$67:$K$81)</f>
        <v>#DIV/0!</v>
      </c>
      <c r="N69" s="454"/>
      <c r="O69" s="454"/>
      <c r="P69" s="185"/>
      <c r="Q69" s="183"/>
      <c r="R69" s="183"/>
      <c r="S69" s="185" t="e">
        <f t="shared" si="31"/>
        <v>#N/A</v>
      </c>
      <c r="T69" s="452"/>
      <c r="U69" s="185"/>
      <c r="V69" s="183"/>
      <c r="W69" s="183"/>
      <c r="X69" s="185" t="e">
        <f t="shared" si="32"/>
        <v>#N/A</v>
      </c>
      <c r="Y69" s="452"/>
      <c r="Z69" s="185"/>
      <c r="AA69" s="183"/>
      <c r="AB69" s="183"/>
      <c r="AC69" s="185" t="e">
        <f t="shared" si="33"/>
        <v>#N/A</v>
      </c>
      <c r="AD69" s="452"/>
      <c r="AE69" s="185"/>
      <c r="AF69" s="183"/>
      <c r="AG69" s="183"/>
      <c r="AH69" s="185" t="e">
        <f t="shared" si="34"/>
        <v>#N/A</v>
      </c>
      <c r="AI69" s="452"/>
      <c r="AJ69" s="185"/>
      <c r="AK69" s="183"/>
      <c r="AL69" s="183"/>
      <c r="AM69" s="185" t="e">
        <f t="shared" si="35"/>
        <v>#N/A</v>
      </c>
      <c r="AN69" s="452"/>
      <c r="AO69" s="185"/>
      <c r="AP69" s="183"/>
      <c r="AQ69" s="183"/>
      <c r="AR69" s="185" t="e">
        <f t="shared" si="36"/>
        <v>#N/A</v>
      </c>
      <c r="AS69" s="452"/>
      <c r="AT69" s="185"/>
      <c r="AU69" s="183"/>
      <c r="AV69" s="183"/>
      <c r="AW69" s="185" t="e">
        <f t="shared" si="37"/>
        <v>#N/A</v>
      </c>
      <c r="AX69" s="494"/>
    </row>
    <row r="70" spans="2:50">
      <c r="B70" s="471"/>
      <c r="C70" s="185">
        <v>4</v>
      </c>
      <c r="D70" s="206"/>
      <c r="E70" s="169"/>
      <c r="F70" s="185"/>
      <c r="G70" s="183"/>
      <c r="H70" s="452"/>
      <c r="I70" s="169" t="e">
        <f t="shared" si="30"/>
        <v>#DIV/0!</v>
      </c>
      <c r="J70" s="169" t="e">
        <f t="shared" si="30"/>
        <v>#DIV/0!</v>
      </c>
      <c r="K70" s="183" t="e">
        <f t="shared" si="30"/>
        <v>#DIV/0!</v>
      </c>
      <c r="L70" s="452"/>
      <c r="M70" s="184" t="e">
        <f>RANK(K70, K$67:$K$81)</f>
        <v>#DIV/0!</v>
      </c>
      <c r="N70" s="454"/>
      <c r="O70" s="454"/>
      <c r="P70" s="185"/>
      <c r="Q70" s="183"/>
      <c r="R70" s="183"/>
      <c r="S70" s="185" t="e">
        <f t="shared" si="31"/>
        <v>#N/A</v>
      </c>
      <c r="T70" s="452"/>
      <c r="U70" s="185"/>
      <c r="V70" s="183"/>
      <c r="W70" s="183"/>
      <c r="X70" s="185" t="e">
        <f t="shared" si="32"/>
        <v>#N/A</v>
      </c>
      <c r="Y70" s="452"/>
      <c r="Z70" s="185"/>
      <c r="AA70" s="183"/>
      <c r="AB70" s="183"/>
      <c r="AC70" s="185" t="e">
        <f t="shared" si="33"/>
        <v>#N/A</v>
      </c>
      <c r="AD70" s="452"/>
      <c r="AE70" s="185"/>
      <c r="AF70" s="183"/>
      <c r="AG70" s="183"/>
      <c r="AH70" s="185" t="e">
        <f t="shared" si="34"/>
        <v>#N/A</v>
      </c>
      <c r="AI70" s="452"/>
      <c r="AJ70" s="185"/>
      <c r="AK70" s="183"/>
      <c r="AL70" s="183"/>
      <c r="AM70" s="185" t="e">
        <f t="shared" si="35"/>
        <v>#N/A</v>
      </c>
      <c r="AN70" s="452"/>
      <c r="AO70" s="185"/>
      <c r="AP70" s="183"/>
      <c r="AQ70" s="183"/>
      <c r="AR70" s="185" t="e">
        <f t="shared" si="36"/>
        <v>#N/A</v>
      </c>
      <c r="AS70" s="452"/>
      <c r="AT70" s="185"/>
      <c r="AU70" s="183"/>
      <c r="AV70" s="183"/>
      <c r="AW70" s="185" t="e">
        <f t="shared" si="37"/>
        <v>#N/A</v>
      </c>
      <c r="AX70" s="494"/>
    </row>
    <row r="71" spans="2:50">
      <c r="B71" s="471"/>
      <c r="C71" s="185">
        <v>5</v>
      </c>
      <c r="D71" s="206"/>
      <c r="E71" s="169"/>
      <c r="F71" s="185"/>
      <c r="G71" s="183"/>
      <c r="H71" s="452"/>
      <c r="I71" s="169"/>
      <c r="J71" s="169"/>
      <c r="K71" s="183"/>
      <c r="L71" s="452"/>
      <c r="M71" s="184" t="e">
        <f>RANK(K71, K$67:$K$81)</f>
        <v>#DIV/0!</v>
      </c>
      <c r="N71" s="454"/>
      <c r="O71" s="454"/>
      <c r="P71" s="185"/>
      <c r="Q71" s="183"/>
      <c r="R71" s="183"/>
      <c r="S71" s="185" t="e">
        <f t="shared" si="31"/>
        <v>#N/A</v>
      </c>
      <c r="T71" s="452"/>
      <c r="U71" s="185"/>
      <c r="V71" s="183"/>
      <c r="W71" s="183"/>
      <c r="X71" s="185" t="e">
        <f t="shared" si="32"/>
        <v>#N/A</v>
      </c>
      <c r="Y71" s="452"/>
      <c r="Z71" s="185"/>
      <c r="AA71" s="183"/>
      <c r="AB71" s="183"/>
      <c r="AC71" s="185" t="e">
        <f t="shared" si="33"/>
        <v>#N/A</v>
      </c>
      <c r="AD71" s="452"/>
      <c r="AE71" s="185"/>
      <c r="AF71" s="183"/>
      <c r="AG71" s="183"/>
      <c r="AH71" s="185" t="e">
        <f t="shared" si="34"/>
        <v>#N/A</v>
      </c>
      <c r="AI71" s="452"/>
      <c r="AJ71" s="185"/>
      <c r="AK71" s="183"/>
      <c r="AL71" s="183"/>
      <c r="AM71" s="185" t="e">
        <f t="shared" si="35"/>
        <v>#N/A</v>
      </c>
      <c r="AN71" s="452"/>
      <c r="AO71" s="185"/>
      <c r="AP71" s="183"/>
      <c r="AQ71" s="183"/>
      <c r="AR71" s="185" t="e">
        <f t="shared" si="36"/>
        <v>#N/A</v>
      </c>
      <c r="AS71" s="452"/>
      <c r="AT71" s="185"/>
      <c r="AU71" s="183"/>
      <c r="AV71" s="183"/>
      <c r="AW71" s="185" t="e">
        <f t="shared" si="37"/>
        <v>#N/A</v>
      </c>
      <c r="AX71" s="494"/>
    </row>
    <row r="72" spans="2:50">
      <c r="B72" s="471"/>
      <c r="C72" s="185">
        <v>6</v>
      </c>
      <c r="D72" s="206"/>
      <c r="E72" s="169"/>
      <c r="F72" s="185"/>
      <c r="G72" s="183"/>
      <c r="H72" s="452"/>
      <c r="I72" s="169"/>
      <c r="J72" s="169"/>
      <c r="K72" s="183"/>
      <c r="L72" s="452"/>
      <c r="M72" s="184" t="e">
        <f>RANK(K72, K$67:$K$81)</f>
        <v>#DIV/0!</v>
      </c>
      <c r="N72" s="454"/>
      <c r="O72" s="454"/>
      <c r="P72" s="185"/>
      <c r="Q72" s="183"/>
      <c r="R72" s="183"/>
      <c r="S72" s="185" t="e">
        <f t="shared" si="31"/>
        <v>#N/A</v>
      </c>
      <c r="T72" s="452"/>
      <c r="U72" s="185"/>
      <c r="V72" s="183"/>
      <c r="W72" s="183"/>
      <c r="X72" s="185" t="e">
        <f t="shared" si="32"/>
        <v>#N/A</v>
      </c>
      <c r="Y72" s="452"/>
      <c r="Z72" s="185"/>
      <c r="AA72" s="183"/>
      <c r="AB72" s="183"/>
      <c r="AC72" s="185" t="e">
        <f t="shared" si="33"/>
        <v>#N/A</v>
      </c>
      <c r="AD72" s="452"/>
      <c r="AE72" s="185"/>
      <c r="AF72" s="183"/>
      <c r="AG72" s="183"/>
      <c r="AH72" s="185" t="e">
        <f t="shared" si="34"/>
        <v>#N/A</v>
      </c>
      <c r="AI72" s="452"/>
      <c r="AJ72" s="185"/>
      <c r="AK72" s="183"/>
      <c r="AL72" s="183"/>
      <c r="AM72" s="185" t="e">
        <f t="shared" si="35"/>
        <v>#N/A</v>
      </c>
      <c r="AN72" s="452"/>
      <c r="AO72" s="185"/>
      <c r="AP72" s="183"/>
      <c r="AQ72" s="183"/>
      <c r="AR72" s="185" t="e">
        <f t="shared" si="36"/>
        <v>#N/A</v>
      </c>
      <c r="AS72" s="452"/>
      <c r="AT72" s="185"/>
      <c r="AU72" s="183"/>
      <c r="AV72" s="183"/>
      <c r="AW72" s="185" t="e">
        <f t="shared" si="37"/>
        <v>#N/A</v>
      </c>
      <c r="AX72" s="494"/>
    </row>
    <row r="73" spans="2:50">
      <c r="B73" s="471"/>
      <c r="C73" s="185">
        <v>7</v>
      </c>
      <c r="D73" s="206"/>
      <c r="E73" s="169"/>
      <c r="F73" s="185"/>
      <c r="G73" s="183"/>
      <c r="H73" s="452"/>
      <c r="I73" s="169"/>
      <c r="J73" s="169"/>
      <c r="K73" s="183"/>
      <c r="L73" s="452"/>
      <c r="M73" s="184" t="e">
        <f>RANK(K73, K$67:$K$81)</f>
        <v>#DIV/0!</v>
      </c>
      <c r="N73" s="454"/>
      <c r="O73" s="454"/>
      <c r="P73" s="185"/>
      <c r="Q73" s="183"/>
      <c r="R73" s="183"/>
      <c r="S73" s="185" t="e">
        <f t="shared" si="31"/>
        <v>#N/A</v>
      </c>
      <c r="T73" s="452"/>
      <c r="U73" s="185"/>
      <c r="V73" s="183"/>
      <c r="W73" s="183"/>
      <c r="X73" s="185" t="e">
        <f t="shared" si="32"/>
        <v>#N/A</v>
      </c>
      <c r="Y73" s="452"/>
      <c r="Z73" s="185"/>
      <c r="AA73" s="183"/>
      <c r="AB73" s="183"/>
      <c r="AC73" s="185" t="e">
        <f t="shared" si="33"/>
        <v>#N/A</v>
      </c>
      <c r="AD73" s="452"/>
      <c r="AE73" s="185"/>
      <c r="AF73" s="183"/>
      <c r="AG73" s="183"/>
      <c r="AH73" s="185" t="e">
        <f t="shared" si="34"/>
        <v>#N/A</v>
      </c>
      <c r="AI73" s="452"/>
      <c r="AJ73" s="185"/>
      <c r="AK73" s="183"/>
      <c r="AL73" s="183"/>
      <c r="AM73" s="185" t="e">
        <f t="shared" si="35"/>
        <v>#N/A</v>
      </c>
      <c r="AN73" s="452"/>
      <c r="AO73" s="185"/>
      <c r="AP73" s="183"/>
      <c r="AQ73" s="183"/>
      <c r="AR73" s="185" t="e">
        <f t="shared" si="36"/>
        <v>#N/A</v>
      </c>
      <c r="AS73" s="452"/>
      <c r="AT73" s="185"/>
      <c r="AU73" s="183"/>
      <c r="AV73" s="183"/>
      <c r="AW73" s="185" t="e">
        <f t="shared" si="37"/>
        <v>#N/A</v>
      </c>
      <c r="AX73" s="494"/>
    </row>
    <row r="74" spans="2:50">
      <c r="B74" s="471"/>
      <c r="C74" s="185">
        <v>8</v>
      </c>
      <c r="D74" s="206"/>
      <c r="E74" s="169"/>
      <c r="F74" s="185"/>
      <c r="G74" s="183"/>
      <c r="H74" s="452"/>
      <c r="I74" s="169"/>
      <c r="J74" s="169"/>
      <c r="K74" s="183"/>
      <c r="L74" s="452"/>
      <c r="M74" s="184" t="e">
        <f>RANK(K74, K$67:$K$81)</f>
        <v>#DIV/0!</v>
      </c>
      <c r="N74" s="454"/>
      <c r="O74" s="454"/>
      <c r="P74" s="185"/>
      <c r="Q74" s="183"/>
      <c r="R74" s="183"/>
      <c r="S74" s="185" t="e">
        <f t="shared" si="31"/>
        <v>#N/A</v>
      </c>
      <c r="T74" s="452"/>
      <c r="U74" s="185"/>
      <c r="V74" s="183"/>
      <c r="W74" s="183"/>
      <c r="X74" s="185" t="e">
        <f t="shared" si="32"/>
        <v>#N/A</v>
      </c>
      <c r="Y74" s="452"/>
      <c r="Z74" s="185"/>
      <c r="AA74" s="183"/>
      <c r="AB74" s="183"/>
      <c r="AC74" s="185" t="e">
        <f t="shared" si="33"/>
        <v>#N/A</v>
      </c>
      <c r="AD74" s="452"/>
      <c r="AE74" s="185"/>
      <c r="AF74" s="183"/>
      <c r="AG74" s="183"/>
      <c r="AH74" s="185" t="e">
        <f t="shared" si="34"/>
        <v>#N/A</v>
      </c>
      <c r="AI74" s="452"/>
      <c r="AJ74" s="185"/>
      <c r="AK74" s="183"/>
      <c r="AL74" s="183"/>
      <c r="AM74" s="185" t="e">
        <f t="shared" si="35"/>
        <v>#N/A</v>
      </c>
      <c r="AN74" s="452"/>
      <c r="AO74" s="185"/>
      <c r="AP74" s="183"/>
      <c r="AQ74" s="183"/>
      <c r="AR74" s="185" t="e">
        <f t="shared" si="36"/>
        <v>#N/A</v>
      </c>
      <c r="AS74" s="452"/>
      <c r="AT74" s="185"/>
      <c r="AU74" s="183"/>
      <c r="AV74" s="183"/>
      <c r="AW74" s="185" t="e">
        <f t="shared" si="37"/>
        <v>#N/A</v>
      </c>
      <c r="AX74" s="494"/>
    </row>
    <row r="75" spans="2:50">
      <c r="B75" s="471"/>
      <c r="C75" s="185">
        <v>9</v>
      </c>
      <c r="D75" s="206"/>
      <c r="E75" s="169"/>
      <c r="F75" s="185"/>
      <c r="G75" s="183"/>
      <c r="H75" s="452"/>
      <c r="I75" s="169"/>
      <c r="J75" s="169"/>
      <c r="K75" s="183"/>
      <c r="L75" s="452"/>
      <c r="M75" s="184" t="e">
        <f>RANK(K75, K$67:$K$81)</f>
        <v>#DIV/0!</v>
      </c>
      <c r="N75" s="454"/>
      <c r="O75" s="454"/>
      <c r="P75" s="185"/>
      <c r="Q75" s="183"/>
      <c r="R75" s="183"/>
      <c r="S75" s="185" t="e">
        <f t="shared" si="31"/>
        <v>#N/A</v>
      </c>
      <c r="T75" s="452"/>
      <c r="U75" s="185"/>
      <c r="V75" s="183"/>
      <c r="W75" s="183"/>
      <c r="X75" s="185" t="e">
        <f t="shared" si="32"/>
        <v>#N/A</v>
      </c>
      <c r="Y75" s="452"/>
      <c r="Z75" s="185"/>
      <c r="AA75" s="183"/>
      <c r="AB75" s="183"/>
      <c r="AC75" s="185" t="e">
        <f t="shared" si="33"/>
        <v>#N/A</v>
      </c>
      <c r="AD75" s="452"/>
      <c r="AE75" s="185"/>
      <c r="AF75" s="183"/>
      <c r="AG75" s="183"/>
      <c r="AH75" s="185" t="e">
        <f t="shared" si="34"/>
        <v>#N/A</v>
      </c>
      <c r="AI75" s="452"/>
      <c r="AJ75" s="185"/>
      <c r="AK75" s="183"/>
      <c r="AL75" s="183"/>
      <c r="AM75" s="185" t="e">
        <f t="shared" si="35"/>
        <v>#N/A</v>
      </c>
      <c r="AN75" s="452"/>
      <c r="AO75" s="185"/>
      <c r="AP75" s="183"/>
      <c r="AQ75" s="183"/>
      <c r="AR75" s="185" t="e">
        <f t="shared" si="36"/>
        <v>#N/A</v>
      </c>
      <c r="AS75" s="452"/>
      <c r="AT75" s="185"/>
      <c r="AU75" s="183"/>
      <c r="AV75" s="183"/>
      <c r="AW75" s="185" t="e">
        <f t="shared" si="37"/>
        <v>#N/A</v>
      </c>
      <c r="AX75" s="494"/>
    </row>
    <row r="76" spans="2:50">
      <c r="B76" s="471"/>
      <c r="C76" s="185">
        <v>10</v>
      </c>
      <c r="D76" s="206"/>
      <c r="E76" s="169"/>
      <c r="F76" s="185"/>
      <c r="G76" s="183"/>
      <c r="H76" s="452"/>
      <c r="I76" s="169"/>
      <c r="J76" s="169"/>
      <c r="K76" s="183"/>
      <c r="L76" s="452"/>
      <c r="M76" s="184" t="e">
        <f>RANK(K76, K$67:$K$81)</f>
        <v>#DIV/0!</v>
      </c>
      <c r="N76" s="454"/>
      <c r="O76" s="454"/>
      <c r="P76" s="185"/>
      <c r="Q76" s="185"/>
      <c r="R76" s="183"/>
      <c r="S76" s="185" t="e">
        <f t="shared" si="31"/>
        <v>#N/A</v>
      </c>
      <c r="T76" s="452"/>
      <c r="U76" s="185"/>
      <c r="V76" s="185"/>
      <c r="W76" s="183"/>
      <c r="X76" s="185" t="e">
        <f t="shared" si="32"/>
        <v>#N/A</v>
      </c>
      <c r="Y76" s="452"/>
      <c r="Z76" s="185"/>
      <c r="AA76" s="185"/>
      <c r="AB76" s="183"/>
      <c r="AC76" s="185" t="e">
        <f t="shared" si="33"/>
        <v>#N/A</v>
      </c>
      <c r="AD76" s="452"/>
      <c r="AE76" s="185"/>
      <c r="AF76" s="185"/>
      <c r="AG76" s="183"/>
      <c r="AH76" s="185" t="e">
        <f t="shared" si="34"/>
        <v>#N/A</v>
      </c>
      <c r="AI76" s="452"/>
      <c r="AJ76" s="185"/>
      <c r="AK76" s="185"/>
      <c r="AL76" s="183"/>
      <c r="AM76" s="185" t="e">
        <f t="shared" si="35"/>
        <v>#N/A</v>
      </c>
      <c r="AN76" s="452"/>
      <c r="AO76" s="185"/>
      <c r="AP76" s="185"/>
      <c r="AQ76" s="183"/>
      <c r="AR76" s="185" t="e">
        <f t="shared" si="36"/>
        <v>#N/A</v>
      </c>
      <c r="AS76" s="452"/>
      <c r="AT76" s="185"/>
      <c r="AU76" s="185"/>
      <c r="AV76" s="183"/>
      <c r="AW76" s="185" t="e">
        <f t="shared" si="37"/>
        <v>#N/A</v>
      </c>
      <c r="AX76" s="494"/>
    </row>
    <row r="77" spans="2:50">
      <c r="B77" s="471"/>
      <c r="C77" s="185">
        <v>11</v>
      </c>
      <c r="D77" s="206"/>
      <c r="E77" s="169"/>
      <c r="F77" s="185"/>
      <c r="G77" s="183"/>
      <c r="H77" s="452"/>
      <c r="I77" s="185"/>
      <c r="J77" s="185"/>
      <c r="K77" s="185"/>
      <c r="L77" s="452"/>
      <c r="M77" s="184" t="e">
        <f>RANK(K77, K$67:$K$81)</f>
        <v>#DIV/0!</v>
      </c>
      <c r="N77" s="454"/>
      <c r="O77" s="454"/>
      <c r="P77" s="185"/>
      <c r="Q77" s="185"/>
      <c r="R77" s="185"/>
      <c r="S77" s="185" t="e">
        <f t="shared" si="31"/>
        <v>#N/A</v>
      </c>
      <c r="T77" s="452"/>
      <c r="U77" s="185"/>
      <c r="V77" s="185"/>
      <c r="W77" s="185"/>
      <c r="X77" s="185" t="e">
        <f t="shared" si="32"/>
        <v>#N/A</v>
      </c>
      <c r="Y77" s="452"/>
      <c r="Z77" s="185"/>
      <c r="AA77" s="185"/>
      <c r="AB77" s="185"/>
      <c r="AC77" s="185" t="e">
        <f t="shared" si="33"/>
        <v>#N/A</v>
      </c>
      <c r="AD77" s="452"/>
      <c r="AE77" s="185"/>
      <c r="AF77" s="185"/>
      <c r="AG77" s="185"/>
      <c r="AH77" s="185" t="e">
        <f t="shared" si="34"/>
        <v>#N/A</v>
      </c>
      <c r="AI77" s="452"/>
      <c r="AJ77" s="185"/>
      <c r="AK77" s="185"/>
      <c r="AL77" s="185"/>
      <c r="AM77" s="185" t="e">
        <f t="shared" si="35"/>
        <v>#N/A</v>
      </c>
      <c r="AN77" s="452"/>
      <c r="AO77" s="185"/>
      <c r="AP77" s="185"/>
      <c r="AQ77" s="185"/>
      <c r="AR77" s="185" t="e">
        <f t="shared" si="36"/>
        <v>#N/A</v>
      </c>
      <c r="AS77" s="452"/>
      <c r="AT77" s="185"/>
      <c r="AU77" s="185"/>
      <c r="AV77" s="185"/>
      <c r="AW77" s="185" t="e">
        <f t="shared" si="37"/>
        <v>#N/A</v>
      </c>
      <c r="AX77" s="494"/>
    </row>
    <row r="78" spans="2:50">
      <c r="B78" s="471"/>
      <c r="C78" s="185">
        <v>12</v>
      </c>
      <c r="D78" s="206"/>
      <c r="E78" s="169"/>
      <c r="F78" s="185"/>
      <c r="G78" s="183"/>
      <c r="H78" s="452"/>
      <c r="I78" s="185"/>
      <c r="J78" s="185"/>
      <c r="K78" s="185"/>
      <c r="L78" s="452"/>
      <c r="M78" s="184" t="e">
        <f>RANK(K78, K$67:$K$81)</f>
        <v>#DIV/0!</v>
      </c>
      <c r="N78" s="454"/>
      <c r="O78" s="454"/>
      <c r="P78" s="185"/>
      <c r="Q78" s="185"/>
      <c r="R78" s="185"/>
      <c r="S78" s="185" t="e">
        <f t="shared" si="31"/>
        <v>#N/A</v>
      </c>
      <c r="T78" s="452"/>
      <c r="U78" s="185"/>
      <c r="V78" s="185"/>
      <c r="W78" s="185"/>
      <c r="X78" s="185" t="e">
        <f t="shared" si="32"/>
        <v>#N/A</v>
      </c>
      <c r="Y78" s="452"/>
      <c r="Z78" s="185"/>
      <c r="AA78" s="185"/>
      <c r="AB78" s="185"/>
      <c r="AC78" s="185" t="e">
        <f t="shared" si="33"/>
        <v>#N/A</v>
      </c>
      <c r="AD78" s="452"/>
      <c r="AE78" s="185"/>
      <c r="AF78" s="185"/>
      <c r="AG78" s="185"/>
      <c r="AH78" s="185" t="e">
        <f t="shared" si="34"/>
        <v>#N/A</v>
      </c>
      <c r="AI78" s="452"/>
      <c r="AJ78" s="185"/>
      <c r="AK78" s="185"/>
      <c r="AL78" s="185"/>
      <c r="AM78" s="185" t="e">
        <f t="shared" si="35"/>
        <v>#N/A</v>
      </c>
      <c r="AN78" s="452"/>
      <c r="AO78" s="185"/>
      <c r="AP78" s="185"/>
      <c r="AQ78" s="185"/>
      <c r="AR78" s="185" t="e">
        <f t="shared" si="36"/>
        <v>#N/A</v>
      </c>
      <c r="AS78" s="452"/>
      <c r="AT78" s="185"/>
      <c r="AU78" s="185"/>
      <c r="AV78" s="185"/>
      <c r="AW78" s="185" t="e">
        <f t="shared" si="37"/>
        <v>#N/A</v>
      </c>
      <c r="AX78" s="494"/>
    </row>
    <row r="79" spans="2:50">
      <c r="B79" s="471"/>
      <c r="C79" s="185">
        <v>13</v>
      </c>
      <c r="D79" s="206"/>
      <c r="E79" s="169"/>
      <c r="F79" s="185"/>
      <c r="G79" s="183"/>
      <c r="H79" s="452"/>
      <c r="I79" s="185"/>
      <c r="J79" s="185"/>
      <c r="K79" s="185"/>
      <c r="L79" s="452"/>
      <c r="M79" s="184" t="e">
        <f>RANK(K79, K$67:$K$81)</f>
        <v>#DIV/0!</v>
      </c>
      <c r="N79" s="454"/>
      <c r="O79" s="454"/>
      <c r="P79" s="185"/>
      <c r="Q79" s="185"/>
      <c r="R79" s="185"/>
      <c r="S79" s="185" t="e">
        <f t="shared" si="31"/>
        <v>#N/A</v>
      </c>
      <c r="T79" s="452"/>
      <c r="U79" s="185"/>
      <c r="V79" s="185"/>
      <c r="W79" s="185"/>
      <c r="X79" s="185" t="e">
        <f t="shared" si="32"/>
        <v>#N/A</v>
      </c>
      <c r="Y79" s="452"/>
      <c r="Z79" s="185"/>
      <c r="AA79" s="185"/>
      <c r="AB79" s="185"/>
      <c r="AC79" s="185" t="e">
        <f t="shared" si="33"/>
        <v>#N/A</v>
      </c>
      <c r="AD79" s="452"/>
      <c r="AE79" s="185"/>
      <c r="AF79" s="185"/>
      <c r="AG79" s="185"/>
      <c r="AH79" s="185" t="e">
        <f t="shared" si="34"/>
        <v>#N/A</v>
      </c>
      <c r="AI79" s="452"/>
      <c r="AJ79" s="185"/>
      <c r="AK79" s="185"/>
      <c r="AL79" s="185"/>
      <c r="AM79" s="185" t="e">
        <f t="shared" si="35"/>
        <v>#N/A</v>
      </c>
      <c r="AN79" s="452"/>
      <c r="AO79" s="185"/>
      <c r="AP79" s="185"/>
      <c r="AQ79" s="185"/>
      <c r="AR79" s="185" t="e">
        <f t="shared" si="36"/>
        <v>#N/A</v>
      </c>
      <c r="AS79" s="452"/>
      <c r="AT79" s="185"/>
      <c r="AU79" s="185"/>
      <c r="AV79" s="185"/>
      <c r="AW79" s="185" t="e">
        <f t="shared" si="37"/>
        <v>#N/A</v>
      </c>
      <c r="AX79" s="494"/>
    </row>
    <row r="80" spans="2:50">
      <c r="B80" s="471"/>
      <c r="C80" s="185">
        <v>14</v>
      </c>
      <c r="D80" s="206"/>
      <c r="E80" s="169"/>
      <c r="F80" s="185"/>
      <c r="G80" s="183"/>
      <c r="H80" s="452"/>
      <c r="I80" s="185"/>
      <c r="J80" s="185"/>
      <c r="K80" s="185"/>
      <c r="L80" s="452"/>
      <c r="M80" s="184" t="e">
        <f>RANK(K80, K$67:$K$81)</f>
        <v>#DIV/0!</v>
      </c>
      <c r="N80" s="454"/>
      <c r="O80" s="454"/>
      <c r="P80" s="185"/>
      <c r="Q80" s="185"/>
      <c r="R80" s="185"/>
      <c r="S80" s="185" t="e">
        <f t="shared" si="31"/>
        <v>#N/A</v>
      </c>
      <c r="T80" s="452"/>
      <c r="U80" s="185"/>
      <c r="V80" s="185"/>
      <c r="W80" s="185"/>
      <c r="X80" s="185" t="e">
        <f t="shared" si="32"/>
        <v>#N/A</v>
      </c>
      <c r="Y80" s="452"/>
      <c r="Z80" s="185"/>
      <c r="AA80" s="185"/>
      <c r="AB80" s="185"/>
      <c r="AC80" s="185" t="e">
        <f t="shared" si="33"/>
        <v>#N/A</v>
      </c>
      <c r="AD80" s="452"/>
      <c r="AE80" s="185"/>
      <c r="AF80" s="185"/>
      <c r="AG80" s="185"/>
      <c r="AH80" s="185" t="e">
        <f t="shared" si="34"/>
        <v>#N/A</v>
      </c>
      <c r="AI80" s="452"/>
      <c r="AJ80" s="185"/>
      <c r="AK80" s="185"/>
      <c r="AL80" s="185"/>
      <c r="AM80" s="185" t="e">
        <f t="shared" si="35"/>
        <v>#N/A</v>
      </c>
      <c r="AN80" s="452"/>
      <c r="AO80" s="185"/>
      <c r="AP80" s="185"/>
      <c r="AQ80" s="185"/>
      <c r="AR80" s="185" t="e">
        <f t="shared" si="36"/>
        <v>#N/A</v>
      </c>
      <c r="AS80" s="452"/>
      <c r="AT80" s="185"/>
      <c r="AU80" s="185"/>
      <c r="AV80" s="185"/>
      <c r="AW80" s="185" t="e">
        <f t="shared" si="37"/>
        <v>#N/A</v>
      </c>
      <c r="AX80" s="494"/>
    </row>
    <row r="81" spans="2:50">
      <c r="B81" s="471"/>
      <c r="C81" s="185">
        <v>15</v>
      </c>
      <c r="D81" s="206"/>
      <c r="E81" s="169"/>
      <c r="F81" s="185"/>
      <c r="G81" s="183"/>
      <c r="H81" s="453"/>
      <c r="I81" s="185"/>
      <c r="J81" s="185"/>
      <c r="K81" s="185"/>
      <c r="L81" s="453"/>
      <c r="M81" s="184" t="e">
        <f>RANK(K81, K$67:$K$81)</f>
        <v>#DIV/0!</v>
      </c>
      <c r="N81" s="454"/>
      <c r="O81" s="454"/>
      <c r="P81" s="185"/>
      <c r="Q81" s="185"/>
      <c r="R81" s="185"/>
      <c r="S81" s="185" t="e">
        <f t="shared" si="31"/>
        <v>#N/A</v>
      </c>
      <c r="T81" s="453"/>
      <c r="U81" s="185"/>
      <c r="V81" s="185"/>
      <c r="W81" s="185"/>
      <c r="X81" s="185" t="e">
        <f t="shared" si="32"/>
        <v>#N/A</v>
      </c>
      <c r="Y81" s="453"/>
      <c r="Z81" s="185"/>
      <c r="AA81" s="185"/>
      <c r="AB81" s="185"/>
      <c r="AC81" s="185" t="e">
        <f t="shared" si="33"/>
        <v>#N/A</v>
      </c>
      <c r="AD81" s="453"/>
      <c r="AE81" s="185"/>
      <c r="AF81" s="185"/>
      <c r="AG81" s="185"/>
      <c r="AH81" s="185" t="e">
        <f t="shared" si="34"/>
        <v>#N/A</v>
      </c>
      <c r="AI81" s="453"/>
      <c r="AJ81" s="185"/>
      <c r="AK81" s="185"/>
      <c r="AL81" s="185"/>
      <c r="AM81" s="185" t="e">
        <f t="shared" si="35"/>
        <v>#N/A</v>
      </c>
      <c r="AN81" s="453"/>
      <c r="AO81" s="185"/>
      <c r="AP81" s="185"/>
      <c r="AQ81" s="185"/>
      <c r="AR81" s="185" t="e">
        <f t="shared" si="36"/>
        <v>#N/A</v>
      </c>
      <c r="AS81" s="453"/>
      <c r="AT81" s="185"/>
      <c r="AU81" s="185"/>
      <c r="AV81" s="185"/>
      <c r="AW81" s="185" t="e">
        <f t="shared" si="37"/>
        <v>#N/A</v>
      </c>
      <c r="AX81" s="494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54" t="s">
        <v>323</v>
      </c>
      <c r="C87" s="185">
        <v>1</v>
      </c>
      <c r="D87" s="206"/>
      <c r="E87" s="169"/>
      <c r="F87" s="185"/>
      <c r="G87" s="183"/>
      <c r="H87" s="451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83"/>
      <c r="R87" s="183"/>
      <c r="S87" s="185" t="e">
        <f>RANK(R87, R$87:R$101)</f>
        <v>#N/A</v>
      </c>
      <c r="T87" s="451" t="e">
        <f>AVERAGE(R87:R101)</f>
        <v>#DIV/0!</v>
      </c>
      <c r="U87" s="169"/>
      <c r="V87" s="183"/>
      <c r="W87" s="183"/>
      <c r="X87" s="185" t="e">
        <f>RANK(W87, W$87:W$101)</f>
        <v>#N/A</v>
      </c>
      <c r="Y87" s="451" t="e">
        <f>AVERAGE(W87:W101)</f>
        <v>#DIV/0!</v>
      </c>
      <c r="Z87" s="169"/>
      <c r="AA87" s="183"/>
      <c r="AB87" s="183"/>
      <c r="AC87" s="185" t="e">
        <f>RANK(AB87, AB$87:AB$101)</f>
        <v>#N/A</v>
      </c>
      <c r="AD87" s="451" t="e">
        <f>AVERAGE(AB87:AB101)</f>
        <v>#DIV/0!</v>
      </c>
      <c r="AE87" s="169"/>
      <c r="AF87" s="183"/>
      <c r="AG87" s="183"/>
      <c r="AH87" s="185" t="e">
        <f>RANK(AG87, AG$87:AG$101)</f>
        <v>#N/A</v>
      </c>
      <c r="AI87" s="451" t="e">
        <f>AVERAGE(AG87:AG101)</f>
        <v>#DIV/0!</v>
      </c>
      <c r="AJ87" s="169"/>
      <c r="AK87" s="183"/>
      <c r="AL87" s="183"/>
      <c r="AM87" s="185" t="e">
        <f>RANK(AL87, AL$87:AL$101)</f>
        <v>#N/A</v>
      </c>
      <c r="AN87" s="451" t="e">
        <f>AVERAGE(AL87:AL101)</f>
        <v>#DIV/0!</v>
      </c>
      <c r="AO87" s="169"/>
      <c r="AP87" s="183"/>
      <c r="AQ87" s="183"/>
      <c r="AR87" s="185" t="e">
        <f>RANK(AQ87, AQ$87:AQ$101)</f>
        <v>#N/A</v>
      </c>
      <c r="AS87" s="451" t="e">
        <f>AVERAGE(AQ87:AQ101)</f>
        <v>#DIV/0!</v>
      </c>
      <c r="AT87" s="169"/>
      <c r="AU87" s="183"/>
      <c r="AV87" s="183"/>
      <c r="AW87" s="185" t="e">
        <f>RANK(AV87, AV$87:AV$101)</f>
        <v>#N/A</v>
      </c>
      <c r="AX87" s="494" t="e">
        <f>AVERAGE(AV87:AV101)</f>
        <v>#DIV/0!</v>
      </c>
    </row>
    <row r="88" spans="2:50">
      <c r="B88" s="471"/>
      <c r="C88" s="185">
        <v>2</v>
      </c>
      <c r="D88" s="206"/>
      <c r="E88" s="169"/>
      <c r="F88" s="185"/>
      <c r="G88" s="183"/>
      <c r="H88" s="452"/>
      <c r="I88" s="169" t="e">
        <f t="shared" ref="I88:K91" si="38">AVERAGE(P88,U88,Z88,AE88,AJ88,AO88,AT88)</f>
        <v>#DIV/0!</v>
      </c>
      <c r="J88" s="169" t="e">
        <f t="shared" si="38"/>
        <v>#DIV/0!</v>
      </c>
      <c r="K88" s="183" t="e">
        <f t="shared" si="38"/>
        <v>#DIV/0!</v>
      </c>
      <c r="L88" s="452"/>
      <c r="M88" s="184" t="e">
        <f>RANK(K88, K$87:$K$101)</f>
        <v>#DIV/0!</v>
      </c>
      <c r="N88" s="454"/>
      <c r="O88" s="454"/>
      <c r="P88" s="185"/>
      <c r="Q88" s="183"/>
      <c r="R88" s="183"/>
      <c r="S88" s="185" t="e">
        <f t="shared" ref="S88:S101" si="39">RANK(R88, R$87:R$101)</f>
        <v>#N/A</v>
      </c>
      <c r="T88" s="452"/>
      <c r="U88" s="185"/>
      <c r="V88" s="183"/>
      <c r="W88" s="183"/>
      <c r="X88" s="185" t="e">
        <f t="shared" ref="X88:X101" si="40">RANK(W88, W$87:W$101)</f>
        <v>#N/A</v>
      </c>
      <c r="Y88" s="452"/>
      <c r="Z88" s="185"/>
      <c r="AA88" s="183"/>
      <c r="AB88" s="183"/>
      <c r="AC88" s="185" t="e">
        <f t="shared" ref="AC88:AC101" si="41">RANK(AB88, AB$87:AB$101)</f>
        <v>#N/A</v>
      </c>
      <c r="AD88" s="452"/>
      <c r="AE88" s="185"/>
      <c r="AF88" s="183"/>
      <c r="AG88" s="183"/>
      <c r="AH88" s="185" t="e">
        <f t="shared" ref="AH88:AH101" si="42">RANK(AG88, AG$87:AG$101)</f>
        <v>#N/A</v>
      </c>
      <c r="AI88" s="452"/>
      <c r="AJ88" s="185"/>
      <c r="AK88" s="183"/>
      <c r="AL88" s="183"/>
      <c r="AM88" s="185" t="e">
        <f t="shared" ref="AM88:AM101" si="43">RANK(AL88, AL$87:AL$101)</f>
        <v>#N/A</v>
      </c>
      <c r="AN88" s="452"/>
      <c r="AO88" s="185"/>
      <c r="AP88" s="183"/>
      <c r="AQ88" s="183"/>
      <c r="AR88" s="185" t="e">
        <f t="shared" ref="AR88:AR101" si="44">RANK(AQ88, AQ$87:AQ$101)</f>
        <v>#N/A</v>
      </c>
      <c r="AS88" s="452"/>
      <c r="AT88" s="185"/>
      <c r="AU88" s="183"/>
      <c r="AV88" s="183"/>
      <c r="AW88" s="185" t="e">
        <f t="shared" ref="AW88:AW101" si="45">RANK(AV88, AV$87:AV$101)</f>
        <v>#N/A</v>
      </c>
      <c r="AX88" s="494"/>
    </row>
    <row r="89" spans="2:50">
      <c r="B89" s="471"/>
      <c r="C89" s="185">
        <v>3</v>
      </c>
      <c r="D89" s="206"/>
      <c r="E89" s="169"/>
      <c r="F89" s="185"/>
      <c r="G89" s="183"/>
      <c r="H89" s="452"/>
      <c r="I89" s="169" t="e">
        <f t="shared" si="38"/>
        <v>#DIV/0!</v>
      </c>
      <c r="J89" s="169" t="e">
        <f t="shared" si="38"/>
        <v>#DIV/0!</v>
      </c>
      <c r="K89" s="183" t="e">
        <f t="shared" si="38"/>
        <v>#DIV/0!</v>
      </c>
      <c r="L89" s="452"/>
      <c r="M89" s="184" t="e">
        <f>RANK(K89, K$87:$K$101)</f>
        <v>#DIV/0!</v>
      </c>
      <c r="N89" s="454"/>
      <c r="O89" s="454"/>
      <c r="P89" s="185"/>
      <c r="Q89" s="183"/>
      <c r="R89" s="183"/>
      <c r="S89" s="185" t="e">
        <f t="shared" si="39"/>
        <v>#N/A</v>
      </c>
      <c r="T89" s="452"/>
      <c r="U89" s="185"/>
      <c r="V89" s="183"/>
      <c r="W89" s="183"/>
      <c r="X89" s="185" t="e">
        <f t="shared" si="40"/>
        <v>#N/A</v>
      </c>
      <c r="Y89" s="452"/>
      <c r="Z89" s="185"/>
      <c r="AA89" s="183"/>
      <c r="AB89" s="183"/>
      <c r="AC89" s="185" t="e">
        <f t="shared" si="41"/>
        <v>#N/A</v>
      </c>
      <c r="AD89" s="452"/>
      <c r="AE89" s="185"/>
      <c r="AF89" s="183"/>
      <c r="AG89" s="183"/>
      <c r="AH89" s="185" t="e">
        <f t="shared" si="42"/>
        <v>#N/A</v>
      </c>
      <c r="AI89" s="452"/>
      <c r="AJ89" s="185"/>
      <c r="AK89" s="183"/>
      <c r="AL89" s="183"/>
      <c r="AM89" s="185" t="e">
        <f t="shared" si="43"/>
        <v>#N/A</v>
      </c>
      <c r="AN89" s="452"/>
      <c r="AO89" s="185"/>
      <c r="AP89" s="183"/>
      <c r="AQ89" s="183"/>
      <c r="AR89" s="185" t="e">
        <f t="shared" si="44"/>
        <v>#N/A</v>
      </c>
      <c r="AS89" s="452"/>
      <c r="AT89" s="185"/>
      <c r="AU89" s="183"/>
      <c r="AV89" s="183"/>
      <c r="AW89" s="185" t="e">
        <f t="shared" si="45"/>
        <v>#N/A</v>
      </c>
      <c r="AX89" s="494"/>
    </row>
    <row r="90" spans="2:50">
      <c r="B90" s="471"/>
      <c r="C90" s="185">
        <v>4</v>
      </c>
      <c r="D90" s="206"/>
      <c r="E90" s="169"/>
      <c r="F90" s="185"/>
      <c r="G90" s="183"/>
      <c r="H90" s="452"/>
      <c r="I90" s="169" t="e">
        <f t="shared" si="38"/>
        <v>#DIV/0!</v>
      </c>
      <c r="J90" s="169" t="e">
        <f t="shared" si="38"/>
        <v>#DIV/0!</v>
      </c>
      <c r="K90" s="183" t="e">
        <f t="shared" si="38"/>
        <v>#DIV/0!</v>
      </c>
      <c r="L90" s="452"/>
      <c r="M90" s="184" t="e">
        <f>RANK(K90, K$87:$K$101)</f>
        <v>#DIV/0!</v>
      </c>
      <c r="N90" s="454"/>
      <c r="O90" s="454"/>
      <c r="P90" s="185"/>
      <c r="Q90" s="183"/>
      <c r="R90" s="183"/>
      <c r="S90" s="185" t="e">
        <f t="shared" si="39"/>
        <v>#N/A</v>
      </c>
      <c r="T90" s="452"/>
      <c r="U90" s="185"/>
      <c r="V90" s="183"/>
      <c r="W90" s="183"/>
      <c r="X90" s="185" t="e">
        <f t="shared" si="40"/>
        <v>#N/A</v>
      </c>
      <c r="Y90" s="452"/>
      <c r="Z90" s="185"/>
      <c r="AA90" s="183"/>
      <c r="AB90" s="183"/>
      <c r="AC90" s="185" t="e">
        <f t="shared" si="41"/>
        <v>#N/A</v>
      </c>
      <c r="AD90" s="452"/>
      <c r="AE90" s="185"/>
      <c r="AF90" s="183"/>
      <c r="AG90" s="183"/>
      <c r="AH90" s="185" t="e">
        <f t="shared" si="42"/>
        <v>#N/A</v>
      </c>
      <c r="AI90" s="452"/>
      <c r="AJ90" s="185"/>
      <c r="AK90" s="183"/>
      <c r="AL90" s="183"/>
      <c r="AM90" s="185" t="e">
        <f t="shared" si="43"/>
        <v>#N/A</v>
      </c>
      <c r="AN90" s="452"/>
      <c r="AO90" s="185"/>
      <c r="AP90" s="183"/>
      <c r="AQ90" s="183"/>
      <c r="AR90" s="185" t="e">
        <f t="shared" si="44"/>
        <v>#N/A</v>
      </c>
      <c r="AS90" s="452"/>
      <c r="AT90" s="185"/>
      <c r="AU90" s="183"/>
      <c r="AV90" s="183"/>
      <c r="AW90" s="185" t="e">
        <f t="shared" si="45"/>
        <v>#N/A</v>
      </c>
      <c r="AX90" s="494"/>
    </row>
    <row r="91" spans="2:50">
      <c r="B91" s="471"/>
      <c r="C91" s="185">
        <v>5</v>
      </c>
      <c r="D91" s="206"/>
      <c r="E91" s="169"/>
      <c r="F91" s="185"/>
      <c r="G91" s="183"/>
      <c r="H91" s="452"/>
      <c r="I91" s="169" t="e">
        <f t="shared" si="38"/>
        <v>#DIV/0!</v>
      </c>
      <c r="J91" s="169" t="e">
        <f t="shared" si="38"/>
        <v>#DIV/0!</v>
      </c>
      <c r="K91" s="183" t="e">
        <f t="shared" si="38"/>
        <v>#DIV/0!</v>
      </c>
      <c r="L91" s="452"/>
      <c r="M91" s="184" t="e">
        <f>RANK(K91, K$87:$K$101)</f>
        <v>#DIV/0!</v>
      </c>
      <c r="N91" s="454"/>
      <c r="O91" s="454"/>
      <c r="P91" s="185"/>
      <c r="Q91" s="183"/>
      <c r="R91" s="183"/>
      <c r="S91" s="185" t="e">
        <f t="shared" si="39"/>
        <v>#N/A</v>
      </c>
      <c r="T91" s="452"/>
      <c r="U91" s="185"/>
      <c r="V91" s="183"/>
      <c r="W91" s="183"/>
      <c r="X91" s="185" t="e">
        <f t="shared" si="40"/>
        <v>#N/A</v>
      </c>
      <c r="Y91" s="452"/>
      <c r="Z91" s="185"/>
      <c r="AA91" s="183"/>
      <c r="AB91" s="183"/>
      <c r="AC91" s="185" t="e">
        <f t="shared" si="41"/>
        <v>#N/A</v>
      </c>
      <c r="AD91" s="452"/>
      <c r="AE91" s="185"/>
      <c r="AF91" s="183"/>
      <c r="AG91" s="183"/>
      <c r="AH91" s="185" t="e">
        <f t="shared" si="42"/>
        <v>#N/A</v>
      </c>
      <c r="AI91" s="452"/>
      <c r="AJ91" s="185"/>
      <c r="AK91" s="183"/>
      <c r="AL91" s="183"/>
      <c r="AM91" s="185" t="e">
        <f t="shared" si="43"/>
        <v>#N/A</v>
      </c>
      <c r="AN91" s="452"/>
      <c r="AO91" s="185"/>
      <c r="AP91" s="183"/>
      <c r="AQ91" s="183"/>
      <c r="AR91" s="185" t="e">
        <f t="shared" si="44"/>
        <v>#N/A</v>
      </c>
      <c r="AS91" s="452"/>
      <c r="AT91" s="185"/>
      <c r="AU91" s="183"/>
      <c r="AV91" s="183"/>
      <c r="AW91" s="185" t="e">
        <f t="shared" si="45"/>
        <v>#N/A</v>
      </c>
      <c r="AX91" s="494"/>
    </row>
    <row r="92" spans="2:50">
      <c r="B92" s="471"/>
      <c r="C92" s="185">
        <v>6</v>
      </c>
      <c r="D92" s="206"/>
      <c r="E92" s="169"/>
      <c r="F92" s="185"/>
      <c r="G92" s="183"/>
      <c r="H92" s="452"/>
      <c r="I92" s="169"/>
      <c r="J92" s="169"/>
      <c r="K92" s="183"/>
      <c r="L92" s="452"/>
      <c r="M92" s="184" t="e">
        <f>RANK(K92, K$87:$K$101)</f>
        <v>#DIV/0!</v>
      </c>
      <c r="N92" s="454"/>
      <c r="O92" s="454"/>
      <c r="P92" s="185"/>
      <c r="Q92" s="183"/>
      <c r="R92" s="183"/>
      <c r="S92" s="185" t="e">
        <f t="shared" si="39"/>
        <v>#N/A</v>
      </c>
      <c r="T92" s="452"/>
      <c r="U92" s="185"/>
      <c r="V92" s="183"/>
      <c r="W92" s="183"/>
      <c r="X92" s="185" t="e">
        <f t="shared" si="40"/>
        <v>#N/A</v>
      </c>
      <c r="Y92" s="452"/>
      <c r="Z92" s="185"/>
      <c r="AA92" s="183"/>
      <c r="AB92" s="183"/>
      <c r="AC92" s="185" t="e">
        <f t="shared" si="41"/>
        <v>#N/A</v>
      </c>
      <c r="AD92" s="452"/>
      <c r="AE92" s="185"/>
      <c r="AF92" s="183"/>
      <c r="AG92" s="183"/>
      <c r="AH92" s="185" t="e">
        <f t="shared" si="42"/>
        <v>#N/A</v>
      </c>
      <c r="AI92" s="452"/>
      <c r="AJ92" s="185"/>
      <c r="AK92" s="183"/>
      <c r="AL92" s="183"/>
      <c r="AM92" s="185" t="e">
        <f t="shared" si="43"/>
        <v>#N/A</v>
      </c>
      <c r="AN92" s="452"/>
      <c r="AO92" s="185"/>
      <c r="AP92" s="183"/>
      <c r="AQ92" s="183"/>
      <c r="AR92" s="185" t="e">
        <f t="shared" si="44"/>
        <v>#N/A</v>
      </c>
      <c r="AS92" s="452"/>
      <c r="AT92" s="185"/>
      <c r="AU92" s="183"/>
      <c r="AV92" s="183"/>
      <c r="AW92" s="185" t="e">
        <f t="shared" si="45"/>
        <v>#N/A</v>
      </c>
      <c r="AX92" s="494"/>
    </row>
    <row r="93" spans="2:50">
      <c r="B93" s="471"/>
      <c r="C93" s="185">
        <v>7</v>
      </c>
      <c r="D93" s="206"/>
      <c r="E93" s="169"/>
      <c r="F93" s="185"/>
      <c r="G93" s="183"/>
      <c r="H93" s="452"/>
      <c r="I93" s="169"/>
      <c r="J93" s="169"/>
      <c r="K93" s="183"/>
      <c r="L93" s="452"/>
      <c r="M93" s="184" t="e">
        <f>RANK(K93, K$87:$K$101)</f>
        <v>#DIV/0!</v>
      </c>
      <c r="N93" s="454"/>
      <c r="O93" s="454"/>
      <c r="P93" s="185"/>
      <c r="Q93" s="183"/>
      <c r="R93" s="183"/>
      <c r="S93" s="185" t="e">
        <f t="shared" si="39"/>
        <v>#N/A</v>
      </c>
      <c r="T93" s="452"/>
      <c r="U93" s="185"/>
      <c r="V93" s="183"/>
      <c r="W93" s="183"/>
      <c r="X93" s="185" t="e">
        <f t="shared" si="40"/>
        <v>#N/A</v>
      </c>
      <c r="Y93" s="452"/>
      <c r="Z93" s="185"/>
      <c r="AA93" s="183"/>
      <c r="AB93" s="183"/>
      <c r="AC93" s="185" t="e">
        <f t="shared" si="41"/>
        <v>#N/A</v>
      </c>
      <c r="AD93" s="452"/>
      <c r="AE93" s="185"/>
      <c r="AF93" s="183"/>
      <c r="AG93" s="183"/>
      <c r="AH93" s="185" t="e">
        <f t="shared" si="42"/>
        <v>#N/A</v>
      </c>
      <c r="AI93" s="452"/>
      <c r="AJ93" s="185"/>
      <c r="AK93" s="183"/>
      <c r="AL93" s="183"/>
      <c r="AM93" s="185" t="e">
        <f t="shared" si="43"/>
        <v>#N/A</v>
      </c>
      <c r="AN93" s="452"/>
      <c r="AO93" s="185"/>
      <c r="AP93" s="183"/>
      <c r="AQ93" s="183"/>
      <c r="AR93" s="185" t="e">
        <f t="shared" si="44"/>
        <v>#N/A</v>
      </c>
      <c r="AS93" s="452"/>
      <c r="AT93" s="185"/>
      <c r="AU93" s="183"/>
      <c r="AV93" s="183"/>
      <c r="AW93" s="185" t="e">
        <f t="shared" si="45"/>
        <v>#N/A</v>
      </c>
      <c r="AX93" s="494"/>
    </row>
    <row r="94" spans="2:50">
      <c r="B94" s="471"/>
      <c r="C94" s="185">
        <v>8</v>
      </c>
      <c r="D94" s="206"/>
      <c r="E94" s="169"/>
      <c r="F94" s="185"/>
      <c r="G94" s="183"/>
      <c r="H94" s="452"/>
      <c r="I94" s="169"/>
      <c r="J94" s="169"/>
      <c r="K94" s="183"/>
      <c r="L94" s="452"/>
      <c r="M94" s="184" t="e">
        <f>RANK(K94, K$87:$K$101)</f>
        <v>#DIV/0!</v>
      </c>
      <c r="N94" s="454"/>
      <c r="O94" s="454"/>
      <c r="P94" s="185"/>
      <c r="Q94" s="183"/>
      <c r="R94" s="183"/>
      <c r="S94" s="185" t="e">
        <f t="shared" si="39"/>
        <v>#N/A</v>
      </c>
      <c r="T94" s="452"/>
      <c r="U94" s="185"/>
      <c r="V94" s="183"/>
      <c r="W94" s="183"/>
      <c r="X94" s="185" t="e">
        <f t="shared" si="40"/>
        <v>#N/A</v>
      </c>
      <c r="Y94" s="452"/>
      <c r="Z94" s="185"/>
      <c r="AA94" s="183"/>
      <c r="AB94" s="183"/>
      <c r="AC94" s="185" t="e">
        <f t="shared" si="41"/>
        <v>#N/A</v>
      </c>
      <c r="AD94" s="452"/>
      <c r="AE94" s="185"/>
      <c r="AF94" s="183"/>
      <c r="AG94" s="183"/>
      <c r="AH94" s="185" t="e">
        <f t="shared" si="42"/>
        <v>#N/A</v>
      </c>
      <c r="AI94" s="452"/>
      <c r="AJ94" s="185"/>
      <c r="AK94" s="183"/>
      <c r="AL94" s="183"/>
      <c r="AM94" s="185" t="e">
        <f t="shared" si="43"/>
        <v>#N/A</v>
      </c>
      <c r="AN94" s="452"/>
      <c r="AO94" s="185"/>
      <c r="AP94" s="183"/>
      <c r="AQ94" s="183"/>
      <c r="AR94" s="185" t="e">
        <f t="shared" si="44"/>
        <v>#N/A</v>
      </c>
      <c r="AS94" s="452"/>
      <c r="AT94" s="185"/>
      <c r="AU94" s="183"/>
      <c r="AV94" s="183"/>
      <c r="AW94" s="185" t="e">
        <f t="shared" si="45"/>
        <v>#N/A</v>
      </c>
      <c r="AX94" s="494"/>
    </row>
    <row r="95" spans="2:50">
      <c r="B95" s="471"/>
      <c r="C95" s="185">
        <v>9</v>
      </c>
      <c r="D95" s="206"/>
      <c r="E95" s="169"/>
      <c r="F95" s="185"/>
      <c r="G95" s="183"/>
      <c r="H95" s="452"/>
      <c r="I95" s="169"/>
      <c r="J95" s="169"/>
      <c r="K95" s="183"/>
      <c r="L95" s="452"/>
      <c r="M95" s="184" t="e">
        <f>RANK(K95, K$87:$K$101)</f>
        <v>#DIV/0!</v>
      </c>
      <c r="N95" s="454"/>
      <c r="O95" s="454"/>
      <c r="P95" s="185"/>
      <c r="Q95" s="183"/>
      <c r="R95" s="183"/>
      <c r="S95" s="185" t="e">
        <f t="shared" si="39"/>
        <v>#N/A</v>
      </c>
      <c r="T95" s="452"/>
      <c r="U95" s="185"/>
      <c r="V95" s="183"/>
      <c r="W95" s="183"/>
      <c r="X95" s="185" t="e">
        <f t="shared" si="40"/>
        <v>#N/A</v>
      </c>
      <c r="Y95" s="452"/>
      <c r="Z95" s="185"/>
      <c r="AA95" s="183"/>
      <c r="AB95" s="183"/>
      <c r="AC95" s="185" t="e">
        <f t="shared" si="41"/>
        <v>#N/A</v>
      </c>
      <c r="AD95" s="452"/>
      <c r="AE95" s="185"/>
      <c r="AF95" s="183"/>
      <c r="AG95" s="183"/>
      <c r="AH95" s="185" t="e">
        <f t="shared" si="42"/>
        <v>#N/A</v>
      </c>
      <c r="AI95" s="452"/>
      <c r="AJ95" s="185"/>
      <c r="AK95" s="183"/>
      <c r="AL95" s="183"/>
      <c r="AM95" s="185" t="e">
        <f t="shared" si="43"/>
        <v>#N/A</v>
      </c>
      <c r="AN95" s="452"/>
      <c r="AO95" s="185"/>
      <c r="AP95" s="183"/>
      <c r="AQ95" s="183"/>
      <c r="AR95" s="185" t="e">
        <f t="shared" si="44"/>
        <v>#N/A</v>
      </c>
      <c r="AS95" s="452"/>
      <c r="AT95" s="185"/>
      <c r="AU95" s="183"/>
      <c r="AV95" s="183"/>
      <c r="AW95" s="185" t="e">
        <f t="shared" si="45"/>
        <v>#N/A</v>
      </c>
      <c r="AX95" s="494"/>
    </row>
    <row r="96" spans="2:50">
      <c r="B96" s="471"/>
      <c r="C96" s="185">
        <v>10</v>
      </c>
      <c r="D96" s="206"/>
      <c r="E96" s="169"/>
      <c r="F96" s="185"/>
      <c r="G96" s="183"/>
      <c r="H96" s="452"/>
      <c r="I96" s="169"/>
      <c r="J96" s="169"/>
      <c r="K96" s="183"/>
      <c r="L96" s="452"/>
      <c r="M96" s="184" t="e">
        <f>RANK(K96, K$87:$K$101)</f>
        <v>#DIV/0!</v>
      </c>
      <c r="N96" s="454"/>
      <c r="O96" s="454"/>
      <c r="P96" s="185"/>
      <c r="Q96" s="185"/>
      <c r="R96" s="183"/>
      <c r="S96" s="185" t="e">
        <f t="shared" si="39"/>
        <v>#N/A</v>
      </c>
      <c r="T96" s="452"/>
      <c r="U96" s="185"/>
      <c r="V96" s="185"/>
      <c r="W96" s="183"/>
      <c r="X96" s="185" t="e">
        <f t="shared" si="40"/>
        <v>#N/A</v>
      </c>
      <c r="Y96" s="452"/>
      <c r="Z96" s="185"/>
      <c r="AA96" s="185"/>
      <c r="AB96" s="183"/>
      <c r="AC96" s="185" t="e">
        <f t="shared" si="41"/>
        <v>#N/A</v>
      </c>
      <c r="AD96" s="452"/>
      <c r="AE96" s="185"/>
      <c r="AF96" s="185"/>
      <c r="AG96" s="183"/>
      <c r="AH96" s="185" t="e">
        <f t="shared" si="42"/>
        <v>#N/A</v>
      </c>
      <c r="AI96" s="452"/>
      <c r="AJ96" s="185"/>
      <c r="AK96" s="185"/>
      <c r="AL96" s="183"/>
      <c r="AM96" s="185" t="e">
        <f t="shared" si="43"/>
        <v>#N/A</v>
      </c>
      <c r="AN96" s="452"/>
      <c r="AO96" s="185"/>
      <c r="AP96" s="185"/>
      <c r="AQ96" s="183"/>
      <c r="AR96" s="185" t="e">
        <f t="shared" si="44"/>
        <v>#N/A</v>
      </c>
      <c r="AS96" s="452"/>
      <c r="AT96" s="185"/>
      <c r="AU96" s="185"/>
      <c r="AV96" s="183"/>
      <c r="AW96" s="185" t="e">
        <f t="shared" si="45"/>
        <v>#N/A</v>
      </c>
      <c r="AX96" s="494"/>
    </row>
    <row r="97" spans="2:50">
      <c r="B97" s="471"/>
      <c r="C97" s="185">
        <v>11</v>
      </c>
      <c r="D97" s="206"/>
      <c r="E97" s="169"/>
      <c r="F97" s="185"/>
      <c r="G97" s="183"/>
      <c r="H97" s="452"/>
      <c r="I97" s="185"/>
      <c r="J97" s="185"/>
      <c r="K97" s="185"/>
      <c r="L97" s="452"/>
      <c r="M97" s="184" t="e">
        <f>RANK(K97, K$87:$K$101)</f>
        <v>#DIV/0!</v>
      </c>
      <c r="N97" s="454"/>
      <c r="O97" s="454"/>
      <c r="P97" s="185"/>
      <c r="Q97" s="185"/>
      <c r="R97" s="185"/>
      <c r="S97" s="185" t="e">
        <f t="shared" si="39"/>
        <v>#N/A</v>
      </c>
      <c r="T97" s="452"/>
      <c r="U97" s="185"/>
      <c r="V97" s="185"/>
      <c r="W97" s="185"/>
      <c r="X97" s="185" t="e">
        <f t="shared" si="40"/>
        <v>#N/A</v>
      </c>
      <c r="Y97" s="452"/>
      <c r="Z97" s="185"/>
      <c r="AA97" s="185"/>
      <c r="AB97" s="185"/>
      <c r="AC97" s="185" t="e">
        <f t="shared" si="41"/>
        <v>#N/A</v>
      </c>
      <c r="AD97" s="452"/>
      <c r="AE97" s="185"/>
      <c r="AF97" s="185"/>
      <c r="AG97" s="185"/>
      <c r="AH97" s="185" t="e">
        <f t="shared" si="42"/>
        <v>#N/A</v>
      </c>
      <c r="AI97" s="452"/>
      <c r="AJ97" s="185"/>
      <c r="AK97" s="185"/>
      <c r="AL97" s="185"/>
      <c r="AM97" s="185" t="e">
        <f t="shared" si="43"/>
        <v>#N/A</v>
      </c>
      <c r="AN97" s="452"/>
      <c r="AO97" s="185"/>
      <c r="AP97" s="185"/>
      <c r="AQ97" s="185"/>
      <c r="AR97" s="185" t="e">
        <f t="shared" si="44"/>
        <v>#N/A</v>
      </c>
      <c r="AS97" s="452"/>
      <c r="AT97" s="185"/>
      <c r="AU97" s="185"/>
      <c r="AV97" s="185"/>
      <c r="AW97" s="185" t="e">
        <f t="shared" si="45"/>
        <v>#N/A</v>
      </c>
      <c r="AX97" s="494"/>
    </row>
    <row r="98" spans="2:50">
      <c r="B98" s="471"/>
      <c r="C98" s="185">
        <v>12</v>
      </c>
      <c r="D98" s="206"/>
      <c r="E98" s="169"/>
      <c r="F98" s="185"/>
      <c r="G98" s="183"/>
      <c r="H98" s="452"/>
      <c r="I98" s="185"/>
      <c r="J98" s="185"/>
      <c r="K98" s="185"/>
      <c r="L98" s="452"/>
      <c r="M98" s="184" t="e">
        <f>RANK(K98, K$87:$K$101)</f>
        <v>#DIV/0!</v>
      </c>
      <c r="N98" s="454"/>
      <c r="O98" s="454"/>
      <c r="P98" s="185"/>
      <c r="Q98" s="185"/>
      <c r="R98" s="185"/>
      <c r="S98" s="185" t="e">
        <f t="shared" si="39"/>
        <v>#N/A</v>
      </c>
      <c r="T98" s="452"/>
      <c r="U98" s="185"/>
      <c r="V98" s="185"/>
      <c r="W98" s="185"/>
      <c r="X98" s="185" t="e">
        <f t="shared" si="40"/>
        <v>#N/A</v>
      </c>
      <c r="Y98" s="452"/>
      <c r="Z98" s="185"/>
      <c r="AA98" s="185"/>
      <c r="AB98" s="185"/>
      <c r="AC98" s="185" t="e">
        <f t="shared" si="41"/>
        <v>#N/A</v>
      </c>
      <c r="AD98" s="452"/>
      <c r="AE98" s="185"/>
      <c r="AF98" s="185"/>
      <c r="AG98" s="185"/>
      <c r="AH98" s="185" t="e">
        <f t="shared" si="42"/>
        <v>#N/A</v>
      </c>
      <c r="AI98" s="452"/>
      <c r="AJ98" s="185"/>
      <c r="AK98" s="185"/>
      <c r="AL98" s="185"/>
      <c r="AM98" s="185" t="e">
        <f t="shared" si="43"/>
        <v>#N/A</v>
      </c>
      <c r="AN98" s="452"/>
      <c r="AO98" s="185"/>
      <c r="AP98" s="185"/>
      <c r="AQ98" s="185"/>
      <c r="AR98" s="185" t="e">
        <f t="shared" si="44"/>
        <v>#N/A</v>
      </c>
      <c r="AS98" s="452"/>
      <c r="AT98" s="185"/>
      <c r="AU98" s="185"/>
      <c r="AV98" s="185"/>
      <c r="AW98" s="185" t="e">
        <f t="shared" si="45"/>
        <v>#N/A</v>
      </c>
      <c r="AX98" s="494"/>
    </row>
    <row r="99" spans="2:50">
      <c r="B99" s="471"/>
      <c r="C99" s="185">
        <v>13</v>
      </c>
      <c r="D99" s="206"/>
      <c r="E99" s="169"/>
      <c r="F99" s="185"/>
      <c r="G99" s="183"/>
      <c r="H99" s="452"/>
      <c r="I99" s="185"/>
      <c r="J99" s="185"/>
      <c r="K99" s="185"/>
      <c r="L99" s="452"/>
      <c r="M99" s="184" t="e">
        <f>RANK(K99, K$87:$K$101)</f>
        <v>#DIV/0!</v>
      </c>
      <c r="N99" s="454"/>
      <c r="O99" s="454"/>
      <c r="P99" s="185"/>
      <c r="Q99" s="185"/>
      <c r="R99" s="185"/>
      <c r="S99" s="185" t="e">
        <f t="shared" si="39"/>
        <v>#N/A</v>
      </c>
      <c r="T99" s="452"/>
      <c r="U99" s="185"/>
      <c r="V99" s="185"/>
      <c r="W99" s="185"/>
      <c r="X99" s="185" t="e">
        <f t="shared" si="40"/>
        <v>#N/A</v>
      </c>
      <c r="Y99" s="452"/>
      <c r="Z99" s="185"/>
      <c r="AA99" s="185"/>
      <c r="AB99" s="185"/>
      <c r="AC99" s="185" t="e">
        <f t="shared" si="41"/>
        <v>#N/A</v>
      </c>
      <c r="AD99" s="452"/>
      <c r="AE99" s="185"/>
      <c r="AF99" s="185"/>
      <c r="AG99" s="185"/>
      <c r="AH99" s="185" t="e">
        <f t="shared" si="42"/>
        <v>#N/A</v>
      </c>
      <c r="AI99" s="452"/>
      <c r="AJ99" s="185"/>
      <c r="AK99" s="185"/>
      <c r="AL99" s="185"/>
      <c r="AM99" s="185" t="e">
        <f t="shared" si="43"/>
        <v>#N/A</v>
      </c>
      <c r="AN99" s="452"/>
      <c r="AO99" s="185"/>
      <c r="AP99" s="185"/>
      <c r="AQ99" s="185"/>
      <c r="AR99" s="185" t="e">
        <f t="shared" si="44"/>
        <v>#N/A</v>
      </c>
      <c r="AS99" s="452"/>
      <c r="AT99" s="185"/>
      <c r="AU99" s="185"/>
      <c r="AV99" s="185"/>
      <c r="AW99" s="185" t="e">
        <f t="shared" si="45"/>
        <v>#N/A</v>
      </c>
      <c r="AX99" s="494"/>
    </row>
    <row r="100" spans="2:50">
      <c r="B100" s="471"/>
      <c r="C100" s="185">
        <v>14</v>
      </c>
      <c r="D100" s="206"/>
      <c r="E100" s="169"/>
      <c r="F100" s="185"/>
      <c r="G100" s="183"/>
      <c r="H100" s="452"/>
      <c r="I100" s="185"/>
      <c r="J100" s="185"/>
      <c r="K100" s="185"/>
      <c r="L100" s="452"/>
      <c r="M100" s="184" t="e">
        <f>RANK(K100, K$87:$K$101)</f>
        <v>#DIV/0!</v>
      </c>
      <c r="N100" s="454"/>
      <c r="O100" s="454"/>
      <c r="P100" s="185"/>
      <c r="Q100" s="185"/>
      <c r="R100" s="185"/>
      <c r="S100" s="185" t="e">
        <f t="shared" si="39"/>
        <v>#N/A</v>
      </c>
      <c r="T100" s="452"/>
      <c r="U100" s="185"/>
      <c r="V100" s="185"/>
      <c r="W100" s="185"/>
      <c r="X100" s="185" t="e">
        <f t="shared" si="40"/>
        <v>#N/A</v>
      </c>
      <c r="Y100" s="452"/>
      <c r="Z100" s="185"/>
      <c r="AA100" s="185"/>
      <c r="AB100" s="185"/>
      <c r="AC100" s="185" t="e">
        <f t="shared" si="41"/>
        <v>#N/A</v>
      </c>
      <c r="AD100" s="452"/>
      <c r="AE100" s="185"/>
      <c r="AF100" s="185"/>
      <c r="AG100" s="185"/>
      <c r="AH100" s="185" t="e">
        <f t="shared" si="42"/>
        <v>#N/A</v>
      </c>
      <c r="AI100" s="452"/>
      <c r="AJ100" s="185"/>
      <c r="AK100" s="185"/>
      <c r="AL100" s="185"/>
      <c r="AM100" s="185" t="e">
        <f t="shared" si="43"/>
        <v>#N/A</v>
      </c>
      <c r="AN100" s="452"/>
      <c r="AO100" s="185"/>
      <c r="AP100" s="185"/>
      <c r="AQ100" s="185"/>
      <c r="AR100" s="185" t="e">
        <f t="shared" si="44"/>
        <v>#N/A</v>
      </c>
      <c r="AS100" s="452"/>
      <c r="AT100" s="185"/>
      <c r="AU100" s="185"/>
      <c r="AV100" s="185"/>
      <c r="AW100" s="185" t="e">
        <f t="shared" si="45"/>
        <v>#N/A</v>
      </c>
      <c r="AX100" s="494"/>
    </row>
    <row r="101" spans="2:50">
      <c r="B101" s="471"/>
      <c r="C101" s="185">
        <v>15</v>
      </c>
      <c r="D101" s="206"/>
      <c r="E101" s="169"/>
      <c r="F101" s="185"/>
      <c r="G101" s="183"/>
      <c r="H101" s="453"/>
      <c r="I101" s="185"/>
      <c r="J101" s="185"/>
      <c r="K101" s="185"/>
      <c r="L101" s="453"/>
      <c r="M101" s="169" t="e">
        <f>RANK(K101, K$87:$K$101)</f>
        <v>#DIV/0!</v>
      </c>
      <c r="N101" s="454"/>
      <c r="O101" s="454"/>
      <c r="P101" s="185"/>
      <c r="Q101" s="185"/>
      <c r="R101" s="185"/>
      <c r="S101" s="185" t="e">
        <f t="shared" si="39"/>
        <v>#N/A</v>
      </c>
      <c r="T101" s="453"/>
      <c r="U101" s="185"/>
      <c r="V101" s="185"/>
      <c r="W101" s="185"/>
      <c r="X101" s="185" t="e">
        <f t="shared" si="40"/>
        <v>#N/A</v>
      </c>
      <c r="Y101" s="453"/>
      <c r="Z101" s="185"/>
      <c r="AA101" s="185"/>
      <c r="AB101" s="185"/>
      <c r="AC101" s="185" t="e">
        <f t="shared" si="41"/>
        <v>#N/A</v>
      </c>
      <c r="AD101" s="453"/>
      <c r="AE101" s="185"/>
      <c r="AF101" s="185"/>
      <c r="AG101" s="185"/>
      <c r="AH101" s="185" t="e">
        <f t="shared" si="42"/>
        <v>#N/A</v>
      </c>
      <c r="AI101" s="453"/>
      <c r="AJ101" s="185"/>
      <c r="AK101" s="185"/>
      <c r="AL101" s="185"/>
      <c r="AM101" s="185" t="e">
        <f t="shared" si="43"/>
        <v>#N/A</v>
      </c>
      <c r="AN101" s="453"/>
      <c r="AO101" s="185"/>
      <c r="AP101" s="185"/>
      <c r="AQ101" s="185"/>
      <c r="AR101" s="185" t="e">
        <f t="shared" si="44"/>
        <v>#N/A</v>
      </c>
      <c r="AS101" s="453"/>
      <c r="AT101" s="185"/>
      <c r="AU101" s="185"/>
      <c r="AV101" s="185"/>
      <c r="AW101" s="185" t="e">
        <f t="shared" si="45"/>
        <v>#N/A</v>
      </c>
      <c r="AX101" s="494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54" t="s">
        <v>323</v>
      </c>
      <c r="C107" s="185">
        <v>1</v>
      </c>
      <c r="D107" s="206"/>
      <c r="E107" s="169"/>
      <c r="F107" s="185"/>
      <c r="G107" s="183"/>
      <c r="H107" s="451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51" t="str">
        <f>IFERROR(AVERAGE(K107:K121),"-")</f>
        <v>-</v>
      </c>
      <c r="M107" s="184" t="e">
        <f>RANK(K107, K$107:$K$121)</f>
        <v>#DIV/0!</v>
      </c>
      <c r="N107" s="454"/>
      <c r="O107" s="454"/>
      <c r="P107" s="169"/>
      <c r="Q107" s="183"/>
      <c r="R107" s="183"/>
      <c r="S107" s="185" t="e">
        <f>RANK(R107, R$107:R$121)</f>
        <v>#N/A</v>
      </c>
      <c r="T107" s="451" t="e">
        <f>AVERAGE(R107:R121)</f>
        <v>#DIV/0!</v>
      </c>
      <c r="U107" s="169"/>
      <c r="V107" s="183"/>
      <c r="W107" s="183"/>
      <c r="X107" s="185" t="e">
        <f>RANK(W107, W$107:W$121)</f>
        <v>#N/A</v>
      </c>
      <c r="Y107" s="451" t="e">
        <f>AVERAGE(W107:W121)</f>
        <v>#DIV/0!</v>
      </c>
      <c r="Z107" s="169"/>
      <c r="AA107" s="183"/>
      <c r="AB107" s="183"/>
      <c r="AC107" s="185" t="e">
        <f>RANK(AB107, AB$107:AB$121)</f>
        <v>#N/A</v>
      </c>
      <c r="AD107" s="451" t="e">
        <f>AVERAGE(AB107:AB121)</f>
        <v>#DIV/0!</v>
      </c>
      <c r="AE107" s="169"/>
      <c r="AF107" s="183"/>
      <c r="AG107" s="183"/>
      <c r="AH107" s="185" t="e">
        <f>RANK(AG107, AG$107:AG$121)</f>
        <v>#N/A</v>
      </c>
      <c r="AI107" s="451" t="e">
        <f>AVERAGE(AG107:AG121)</f>
        <v>#DIV/0!</v>
      </c>
      <c r="AJ107" s="169"/>
      <c r="AK107" s="183"/>
      <c r="AL107" s="183"/>
      <c r="AM107" s="185" t="e">
        <f>RANK(AL107, AL$107:AL$121)</f>
        <v>#N/A</v>
      </c>
      <c r="AN107" s="451" t="e">
        <f>AVERAGE(AL107:AL121)</f>
        <v>#DIV/0!</v>
      </c>
      <c r="AO107" s="169"/>
      <c r="AP107" s="183"/>
      <c r="AQ107" s="183"/>
      <c r="AR107" s="185" t="e">
        <f>RANK(AQ107, AQ$107:AQ$121)</f>
        <v>#N/A</v>
      </c>
      <c r="AS107" s="451" t="e">
        <f>AVERAGE(AQ107:AQ121)</f>
        <v>#DIV/0!</v>
      </c>
      <c r="AT107" s="169"/>
      <c r="AU107" s="183"/>
      <c r="AV107" s="183"/>
      <c r="AW107" s="185" t="e">
        <f>RANK(AV107, AV$107:AV$121)</f>
        <v>#N/A</v>
      </c>
      <c r="AX107" s="494" t="e">
        <f>AVERAGE(AV107:AV121)</f>
        <v>#DIV/0!</v>
      </c>
    </row>
    <row r="108" spans="2:50">
      <c r="B108" s="471"/>
      <c r="C108" s="185">
        <v>2</v>
      </c>
      <c r="D108" s="206"/>
      <c r="E108" s="169"/>
      <c r="F108" s="185"/>
      <c r="G108" s="183"/>
      <c r="H108" s="452"/>
      <c r="I108" s="169" t="e">
        <f t="shared" ref="I108:I110" si="46">AVERAGE(P108,U108,Z108,AE108,AJ108,AO108,AT108)</f>
        <v>#DIV/0!</v>
      </c>
      <c r="J108" s="169" t="e">
        <f t="shared" ref="J108:J110" si="47">AVERAGE(Q108,V108,AA108,AF108,AK108,AP108,AU108)</f>
        <v>#DIV/0!</v>
      </c>
      <c r="K108" s="183" t="e">
        <f t="shared" ref="K108:K110" si="48">AVERAGE(R108,W108,AB108,AG108,AL108,AQ108,AV108)</f>
        <v>#DIV/0!</v>
      </c>
      <c r="L108" s="452"/>
      <c r="M108" s="184" t="e">
        <f>RANK(K108, K$107:$K$121)</f>
        <v>#DIV/0!</v>
      </c>
      <c r="N108" s="454"/>
      <c r="O108" s="454"/>
      <c r="P108" s="185"/>
      <c r="Q108" s="183"/>
      <c r="R108" s="183"/>
      <c r="S108" s="185" t="e">
        <f t="shared" ref="S108:S121" si="49">RANK(R108, R$107:R$121)</f>
        <v>#N/A</v>
      </c>
      <c r="T108" s="452"/>
      <c r="U108" s="185"/>
      <c r="V108" s="183"/>
      <c r="W108" s="183"/>
      <c r="X108" s="185" t="e">
        <f t="shared" ref="X108:X121" si="50">RANK(W108, W$107:W$121)</f>
        <v>#N/A</v>
      </c>
      <c r="Y108" s="452"/>
      <c r="Z108" s="185"/>
      <c r="AA108" s="183"/>
      <c r="AB108" s="183"/>
      <c r="AC108" s="185" t="e">
        <f t="shared" ref="AC108:AC121" si="51">RANK(AB108, AB$107:AB$121)</f>
        <v>#N/A</v>
      </c>
      <c r="AD108" s="452"/>
      <c r="AE108" s="185"/>
      <c r="AF108" s="183"/>
      <c r="AG108" s="183"/>
      <c r="AH108" s="185" t="e">
        <f t="shared" ref="AH108:AH121" si="52">RANK(AG108, AG$107:AG$121)</f>
        <v>#N/A</v>
      </c>
      <c r="AI108" s="452"/>
      <c r="AJ108" s="185"/>
      <c r="AK108" s="183"/>
      <c r="AL108" s="183"/>
      <c r="AM108" s="185" t="e">
        <f t="shared" ref="AM108:AM121" si="53">RANK(AL108, AL$107:AL$121)</f>
        <v>#N/A</v>
      </c>
      <c r="AN108" s="452"/>
      <c r="AO108" s="185"/>
      <c r="AP108" s="183"/>
      <c r="AQ108" s="183"/>
      <c r="AR108" s="185" t="e">
        <f t="shared" ref="AR108:AR121" si="54">RANK(AQ108, AQ$107:AQ$121)</f>
        <v>#N/A</v>
      </c>
      <c r="AS108" s="452"/>
      <c r="AT108" s="185"/>
      <c r="AU108" s="183"/>
      <c r="AV108" s="183"/>
      <c r="AW108" s="185" t="e">
        <f t="shared" ref="AW108:AW121" si="55">RANK(AV108, AV$107:AV$121)</f>
        <v>#N/A</v>
      </c>
      <c r="AX108" s="494"/>
    </row>
    <row r="109" spans="2:50">
      <c r="B109" s="471"/>
      <c r="C109" s="185">
        <v>3</v>
      </c>
      <c r="D109" s="206"/>
      <c r="E109" s="169"/>
      <c r="F109" s="185"/>
      <c r="G109" s="183"/>
      <c r="H109" s="452"/>
      <c r="I109" s="169" t="e">
        <f t="shared" si="46"/>
        <v>#DIV/0!</v>
      </c>
      <c r="J109" s="169" t="e">
        <f t="shared" si="47"/>
        <v>#DIV/0!</v>
      </c>
      <c r="K109" s="183" t="e">
        <f t="shared" si="48"/>
        <v>#DIV/0!</v>
      </c>
      <c r="L109" s="452"/>
      <c r="M109" s="184" t="e">
        <f>RANK(K109, K$107:$K$121)</f>
        <v>#DIV/0!</v>
      </c>
      <c r="N109" s="454"/>
      <c r="O109" s="454"/>
      <c r="P109" s="185"/>
      <c r="Q109" s="183"/>
      <c r="R109" s="183"/>
      <c r="S109" s="185" t="e">
        <f t="shared" si="49"/>
        <v>#N/A</v>
      </c>
      <c r="T109" s="452"/>
      <c r="U109" s="185"/>
      <c r="V109" s="183"/>
      <c r="W109" s="183"/>
      <c r="X109" s="185" t="e">
        <f t="shared" si="50"/>
        <v>#N/A</v>
      </c>
      <c r="Y109" s="452"/>
      <c r="Z109" s="185"/>
      <c r="AA109" s="183"/>
      <c r="AB109" s="183"/>
      <c r="AC109" s="185" t="e">
        <f t="shared" si="51"/>
        <v>#N/A</v>
      </c>
      <c r="AD109" s="452"/>
      <c r="AE109" s="185"/>
      <c r="AF109" s="183"/>
      <c r="AG109" s="183"/>
      <c r="AH109" s="185" t="e">
        <f t="shared" si="52"/>
        <v>#N/A</v>
      </c>
      <c r="AI109" s="452"/>
      <c r="AJ109" s="185"/>
      <c r="AK109" s="183"/>
      <c r="AL109" s="183"/>
      <c r="AM109" s="185" t="e">
        <f t="shared" si="53"/>
        <v>#N/A</v>
      </c>
      <c r="AN109" s="452"/>
      <c r="AO109" s="185"/>
      <c r="AP109" s="183"/>
      <c r="AQ109" s="183"/>
      <c r="AR109" s="185" t="e">
        <f t="shared" si="54"/>
        <v>#N/A</v>
      </c>
      <c r="AS109" s="452"/>
      <c r="AT109" s="185"/>
      <c r="AU109" s="183"/>
      <c r="AV109" s="183"/>
      <c r="AW109" s="185" t="e">
        <f t="shared" si="55"/>
        <v>#N/A</v>
      </c>
      <c r="AX109" s="494"/>
    </row>
    <row r="110" spans="2:50">
      <c r="B110" s="471"/>
      <c r="C110" s="185">
        <v>4</v>
      </c>
      <c r="D110" s="206"/>
      <c r="E110" s="169"/>
      <c r="F110" s="185"/>
      <c r="G110" s="183"/>
      <c r="H110" s="452"/>
      <c r="I110" s="169" t="e">
        <f t="shared" si="46"/>
        <v>#DIV/0!</v>
      </c>
      <c r="J110" s="169" t="e">
        <f t="shared" si="47"/>
        <v>#DIV/0!</v>
      </c>
      <c r="K110" s="183" t="e">
        <f t="shared" si="48"/>
        <v>#DIV/0!</v>
      </c>
      <c r="L110" s="452"/>
      <c r="M110" s="184" t="e">
        <f>RANK(K110, K$107:$K$121)</f>
        <v>#DIV/0!</v>
      </c>
      <c r="N110" s="454"/>
      <c r="O110" s="454"/>
      <c r="P110" s="185"/>
      <c r="Q110" s="183"/>
      <c r="R110" s="183"/>
      <c r="S110" s="185" t="e">
        <f t="shared" si="49"/>
        <v>#N/A</v>
      </c>
      <c r="T110" s="452"/>
      <c r="U110" s="185"/>
      <c r="V110" s="183"/>
      <c r="W110" s="183"/>
      <c r="X110" s="185" t="e">
        <f t="shared" si="50"/>
        <v>#N/A</v>
      </c>
      <c r="Y110" s="452"/>
      <c r="Z110" s="185"/>
      <c r="AA110" s="183"/>
      <c r="AB110" s="183"/>
      <c r="AC110" s="185" t="e">
        <f t="shared" si="51"/>
        <v>#N/A</v>
      </c>
      <c r="AD110" s="452"/>
      <c r="AE110" s="185"/>
      <c r="AF110" s="183"/>
      <c r="AG110" s="183"/>
      <c r="AH110" s="185" t="e">
        <f t="shared" si="52"/>
        <v>#N/A</v>
      </c>
      <c r="AI110" s="452"/>
      <c r="AJ110" s="185"/>
      <c r="AK110" s="183"/>
      <c r="AL110" s="183"/>
      <c r="AM110" s="185" t="e">
        <f t="shared" si="53"/>
        <v>#N/A</v>
      </c>
      <c r="AN110" s="452"/>
      <c r="AO110" s="185"/>
      <c r="AP110" s="183"/>
      <c r="AQ110" s="183"/>
      <c r="AR110" s="185" t="e">
        <f t="shared" si="54"/>
        <v>#N/A</v>
      </c>
      <c r="AS110" s="452"/>
      <c r="AT110" s="185"/>
      <c r="AU110" s="183"/>
      <c r="AV110" s="183"/>
      <c r="AW110" s="185" t="e">
        <f t="shared" si="55"/>
        <v>#N/A</v>
      </c>
      <c r="AX110" s="494"/>
    </row>
    <row r="111" spans="2:50">
      <c r="B111" s="471"/>
      <c r="C111" s="185">
        <v>5</v>
      </c>
      <c r="D111" s="206"/>
      <c r="E111" s="169"/>
      <c r="F111" s="185"/>
      <c r="G111" s="183"/>
      <c r="H111" s="452"/>
      <c r="I111" s="169"/>
      <c r="J111" s="169"/>
      <c r="K111" s="183"/>
      <c r="L111" s="452"/>
      <c r="M111" s="184" t="e">
        <f>RANK(K111, K$107:$K$121)</f>
        <v>#DIV/0!</v>
      </c>
      <c r="N111" s="454"/>
      <c r="O111" s="454"/>
      <c r="P111" s="185"/>
      <c r="Q111" s="183"/>
      <c r="R111" s="183"/>
      <c r="S111" s="185" t="e">
        <f t="shared" si="49"/>
        <v>#N/A</v>
      </c>
      <c r="T111" s="452"/>
      <c r="U111" s="185"/>
      <c r="V111" s="183"/>
      <c r="W111" s="183"/>
      <c r="X111" s="185" t="e">
        <f t="shared" si="50"/>
        <v>#N/A</v>
      </c>
      <c r="Y111" s="452"/>
      <c r="Z111" s="185"/>
      <c r="AA111" s="183"/>
      <c r="AB111" s="183"/>
      <c r="AC111" s="185" t="e">
        <f t="shared" si="51"/>
        <v>#N/A</v>
      </c>
      <c r="AD111" s="452"/>
      <c r="AE111" s="185"/>
      <c r="AF111" s="183"/>
      <c r="AG111" s="183"/>
      <c r="AH111" s="185" t="e">
        <f t="shared" si="52"/>
        <v>#N/A</v>
      </c>
      <c r="AI111" s="452"/>
      <c r="AJ111" s="185"/>
      <c r="AK111" s="183"/>
      <c r="AL111" s="183"/>
      <c r="AM111" s="185" t="e">
        <f t="shared" si="53"/>
        <v>#N/A</v>
      </c>
      <c r="AN111" s="452"/>
      <c r="AO111" s="185"/>
      <c r="AP111" s="183"/>
      <c r="AQ111" s="183"/>
      <c r="AR111" s="185" t="e">
        <f t="shared" si="54"/>
        <v>#N/A</v>
      </c>
      <c r="AS111" s="452"/>
      <c r="AT111" s="185"/>
      <c r="AU111" s="183"/>
      <c r="AV111" s="183"/>
      <c r="AW111" s="185" t="e">
        <f t="shared" si="55"/>
        <v>#N/A</v>
      </c>
      <c r="AX111" s="494"/>
    </row>
    <row r="112" spans="2:50">
      <c r="B112" s="471"/>
      <c r="C112" s="185">
        <v>6</v>
      </c>
      <c r="D112" s="206"/>
      <c r="E112" s="169"/>
      <c r="F112" s="185"/>
      <c r="G112" s="183"/>
      <c r="H112" s="452"/>
      <c r="I112" s="169"/>
      <c r="J112" s="169"/>
      <c r="K112" s="183"/>
      <c r="L112" s="452"/>
      <c r="M112" s="184" t="e">
        <f>RANK(K112, K$107:$K$121)</f>
        <v>#DIV/0!</v>
      </c>
      <c r="N112" s="454"/>
      <c r="O112" s="454"/>
      <c r="P112" s="185"/>
      <c r="Q112" s="183"/>
      <c r="R112" s="183"/>
      <c r="S112" s="185" t="e">
        <f t="shared" si="49"/>
        <v>#N/A</v>
      </c>
      <c r="T112" s="452"/>
      <c r="U112" s="185"/>
      <c r="V112" s="183"/>
      <c r="W112" s="183"/>
      <c r="X112" s="185" t="e">
        <f t="shared" si="50"/>
        <v>#N/A</v>
      </c>
      <c r="Y112" s="452"/>
      <c r="Z112" s="185"/>
      <c r="AA112" s="183"/>
      <c r="AB112" s="183"/>
      <c r="AC112" s="185" t="e">
        <f t="shared" si="51"/>
        <v>#N/A</v>
      </c>
      <c r="AD112" s="452"/>
      <c r="AE112" s="185"/>
      <c r="AF112" s="183"/>
      <c r="AG112" s="183"/>
      <c r="AH112" s="185" t="e">
        <f t="shared" si="52"/>
        <v>#N/A</v>
      </c>
      <c r="AI112" s="452"/>
      <c r="AJ112" s="185"/>
      <c r="AK112" s="183"/>
      <c r="AL112" s="183"/>
      <c r="AM112" s="185" t="e">
        <f t="shared" si="53"/>
        <v>#N/A</v>
      </c>
      <c r="AN112" s="452"/>
      <c r="AO112" s="185"/>
      <c r="AP112" s="183"/>
      <c r="AQ112" s="183"/>
      <c r="AR112" s="185" t="e">
        <f t="shared" si="54"/>
        <v>#N/A</v>
      </c>
      <c r="AS112" s="452"/>
      <c r="AT112" s="185"/>
      <c r="AU112" s="183"/>
      <c r="AV112" s="183"/>
      <c r="AW112" s="185" t="e">
        <f t="shared" si="55"/>
        <v>#N/A</v>
      </c>
      <c r="AX112" s="494"/>
    </row>
    <row r="113" spans="2:50">
      <c r="B113" s="471"/>
      <c r="C113" s="185">
        <v>7</v>
      </c>
      <c r="D113" s="206"/>
      <c r="E113" s="169"/>
      <c r="F113" s="185"/>
      <c r="G113" s="183"/>
      <c r="H113" s="452"/>
      <c r="I113" s="169"/>
      <c r="J113" s="169"/>
      <c r="K113" s="183"/>
      <c r="L113" s="452"/>
      <c r="M113" s="184" t="e">
        <f>RANK(K113, K$107:$K$121)</f>
        <v>#DIV/0!</v>
      </c>
      <c r="N113" s="454"/>
      <c r="O113" s="454"/>
      <c r="P113" s="185"/>
      <c r="Q113" s="183"/>
      <c r="R113" s="183"/>
      <c r="S113" s="185" t="e">
        <f t="shared" si="49"/>
        <v>#N/A</v>
      </c>
      <c r="T113" s="452"/>
      <c r="U113" s="185"/>
      <c r="V113" s="183"/>
      <c r="W113" s="183"/>
      <c r="X113" s="185" t="e">
        <f t="shared" si="50"/>
        <v>#N/A</v>
      </c>
      <c r="Y113" s="452"/>
      <c r="Z113" s="185"/>
      <c r="AA113" s="183"/>
      <c r="AB113" s="183"/>
      <c r="AC113" s="185" t="e">
        <f t="shared" si="51"/>
        <v>#N/A</v>
      </c>
      <c r="AD113" s="452"/>
      <c r="AE113" s="185"/>
      <c r="AF113" s="183"/>
      <c r="AG113" s="183"/>
      <c r="AH113" s="185" t="e">
        <f t="shared" si="52"/>
        <v>#N/A</v>
      </c>
      <c r="AI113" s="452"/>
      <c r="AJ113" s="185"/>
      <c r="AK113" s="183"/>
      <c r="AL113" s="183"/>
      <c r="AM113" s="185" t="e">
        <f t="shared" si="53"/>
        <v>#N/A</v>
      </c>
      <c r="AN113" s="452"/>
      <c r="AO113" s="185"/>
      <c r="AP113" s="183"/>
      <c r="AQ113" s="183"/>
      <c r="AR113" s="185" t="e">
        <f t="shared" si="54"/>
        <v>#N/A</v>
      </c>
      <c r="AS113" s="452"/>
      <c r="AT113" s="185"/>
      <c r="AU113" s="183"/>
      <c r="AV113" s="183"/>
      <c r="AW113" s="185" t="e">
        <f t="shared" si="55"/>
        <v>#N/A</v>
      </c>
      <c r="AX113" s="494"/>
    </row>
    <row r="114" spans="2:50">
      <c r="B114" s="471"/>
      <c r="C114" s="185">
        <v>8</v>
      </c>
      <c r="D114" s="206"/>
      <c r="E114" s="169"/>
      <c r="F114" s="185"/>
      <c r="G114" s="183"/>
      <c r="H114" s="452"/>
      <c r="I114" s="169"/>
      <c r="J114" s="169"/>
      <c r="K114" s="183"/>
      <c r="L114" s="452"/>
      <c r="M114" s="184" t="e">
        <f>RANK(K114, K$107:$K$121)</f>
        <v>#DIV/0!</v>
      </c>
      <c r="N114" s="454"/>
      <c r="O114" s="454"/>
      <c r="P114" s="185"/>
      <c r="Q114" s="183"/>
      <c r="R114" s="183"/>
      <c r="S114" s="185" t="e">
        <f t="shared" si="49"/>
        <v>#N/A</v>
      </c>
      <c r="T114" s="452"/>
      <c r="U114" s="185"/>
      <c r="V114" s="183"/>
      <c r="W114" s="183"/>
      <c r="X114" s="185" t="e">
        <f t="shared" si="50"/>
        <v>#N/A</v>
      </c>
      <c r="Y114" s="452"/>
      <c r="Z114" s="185"/>
      <c r="AA114" s="183"/>
      <c r="AB114" s="183"/>
      <c r="AC114" s="185" t="e">
        <f t="shared" si="51"/>
        <v>#N/A</v>
      </c>
      <c r="AD114" s="452"/>
      <c r="AE114" s="185"/>
      <c r="AF114" s="183"/>
      <c r="AG114" s="183"/>
      <c r="AH114" s="185" t="e">
        <f t="shared" si="52"/>
        <v>#N/A</v>
      </c>
      <c r="AI114" s="452"/>
      <c r="AJ114" s="185"/>
      <c r="AK114" s="183"/>
      <c r="AL114" s="183"/>
      <c r="AM114" s="185" t="e">
        <f t="shared" si="53"/>
        <v>#N/A</v>
      </c>
      <c r="AN114" s="452"/>
      <c r="AO114" s="185"/>
      <c r="AP114" s="183"/>
      <c r="AQ114" s="183"/>
      <c r="AR114" s="185" t="e">
        <f t="shared" si="54"/>
        <v>#N/A</v>
      </c>
      <c r="AS114" s="452"/>
      <c r="AT114" s="185"/>
      <c r="AU114" s="183"/>
      <c r="AV114" s="183"/>
      <c r="AW114" s="185" t="e">
        <f t="shared" si="55"/>
        <v>#N/A</v>
      </c>
      <c r="AX114" s="494"/>
    </row>
    <row r="115" spans="2:50">
      <c r="B115" s="471"/>
      <c r="C115" s="185">
        <v>9</v>
      </c>
      <c r="D115" s="206"/>
      <c r="E115" s="169"/>
      <c r="F115" s="185"/>
      <c r="G115" s="183"/>
      <c r="H115" s="452"/>
      <c r="I115" s="169"/>
      <c r="J115" s="169"/>
      <c r="K115" s="183"/>
      <c r="L115" s="452"/>
      <c r="M115" s="184" t="e">
        <f>RANK(K115, K$107:$K$121)</f>
        <v>#DIV/0!</v>
      </c>
      <c r="N115" s="454"/>
      <c r="O115" s="454"/>
      <c r="P115" s="185"/>
      <c r="Q115" s="183"/>
      <c r="R115" s="183"/>
      <c r="S115" s="185" t="e">
        <f t="shared" si="49"/>
        <v>#N/A</v>
      </c>
      <c r="T115" s="452"/>
      <c r="U115" s="185"/>
      <c r="V115" s="183"/>
      <c r="W115" s="183"/>
      <c r="X115" s="185" t="e">
        <f t="shared" si="50"/>
        <v>#N/A</v>
      </c>
      <c r="Y115" s="452"/>
      <c r="Z115" s="185"/>
      <c r="AA115" s="183"/>
      <c r="AB115" s="183"/>
      <c r="AC115" s="185" t="e">
        <f t="shared" si="51"/>
        <v>#N/A</v>
      </c>
      <c r="AD115" s="452"/>
      <c r="AE115" s="185"/>
      <c r="AF115" s="183"/>
      <c r="AG115" s="183"/>
      <c r="AH115" s="185" t="e">
        <f t="shared" si="52"/>
        <v>#N/A</v>
      </c>
      <c r="AI115" s="452"/>
      <c r="AJ115" s="185"/>
      <c r="AK115" s="183"/>
      <c r="AL115" s="183"/>
      <c r="AM115" s="185" t="e">
        <f t="shared" si="53"/>
        <v>#N/A</v>
      </c>
      <c r="AN115" s="452"/>
      <c r="AO115" s="185"/>
      <c r="AP115" s="183"/>
      <c r="AQ115" s="183"/>
      <c r="AR115" s="185" t="e">
        <f t="shared" si="54"/>
        <v>#N/A</v>
      </c>
      <c r="AS115" s="452"/>
      <c r="AT115" s="185"/>
      <c r="AU115" s="183"/>
      <c r="AV115" s="183"/>
      <c r="AW115" s="185" t="e">
        <f t="shared" si="55"/>
        <v>#N/A</v>
      </c>
      <c r="AX115" s="494"/>
    </row>
    <row r="116" spans="2:50">
      <c r="B116" s="471"/>
      <c r="C116" s="185">
        <v>10</v>
      </c>
      <c r="D116" s="206"/>
      <c r="E116" s="169"/>
      <c r="F116" s="185"/>
      <c r="G116" s="183"/>
      <c r="H116" s="452"/>
      <c r="I116" s="169"/>
      <c r="J116" s="169"/>
      <c r="K116" s="183"/>
      <c r="L116" s="452"/>
      <c r="M116" s="184" t="e">
        <f>RANK(K116, K$107:$K$121)</f>
        <v>#DIV/0!</v>
      </c>
      <c r="N116" s="454"/>
      <c r="O116" s="454"/>
      <c r="P116" s="185"/>
      <c r="Q116" s="185"/>
      <c r="R116" s="183"/>
      <c r="S116" s="185" t="e">
        <f t="shared" si="49"/>
        <v>#N/A</v>
      </c>
      <c r="T116" s="452"/>
      <c r="U116" s="185"/>
      <c r="V116" s="185"/>
      <c r="W116" s="183"/>
      <c r="X116" s="185" t="e">
        <f t="shared" si="50"/>
        <v>#N/A</v>
      </c>
      <c r="Y116" s="452"/>
      <c r="Z116" s="185"/>
      <c r="AA116" s="185"/>
      <c r="AB116" s="183"/>
      <c r="AC116" s="185" t="e">
        <f t="shared" si="51"/>
        <v>#N/A</v>
      </c>
      <c r="AD116" s="452"/>
      <c r="AE116" s="185"/>
      <c r="AF116" s="185"/>
      <c r="AG116" s="183"/>
      <c r="AH116" s="185" t="e">
        <f t="shared" si="52"/>
        <v>#N/A</v>
      </c>
      <c r="AI116" s="452"/>
      <c r="AJ116" s="185"/>
      <c r="AK116" s="185"/>
      <c r="AL116" s="183"/>
      <c r="AM116" s="185" t="e">
        <f t="shared" si="53"/>
        <v>#N/A</v>
      </c>
      <c r="AN116" s="452"/>
      <c r="AO116" s="185"/>
      <c r="AP116" s="185"/>
      <c r="AQ116" s="183"/>
      <c r="AR116" s="185" t="e">
        <f t="shared" si="54"/>
        <v>#N/A</v>
      </c>
      <c r="AS116" s="452"/>
      <c r="AT116" s="185"/>
      <c r="AU116" s="185"/>
      <c r="AV116" s="183"/>
      <c r="AW116" s="185" t="e">
        <f t="shared" si="55"/>
        <v>#N/A</v>
      </c>
      <c r="AX116" s="494"/>
    </row>
    <row r="117" spans="2:50">
      <c r="B117" s="471"/>
      <c r="C117" s="185">
        <v>11</v>
      </c>
      <c r="D117" s="206"/>
      <c r="E117" s="169"/>
      <c r="F117" s="185"/>
      <c r="G117" s="183"/>
      <c r="H117" s="452"/>
      <c r="I117" s="185"/>
      <c r="J117" s="185"/>
      <c r="K117" s="185"/>
      <c r="L117" s="452"/>
      <c r="M117" s="184" t="e">
        <f>RANK(K117, K$107:$K$121)</f>
        <v>#DIV/0!</v>
      </c>
      <c r="N117" s="454"/>
      <c r="O117" s="454"/>
      <c r="P117" s="185"/>
      <c r="Q117" s="185"/>
      <c r="R117" s="185"/>
      <c r="S117" s="185" t="e">
        <f t="shared" si="49"/>
        <v>#N/A</v>
      </c>
      <c r="T117" s="452"/>
      <c r="U117" s="185"/>
      <c r="V117" s="185"/>
      <c r="W117" s="185"/>
      <c r="X117" s="185" t="e">
        <f t="shared" si="50"/>
        <v>#N/A</v>
      </c>
      <c r="Y117" s="452"/>
      <c r="Z117" s="185"/>
      <c r="AA117" s="185"/>
      <c r="AB117" s="185"/>
      <c r="AC117" s="185" t="e">
        <f t="shared" si="51"/>
        <v>#N/A</v>
      </c>
      <c r="AD117" s="452"/>
      <c r="AE117" s="185"/>
      <c r="AF117" s="185"/>
      <c r="AG117" s="185"/>
      <c r="AH117" s="185" t="e">
        <f t="shared" si="52"/>
        <v>#N/A</v>
      </c>
      <c r="AI117" s="452"/>
      <c r="AJ117" s="185"/>
      <c r="AK117" s="185"/>
      <c r="AL117" s="185"/>
      <c r="AM117" s="185" t="e">
        <f t="shared" si="53"/>
        <v>#N/A</v>
      </c>
      <c r="AN117" s="452"/>
      <c r="AO117" s="185"/>
      <c r="AP117" s="185"/>
      <c r="AQ117" s="185"/>
      <c r="AR117" s="185" t="e">
        <f t="shared" si="54"/>
        <v>#N/A</v>
      </c>
      <c r="AS117" s="452"/>
      <c r="AT117" s="185"/>
      <c r="AU117" s="185"/>
      <c r="AV117" s="185"/>
      <c r="AW117" s="185" t="e">
        <f t="shared" si="55"/>
        <v>#N/A</v>
      </c>
      <c r="AX117" s="494"/>
    </row>
    <row r="118" spans="2:50">
      <c r="B118" s="471"/>
      <c r="C118" s="185">
        <v>12</v>
      </c>
      <c r="D118" s="206"/>
      <c r="E118" s="169"/>
      <c r="F118" s="185"/>
      <c r="G118" s="183"/>
      <c r="H118" s="452"/>
      <c r="I118" s="185"/>
      <c r="J118" s="185"/>
      <c r="K118" s="185"/>
      <c r="L118" s="452"/>
      <c r="M118" s="184" t="e">
        <f>RANK(K118, K$107:$K$121)</f>
        <v>#DIV/0!</v>
      </c>
      <c r="N118" s="454"/>
      <c r="O118" s="454"/>
      <c r="P118" s="185"/>
      <c r="Q118" s="185"/>
      <c r="R118" s="185"/>
      <c r="S118" s="185" t="e">
        <f t="shared" si="49"/>
        <v>#N/A</v>
      </c>
      <c r="T118" s="452"/>
      <c r="U118" s="185"/>
      <c r="V118" s="185"/>
      <c r="W118" s="185"/>
      <c r="X118" s="185" t="e">
        <f t="shared" si="50"/>
        <v>#N/A</v>
      </c>
      <c r="Y118" s="452"/>
      <c r="Z118" s="185"/>
      <c r="AA118" s="185"/>
      <c r="AB118" s="185"/>
      <c r="AC118" s="185" t="e">
        <f t="shared" si="51"/>
        <v>#N/A</v>
      </c>
      <c r="AD118" s="452"/>
      <c r="AE118" s="185"/>
      <c r="AF118" s="185"/>
      <c r="AG118" s="185"/>
      <c r="AH118" s="185" t="e">
        <f t="shared" si="52"/>
        <v>#N/A</v>
      </c>
      <c r="AI118" s="452"/>
      <c r="AJ118" s="185"/>
      <c r="AK118" s="185"/>
      <c r="AL118" s="185"/>
      <c r="AM118" s="185" t="e">
        <f t="shared" si="53"/>
        <v>#N/A</v>
      </c>
      <c r="AN118" s="452"/>
      <c r="AO118" s="185"/>
      <c r="AP118" s="185"/>
      <c r="AQ118" s="185"/>
      <c r="AR118" s="185" t="e">
        <f t="shared" si="54"/>
        <v>#N/A</v>
      </c>
      <c r="AS118" s="452"/>
      <c r="AT118" s="185"/>
      <c r="AU118" s="185"/>
      <c r="AV118" s="185"/>
      <c r="AW118" s="185" t="e">
        <f t="shared" si="55"/>
        <v>#N/A</v>
      </c>
      <c r="AX118" s="494"/>
    </row>
    <row r="119" spans="2:50">
      <c r="B119" s="471"/>
      <c r="C119" s="185">
        <v>13</v>
      </c>
      <c r="D119" s="206"/>
      <c r="E119" s="169"/>
      <c r="F119" s="185"/>
      <c r="G119" s="183"/>
      <c r="H119" s="452"/>
      <c r="I119" s="185"/>
      <c r="J119" s="185"/>
      <c r="K119" s="185"/>
      <c r="L119" s="452"/>
      <c r="M119" s="184" t="e">
        <f>RANK(K119, K$107:$K$121)</f>
        <v>#DIV/0!</v>
      </c>
      <c r="N119" s="454"/>
      <c r="O119" s="454"/>
      <c r="P119" s="185"/>
      <c r="Q119" s="185"/>
      <c r="R119" s="185"/>
      <c r="S119" s="185" t="e">
        <f t="shared" si="49"/>
        <v>#N/A</v>
      </c>
      <c r="T119" s="452"/>
      <c r="U119" s="185"/>
      <c r="V119" s="185"/>
      <c r="W119" s="185"/>
      <c r="X119" s="185" t="e">
        <f t="shared" si="50"/>
        <v>#N/A</v>
      </c>
      <c r="Y119" s="452"/>
      <c r="Z119" s="185"/>
      <c r="AA119" s="185"/>
      <c r="AB119" s="185"/>
      <c r="AC119" s="185" t="e">
        <f t="shared" si="51"/>
        <v>#N/A</v>
      </c>
      <c r="AD119" s="452"/>
      <c r="AE119" s="185"/>
      <c r="AF119" s="185"/>
      <c r="AG119" s="185"/>
      <c r="AH119" s="185" t="e">
        <f t="shared" si="52"/>
        <v>#N/A</v>
      </c>
      <c r="AI119" s="452"/>
      <c r="AJ119" s="185"/>
      <c r="AK119" s="185"/>
      <c r="AL119" s="185"/>
      <c r="AM119" s="185" t="e">
        <f t="shared" si="53"/>
        <v>#N/A</v>
      </c>
      <c r="AN119" s="452"/>
      <c r="AO119" s="185"/>
      <c r="AP119" s="185"/>
      <c r="AQ119" s="185"/>
      <c r="AR119" s="185" t="e">
        <f t="shared" si="54"/>
        <v>#N/A</v>
      </c>
      <c r="AS119" s="452"/>
      <c r="AT119" s="185"/>
      <c r="AU119" s="185"/>
      <c r="AV119" s="185"/>
      <c r="AW119" s="185" t="e">
        <f t="shared" si="55"/>
        <v>#N/A</v>
      </c>
      <c r="AX119" s="494"/>
    </row>
    <row r="120" spans="2:50">
      <c r="B120" s="471"/>
      <c r="C120" s="185">
        <v>14</v>
      </c>
      <c r="D120" s="206"/>
      <c r="E120" s="169"/>
      <c r="F120" s="185"/>
      <c r="G120" s="183"/>
      <c r="H120" s="452"/>
      <c r="I120" s="185"/>
      <c r="J120" s="185"/>
      <c r="K120" s="185"/>
      <c r="L120" s="452"/>
      <c r="M120" s="184" t="e">
        <f>RANK(K120, K$107:$K$121)</f>
        <v>#DIV/0!</v>
      </c>
      <c r="N120" s="454"/>
      <c r="O120" s="454"/>
      <c r="P120" s="185"/>
      <c r="Q120" s="185"/>
      <c r="R120" s="185"/>
      <c r="S120" s="185" t="e">
        <f t="shared" si="49"/>
        <v>#N/A</v>
      </c>
      <c r="T120" s="452"/>
      <c r="U120" s="185"/>
      <c r="V120" s="185"/>
      <c r="W120" s="185"/>
      <c r="X120" s="185" t="e">
        <f t="shared" si="50"/>
        <v>#N/A</v>
      </c>
      <c r="Y120" s="452"/>
      <c r="Z120" s="185"/>
      <c r="AA120" s="185"/>
      <c r="AB120" s="185"/>
      <c r="AC120" s="185" t="e">
        <f t="shared" si="51"/>
        <v>#N/A</v>
      </c>
      <c r="AD120" s="452"/>
      <c r="AE120" s="185"/>
      <c r="AF120" s="185"/>
      <c r="AG120" s="185"/>
      <c r="AH120" s="185" t="e">
        <f t="shared" si="52"/>
        <v>#N/A</v>
      </c>
      <c r="AI120" s="452"/>
      <c r="AJ120" s="185"/>
      <c r="AK120" s="185"/>
      <c r="AL120" s="185"/>
      <c r="AM120" s="185" t="e">
        <f t="shared" si="53"/>
        <v>#N/A</v>
      </c>
      <c r="AN120" s="452"/>
      <c r="AO120" s="185"/>
      <c r="AP120" s="185"/>
      <c r="AQ120" s="185"/>
      <c r="AR120" s="185" t="e">
        <f t="shared" si="54"/>
        <v>#N/A</v>
      </c>
      <c r="AS120" s="452"/>
      <c r="AT120" s="185"/>
      <c r="AU120" s="185"/>
      <c r="AV120" s="185"/>
      <c r="AW120" s="185" t="e">
        <f t="shared" si="55"/>
        <v>#N/A</v>
      </c>
      <c r="AX120" s="494"/>
    </row>
    <row r="121" spans="2:50">
      <c r="B121" s="471"/>
      <c r="C121" s="185">
        <v>15</v>
      </c>
      <c r="D121" s="206"/>
      <c r="E121" s="169"/>
      <c r="F121" s="185"/>
      <c r="G121" s="183"/>
      <c r="H121" s="453"/>
      <c r="I121" s="185"/>
      <c r="J121" s="185"/>
      <c r="K121" s="185"/>
      <c r="L121" s="453"/>
      <c r="M121" s="184" t="e">
        <f>RANK(K121, K$107:$K$121)</f>
        <v>#DIV/0!</v>
      </c>
      <c r="N121" s="454"/>
      <c r="O121" s="454"/>
      <c r="P121" s="185"/>
      <c r="Q121" s="185"/>
      <c r="R121" s="185"/>
      <c r="S121" s="185" t="e">
        <f t="shared" si="49"/>
        <v>#N/A</v>
      </c>
      <c r="T121" s="453"/>
      <c r="U121" s="185"/>
      <c r="V121" s="185"/>
      <c r="W121" s="185"/>
      <c r="X121" s="185" t="e">
        <f t="shared" si="50"/>
        <v>#N/A</v>
      </c>
      <c r="Y121" s="453"/>
      <c r="Z121" s="185"/>
      <c r="AA121" s="185"/>
      <c r="AB121" s="185"/>
      <c r="AC121" s="185" t="e">
        <f t="shared" si="51"/>
        <v>#N/A</v>
      </c>
      <c r="AD121" s="453"/>
      <c r="AE121" s="185"/>
      <c r="AF121" s="185"/>
      <c r="AG121" s="185"/>
      <c r="AH121" s="185" t="e">
        <f t="shared" si="52"/>
        <v>#N/A</v>
      </c>
      <c r="AI121" s="453"/>
      <c r="AJ121" s="185"/>
      <c r="AK121" s="185"/>
      <c r="AL121" s="185"/>
      <c r="AM121" s="185" t="e">
        <f t="shared" si="53"/>
        <v>#N/A</v>
      </c>
      <c r="AN121" s="453"/>
      <c r="AO121" s="185"/>
      <c r="AP121" s="185"/>
      <c r="AQ121" s="185"/>
      <c r="AR121" s="185" t="e">
        <f t="shared" si="54"/>
        <v>#N/A</v>
      </c>
      <c r="AS121" s="453"/>
      <c r="AT121" s="185"/>
      <c r="AU121" s="185"/>
      <c r="AV121" s="185"/>
      <c r="AW121" s="185" t="e">
        <f t="shared" si="55"/>
        <v>#N/A</v>
      </c>
      <c r="AX121" s="494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54" t="s">
        <v>323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J132" si="56">AVERAGEIF($D$7:$D$121,$D128,I$7:I$121)</f>
        <v>#DIV/0!</v>
      </c>
      <c r="J128" s="169" t="e">
        <f t="shared" si="56"/>
        <v>#DIV/0!</v>
      </c>
      <c r="K128" s="169" t="e">
        <f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 t="e">
        <f t="shared" si="56"/>
        <v>#DIV/0!</v>
      </c>
      <c r="J129" s="169" t="e">
        <f t="shared" si="56"/>
        <v>#DIV/0!</v>
      </c>
      <c r="K129" s="169" t="e">
        <f>AVERAGEIF($D$7:$D$121,$D129,K$7:K$121)</f>
        <v>#DIV/0!</v>
      </c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 t="e">
        <f t="shared" si="56"/>
        <v>#DIV/0!</v>
      </c>
      <c r="J130" s="169" t="e">
        <f t="shared" si="56"/>
        <v>#DIV/0!</v>
      </c>
      <c r="K130" s="169" t="e">
        <f>AVERAGEIF($D$7:$D$121,$D130,K$7:K$121)</f>
        <v>#DIV/0!</v>
      </c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 t="e">
        <f t="shared" si="56"/>
        <v>#DIV/0!</v>
      </c>
      <c r="J131" s="169" t="e">
        <f t="shared" si="56"/>
        <v>#DIV/0!</v>
      </c>
      <c r="K131" s="169" t="e">
        <f>AVERAGEIF($D$7:$D$121,$D131,K$7:K$121)</f>
        <v>#DIV/0!</v>
      </c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 t="e">
        <f t="shared" si="56"/>
        <v>#DIV/0!</v>
      </c>
      <c r="J132" s="169" t="e">
        <f t="shared" si="56"/>
        <v>#DIV/0!</v>
      </c>
      <c r="K132" s="169" t="e">
        <f>AVERAGEIF($D$7:$D$121,$D132,K$7:K$121)</f>
        <v>#DIV/0!</v>
      </c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/>
      <c r="J133" s="169"/>
      <c r="K133" s="169"/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/>
      <c r="J134" s="169"/>
      <c r="K134" s="169"/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/>
      <c r="J135" s="169"/>
      <c r="K135" s="169"/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/>
      <c r="J136" s="169"/>
      <c r="K136" s="169"/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/>
      <c r="J137" s="169"/>
      <c r="K137" s="169"/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/>
      <c r="J138" s="169"/>
      <c r="K138" s="169"/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P16" zoomScale="70" zoomScaleNormal="70" workbookViewId="0">
      <selection activeCell="AT27" sqref="AT27:AV34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201" t="s">
        <v>249</v>
      </c>
      <c r="C1" s="200">
        <f>AVERAGE(L7,L27,L47,L67,L87,L107)</f>
        <v>110.97010558613414</v>
      </c>
    </row>
    <row r="2" spans="1:54" ht="15.75">
      <c r="A2" s="79"/>
      <c r="B2" s="472" t="s">
        <v>201</v>
      </c>
      <c r="C2" s="472"/>
      <c r="D2" s="472"/>
      <c r="E2" s="472"/>
      <c r="F2" s="472"/>
      <c r="G2" s="472"/>
      <c r="H2" s="472"/>
      <c r="I2" s="186"/>
      <c r="J2" s="186"/>
      <c r="K2" s="186"/>
      <c r="L2" s="186"/>
      <c r="M2" s="181"/>
      <c r="N2" s="461" t="s">
        <v>202</v>
      </c>
      <c r="O2" s="461" t="s">
        <v>150</v>
      </c>
      <c r="P2" s="499">
        <v>45958</v>
      </c>
      <c r="Q2" s="500"/>
      <c r="R2" s="500"/>
      <c r="S2" s="500"/>
      <c r="T2" s="501"/>
      <c r="U2" s="470">
        <f>P2+1</f>
        <v>45959</v>
      </c>
      <c r="V2" s="471"/>
      <c r="W2" s="471"/>
      <c r="X2" s="471"/>
      <c r="Y2" s="471"/>
      <c r="Z2" s="470">
        <f>U2+1</f>
        <v>45960</v>
      </c>
      <c r="AA2" s="471"/>
      <c r="AB2" s="471"/>
      <c r="AC2" s="471"/>
      <c r="AD2" s="471"/>
      <c r="AE2" s="470">
        <f>Z2+1</f>
        <v>45961</v>
      </c>
      <c r="AF2" s="471"/>
      <c r="AG2" s="471"/>
      <c r="AH2" s="471"/>
      <c r="AI2" s="471"/>
      <c r="AJ2" s="470">
        <f>AE2+1</f>
        <v>45962</v>
      </c>
      <c r="AK2" s="471"/>
      <c r="AL2" s="471"/>
      <c r="AM2" s="471"/>
      <c r="AN2" s="471"/>
      <c r="AO2" s="470">
        <f>AJ2+1</f>
        <v>45963</v>
      </c>
      <c r="AP2" s="471"/>
      <c r="AQ2" s="471"/>
      <c r="AR2" s="471"/>
      <c r="AS2" s="471"/>
      <c r="AT2" s="470">
        <f>AO2+1</f>
        <v>45964</v>
      </c>
      <c r="AU2" s="471"/>
      <c r="AV2" s="471"/>
      <c r="AW2" s="471"/>
      <c r="AX2" s="471"/>
    </row>
    <row r="3" spans="1:54" ht="15.75">
      <c r="A3" s="79"/>
      <c r="B3" s="488"/>
      <c r="C3" s="488"/>
      <c r="D3" s="488"/>
      <c r="E3" s="488"/>
      <c r="F3" s="488"/>
      <c r="G3" s="488"/>
      <c r="H3" s="488"/>
      <c r="I3" s="187"/>
      <c r="J3" s="187"/>
      <c r="K3" s="187"/>
      <c r="L3" s="187"/>
      <c r="M3" s="182"/>
      <c r="N3" s="463"/>
      <c r="O3" s="463"/>
      <c r="P3" s="467" t="s">
        <v>203</v>
      </c>
      <c r="Q3" s="468"/>
      <c r="R3" s="468"/>
      <c r="S3" s="468"/>
      <c r="T3" s="469"/>
      <c r="U3" s="467" t="s">
        <v>204</v>
      </c>
      <c r="V3" s="468"/>
      <c r="W3" s="468"/>
      <c r="X3" s="468"/>
      <c r="Y3" s="469"/>
      <c r="Z3" s="467" t="s">
        <v>205</v>
      </c>
      <c r="AA3" s="468"/>
      <c r="AB3" s="468"/>
      <c r="AC3" s="468"/>
      <c r="AD3" s="469"/>
      <c r="AE3" s="467" t="s">
        <v>206</v>
      </c>
      <c r="AF3" s="468"/>
      <c r="AG3" s="468"/>
      <c r="AH3" s="468"/>
      <c r="AI3" s="469"/>
      <c r="AJ3" s="467" t="s">
        <v>207</v>
      </c>
      <c r="AK3" s="468"/>
      <c r="AL3" s="468"/>
      <c r="AM3" s="468"/>
      <c r="AN3" s="469"/>
      <c r="AO3" s="467" t="s">
        <v>157</v>
      </c>
      <c r="AP3" s="468"/>
      <c r="AQ3" s="468"/>
      <c r="AR3" s="468"/>
      <c r="AS3" s="469"/>
      <c r="AT3" s="467" t="s">
        <v>208</v>
      </c>
      <c r="AU3" s="468"/>
      <c r="AV3" s="468"/>
      <c r="AW3" s="468"/>
      <c r="AX3" s="469"/>
    </row>
    <row r="4" spans="1:54">
      <c r="A4" s="79"/>
      <c r="B4" s="454" t="s">
        <v>209</v>
      </c>
      <c r="C4" s="454" t="s">
        <v>210</v>
      </c>
      <c r="D4" s="454"/>
      <c r="E4" s="454" t="s">
        <v>211</v>
      </c>
      <c r="F4" s="454"/>
      <c r="G4" s="454"/>
      <c r="H4" s="455" t="s">
        <v>212</v>
      </c>
      <c r="I4" s="454" t="s">
        <v>213</v>
      </c>
      <c r="J4" s="454"/>
      <c r="K4" s="454"/>
      <c r="L4" s="455" t="s">
        <v>212</v>
      </c>
      <c r="M4" s="461" t="s">
        <v>214</v>
      </c>
      <c r="N4" s="454"/>
      <c r="O4" s="454" t="s">
        <v>215</v>
      </c>
      <c r="P4" s="458" t="s">
        <v>216</v>
      </c>
      <c r="Q4" s="459"/>
      <c r="R4" s="459"/>
      <c r="S4" s="460"/>
      <c r="T4" s="454" t="s">
        <v>212</v>
      </c>
      <c r="U4" s="458" t="s">
        <v>216</v>
      </c>
      <c r="V4" s="459"/>
      <c r="W4" s="459"/>
      <c r="X4" s="460"/>
      <c r="Y4" s="454" t="s">
        <v>212</v>
      </c>
      <c r="Z4" s="458" t="s">
        <v>216</v>
      </c>
      <c r="AA4" s="459"/>
      <c r="AB4" s="459"/>
      <c r="AC4" s="460"/>
      <c r="AD4" s="454" t="s">
        <v>212</v>
      </c>
      <c r="AE4" s="458" t="s">
        <v>216</v>
      </c>
      <c r="AF4" s="459"/>
      <c r="AG4" s="459"/>
      <c r="AH4" s="460"/>
      <c r="AI4" s="454" t="s">
        <v>212</v>
      </c>
      <c r="AJ4" s="458" t="s">
        <v>216</v>
      </c>
      <c r="AK4" s="459"/>
      <c r="AL4" s="459"/>
      <c r="AM4" s="460"/>
      <c r="AN4" s="454" t="s">
        <v>212</v>
      </c>
      <c r="AO4" s="458" t="s">
        <v>216</v>
      </c>
      <c r="AP4" s="459"/>
      <c r="AQ4" s="459"/>
      <c r="AR4" s="460"/>
      <c r="AS4" s="454" t="s">
        <v>212</v>
      </c>
      <c r="AT4" s="458" t="s">
        <v>216</v>
      </c>
      <c r="AU4" s="459"/>
      <c r="AV4" s="459"/>
      <c r="AW4" s="460"/>
      <c r="AX4" s="454" t="s">
        <v>212</v>
      </c>
    </row>
    <row r="5" spans="1:54">
      <c r="A5" s="79"/>
      <c r="B5" s="454"/>
      <c r="C5" s="454"/>
      <c r="D5" s="454"/>
      <c r="E5" s="454" t="s">
        <v>217</v>
      </c>
      <c r="F5" s="454"/>
      <c r="G5" s="454"/>
      <c r="H5" s="456"/>
      <c r="I5" s="454" t="s">
        <v>217</v>
      </c>
      <c r="J5" s="454"/>
      <c r="K5" s="454"/>
      <c r="L5" s="456"/>
      <c r="M5" s="462"/>
      <c r="N5" s="454"/>
      <c r="O5" s="454"/>
      <c r="P5" s="458" t="s">
        <v>218</v>
      </c>
      <c r="Q5" s="459"/>
      <c r="R5" s="459"/>
      <c r="S5" s="460"/>
      <c r="T5" s="454"/>
      <c r="U5" s="458" t="s">
        <v>218</v>
      </c>
      <c r="V5" s="459"/>
      <c r="W5" s="459"/>
      <c r="X5" s="460"/>
      <c r="Y5" s="454"/>
      <c r="Z5" s="458" t="s">
        <v>218</v>
      </c>
      <c r="AA5" s="459"/>
      <c r="AB5" s="459"/>
      <c r="AC5" s="460"/>
      <c r="AD5" s="454"/>
      <c r="AE5" s="458" t="s">
        <v>218</v>
      </c>
      <c r="AF5" s="459"/>
      <c r="AG5" s="459"/>
      <c r="AH5" s="460"/>
      <c r="AI5" s="454"/>
      <c r="AJ5" s="458" t="s">
        <v>218</v>
      </c>
      <c r="AK5" s="459"/>
      <c r="AL5" s="459"/>
      <c r="AM5" s="460"/>
      <c r="AN5" s="454"/>
      <c r="AO5" s="458" t="s">
        <v>218</v>
      </c>
      <c r="AP5" s="459"/>
      <c r="AQ5" s="459"/>
      <c r="AR5" s="460"/>
      <c r="AS5" s="454"/>
      <c r="AT5" s="458" t="s">
        <v>218</v>
      </c>
      <c r="AU5" s="459"/>
      <c r="AV5" s="459"/>
      <c r="AW5" s="460"/>
      <c r="AX5" s="454"/>
    </row>
    <row r="6" spans="1:54">
      <c r="A6" s="77"/>
      <c r="B6" s="454"/>
      <c r="C6" s="454"/>
      <c r="D6" s="454"/>
      <c r="E6" s="275" t="s">
        <v>219</v>
      </c>
      <c r="F6" s="275" t="s">
        <v>220</v>
      </c>
      <c r="G6" s="275" t="s">
        <v>221</v>
      </c>
      <c r="H6" s="457"/>
      <c r="I6" s="275" t="s">
        <v>219</v>
      </c>
      <c r="J6" s="275" t="s">
        <v>220</v>
      </c>
      <c r="K6" s="275" t="s">
        <v>221</v>
      </c>
      <c r="L6" s="457"/>
      <c r="M6" s="463"/>
      <c r="N6" s="454"/>
      <c r="O6" s="454"/>
      <c r="P6" s="275" t="s">
        <v>219</v>
      </c>
      <c r="Q6" s="275" t="s">
        <v>220</v>
      </c>
      <c r="R6" s="275" t="s">
        <v>221</v>
      </c>
      <c r="S6" s="275" t="s">
        <v>214</v>
      </c>
      <c r="T6" s="454"/>
      <c r="U6" s="275" t="s">
        <v>219</v>
      </c>
      <c r="V6" s="275" t="s">
        <v>220</v>
      </c>
      <c r="W6" s="275" t="s">
        <v>221</v>
      </c>
      <c r="X6" s="275" t="s">
        <v>214</v>
      </c>
      <c r="Y6" s="454"/>
      <c r="Z6" s="275" t="s">
        <v>219</v>
      </c>
      <c r="AA6" s="275" t="s">
        <v>220</v>
      </c>
      <c r="AB6" s="275" t="s">
        <v>221</v>
      </c>
      <c r="AC6" s="275" t="s">
        <v>214</v>
      </c>
      <c r="AD6" s="454"/>
      <c r="AE6" s="275" t="s">
        <v>219</v>
      </c>
      <c r="AF6" s="275" t="s">
        <v>220</v>
      </c>
      <c r="AG6" s="275" t="s">
        <v>221</v>
      </c>
      <c r="AH6" s="275" t="s">
        <v>214</v>
      </c>
      <c r="AI6" s="454"/>
      <c r="AJ6" s="275" t="s">
        <v>219</v>
      </c>
      <c r="AK6" s="275" t="s">
        <v>220</v>
      </c>
      <c r="AL6" s="275" t="s">
        <v>221</v>
      </c>
      <c r="AM6" s="275" t="s">
        <v>214</v>
      </c>
      <c r="AN6" s="454"/>
      <c r="AO6" s="275" t="s">
        <v>219</v>
      </c>
      <c r="AP6" s="275" t="s">
        <v>220</v>
      </c>
      <c r="AQ6" s="275" t="s">
        <v>221</v>
      </c>
      <c r="AR6" s="275" t="s">
        <v>214</v>
      </c>
      <c r="AS6" s="454"/>
      <c r="AT6" s="275" t="s">
        <v>219</v>
      </c>
      <c r="AU6" s="275" t="s">
        <v>220</v>
      </c>
      <c r="AV6" s="275" t="s">
        <v>221</v>
      </c>
      <c r="AW6" s="275" t="s">
        <v>214</v>
      </c>
      <c r="AX6" s="454"/>
    </row>
    <row r="7" spans="1:54">
      <c r="A7" s="79"/>
      <c r="B7" s="454" t="s">
        <v>190</v>
      </c>
      <c r="C7" s="185">
        <v>1</v>
      </c>
      <c r="D7" s="206" t="s">
        <v>329</v>
      </c>
      <c r="E7" s="169">
        <v>7</v>
      </c>
      <c r="F7" s="185">
        <v>1500</v>
      </c>
      <c r="G7" s="183">
        <v>214.28571428571428</v>
      </c>
      <c r="H7" s="451">
        <f>AVERAGE(G7:G21)</f>
        <v>123.60609243697479</v>
      </c>
      <c r="I7" s="169">
        <f>AVERAGE(P7,U7,Z7,AE7,AJ7,AO7,AT7)</f>
        <v>6.7142857142857144</v>
      </c>
      <c r="J7" s="169">
        <f>AVERAGE(Q7,V7,AA7,AF7,AK7,AP7,AU7)</f>
        <v>1304.533521132186</v>
      </c>
      <c r="K7" s="183">
        <f>AVERAGE(R7,W7,AB7,AG7,AL7,AQ7,AV7)</f>
        <v>195.21249848373631</v>
      </c>
      <c r="L7" s="451">
        <f>IFERROR(AVERAGE(K7:K21),"-")</f>
        <v>112.15854201149821</v>
      </c>
      <c r="M7" s="184">
        <f>RANK(K7, $K$7:K$21)</f>
        <v>1</v>
      </c>
      <c r="N7" s="454"/>
      <c r="O7" s="454"/>
      <c r="P7" s="169">
        <v>7</v>
      </c>
      <c r="Q7" s="169">
        <v>1293.9393939393938</v>
      </c>
      <c r="R7" s="183">
        <v>184.84848484848482</v>
      </c>
      <c r="S7" s="185">
        <f>RANK(R7, R$7:R$21)</f>
        <v>1</v>
      </c>
      <c r="T7" s="464">
        <f>AVERAGE(R7:R21)</f>
        <v>108.36019250048935</v>
      </c>
      <c r="U7" s="169">
        <v>7</v>
      </c>
      <c r="V7" s="169">
        <v>1306.4516129032254</v>
      </c>
      <c r="W7" s="183">
        <v>186.63594470046078</v>
      </c>
      <c r="X7" s="185">
        <f>RANK(W7, W$7:W$21)</f>
        <v>1</v>
      </c>
      <c r="Y7" s="464">
        <f>AVERAGE(W7:W21)</f>
        <v>108.32263170390071</v>
      </c>
      <c r="Z7" s="169">
        <v>7</v>
      </c>
      <c r="AA7" s="169">
        <v>1315.4838709677415</v>
      </c>
      <c r="AB7" s="183">
        <v>187.92626728110594</v>
      </c>
      <c r="AC7" s="185">
        <f>RANK(AB7, AB$7:AB$21)</f>
        <v>1</v>
      </c>
      <c r="AD7" s="464">
        <f>AVERAGE(AB7:AB21)</f>
        <v>108.0090499811169</v>
      </c>
      <c r="AE7" s="169">
        <v>6</v>
      </c>
      <c r="AF7" s="169">
        <v>1291.6666666666661</v>
      </c>
      <c r="AG7" s="183">
        <v>215.27777777777769</v>
      </c>
      <c r="AH7" s="185">
        <f>RANK(AG7, AG$7:AG$21)</f>
        <v>1</v>
      </c>
      <c r="AI7" s="464">
        <f>AVERAGE(AG7:AG21)</f>
        <v>120.13283935849771</v>
      </c>
      <c r="AJ7" s="169">
        <v>6</v>
      </c>
      <c r="AK7" s="169">
        <v>1310.3999999999999</v>
      </c>
      <c r="AL7" s="183">
        <v>218.39999999999998</v>
      </c>
      <c r="AM7" s="185">
        <f>RANK(AL7, AL$7:AL$21)</f>
        <v>1</v>
      </c>
      <c r="AN7" s="464">
        <f>AVERAGE(AL7:AL21)</f>
        <v>120.3924222019195</v>
      </c>
      <c r="AO7" s="169">
        <v>7</v>
      </c>
      <c r="AP7" s="169">
        <v>1299.3103448275861</v>
      </c>
      <c r="AQ7" s="183">
        <v>185.61576354679801</v>
      </c>
      <c r="AR7" s="185">
        <f>RANK(AQ7, AQ$7:AQ$21)</f>
        <v>2</v>
      </c>
      <c r="AS7" s="464">
        <f>AVERAGE(AQ7:AQ21)</f>
        <v>109.8602598633946</v>
      </c>
      <c r="AT7" s="169">
        <v>7</v>
      </c>
      <c r="AU7" s="169">
        <v>1314.4827586206893</v>
      </c>
      <c r="AV7" s="183">
        <v>187.78325123152703</v>
      </c>
      <c r="AW7" s="185">
        <f>RANK(AV7, AV$7:AV$21)</f>
        <v>1</v>
      </c>
      <c r="AX7" s="464">
        <f>AVERAGE(AV7:AV21)</f>
        <v>110.03239847116873</v>
      </c>
      <c r="AZ7" s="184" t="e">
        <f>RANK(AX7, $K$7:AX$21)</f>
        <v>#N/A</v>
      </c>
      <c r="BB7" s="185" t="e">
        <f>RANK(BA7, BA$7:BA$21)</f>
        <v>#N/A</v>
      </c>
    </row>
    <row r="8" spans="1:54" ht="15" customHeight="1">
      <c r="A8" s="79"/>
      <c r="B8" s="471"/>
      <c r="C8" s="185">
        <v>2</v>
      </c>
      <c r="D8" s="206" t="s">
        <v>330</v>
      </c>
      <c r="E8" s="169">
        <v>7</v>
      </c>
      <c r="F8" s="185">
        <v>1500</v>
      </c>
      <c r="G8" s="183">
        <v>214.28571428571428</v>
      </c>
      <c r="H8" s="452"/>
      <c r="I8" s="169">
        <f t="shared" ref="I8:I14" si="0">AVERAGE(P8,U8,Z8,AE8,AJ8,AO8,AT8)</f>
        <v>6.7142857142857144</v>
      </c>
      <c r="J8" s="169">
        <f t="shared" ref="J8:J14" si="1">AVERAGE(Q8,V8,AA8,AF8,AK8,AP8,AU8)</f>
        <v>1282.6748258186344</v>
      </c>
      <c r="K8" s="183">
        <f t="shared" ref="K8:K14" si="2">AVERAGE(R8,W8,AB8,AG8,AL8,AQ8,AV8)</f>
        <v>191.91664701451398</v>
      </c>
      <c r="L8" s="452"/>
      <c r="M8" s="184">
        <f>RANK(K8, $K$7:K$21)</f>
        <v>2</v>
      </c>
      <c r="N8" s="454"/>
      <c r="O8" s="454"/>
      <c r="P8" s="185">
        <v>7</v>
      </c>
      <c r="Q8" s="169">
        <v>1279.2307692307693</v>
      </c>
      <c r="R8" s="183">
        <v>182.74725274725276</v>
      </c>
      <c r="S8" s="185">
        <f t="shared" ref="S8:S21" si="3">RANK(R8, R$7:R$21)</f>
        <v>2</v>
      </c>
      <c r="T8" s="465"/>
      <c r="U8" s="185">
        <v>7</v>
      </c>
      <c r="V8" s="169">
        <v>1286.0869565217392</v>
      </c>
      <c r="W8" s="183">
        <v>183.72670807453417</v>
      </c>
      <c r="X8" s="185">
        <f t="shared" ref="X8:X21" si="4">RANK(W8, W$7:W$21)</f>
        <v>2</v>
      </c>
      <c r="Y8" s="465"/>
      <c r="Z8" s="185">
        <v>7</v>
      </c>
      <c r="AA8" s="169">
        <v>1284.4585987261146</v>
      </c>
      <c r="AB8" s="183">
        <v>183.49408553230208</v>
      </c>
      <c r="AC8" s="185">
        <f t="shared" ref="AC8:AC21" si="5">RANK(AB8, AB$7:AB$21)</f>
        <v>2</v>
      </c>
      <c r="AD8" s="465"/>
      <c r="AE8" s="185">
        <v>6</v>
      </c>
      <c r="AF8" s="169">
        <v>1267.4418604651162</v>
      </c>
      <c r="AG8" s="183">
        <v>211.24031007751935</v>
      </c>
      <c r="AH8" s="185">
        <f t="shared" ref="AH8:AH21" si="6">RANK(AG8, AG$7:AG$21)</f>
        <v>3</v>
      </c>
      <c r="AI8" s="465"/>
      <c r="AJ8" s="185">
        <v>6</v>
      </c>
      <c r="AK8" s="169">
        <v>1283.7096774193544</v>
      </c>
      <c r="AL8" s="183">
        <v>213.95161290322574</v>
      </c>
      <c r="AM8" s="185">
        <f t="shared" ref="AM8:AM21" si="7">RANK(AL8, AL$7:AL$21)</f>
        <v>2</v>
      </c>
      <c r="AN8" s="465"/>
      <c r="AO8" s="185">
        <v>7</v>
      </c>
      <c r="AP8" s="169">
        <v>1269.7959183673465</v>
      </c>
      <c r="AQ8" s="183">
        <v>181.39941690962092</v>
      </c>
      <c r="AR8" s="185">
        <f t="shared" ref="AR8:AR21" si="8">RANK(AQ8, AQ$7:AQ$21)</f>
        <v>3</v>
      </c>
      <c r="AS8" s="465"/>
      <c r="AT8" s="185">
        <v>7</v>
      </c>
      <c r="AU8" s="169">
        <v>1308</v>
      </c>
      <c r="AV8" s="183">
        <v>186.85714285714286</v>
      </c>
      <c r="AW8" s="185">
        <f t="shared" ref="AW8:AW21" si="9">RANK(AV8, AV$7:AV$21)</f>
        <v>2</v>
      </c>
      <c r="AX8" s="465"/>
      <c r="AZ8" s="184" t="e">
        <f>RANK(AX8, $K$7:AX$21)</f>
        <v>#N/A</v>
      </c>
      <c r="BB8" s="185" t="e">
        <f t="shared" ref="BB8:BB21" si="10">RANK(BA8, BA$7:BA$21)</f>
        <v>#N/A</v>
      </c>
    </row>
    <row r="9" spans="1:54">
      <c r="A9" s="79"/>
      <c r="B9" s="471"/>
      <c r="C9" s="185">
        <v>3</v>
      </c>
      <c r="D9" s="206" t="s">
        <v>331</v>
      </c>
      <c r="E9" s="169">
        <v>20</v>
      </c>
      <c r="F9" s="185">
        <v>1500</v>
      </c>
      <c r="G9" s="183">
        <v>75</v>
      </c>
      <c r="H9" s="452"/>
      <c r="I9" s="169">
        <f t="shared" si="0"/>
        <v>18</v>
      </c>
      <c r="J9" s="169">
        <f t="shared" si="1"/>
        <v>1282.6456414793322</v>
      </c>
      <c r="K9" s="183">
        <f t="shared" si="2"/>
        <v>71.258091193296224</v>
      </c>
      <c r="L9" s="452"/>
      <c r="M9" s="184">
        <f>RANK(K9, $K$7:K$21)</f>
        <v>5</v>
      </c>
      <c r="N9" s="454"/>
      <c r="O9" s="454"/>
      <c r="P9" s="185">
        <v>18</v>
      </c>
      <c r="Q9" s="169">
        <v>1296.8181818181818</v>
      </c>
      <c r="R9" s="183">
        <v>72.045454545454547</v>
      </c>
      <c r="S9" s="185">
        <f t="shared" si="3"/>
        <v>5</v>
      </c>
      <c r="T9" s="465"/>
      <c r="U9" s="185">
        <v>18</v>
      </c>
      <c r="V9" s="169">
        <v>1270.7462686567164</v>
      </c>
      <c r="W9" s="183">
        <v>70.597014925373131</v>
      </c>
      <c r="X9" s="185">
        <f t="shared" si="4"/>
        <v>5</v>
      </c>
      <c r="Y9" s="465"/>
      <c r="Z9" s="185">
        <v>18</v>
      </c>
      <c r="AA9" s="169">
        <v>1263.9919354838714</v>
      </c>
      <c r="AB9" s="183">
        <v>70.221774193548413</v>
      </c>
      <c r="AC9" s="185">
        <f t="shared" si="5"/>
        <v>5</v>
      </c>
      <c r="AD9" s="465"/>
      <c r="AE9" s="185">
        <v>18</v>
      </c>
      <c r="AF9" s="169">
        <v>1291.5957446808513</v>
      </c>
      <c r="AG9" s="183">
        <v>71.755319148936181</v>
      </c>
      <c r="AH9" s="185">
        <f t="shared" si="6"/>
        <v>5</v>
      </c>
      <c r="AI9" s="465"/>
      <c r="AJ9" s="185">
        <v>18</v>
      </c>
      <c r="AK9" s="169">
        <v>1293.4020618556704</v>
      </c>
      <c r="AL9" s="183">
        <v>71.855670103092791</v>
      </c>
      <c r="AM9" s="185">
        <f t="shared" si="7"/>
        <v>5</v>
      </c>
      <c r="AN9" s="465"/>
      <c r="AO9" s="185">
        <v>18</v>
      </c>
      <c r="AP9" s="169">
        <v>1290.4615384615381</v>
      </c>
      <c r="AQ9" s="183">
        <v>71.692307692307679</v>
      </c>
      <c r="AR9" s="185">
        <f t="shared" si="8"/>
        <v>6</v>
      </c>
      <c r="AS9" s="465"/>
      <c r="AT9" s="185">
        <v>18</v>
      </c>
      <c r="AU9" s="169">
        <v>1271.5037593984962</v>
      </c>
      <c r="AV9" s="183">
        <v>70.639097744360896</v>
      </c>
      <c r="AW9" s="185">
        <f t="shared" si="9"/>
        <v>6</v>
      </c>
      <c r="AX9" s="465"/>
      <c r="AZ9" s="184" t="e">
        <f>RANK(AX9, $K$7:AX$21)</f>
        <v>#N/A</v>
      </c>
      <c r="BB9" s="185" t="e">
        <f t="shared" si="10"/>
        <v>#N/A</v>
      </c>
    </row>
    <row r="10" spans="1:54">
      <c r="A10" s="79"/>
      <c r="B10" s="471"/>
      <c r="C10" s="185">
        <v>4</v>
      </c>
      <c r="D10" s="206" t="s">
        <v>332</v>
      </c>
      <c r="E10" s="169">
        <v>17</v>
      </c>
      <c r="F10" s="185">
        <v>1440</v>
      </c>
      <c r="G10" s="183">
        <v>84.705882352941174</v>
      </c>
      <c r="H10" s="452"/>
      <c r="I10" s="169">
        <f t="shared" si="0"/>
        <v>17.571428571428573</v>
      </c>
      <c r="J10" s="169">
        <f t="shared" si="1"/>
        <v>1284.5080473382188</v>
      </c>
      <c r="K10" s="183">
        <f t="shared" si="2"/>
        <v>73.163368117297509</v>
      </c>
      <c r="L10" s="452"/>
      <c r="M10" s="184">
        <f>RANK(K10, $K$7:K$21)</f>
        <v>4</v>
      </c>
      <c r="N10" s="454"/>
      <c r="O10" s="454"/>
      <c r="P10" s="185">
        <v>17</v>
      </c>
      <c r="Q10" s="169">
        <v>1289.3333333333333</v>
      </c>
      <c r="R10" s="183">
        <v>75.843137254901961</v>
      </c>
      <c r="S10" s="185">
        <f t="shared" si="3"/>
        <v>4</v>
      </c>
      <c r="T10" s="465"/>
      <c r="U10" s="185">
        <v>18</v>
      </c>
      <c r="V10" s="169">
        <v>1290.6666666666667</v>
      </c>
      <c r="W10" s="183">
        <v>71.703703703703709</v>
      </c>
      <c r="X10" s="185">
        <f t="shared" si="4"/>
        <v>4</v>
      </c>
      <c r="Y10" s="465"/>
      <c r="Z10" s="185">
        <v>18</v>
      </c>
      <c r="AA10" s="169">
        <v>1271.1627906976742</v>
      </c>
      <c r="AB10" s="183">
        <v>70.620155038759677</v>
      </c>
      <c r="AC10" s="185">
        <f t="shared" si="5"/>
        <v>4</v>
      </c>
      <c r="AD10" s="465"/>
      <c r="AE10" s="185">
        <v>17</v>
      </c>
      <c r="AF10" s="169">
        <v>1269.0909090909104</v>
      </c>
      <c r="AG10" s="183">
        <v>74.652406417112374</v>
      </c>
      <c r="AH10" s="185">
        <f t="shared" si="6"/>
        <v>4</v>
      </c>
      <c r="AI10" s="465"/>
      <c r="AJ10" s="185">
        <v>18</v>
      </c>
      <c r="AK10" s="169">
        <v>1293.7500000000016</v>
      </c>
      <c r="AL10" s="183">
        <v>71.875000000000085</v>
      </c>
      <c r="AM10" s="185">
        <f t="shared" si="7"/>
        <v>4</v>
      </c>
      <c r="AN10" s="465"/>
      <c r="AO10" s="185">
        <v>17</v>
      </c>
      <c r="AP10" s="169">
        <v>1301.0526315789464</v>
      </c>
      <c r="AQ10" s="183">
        <v>76.532507739938026</v>
      </c>
      <c r="AR10" s="185">
        <f t="shared" si="8"/>
        <v>4</v>
      </c>
      <c r="AS10" s="465"/>
      <c r="AT10" s="185">
        <v>18</v>
      </c>
      <c r="AU10" s="169">
        <v>1276.4999999999995</v>
      </c>
      <c r="AV10" s="183">
        <v>70.916666666666643</v>
      </c>
      <c r="AW10" s="185">
        <f t="shared" si="9"/>
        <v>5</v>
      </c>
      <c r="AX10" s="465"/>
      <c r="AZ10" s="184" t="e">
        <f>RANK(AX10, $K$7:AX$21)</f>
        <v>#N/A</v>
      </c>
      <c r="BB10" s="185" t="e">
        <f t="shared" si="10"/>
        <v>#N/A</v>
      </c>
    </row>
    <row r="11" spans="1:54">
      <c r="A11" s="79"/>
      <c r="B11" s="471"/>
      <c r="C11" s="185">
        <v>5</v>
      </c>
      <c r="D11" s="206" t="s">
        <v>333</v>
      </c>
      <c r="E11" s="169">
        <v>7</v>
      </c>
      <c r="F11" s="185">
        <v>1500</v>
      </c>
      <c r="G11" s="183">
        <v>214.28571428571428</v>
      </c>
      <c r="H11" s="452"/>
      <c r="I11" s="169">
        <f t="shared" si="0"/>
        <v>6.7142857142857144</v>
      </c>
      <c r="J11" s="169">
        <f t="shared" si="1"/>
        <v>1281.7873853558849</v>
      </c>
      <c r="K11" s="183">
        <f t="shared" si="2"/>
        <v>191.85800079247491</v>
      </c>
      <c r="L11" s="452"/>
      <c r="M11" s="184">
        <f>RANK(K11, $K$7:K$21)</f>
        <v>3</v>
      </c>
      <c r="N11" s="454"/>
      <c r="O11" s="454"/>
      <c r="P11" s="185">
        <v>7</v>
      </c>
      <c r="Q11" s="169">
        <v>1260.7500000000002</v>
      </c>
      <c r="R11" s="183">
        <v>180.10714285714289</v>
      </c>
      <c r="S11" s="185">
        <f t="shared" si="3"/>
        <v>3</v>
      </c>
      <c r="T11" s="465"/>
      <c r="U11" s="185">
        <v>7</v>
      </c>
      <c r="V11" s="169">
        <v>1270.6329113924053</v>
      </c>
      <c r="W11" s="183">
        <v>181.51898734177217</v>
      </c>
      <c r="X11" s="185">
        <f t="shared" si="4"/>
        <v>3</v>
      </c>
      <c r="Y11" s="465"/>
      <c r="Z11" s="185">
        <v>7</v>
      </c>
      <c r="AA11" s="169">
        <v>1256</v>
      </c>
      <c r="AB11" s="183">
        <v>179.42857142857142</v>
      </c>
      <c r="AC11" s="185">
        <f t="shared" si="5"/>
        <v>3</v>
      </c>
      <c r="AD11" s="465"/>
      <c r="AE11" s="185">
        <v>6</v>
      </c>
      <c r="AF11" s="169">
        <v>1287.610619469026</v>
      </c>
      <c r="AG11" s="183">
        <v>214.60176991150433</v>
      </c>
      <c r="AH11" s="185">
        <f t="shared" si="6"/>
        <v>2</v>
      </c>
      <c r="AI11" s="465"/>
      <c r="AJ11" s="185">
        <v>6</v>
      </c>
      <c r="AK11" s="169">
        <v>1283.5714285714282</v>
      </c>
      <c r="AL11" s="183">
        <v>213.92857142857136</v>
      </c>
      <c r="AM11" s="185">
        <f t="shared" si="7"/>
        <v>3</v>
      </c>
      <c r="AN11" s="465"/>
      <c r="AO11" s="185">
        <v>7</v>
      </c>
      <c r="AP11" s="169">
        <v>1316.5957446808513</v>
      </c>
      <c r="AQ11" s="183">
        <v>188.08510638297875</v>
      </c>
      <c r="AR11" s="185">
        <f t="shared" si="8"/>
        <v>1</v>
      </c>
      <c r="AS11" s="465"/>
      <c r="AT11" s="185">
        <v>7</v>
      </c>
      <c r="AU11" s="169">
        <v>1297.3509933774833</v>
      </c>
      <c r="AV11" s="183">
        <v>185.33585619678334</v>
      </c>
      <c r="AW11" s="185">
        <f t="shared" si="9"/>
        <v>3</v>
      </c>
      <c r="AX11" s="465"/>
      <c r="AZ11" s="184" t="e">
        <f>RANK(AX11, $K$7:AX$21)</f>
        <v>#N/A</v>
      </c>
      <c r="BB11" s="185" t="e">
        <f t="shared" si="10"/>
        <v>#N/A</v>
      </c>
    </row>
    <row r="12" spans="1:54">
      <c r="A12" s="79"/>
      <c r="B12" s="471"/>
      <c r="C12" s="185">
        <v>6</v>
      </c>
      <c r="D12" s="206" t="s">
        <v>334</v>
      </c>
      <c r="E12" s="169">
        <v>20</v>
      </c>
      <c r="F12" s="185">
        <v>1440</v>
      </c>
      <c r="G12" s="183">
        <v>72</v>
      </c>
      <c r="H12" s="452"/>
      <c r="I12" s="169">
        <f t="shared" si="0"/>
        <v>18</v>
      </c>
      <c r="J12" s="169">
        <f t="shared" si="1"/>
        <v>1258.7014383138689</v>
      </c>
      <c r="K12" s="183">
        <f t="shared" si="2"/>
        <v>69.927857684103827</v>
      </c>
      <c r="L12" s="452"/>
      <c r="M12" s="184">
        <f>RANK(K12, $K$7:K$21)</f>
        <v>6</v>
      </c>
      <c r="N12" s="454"/>
      <c r="O12" s="454"/>
      <c r="P12" s="185">
        <v>18</v>
      </c>
      <c r="Q12" s="169">
        <v>1207.3500000000042</v>
      </c>
      <c r="R12" s="183">
        <v>67.07500000000023</v>
      </c>
      <c r="S12" s="185">
        <f t="shared" si="3"/>
        <v>6</v>
      </c>
      <c r="T12" s="465"/>
      <c r="U12" s="185">
        <v>18</v>
      </c>
      <c r="V12" s="169">
        <v>1254.2400000000046</v>
      </c>
      <c r="W12" s="183">
        <v>69.680000000000248</v>
      </c>
      <c r="X12" s="185">
        <f t="shared" si="4"/>
        <v>6</v>
      </c>
      <c r="Y12" s="465"/>
      <c r="Z12" s="185">
        <v>18</v>
      </c>
      <c r="AA12" s="169">
        <v>1230.7200000000046</v>
      </c>
      <c r="AB12" s="183">
        <v>68.373333333333591</v>
      </c>
      <c r="AC12" s="185">
        <f t="shared" si="5"/>
        <v>6</v>
      </c>
      <c r="AD12" s="465"/>
      <c r="AE12" s="185">
        <v>18</v>
      </c>
      <c r="AF12" s="169">
        <v>1246.7076923076968</v>
      </c>
      <c r="AG12" s="183">
        <v>69.261538461538706</v>
      </c>
      <c r="AH12" s="185">
        <f t="shared" si="6"/>
        <v>6</v>
      </c>
      <c r="AI12" s="465"/>
      <c r="AJ12" s="185">
        <v>18</v>
      </c>
      <c r="AK12" s="169">
        <v>1261.5929203539822</v>
      </c>
      <c r="AL12" s="183">
        <v>70.088495575221231</v>
      </c>
      <c r="AM12" s="185">
        <f t="shared" si="7"/>
        <v>6</v>
      </c>
      <c r="AN12" s="465"/>
      <c r="AO12" s="185">
        <v>18</v>
      </c>
      <c r="AP12" s="169">
        <v>1302.9310344827588</v>
      </c>
      <c r="AQ12" s="183">
        <v>72.385057471264375</v>
      </c>
      <c r="AR12" s="185">
        <f t="shared" si="8"/>
        <v>5</v>
      </c>
      <c r="AS12" s="465"/>
      <c r="AT12" s="185">
        <v>18</v>
      </c>
      <c r="AU12" s="169">
        <v>1307.3684210526317</v>
      </c>
      <c r="AV12" s="183">
        <v>72.631578947368425</v>
      </c>
      <c r="AW12" s="185">
        <f t="shared" si="9"/>
        <v>4</v>
      </c>
      <c r="AX12" s="465"/>
      <c r="AZ12" s="184" t="e">
        <f>RANK(AX12, $K$7:AX$21)</f>
        <v>#N/A</v>
      </c>
      <c r="BB12" s="185" t="e">
        <f t="shared" si="10"/>
        <v>#N/A</v>
      </c>
    </row>
    <row r="13" spans="1:54">
      <c r="A13" s="79"/>
      <c r="B13" s="471"/>
      <c r="C13" s="185">
        <v>7</v>
      </c>
      <c r="D13" s="206" t="s">
        <v>335</v>
      </c>
      <c r="E13" s="169">
        <v>21</v>
      </c>
      <c r="F13" s="185">
        <v>1200</v>
      </c>
      <c r="G13" s="183">
        <v>57.142857142857146</v>
      </c>
      <c r="H13" s="452"/>
      <c r="I13" s="169">
        <f t="shared" si="0"/>
        <v>20.714285714285715</v>
      </c>
      <c r="J13" s="169">
        <f t="shared" si="1"/>
        <v>1082.0309734142479</v>
      </c>
      <c r="K13" s="183">
        <f t="shared" si="2"/>
        <v>52.258988839144777</v>
      </c>
      <c r="L13" s="452"/>
      <c r="M13" s="184">
        <f>RANK(K13, $K$7:K$21)</f>
        <v>7</v>
      </c>
      <c r="N13" s="454"/>
      <c r="O13" s="454"/>
      <c r="P13" s="185">
        <v>21</v>
      </c>
      <c r="Q13" s="169">
        <v>1075.6097560975606</v>
      </c>
      <c r="R13" s="183">
        <v>51.219512195121936</v>
      </c>
      <c r="S13" s="185">
        <f t="shared" si="3"/>
        <v>8</v>
      </c>
      <c r="T13" s="465"/>
      <c r="U13" s="185">
        <v>21</v>
      </c>
      <c r="V13" s="169">
        <v>1072.5925925925922</v>
      </c>
      <c r="W13" s="183">
        <v>51.07583774250439</v>
      </c>
      <c r="X13" s="185">
        <f t="shared" si="4"/>
        <v>8</v>
      </c>
      <c r="Y13" s="465"/>
      <c r="Z13" s="185">
        <v>21</v>
      </c>
      <c r="AA13" s="169">
        <v>1090.2439024390239</v>
      </c>
      <c r="AB13" s="183">
        <v>51.916376306620187</v>
      </c>
      <c r="AC13" s="185">
        <f t="shared" si="5"/>
        <v>8</v>
      </c>
      <c r="AD13" s="465"/>
      <c r="AE13" s="185">
        <v>20</v>
      </c>
      <c r="AF13" s="169">
        <v>1069.0909090909086</v>
      </c>
      <c r="AG13" s="183">
        <v>53.454545454545425</v>
      </c>
      <c r="AH13" s="185">
        <f t="shared" si="6"/>
        <v>7</v>
      </c>
      <c r="AI13" s="465"/>
      <c r="AJ13" s="185">
        <v>21</v>
      </c>
      <c r="AK13" s="169">
        <v>1091.6666666666656</v>
      </c>
      <c r="AL13" s="183">
        <v>51.984126984126931</v>
      </c>
      <c r="AM13" s="185">
        <f t="shared" si="7"/>
        <v>7</v>
      </c>
      <c r="AN13" s="465"/>
      <c r="AO13" s="185">
        <v>21</v>
      </c>
      <c r="AP13" s="169">
        <v>1087.0129870129863</v>
      </c>
      <c r="AQ13" s="183">
        <v>51.762523191094587</v>
      </c>
      <c r="AR13" s="185">
        <f t="shared" si="8"/>
        <v>7</v>
      </c>
      <c r="AS13" s="465"/>
      <c r="AT13" s="185">
        <v>20</v>
      </c>
      <c r="AU13" s="169">
        <v>1087.9999999999991</v>
      </c>
      <c r="AV13" s="183">
        <v>54.399999999999956</v>
      </c>
      <c r="AW13" s="185">
        <f t="shared" si="9"/>
        <v>7</v>
      </c>
      <c r="AX13" s="465"/>
      <c r="AZ13" s="184" t="e">
        <f>RANK(AX13, $K$7:AX$21)</f>
        <v>#N/A</v>
      </c>
      <c r="BB13" s="185" t="e">
        <f t="shared" si="10"/>
        <v>#N/A</v>
      </c>
    </row>
    <row r="14" spans="1:54">
      <c r="A14" s="79"/>
      <c r="B14" s="471"/>
      <c r="C14" s="185">
        <v>8</v>
      </c>
      <c r="D14" s="206" t="s">
        <v>336</v>
      </c>
      <c r="E14" s="169">
        <v>21</v>
      </c>
      <c r="F14" s="185">
        <v>1200</v>
      </c>
      <c r="G14" s="183">
        <v>57.142857142857146</v>
      </c>
      <c r="H14" s="452"/>
      <c r="I14" s="169">
        <f t="shared" si="0"/>
        <v>21</v>
      </c>
      <c r="J14" s="169">
        <f t="shared" si="1"/>
        <v>1085.1305633157815</v>
      </c>
      <c r="K14" s="183">
        <f t="shared" si="2"/>
        <v>51.67288396741818</v>
      </c>
      <c r="L14" s="452"/>
      <c r="M14" s="184">
        <f>RANK(K14, $K$7:K$21)</f>
        <v>8</v>
      </c>
      <c r="N14" s="454"/>
      <c r="O14" s="454"/>
      <c r="P14" s="185">
        <v>21</v>
      </c>
      <c r="Q14" s="169">
        <v>1112.9066666666668</v>
      </c>
      <c r="R14" s="183">
        <v>52.995555555555562</v>
      </c>
      <c r="S14" s="185">
        <f t="shared" si="3"/>
        <v>7</v>
      </c>
      <c r="T14" s="465"/>
      <c r="U14" s="185">
        <v>21</v>
      </c>
      <c r="V14" s="169">
        <v>1084.4999999999995</v>
      </c>
      <c r="W14" s="183">
        <v>51.642857142857125</v>
      </c>
      <c r="X14" s="185">
        <f t="shared" si="4"/>
        <v>7</v>
      </c>
      <c r="Y14" s="465"/>
      <c r="Z14" s="185">
        <v>21</v>
      </c>
      <c r="AA14" s="169">
        <v>1093.9285714285722</v>
      </c>
      <c r="AB14" s="183">
        <v>52.091836734693914</v>
      </c>
      <c r="AC14" s="185">
        <f t="shared" si="5"/>
        <v>7</v>
      </c>
      <c r="AD14" s="465"/>
      <c r="AE14" s="185">
        <v>21</v>
      </c>
      <c r="AF14" s="169">
        <v>1067.1999999999994</v>
      </c>
      <c r="AG14" s="183">
        <v>50.819047619047588</v>
      </c>
      <c r="AH14" s="185">
        <f t="shared" si="6"/>
        <v>8</v>
      </c>
      <c r="AI14" s="465"/>
      <c r="AJ14" s="185">
        <v>21</v>
      </c>
      <c r="AK14" s="169">
        <v>1072.1739130434783</v>
      </c>
      <c r="AL14" s="183">
        <v>51.055900621118013</v>
      </c>
      <c r="AM14" s="185">
        <f t="shared" si="7"/>
        <v>8</v>
      </c>
      <c r="AN14" s="465"/>
      <c r="AO14" s="185">
        <v>21</v>
      </c>
      <c r="AP14" s="169">
        <v>1079.5973154362421</v>
      </c>
      <c r="AQ14" s="183">
        <v>51.409395973154382</v>
      </c>
      <c r="AR14" s="185">
        <f t="shared" si="8"/>
        <v>8</v>
      </c>
      <c r="AS14" s="465"/>
      <c r="AT14" s="185">
        <v>21</v>
      </c>
      <c r="AU14" s="169">
        <v>1085.6074766355146</v>
      </c>
      <c r="AV14" s="183">
        <v>51.695594125500691</v>
      </c>
      <c r="AW14" s="185">
        <f t="shared" si="9"/>
        <v>8</v>
      </c>
      <c r="AX14" s="465"/>
      <c r="AZ14" s="184" t="e">
        <f>RANK(AX14, $K$7:AX$21)</f>
        <v>#N/A</v>
      </c>
      <c r="BB14" s="185" t="e">
        <f t="shared" si="10"/>
        <v>#N/A</v>
      </c>
    </row>
    <row r="15" spans="1:54">
      <c r="A15" s="79"/>
      <c r="B15" s="471"/>
      <c r="C15" s="185">
        <v>9</v>
      </c>
      <c r="D15" s="206"/>
      <c r="E15" s="169"/>
      <c r="F15" s="185"/>
      <c r="G15" s="183"/>
      <c r="H15" s="452"/>
      <c r="I15" s="169"/>
      <c r="J15" s="169"/>
      <c r="K15" s="183"/>
      <c r="L15" s="452"/>
      <c r="M15" s="184" t="e">
        <f>RANK(K15, $K$7:K$21)</f>
        <v>#N/A</v>
      </c>
      <c r="N15" s="454"/>
      <c r="O15" s="454"/>
      <c r="P15" s="185"/>
      <c r="Q15" s="169"/>
      <c r="R15" s="183"/>
      <c r="S15" s="185" t="e">
        <f t="shared" si="3"/>
        <v>#N/A</v>
      </c>
      <c r="T15" s="465"/>
      <c r="U15" s="185"/>
      <c r="V15" s="169"/>
      <c r="W15" s="183"/>
      <c r="X15" s="185" t="e">
        <f t="shared" si="4"/>
        <v>#N/A</v>
      </c>
      <c r="Y15" s="465"/>
      <c r="Z15" s="185"/>
      <c r="AA15" s="169"/>
      <c r="AB15" s="183"/>
      <c r="AC15" s="185" t="e">
        <f t="shared" si="5"/>
        <v>#N/A</v>
      </c>
      <c r="AD15" s="465"/>
      <c r="AE15" s="185"/>
      <c r="AF15" s="169"/>
      <c r="AG15" s="183"/>
      <c r="AH15" s="185" t="e">
        <f t="shared" si="6"/>
        <v>#N/A</v>
      </c>
      <c r="AI15" s="465"/>
      <c r="AJ15" s="185"/>
      <c r="AK15" s="169"/>
      <c r="AL15" s="183"/>
      <c r="AM15" s="185" t="e">
        <f t="shared" si="7"/>
        <v>#N/A</v>
      </c>
      <c r="AN15" s="465"/>
      <c r="AO15" s="185"/>
      <c r="AP15" s="169"/>
      <c r="AQ15" s="183"/>
      <c r="AR15" s="185" t="e">
        <f t="shared" si="8"/>
        <v>#N/A</v>
      </c>
      <c r="AS15" s="465"/>
      <c r="AT15" s="185"/>
      <c r="AU15" s="169"/>
      <c r="AV15" s="183"/>
      <c r="AW15" s="185" t="e">
        <f t="shared" si="9"/>
        <v>#N/A</v>
      </c>
      <c r="AX15" s="465"/>
      <c r="AZ15" s="184" t="e">
        <f>RANK(AX15, $K$7:AX$21)</f>
        <v>#N/A</v>
      </c>
      <c r="BB15" s="185" t="e">
        <f t="shared" si="10"/>
        <v>#N/A</v>
      </c>
    </row>
    <row r="16" spans="1:54">
      <c r="A16" s="79"/>
      <c r="B16" s="471"/>
      <c r="C16" s="185">
        <v>10</v>
      </c>
      <c r="D16" s="206"/>
      <c r="E16" s="169"/>
      <c r="F16" s="185"/>
      <c r="G16" s="183"/>
      <c r="H16" s="452"/>
      <c r="I16" s="169"/>
      <c r="J16" s="169"/>
      <c r="K16" s="183"/>
      <c r="L16" s="452"/>
      <c r="M16" s="184" t="e">
        <f>RANK(K16, $K$7:K$21)</f>
        <v>#N/A</v>
      </c>
      <c r="N16" s="454"/>
      <c r="O16" s="454"/>
      <c r="P16" s="185"/>
      <c r="Q16" s="169"/>
      <c r="R16" s="183"/>
      <c r="S16" s="185" t="e">
        <f t="shared" si="3"/>
        <v>#N/A</v>
      </c>
      <c r="T16" s="465"/>
      <c r="U16" s="185"/>
      <c r="V16" s="169"/>
      <c r="W16" s="183"/>
      <c r="X16" s="185" t="e">
        <f t="shared" si="4"/>
        <v>#N/A</v>
      </c>
      <c r="Y16" s="465"/>
      <c r="Z16" s="185"/>
      <c r="AA16" s="169"/>
      <c r="AB16" s="183"/>
      <c r="AC16" s="185" t="e">
        <f t="shared" si="5"/>
        <v>#N/A</v>
      </c>
      <c r="AD16" s="465"/>
      <c r="AE16" s="185"/>
      <c r="AF16" s="169"/>
      <c r="AG16" s="183"/>
      <c r="AH16" s="185" t="e">
        <f t="shared" si="6"/>
        <v>#N/A</v>
      </c>
      <c r="AI16" s="465"/>
      <c r="AJ16" s="185"/>
      <c r="AK16" s="169"/>
      <c r="AL16" s="183"/>
      <c r="AM16" s="185" t="e">
        <f t="shared" si="7"/>
        <v>#N/A</v>
      </c>
      <c r="AN16" s="465"/>
      <c r="AO16" s="185"/>
      <c r="AP16" s="169"/>
      <c r="AQ16" s="183"/>
      <c r="AR16" s="185" t="e">
        <f t="shared" si="8"/>
        <v>#N/A</v>
      </c>
      <c r="AS16" s="465"/>
      <c r="AT16" s="185"/>
      <c r="AU16" s="169"/>
      <c r="AV16" s="183"/>
      <c r="AW16" s="185" t="e">
        <f t="shared" si="9"/>
        <v>#N/A</v>
      </c>
      <c r="AX16" s="465"/>
      <c r="AZ16" s="184" t="e">
        <f>RANK(AX16, $K$7:AX$21)</f>
        <v>#N/A</v>
      </c>
      <c r="BB16" s="185" t="e">
        <f t="shared" si="10"/>
        <v>#N/A</v>
      </c>
    </row>
    <row r="17" spans="2:54">
      <c r="B17" s="471"/>
      <c r="C17" s="185">
        <v>11</v>
      </c>
      <c r="D17" s="206"/>
      <c r="E17" s="169"/>
      <c r="F17" s="185"/>
      <c r="G17" s="183"/>
      <c r="H17" s="452"/>
      <c r="I17" s="169"/>
      <c r="J17" s="169"/>
      <c r="K17" s="183"/>
      <c r="L17" s="452"/>
      <c r="M17" s="184" t="e">
        <f>RANK(K17, $K$7:K$21)</f>
        <v>#N/A</v>
      </c>
      <c r="N17" s="454"/>
      <c r="O17" s="454"/>
      <c r="P17" s="185"/>
      <c r="Q17" s="169"/>
      <c r="R17" s="183"/>
      <c r="S17" s="185" t="e">
        <f t="shared" si="3"/>
        <v>#N/A</v>
      </c>
      <c r="T17" s="465"/>
      <c r="U17" s="185"/>
      <c r="V17" s="169"/>
      <c r="W17" s="183"/>
      <c r="X17" s="185" t="e">
        <f t="shared" si="4"/>
        <v>#N/A</v>
      </c>
      <c r="Y17" s="465"/>
      <c r="Z17" s="185"/>
      <c r="AA17" s="169"/>
      <c r="AB17" s="183"/>
      <c r="AC17" s="185" t="e">
        <f t="shared" si="5"/>
        <v>#N/A</v>
      </c>
      <c r="AD17" s="465"/>
      <c r="AE17" s="185"/>
      <c r="AF17" s="169"/>
      <c r="AG17" s="183"/>
      <c r="AH17" s="185" t="e">
        <f t="shared" si="6"/>
        <v>#N/A</v>
      </c>
      <c r="AI17" s="465"/>
      <c r="AJ17" s="185"/>
      <c r="AK17" s="169"/>
      <c r="AL17" s="183"/>
      <c r="AM17" s="185" t="e">
        <f t="shared" si="7"/>
        <v>#N/A</v>
      </c>
      <c r="AN17" s="465"/>
      <c r="AO17" s="185"/>
      <c r="AP17" s="169"/>
      <c r="AQ17" s="183"/>
      <c r="AR17" s="185" t="e">
        <f t="shared" si="8"/>
        <v>#N/A</v>
      </c>
      <c r="AS17" s="465"/>
      <c r="AT17" s="185"/>
      <c r="AU17" s="169"/>
      <c r="AV17" s="183"/>
      <c r="AW17" s="185" t="e">
        <f t="shared" si="9"/>
        <v>#N/A</v>
      </c>
      <c r="AX17" s="465"/>
      <c r="AZ17" s="184" t="e">
        <f>RANK(AX17, $K$7:AX$21)</f>
        <v>#N/A</v>
      </c>
      <c r="BB17" s="185" t="e">
        <f t="shared" si="10"/>
        <v>#N/A</v>
      </c>
    </row>
    <row r="18" spans="2:54">
      <c r="B18" s="471"/>
      <c r="C18" s="185">
        <v>12</v>
      </c>
      <c r="D18" s="206"/>
      <c r="E18" s="169"/>
      <c r="F18" s="185"/>
      <c r="G18" s="183"/>
      <c r="H18" s="452"/>
      <c r="I18" s="169"/>
      <c r="J18" s="169"/>
      <c r="K18" s="183"/>
      <c r="L18" s="452"/>
      <c r="M18" s="184" t="e">
        <f>RANK(K18, $K$7:K$21)</f>
        <v>#N/A</v>
      </c>
      <c r="N18" s="454"/>
      <c r="O18" s="454"/>
      <c r="P18" s="185"/>
      <c r="Q18" s="169"/>
      <c r="R18" s="183"/>
      <c r="S18" s="185" t="e">
        <f t="shared" si="3"/>
        <v>#N/A</v>
      </c>
      <c r="T18" s="465"/>
      <c r="U18" s="185"/>
      <c r="V18" s="169"/>
      <c r="W18" s="183"/>
      <c r="X18" s="185" t="e">
        <f t="shared" si="4"/>
        <v>#N/A</v>
      </c>
      <c r="Y18" s="465"/>
      <c r="Z18" s="185"/>
      <c r="AA18" s="169"/>
      <c r="AB18" s="183"/>
      <c r="AC18" s="185" t="e">
        <f t="shared" si="5"/>
        <v>#N/A</v>
      </c>
      <c r="AD18" s="465"/>
      <c r="AE18" s="185"/>
      <c r="AF18" s="169"/>
      <c r="AG18" s="183"/>
      <c r="AH18" s="185" t="e">
        <f t="shared" si="6"/>
        <v>#N/A</v>
      </c>
      <c r="AI18" s="465"/>
      <c r="AJ18" s="185"/>
      <c r="AK18" s="169"/>
      <c r="AL18" s="183"/>
      <c r="AM18" s="185" t="e">
        <f t="shared" si="7"/>
        <v>#N/A</v>
      </c>
      <c r="AN18" s="465"/>
      <c r="AO18" s="185"/>
      <c r="AP18" s="169"/>
      <c r="AQ18" s="183"/>
      <c r="AR18" s="185" t="e">
        <f t="shared" si="8"/>
        <v>#N/A</v>
      </c>
      <c r="AS18" s="465"/>
      <c r="AT18" s="185"/>
      <c r="AU18" s="169"/>
      <c r="AV18" s="183"/>
      <c r="AW18" s="185" t="e">
        <f t="shared" si="9"/>
        <v>#N/A</v>
      </c>
      <c r="AX18" s="465"/>
      <c r="AZ18" s="184" t="e">
        <f>RANK(AX18, $K$7:AX$21)</f>
        <v>#N/A</v>
      </c>
      <c r="BB18" s="185" t="e">
        <f t="shared" si="10"/>
        <v>#N/A</v>
      </c>
    </row>
    <row r="19" spans="2:54">
      <c r="B19" s="471"/>
      <c r="C19" s="185">
        <v>13</v>
      </c>
      <c r="D19" s="206"/>
      <c r="E19" s="169"/>
      <c r="F19" s="185"/>
      <c r="G19" s="183"/>
      <c r="H19" s="452"/>
      <c r="I19" s="169"/>
      <c r="J19" s="169"/>
      <c r="K19" s="183"/>
      <c r="L19" s="452"/>
      <c r="M19" s="184" t="e">
        <f>RANK(K19, $K$7:K$21)</f>
        <v>#N/A</v>
      </c>
      <c r="N19" s="454"/>
      <c r="O19" s="454"/>
      <c r="P19" s="185"/>
      <c r="Q19" s="169"/>
      <c r="R19" s="183"/>
      <c r="S19" s="185" t="e">
        <f t="shared" si="3"/>
        <v>#N/A</v>
      </c>
      <c r="T19" s="465"/>
      <c r="U19" s="185"/>
      <c r="V19" s="169"/>
      <c r="W19" s="183"/>
      <c r="X19" s="185" t="e">
        <f t="shared" si="4"/>
        <v>#N/A</v>
      </c>
      <c r="Y19" s="465"/>
      <c r="Z19" s="185"/>
      <c r="AA19" s="169"/>
      <c r="AB19" s="183"/>
      <c r="AC19" s="185" t="e">
        <f t="shared" si="5"/>
        <v>#N/A</v>
      </c>
      <c r="AD19" s="465"/>
      <c r="AE19" s="185"/>
      <c r="AF19" s="169"/>
      <c r="AG19" s="183"/>
      <c r="AH19" s="185" t="e">
        <f t="shared" si="6"/>
        <v>#N/A</v>
      </c>
      <c r="AI19" s="465"/>
      <c r="AJ19" s="185"/>
      <c r="AK19" s="169"/>
      <c r="AL19" s="183"/>
      <c r="AM19" s="185" t="e">
        <f t="shared" si="7"/>
        <v>#N/A</v>
      </c>
      <c r="AN19" s="465"/>
      <c r="AO19" s="185"/>
      <c r="AP19" s="169"/>
      <c r="AQ19" s="183"/>
      <c r="AR19" s="185" t="e">
        <f t="shared" si="8"/>
        <v>#N/A</v>
      </c>
      <c r="AS19" s="465"/>
      <c r="AT19" s="185"/>
      <c r="AU19" s="169"/>
      <c r="AV19" s="183"/>
      <c r="AW19" s="185" t="e">
        <f t="shared" si="9"/>
        <v>#N/A</v>
      </c>
      <c r="AX19" s="465"/>
      <c r="AZ19" s="184" t="e">
        <f>RANK(AX19, $K$7:AX$21)</f>
        <v>#N/A</v>
      </c>
      <c r="BB19" s="185" t="e">
        <f t="shared" si="10"/>
        <v>#N/A</v>
      </c>
    </row>
    <row r="20" spans="2:54">
      <c r="B20" s="471"/>
      <c r="C20" s="185">
        <v>14</v>
      </c>
      <c r="D20" s="206"/>
      <c r="E20" s="169"/>
      <c r="F20" s="185"/>
      <c r="G20" s="183"/>
      <c r="H20" s="452"/>
      <c r="I20" s="169"/>
      <c r="J20" s="169"/>
      <c r="K20" s="183"/>
      <c r="L20" s="452"/>
      <c r="M20" s="184" t="e">
        <f>RANK(K20, $K$7:K$21)</f>
        <v>#N/A</v>
      </c>
      <c r="N20" s="454"/>
      <c r="O20" s="454"/>
      <c r="P20" s="185"/>
      <c r="Q20" s="169"/>
      <c r="R20" s="183"/>
      <c r="S20" s="185" t="e">
        <f t="shared" si="3"/>
        <v>#N/A</v>
      </c>
      <c r="T20" s="465"/>
      <c r="U20" s="185"/>
      <c r="V20" s="169"/>
      <c r="W20" s="183"/>
      <c r="X20" s="185" t="e">
        <f t="shared" si="4"/>
        <v>#N/A</v>
      </c>
      <c r="Y20" s="465"/>
      <c r="Z20" s="185"/>
      <c r="AA20" s="169"/>
      <c r="AB20" s="183"/>
      <c r="AC20" s="185" t="e">
        <f t="shared" si="5"/>
        <v>#N/A</v>
      </c>
      <c r="AD20" s="465"/>
      <c r="AE20" s="185"/>
      <c r="AF20" s="169"/>
      <c r="AG20" s="183"/>
      <c r="AH20" s="185" t="e">
        <f t="shared" si="6"/>
        <v>#N/A</v>
      </c>
      <c r="AI20" s="465"/>
      <c r="AJ20" s="185"/>
      <c r="AK20" s="169"/>
      <c r="AL20" s="183"/>
      <c r="AM20" s="185" t="e">
        <f t="shared" si="7"/>
        <v>#N/A</v>
      </c>
      <c r="AN20" s="465"/>
      <c r="AO20" s="185"/>
      <c r="AP20" s="169"/>
      <c r="AQ20" s="183"/>
      <c r="AR20" s="185" t="e">
        <f t="shared" si="8"/>
        <v>#N/A</v>
      </c>
      <c r="AS20" s="465"/>
      <c r="AT20" s="185"/>
      <c r="AU20" s="169"/>
      <c r="AV20" s="183"/>
      <c r="AW20" s="185" t="e">
        <f t="shared" si="9"/>
        <v>#N/A</v>
      </c>
      <c r="AX20" s="465"/>
      <c r="AZ20" s="184" t="e">
        <f>RANK(AX20, $K$7:AX$21)</f>
        <v>#N/A</v>
      </c>
      <c r="BB20" s="185" t="e">
        <f t="shared" si="10"/>
        <v>#N/A</v>
      </c>
    </row>
    <row r="21" spans="2:54">
      <c r="B21" s="471"/>
      <c r="C21" s="185">
        <v>15</v>
      </c>
      <c r="D21" s="206"/>
      <c r="E21" s="169"/>
      <c r="F21" s="185"/>
      <c r="G21" s="183"/>
      <c r="H21" s="453"/>
      <c r="I21" s="169"/>
      <c r="J21" s="169"/>
      <c r="K21" s="183"/>
      <c r="L21" s="453"/>
      <c r="M21" s="169" t="e">
        <f>RANK(K21, $K$7:K$21)</f>
        <v>#N/A</v>
      </c>
      <c r="N21" s="454"/>
      <c r="O21" s="454"/>
      <c r="P21" s="185"/>
      <c r="Q21" s="169"/>
      <c r="R21" s="183"/>
      <c r="S21" s="185" t="e">
        <f t="shared" si="3"/>
        <v>#N/A</v>
      </c>
      <c r="T21" s="466"/>
      <c r="U21" s="185"/>
      <c r="V21" s="169"/>
      <c r="W21" s="183"/>
      <c r="X21" s="185" t="e">
        <f t="shared" si="4"/>
        <v>#N/A</v>
      </c>
      <c r="Y21" s="466"/>
      <c r="Z21" s="185"/>
      <c r="AA21" s="169"/>
      <c r="AB21" s="183"/>
      <c r="AC21" s="185" t="e">
        <f t="shared" si="5"/>
        <v>#N/A</v>
      </c>
      <c r="AD21" s="466"/>
      <c r="AE21" s="185"/>
      <c r="AF21" s="169"/>
      <c r="AG21" s="183"/>
      <c r="AH21" s="185" t="e">
        <f t="shared" si="6"/>
        <v>#N/A</v>
      </c>
      <c r="AI21" s="466"/>
      <c r="AJ21" s="185"/>
      <c r="AK21" s="169"/>
      <c r="AL21" s="183"/>
      <c r="AM21" s="185" t="e">
        <f t="shared" si="7"/>
        <v>#N/A</v>
      </c>
      <c r="AN21" s="466"/>
      <c r="AO21" s="185"/>
      <c r="AP21" s="169"/>
      <c r="AQ21" s="183"/>
      <c r="AR21" s="185" t="e">
        <f t="shared" si="8"/>
        <v>#N/A</v>
      </c>
      <c r="AS21" s="466"/>
      <c r="AT21" s="185"/>
      <c r="AU21" s="169"/>
      <c r="AV21" s="183"/>
      <c r="AW21" s="185" t="e">
        <f t="shared" si="9"/>
        <v>#N/A</v>
      </c>
      <c r="AX21" s="466"/>
      <c r="AZ21" s="169" t="e">
        <f>RANK(AX21, $K$7:AX$21)</f>
        <v>#N/A</v>
      </c>
      <c r="BB21" s="185" t="e">
        <f t="shared" si="10"/>
        <v>#N/A</v>
      </c>
    </row>
    <row r="22" spans="2:54" ht="15.75">
      <c r="B22" s="481" t="s">
        <v>201</v>
      </c>
      <c r="C22" s="482"/>
      <c r="D22" s="482"/>
      <c r="E22" s="482"/>
      <c r="F22" s="482"/>
      <c r="G22" s="482"/>
      <c r="H22" s="482"/>
      <c r="I22" s="186"/>
      <c r="J22" s="186"/>
      <c r="K22" s="186"/>
      <c r="L22" s="186"/>
      <c r="M22" s="181"/>
      <c r="N22" s="461" t="s">
        <v>202</v>
      </c>
      <c r="O22" s="461" t="s">
        <v>150</v>
      </c>
      <c r="P22" s="470">
        <f>AT2+1</f>
        <v>45965</v>
      </c>
      <c r="Q22" s="471"/>
      <c r="R22" s="471"/>
      <c r="S22" s="471"/>
      <c r="T22" s="471"/>
      <c r="U22" s="470">
        <f>P22+1</f>
        <v>45966</v>
      </c>
      <c r="V22" s="471"/>
      <c r="W22" s="471"/>
      <c r="X22" s="471"/>
      <c r="Y22" s="471"/>
      <c r="Z22" s="470">
        <f>U22+1</f>
        <v>45967</v>
      </c>
      <c r="AA22" s="471"/>
      <c r="AB22" s="471"/>
      <c r="AC22" s="471"/>
      <c r="AD22" s="471"/>
      <c r="AE22" s="470">
        <f>Z22+1</f>
        <v>45968</v>
      </c>
      <c r="AF22" s="471"/>
      <c r="AG22" s="471"/>
      <c r="AH22" s="471"/>
      <c r="AI22" s="471"/>
      <c r="AJ22" s="470">
        <f>AE22+1</f>
        <v>45969</v>
      </c>
      <c r="AK22" s="471"/>
      <c r="AL22" s="471"/>
      <c r="AM22" s="471"/>
      <c r="AN22" s="471"/>
      <c r="AO22" s="470">
        <f>AJ22+1</f>
        <v>45970</v>
      </c>
      <c r="AP22" s="471"/>
      <c r="AQ22" s="471"/>
      <c r="AR22" s="471"/>
      <c r="AS22" s="471"/>
      <c r="AT22" s="470">
        <f>AO22+1</f>
        <v>45971</v>
      </c>
      <c r="AU22" s="471"/>
      <c r="AV22" s="471"/>
      <c r="AW22" s="471"/>
      <c r="AX22" s="471"/>
    </row>
    <row r="23" spans="2:54" ht="15.75">
      <c r="B23" s="474"/>
      <c r="C23" s="474"/>
      <c r="D23" s="474"/>
      <c r="E23" s="474"/>
      <c r="F23" s="474"/>
      <c r="G23" s="474"/>
      <c r="H23" s="474"/>
      <c r="I23" s="187"/>
      <c r="J23" s="187"/>
      <c r="K23" s="187"/>
      <c r="L23" s="187"/>
      <c r="M23" s="182"/>
      <c r="N23" s="463"/>
      <c r="O23" s="463"/>
      <c r="P23" s="470" t="s">
        <v>203</v>
      </c>
      <c r="Q23" s="471"/>
      <c r="R23" s="471"/>
      <c r="S23" s="471"/>
      <c r="T23" s="471"/>
      <c r="U23" s="470" t="s">
        <v>204</v>
      </c>
      <c r="V23" s="471"/>
      <c r="W23" s="471"/>
      <c r="X23" s="471"/>
      <c r="Y23" s="471"/>
      <c r="Z23" s="470" t="s">
        <v>205</v>
      </c>
      <c r="AA23" s="471"/>
      <c r="AB23" s="471"/>
      <c r="AC23" s="471"/>
      <c r="AD23" s="471"/>
      <c r="AE23" s="470" t="s">
        <v>206</v>
      </c>
      <c r="AF23" s="471"/>
      <c r="AG23" s="471"/>
      <c r="AH23" s="471"/>
      <c r="AI23" s="471"/>
      <c r="AJ23" s="470" t="s">
        <v>207</v>
      </c>
      <c r="AK23" s="471"/>
      <c r="AL23" s="471"/>
      <c r="AM23" s="471"/>
      <c r="AN23" s="471"/>
      <c r="AO23" s="470" t="s">
        <v>157</v>
      </c>
      <c r="AP23" s="471"/>
      <c r="AQ23" s="471"/>
      <c r="AR23" s="471"/>
      <c r="AS23" s="471"/>
      <c r="AT23" s="470" t="s">
        <v>208</v>
      </c>
      <c r="AU23" s="471"/>
      <c r="AV23" s="471"/>
      <c r="AW23" s="471"/>
      <c r="AX23" s="471"/>
    </row>
    <row r="24" spans="2:54">
      <c r="B24" s="454" t="s">
        <v>209</v>
      </c>
      <c r="C24" s="454" t="s">
        <v>210</v>
      </c>
      <c r="D24" s="454"/>
      <c r="E24" s="454" t="s">
        <v>211</v>
      </c>
      <c r="F24" s="454"/>
      <c r="G24" s="454"/>
      <c r="H24" s="455" t="s">
        <v>212</v>
      </c>
      <c r="I24" s="454" t="s">
        <v>213</v>
      </c>
      <c r="J24" s="454"/>
      <c r="K24" s="454"/>
      <c r="L24" s="455" t="s">
        <v>212</v>
      </c>
      <c r="M24" s="461" t="s">
        <v>214</v>
      </c>
      <c r="N24" s="454"/>
      <c r="O24" s="454" t="s">
        <v>215</v>
      </c>
      <c r="P24" s="458" t="s">
        <v>216</v>
      </c>
      <c r="Q24" s="459"/>
      <c r="R24" s="459"/>
      <c r="S24" s="460"/>
      <c r="T24" s="454" t="s">
        <v>212</v>
      </c>
      <c r="U24" s="458" t="s">
        <v>216</v>
      </c>
      <c r="V24" s="459"/>
      <c r="W24" s="459"/>
      <c r="X24" s="460"/>
      <c r="Y24" s="454" t="s">
        <v>212</v>
      </c>
      <c r="Z24" s="458" t="s">
        <v>216</v>
      </c>
      <c r="AA24" s="459"/>
      <c r="AB24" s="459"/>
      <c r="AC24" s="460"/>
      <c r="AD24" s="454" t="s">
        <v>212</v>
      </c>
      <c r="AE24" s="458" t="s">
        <v>216</v>
      </c>
      <c r="AF24" s="459"/>
      <c r="AG24" s="459"/>
      <c r="AH24" s="460"/>
      <c r="AI24" s="454" t="s">
        <v>212</v>
      </c>
      <c r="AJ24" s="458" t="s">
        <v>216</v>
      </c>
      <c r="AK24" s="459"/>
      <c r="AL24" s="459"/>
      <c r="AM24" s="460"/>
      <c r="AN24" s="454" t="s">
        <v>212</v>
      </c>
      <c r="AO24" s="458" t="s">
        <v>216</v>
      </c>
      <c r="AP24" s="459"/>
      <c r="AQ24" s="459"/>
      <c r="AR24" s="460"/>
      <c r="AS24" s="454" t="s">
        <v>212</v>
      </c>
      <c r="AT24" s="458" t="s">
        <v>216</v>
      </c>
      <c r="AU24" s="459"/>
      <c r="AV24" s="459"/>
      <c r="AW24" s="460"/>
      <c r="AX24" s="454" t="s">
        <v>212</v>
      </c>
    </row>
    <row r="25" spans="2:54">
      <c r="B25" s="454"/>
      <c r="C25" s="454"/>
      <c r="D25" s="454"/>
      <c r="E25" s="454" t="s">
        <v>217</v>
      </c>
      <c r="F25" s="454"/>
      <c r="G25" s="454"/>
      <c r="H25" s="456"/>
      <c r="I25" s="454" t="s">
        <v>217</v>
      </c>
      <c r="J25" s="454"/>
      <c r="K25" s="454"/>
      <c r="L25" s="456"/>
      <c r="M25" s="462"/>
      <c r="N25" s="454"/>
      <c r="O25" s="454"/>
      <c r="P25" s="458" t="s">
        <v>218</v>
      </c>
      <c r="Q25" s="459"/>
      <c r="R25" s="459"/>
      <c r="S25" s="460"/>
      <c r="T25" s="454"/>
      <c r="U25" s="458" t="s">
        <v>218</v>
      </c>
      <c r="V25" s="459"/>
      <c r="W25" s="459"/>
      <c r="X25" s="460"/>
      <c r="Y25" s="454"/>
      <c r="Z25" s="458" t="s">
        <v>218</v>
      </c>
      <c r="AA25" s="459"/>
      <c r="AB25" s="459"/>
      <c r="AC25" s="460"/>
      <c r="AD25" s="454"/>
      <c r="AE25" s="458" t="s">
        <v>218</v>
      </c>
      <c r="AF25" s="459"/>
      <c r="AG25" s="459"/>
      <c r="AH25" s="460"/>
      <c r="AI25" s="454"/>
      <c r="AJ25" s="458" t="s">
        <v>218</v>
      </c>
      <c r="AK25" s="459"/>
      <c r="AL25" s="459"/>
      <c r="AM25" s="460"/>
      <c r="AN25" s="454"/>
      <c r="AO25" s="458" t="s">
        <v>218</v>
      </c>
      <c r="AP25" s="459"/>
      <c r="AQ25" s="459"/>
      <c r="AR25" s="460"/>
      <c r="AS25" s="454"/>
      <c r="AT25" s="458" t="s">
        <v>218</v>
      </c>
      <c r="AU25" s="459"/>
      <c r="AV25" s="459"/>
      <c r="AW25" s="460"/>
      <c r="AX25" s="454"/>
    </row>
    <row r="26" spans="2:54">
      <c r="B26" s="454"/>
      <c r="C26" s="454"/>
      <c r="D26" s="454"/>
      <c r="E26" s="275" t="s">
        <v>219</v>
      </c>
      <c r="F26" s="275" t="s">
        <v>220</v>
      </c>
      <c r="G26" s="275" t="s">
        <v>221</v>
      </c>
      <c r="H26" s="457"/>
      <c r="I26" s="275" t="s">
        <v>219</v>
      </c>
      <c r="J26" s="275" t="s">
        <v>220</v>
      </c>
      <c r="K26" s="275" t="s">
        <v>221</v>
      </c>
      <c r="L26" s="457"/>
      <c r="M26" s="463"/>
      <c r="N26" s="454"/>
      <c r="O26" s="454"/>
      <c r="P26" s="275" t="s">
        <v>219</v>
      </c>
      <c r="Q26" s="275" t="s">
        <v>220</v>
      </c>
      <c r="R26" s="275" t="s">
        <v>221</v>
      </c>
      <c r="S26" s="275" t="s">
        <v>214</v>
      </c>
      <c r="T26" s="454"/>
      <c r="U26" s="275" t="s">
        <v>219</v>
      </c>
      <c r="V26" s="275" t="s">
        <v>220</v>
      </c>
      <c r="W26" s="275" t="s">
        <v>221</v>
      </c>
      <c r="X26" s="275" t="s">
        <v>214</v>
      </c>
      <c r="Y26" s="454"/>
      <c r="Z26" s="275" t="s">
        <v>219</v>
      </c>
      <c r="AA26" s="275" t="s">
        <v>220</v>
      </c>
      <c r="AB26" s="275" t="s">
        <v>221</v>
      </c>
      <c r="AC26" s="275" t="s">
        <v>214</v>
      </c>
      <c r="AD26" s="454"/>
      <c r="AE26" s="275" t="s">
        <v>219</v>
      </c>
      <c r="AF26" s="275" t="s">
        <v>220</v>
      </c>
      <c r="AG26" s="275" t="s">
        <v>221</v>
      </c>
      <c r="AH26" s="275" t="s">
        <v>214</v>
      </c>
      <c r="AI26" s="454"/>
      <c r="AJ26" s="275" t="s">
        <v>219</v>
      </c>
      <c r="AK26" s="275" t="s">
        <v>220</v>
      </c>
      <c r="AL26" s="275" t="s">
        <v>221</v>
      </c>
      <c r="AM26" s="275" t="s">
        <v>214</v>
      </c>
      <c r="AN26" s="454"/>
      <c r="AO26" s="275" t="s">
        <v>219</v>
      </c>
      <c r="AP26" s="275" t="s">
        <v>220</v>
      </c>
      <c r="AQ26" s="275" t="s">
        <v>221</v>
      </c>
      <c r="AR26" s="275" t="s">
        <v>214</v>
      </c>
      <c r="AS26" s="454"/>
      <c r="AT26" s="275" t="s">
        <v>219</v>
      </c>
      <c r="AU26" s="275" t="s">
        <v>220</v>
      </c>
      <c r="AV26" s="275" t="s">
        <v>221</v>
      </c>
      <c r="AW26" s="275" t="s">
        <v>214</v>
      </c>
      <c r="AX26" s="454"/>
    </row>
    <row r="27" spans="2:54">
      <c r="B27" s="454" t="s">
        <v>190</v>
      </c>
      <c r="C27" s="185">
        <v>1</v>
      </c>
      <c r="D27" s="206" t="s">
        <v>329</v>
      </c>
      <c r="E27" s="169">
        <v>7</v>
      </c>
      <c r="F27" s="185">
        <v>1500</v>
      </c>
      <c r="G27" s="183">
        <v>214.28571428571428</v>
      </c>
      <c r="H27" s="451">
        <f>AVERAGE(G27:G41)</f>
        <v>123.60609243697479</v>
      </c>
      <c r="I27" s="169">
        <f t="shared" ref="I27:K32" si="11">AVERAGE(P27,U27,Z27,AE27,AJ27,AO27,AT27)</f>
        <v>7</v>
      </c>
      <c r="J27" s="169">
        <f t="shared" si="11"/>
        <v>1301.6322617932233</v>
      </c>
      <c r="K27" s="183">
        <f t="shared" si="11"/>
        <v>185.94746597046043</v>
      </c>
      <c r="L27" s="451">
        <f>IFERROR(AVERAGE(K27:K41),"-")</f>
        <v>109.78166916077008</v>
      </c>
      <c r="M27" s="184">
        <f>RANK(K27, K$27:$K$41)</f>
        <v>2</v>
      </c>
      <c r="N27" s="454"/>
      <c r="O27" s="454"/>
      <c r="P27" s="169">
        <v>7</v>
      </c>
      <c r="Q27" s="169">
        <v>1316.3855421686749</v>
      </c>
      <c r="R27" s="183">
        <v>188.05507745266783</v>
      </c>
      <c r="S27" s="185">
        <f t="shared" ref="S27:S41" si="12">RANK(R27, R$27:R$41)</f>
        <v>3</v>
      </c>
      <c r="T27" s="464">
        <f>AVERAGE(R27:R41)</f>
        <v>111.62667606235973</v>
      </c>
      <c r="U27" s="169">
        <v>7</v>
      </c>
      <c r="V27" s="169">
        <v>1282.588235294118</v>
      </c>
      <c r="W27" s="183">
        <v>183.22689075630257</v>
      </c>
      <c r="X27" s="185">
        <f t="shared" ref="X27:X41" si="13">RANK(W27, W$27:W$41)</f>
        <v>2</v>
      </c>
      <c r="Y27" s="464">
        <f>AVERAGE(W27:W41)</f>
        <v>109.45269367074583</v>
      </c>
      <c r="Z27" s="169">
        <v>7</v>
      </c>
      <c r="AA27" s="169">
        <v>1280.240963855422</v>
      </c>
      <c r="AB27" s="183">
        <v>182.89156626506028</v>
      </c>
      <c r="AC27" s="185">
        <f t="shared" ref="AC27:AC41" si="14">RANK(AB27, AB$27:AB$41)</f>
        <v>3</v>
      </c>
      <c r="AD27" s="464">
        <f>AVERAGE(AB27:AB41)</f>
        <v>110.50427693779054</v>
      </c>
      <c r="AE27" s="169">
        <v>7</v>
      </c>
      <c r="AF27" s="169">
        <v>1310.7692307692307</v>
      </c>
      <c r="AG27" s="183">
        <v>187.25274725274724</v>
      </c>
      <c r="AH27" s="185">
        <f t="shared" ref="AH27:AH41" si="15">RANK(AG27, AG$27:AG$41)</f>
        <v>1</v>
      </c>
      <c r="AI27" s="464">
        <f>AVERAGE(AG27:AG41)</f>
        <v>108.86610853531944</v>
      </c>
      <c r="AJ27" s="169">
        <v>7</v>
      </c>
      <c r="AK27" s="169">
        <v>1293.3333333333337</v>
      </c>
      <c r="AL27" s="183">
        <v>184.76190476190482</v>
      </c>
      <c r="AM27" s="185">
        <f t="shared" ref="AM27:AM41" si="16">RANK(AL27, AL$27:AL$41)</f>
        <v>1</v>
      </c>
      <c r="AN27" s="464">
        <f>AVERAGE(AL27:AL41)</f>
        <v>109.07622051934307</v>
      </c>
      <c r="AO27" s="169">
        <v>7</v>
      </c>
      <c r="AP27" s="169">
        <v>1290.6666666666667</v>
      </c>
      <c r="AQ27" s="183">
        <v>184.38095238095238</v>
      </c>
      <c r="AR27" s="185">
        <f t="shared" ref="AR27:AR41" si="17">RANK(AQ27, AQ$27:AQ$41)</f>
        <v>2</v>
      </c>
      <c r="AS27" s="464">
        <f>AVERAGE(AQ27:AQ41)</f>
        <v>108.88080599805181</v>
      </c>
      <c r="AT27" s="169">
        <v>7</v>
      </c>
      <c r="AU27" s="169">
        <v>1337.4418604651162</v>
      </c>
      <c r="AV27" s="183">
        <v>191.06312292358803</v>
      </c>
      <c r="AW27" s="185">
        <f t="shared" ref="AW27:AW41" si="18">RANK(AV27, AV$27:AV$41)</f>
        <v>1</v>
      </c>
      <c r="AX27" s="464">
        <f>AVERAGE(AV27:AV41)</f>
        <v>110.06490240178003</v>
      </c>
    </row>
    <row r="28" spans="2:54">
      <c r="B28" s="471"/>
      <c r="C28" s="185">
        <v>2</v>
      </c>
      <c r="D28" s="206" t="s">
        <v>330</v>
      </c>
      <c r="E28" s="169">
        <v>7</v>
      </c>
      <c r="F28" s="185">
        <v>1500</v>
      </c>
      <c r="G28" s="183">
        <v>214.28571428571428</v>
      </c>
      <c r="H28" s="452"/>
      <c r="I28" s="169">
        <f t="shared" si="11"/>
        <v>7</v>
      </c>
      <c r="J28" s="169">
        <f t="shared" si="11"/>
        <v>1285.7709760196828</v>
      </c>
      <c r="K28" s="183">
        <f t="shared" si="11"/>
        <v>183.68156800281184</v>
      </c>
      <c r="L28" s="452"/>
      <c r="M28" s="184">
        <f>RANK(K28, K$27:$K$41)</f>
        <v>3</v>
      </c>
      <c r="N28" s="454"/>
      <c r="O28" s="454"/>
      <c r="P28" s="185">
        <v>7</v>
      </c>
      <c r="Q28" s="169">
        <v>1317.916666666667</v>
      </c>
      <c r="R28" s="183">
        <v>188.27380952380958</v>
      </c>
      <c r="S28" s="185">
        <f t="shared" si="12"/>
        <v>2</v>
      </c>
      <c r="T28" s="465"/>
      <c r="U28" s="185">
        <v>7</v>
      </c>
      <c r="V28" s="169">
        <v>1278.1132075471698</v>
      </c>
      <c r="W28" s="183">
        <v>182.58760107816713</v>
      </c>
      <c r="X28" s="185">
        <f t="shared" si="13"/>
        <v>3</v>
      </c>
      <c r="Y28" s="465"/>
      <c r="Z28" s="185">
        <v>7</v>
      </c>
      <c r="AA28" s="169">
        <v>1322.0689655172416</v>
      </c>
      <c r="AB28" s="183">
        <v>188.86699507389167</v>
      </c>
      <c r="AC28" s="185">
        <f t="shared" si="14"/>
        <v>1</v>
      </c>
      <c r="AD28" s="465"/>
      <c r="AE28" s="185">
        <v>7</v>
      </c>
      <c r="AF28" s="169">
        <v>1256.7123287671229</v>
      </c>
      <c r="AG28" s="183">
        <v>179.53033268101757</v>
      </c>
      <c r="AH28" s="185">
        <f t="shared" si="15"/>
        <v>3</v>
      </c>
      <c r="AI28" s="465"/>
      <c r="AJ28" s="185">
        <v>7</v>
      </c>
      <c r="AK28" s="169">
        <v>1277.674418604651</v>
      </c>
      <c r="AL28" s="183">
        <v>182.52491694352156</v>
      </c>
      <c r="AM28" s="185">
        <f t="shared" si="16"/>
        <v>3</v>
      </c>
      <c r="AN28" s="465"/>
      <c r="AO28" s="185">
        <v>7</v>
      </c>
      <c r="AP28" s="169">
        <v>1278.5234899328857</v>
      </c>
      <c r="AQ28" s="183">
        <v>182.64621284755509</v>
      </c>
      <c r="AR28" s="185">
        <f t="shared" si="17"/>
        <v>3</v>
      </c>
      <c r="AS28" s="465"/>
      <c r="AT28" s="185">
        <v>7</v>
      </c>
      <c r="AU28" s="169">
        <v>1269.3877551020405</v>
      </c>
      <c r="AV28" s="183">
        <v>181.34110787172008</v>
      </c>
      <c r="AW28" s="185">
        <f t="shared" si="18"/>
        <v>3</v>
      </c>
      <c r="AX28" s="465"/>
    </row>
    <row r="29" spans="2:54">
      <c r="B29" s="471"/>
      <c r="C29" s="185">
        <v>3</v>
      </c>
      <c r="D29" s="206" t="s">
        <v>331</v>
      </c>
      <c r="E29" s="169">
        <v>20</v>
      </c>
      <c r="F29" s="185">
        <v>1500</v>
      </c>
      <c r="G29" s="183">
        <v>75</v>
      </c>
      <c r="H29" s="452"/>
      <c r="I29" s="169">
        <f t="shared" si="11"/>
        <v>18</v>
      </c>
      <c r="J29" s="169">
        <f t="shared" si="11"/>
        <v>1296.7910874812753</v>
      </c>
      <c r="K29" s="183">
        <f t="shared" si="11"/>
        <v>72.043949304515294</v>
      </c>
      <c r="L29" s="452"/>
      <c r="M29" s="184">
        <f>RANK(K29, K$27:$K$41)</f>
        <v>5</v>
      </c>
      <c r="N29" s="454"/>
      <c r="O29" s="454"/>
      <c r="P29" s="185">
        <v>18</v>
      </c>
      <c r="Q29" s="169">
        <v>1303.1249999999998</v>
      </c>
      <c r="R29" s="183">
        <v>72.395833333333314</v>
      </c>
      <c r="S29" s="185">
        <f t="shared" si="12"/>
        <v>5</v>
      </c>
      <c r="T29" s="465"/>
      <c r="U29" s="185">
        <v>18</v>
      </c>
      <c r="V29" s="169">
        <v>1314.5454545454545</v>
      </c>
      <c r="W29" s="183">
        <v>73.030303030303031</v>
      </c>
      <c r="X29" s="185">
        <f t="shared" si="13"/>
        <v>4</v>
      </c>
      <c r="Y29" s="465"/>
      <c r="Z29" s="185">
        <v>18</v>
      </c>
      <c r="AA29" s="169">
        <v>1287.6923076923081</v>
      </c>
      <c r="AB29" s="183">
        <v>71.538461538461561</v>
      </c>
      <c r="AC29" s="185">
        <f t="shared" si="14"/>
        <v>6</v>
      </c>
      <c r="AD29" s="465"/>
      <c r="AE29" s="185">
        <v>18</v>
      </c>
      <c r="AF29" s="169">
        <v>1278.7786259541983</v>
      </c>
      <c r="AG29" s="183">
        <v>71.043256997455458</v>
      </c>
      <c r="AH29" s="185">
        <f t="shared" si="15"/>
        <v>6</v>
      </c>
      <c r="AI29" s="465"/>
      <c r="AJ29" s="185">
        <v>18</v>
      </c>
      <c r="AK29" s="169">
        <v>1294.1605839416059</v>
      </c>
      <c r="AL29" s="183">
        <v>71.897810218978108</v>
      </c>
      <c r="AM29" s="185">
        <f t="shared" si="16"/>
        <v>5</v>
      </c>
      <c r="AN29" s="465"/>
      <c r="AO29" s="185">
        <v>18</v>
      </c>
      <c r="AP29" s="169">
        <v>1295.4216867469881</v>
      </c>
      <c r="AQ29" s="183">
        <v>71.967871485943789</v>
      </c>
      <c r="AR29" s="185">
        <f t="shared" si="17"/>
        <v>5</v>
      </c>
      <c r="AS29" s="465"/>
      <c r="AT29" s="185">
        <v>18</v>
      </c>
      <c r="AU29" s="169">
        <v>1303.8139534883721</v>
      </c>
      <c r="AV29" s="183">
        <v>72.434108527131784</v>
      </c>
      <c r="AW29" s="185">
        <f t="shared" si="18"/>
        <v>5</v>
      </c>
      <c r="AX29" s="465"/>
    </row>
    <row r="30" spans="2:54">
      <c r="B30" s="471"/>
      <c r="C30" s="185">
        <v>4</v>
      </c>
      <c r="D30" s="206" t="s">
        <v>332</v>
      </c>
      <c r="E30" s="169">
        <v>17</v>
      </c>
      <c r="F30" s="185">
        <v>1440</v>
      </c>
      <c r="G30" s="183">
        <v>84.705882352941174</v>
      </c>
      <c r="H30" s="452"/>
      <c r="I30" s="169">
        <f t="shared" si="11"/>
        <v>17.714285714285715</v>
      </c>
      <c r="J30" s="169">
        <f t="shared" si="11"/>
        <v>1280.4385522017096</v>
      </c>
      <c r="K30" s="183">
        <f t="shared" si="11"/>
        <v>72.342417358671213</v>
      </c>
      <c r="L30" s="452"/>
      <c r="M30" s="184">
        <f>RANK(K30, K$27:$K$41)</f>
        <v>4</v>
      </c>
      <c r="N30" s="454"/>
      <c r="O30" s="454"/>
      <c r="P30" s="185">
        <v>17</v>
      </c>
      <c r="Q30" s="169">
        <v>1310.2702702702693</v>
      </c>
      <c r="R30" s="183">
        <v>77.074721780604079</v>
      </c>
      <c r="S30" s="185">
        <f t="shared" si="12"/>
        <v>4</v>
      </c>
      <c r="T30" s="465"/>
      <c r="U30" s="185">
        <v>18</v>
      </c>
      <c r="V30" s="169">
        <v>1250.9999999999995</v>
      </c>
      <c r="W30" s="183">
        <v>69.499999999999972</v>
      </c>
      <c r="X30" s="185">
        <f t="shared" si="13"/>
        <v>6</v>
      </c>
      <c r="Y30" s="465"/>
      <c r="Z30" s="185">
        <v>17</v>
      </c>
      <c r="AA30" s="169">
        <v>1274.9999999999995</v>
      </c>
      <c r="AB30" s="183">
        <v>74.999999999999972</v>
      </c>
      <c r="AC30" s="185">
        <f t="shared" si="14"/>
        <v>4</v>
      </c>
      <c r="AD30" s="465"/>
      <c r="AE30" s="185">
        <v>18</v>
      </c>
      <c r="AF30" s="169">
        <v>1283.6842105263147</v>
      </c>
      <c r="AG30" s="183">
        <v>71.315789473684148</v>
      </c>
      <c r="AH30" s="185">
        <f t="shared" si="15"/>
        <v>5</v>
      </c>
      <c r="AI30" s="465"/>
      <c r="AJ30" s="185">
        <v>18</v>
      </c>
      <c r="AK30" s="169">
        <v>1299.9999999999991</v>
      </c>
      <c r="AL30" s="183">
        <v>72.222222222222172</v>
      </c>
      <c r="AM30" s="185">
        <f t="shared" si="16"/>
        <v>4</v>
      </c>
      <c r="AN30" s="465"/>
      <c r="AO30" s="185">
        <v>18</v>
      </c>
      <c r="AP30" s="169">
        <v>1258.500000000002</v>
      </c>
      <c r="AQ30" s="183">
        <v>69.916666666666785</v>
      </c>
      <c r="AR30" s="185">
        <f t="shared" si="17"/>
        <v>6</v>
      </c>
      <c r="AS30" s="465"/>
      <c r="AT30" s="185">
        <v>18</v>
      </c>
      <c r="AU30" s="169">
        <v>1284.6153846153838</v>
      </c>
      <c r="AV30" s="183">
        <v>71.36752136752132</v>
      </c>
      <c r="AW30" s="185">
        <f t="shared" si="18"/>
        <v>6</v>
      </c>
      <c r="AX30" s="465"/>
    </row>
    <row r="31" spans="2:54">
      <c r="B31" s="471"/>
      <c r="C31" s="185">
        <v>5</v>
      </c>
      <c r="D31" s="206" t="s">
        <v>333</v>
      </c>
      <c r="E31" s="169">
        <v>7</v>
      </c>
      <c r="F31" s="185">
        <v>1500</v>
      </c>
      <c r="G31" s="183">
        <v>214.28571428571428</v>
      </c>
      <c r="H31" s="452"/>
      <c r="I31" s="169">
        <f t="shared" si="11"/>
        <v>7</v>
      </c>
      <c r="J31" s="169">
        <f t="shared" si="11"/>
        <v>1306.9596333224167</v>
      </c>
      <c r="K31" s="183">
        <f t="shared" si="11"/>
        <v>186.70851904605954</v>
      </c>
      <c r="L31" s="452"/>
      <c r="M31" s="184">
        <f>RANK(K31, K$27:$K$41)</f>
        <v>1</v>
      </c>
      <c r="N31" s="454"/>
      <c r="O31" s="454"/>
      <c r="P31" s="185">
        <v>7</v>
      </c>
      <c r="Q31" s="169">
        <v>1329.9212598425192</v>
      </c>
      <c r="R31" s="183">
        <v>189.98875140607419</v>
      </c>
      <c r="S31" s="185">
        <f t="shared" si="12"/>
        <v>1</v>
      </c>
      <c r="T31" s="465"/>
      <c r="U31" s="185">
        <v>7</v>
      </c>
      <c r="V31" s="169">
        <v>1342.4999999999998</v>
      </c>
      <c r="W31" s="183">
        <v>191.78571428571425</v>
      </c>
      <c r="X31" s="185">
        <f t="shared" si="13"/>
        <v>1</v>
      </c>
      <c r="Y31" s="465"/>
      <c r="Z31" s="185">
        <v>7</v>
      </c>
      <c r="AA31" s="169">
        <v>1303.5937499999998</v>
      </c>
      <c r="AB31" s="183">
        <v>186.22767857142853</v>
      </c>
      <c r="AC31" s="185">
        <f t="shared" si="14"/>
        <v>2</v>
      </c>
      <c r="AD31" s="465"/>
      <c r="AE31" s="185">
        <v>7</v>
      </c>
      <c r="AF31" s="169">
        <v>1290.2479338842977</v>
      </c>
      <c r="AG31" s="183">
        <v>184.32113341204254</v>
      </c>
      <c r="AH31" s="185">
        <f t="shared" si="15"/>
        <v>2</v>
      </c>
      <c r="AI31" s="465"/>
      <c r="AJ31" s="185">
        <v>7</v>
      </c>
      <c r="AK31" s="169">
        <v>1284.8780487804881</v>
      </c>
      <c r="AL31" s="183">
        <v>183.55400696864118</v>
      </c>
      <c r="AM31" s="185">
        <f t="shared" si="16"/>
        <v>2</v>
      </c>
      <c r="AN31" s="465"/>
      <c r="AO31" s="185">
        <v>7</v>
      </c>
      <c r="AP31" s="169">
        <v>1294.1721854304637</v>
      </c>
      <c r="AQ31" s="183">
        <v>184.88174077578054</v>
      </c>
      <c r="AR31" s="185">
        <f t="shared" si="17"/>
        <v>1</v>
      </c>
      <c r="AS31" s="465"/>
      <c r="AT31" s="185">
        <v>7</v>
      </c>
      <c r="AU31" s="169">
        <v>1303.4042553191487</v>
      </c>
      <c r="AV31" s="183">
        <v>186.20060790273553</v>
      </c>
      <c r="AW31" s="185">
        <f t="shared" si="18"/>
        <v>2</v>
      </c>
      <c r="AX31" s="465"/>
    </row>
    <row r="32" spans="2:54">
      <c r="B32" s="471"/>
      <c r="C32" s="185">
        <v>6</v>
      </c>
      <c r="D32" s="206" t="s">
        <v>334</v>
      </c>
      <c r="E32" s="169">
        <v>20</v>
      </c>
      <c r="F32" s="185">
        <v>1440</v>
      </c>
      <c r="G32" s="183">
        <v>72</v>
      </c>
      <c r="H32" s="452"/>
      <c r="I32" s="169">
        <f t="shared" si="11"/>
        <v>18</v>
      </c>
      <c r="J32" s="169">
        <f t="shared" si="11"/>
        <v>1296.5024275547416</v>
      </c>
      <c r="K32" s="183">
        <f t="shared" si="11"/>
        <v>72.027912641930087</v>
      </c>
      <c r="L32" s="452"/>
      <c r="M32" s="184">
        <f>RANK(K32, K$27:$K$41)</f>
        <v>6</v>
      </c>
      <c r="N32" s="454"/>
      <c r="O32" s="454"/>
      <c r="P32" s="185">
        <v>18</v>
      </c>
      <c r="Q32" s="169">
        <v>1293.75</v>
      </c>
      <c r="R32" s="183">
        <v>71.875</v>
      </c>
      <c r="S32" s="185">
        <f t="shared" si="12"/>
        <v>6</v>
      </c>
      <c r="T32" s="465"/>
      <c r="U32" s="185">
        <v>18</v>
      </c>
      <c r="V32" s="169">
        <v>1271.1864406779662</v>
      </c>
      <c r="W32" s="183">
        <v>70.621468926553675</v>
      </c>
      <c r="X32" s="185">
        <f t="shared" si="13"/>
        <v>5</v>
      </c>
      <c r="Y32" s="465"/>
      <c r="Z32" s="185">
        <v>18</v>
      </c>
      <c r="AA32" s="169">
        <v>1311.8181818181815</v>
      </c>
      <c r="AB32" s="183">
        <v>72.878787878787861</v>
      </c>
      <c r="AC32" s="185">
        <f t="shared" si="14"/>
        <v>5</v>
      </c>
      <c r="AD32" s="465"/>
      <c r="AE32" s="185">
        <v>18</v>
      </c>
      <c r="AF32" s="169">
        <v>1298.9999999999995</v>
      </c>
      <c r="AG32" s="183">
        <v>72.166666666666643</v>
      </c>
      <c r="AH32" s="185">
        <f t="shared" si="15"/>
        <v>4</v>
      </c>
      <c r="AI32" s="465"/>
      <c r="AJ32" s="185">
        <v>18</v>
      </c>
      <c r="AK32" s="169">
        <v>1293.5294117647054</v>
      </c>
      <c r="AL32" s="183">
        <v>71.862745098039184</v>
      </c>
      <c r="AM32" s="185">
        <f t="shared" si="16"/>
        <v>6</v>
      </c>
      <c r="AN32" s="465"/>
      <c r="AO32" s="185">
        <v>18</v>
      </c>
      <c r="AP32" s="169">
        <v>1302.1621621621621</v>
      </c>
      <c r="AQ32" s="183">
        <v>72.342342342342334</v>
      </c>
      <c r="AR32" s="185">
        <f t="shared" si="17"/>
        <v>4</v>
      </c>
      <c r="AS32" s="465"/>
      <c r="AT32" s="185">
        <v>18</v>
      </c>
      <c r="AU32" s="169">
        <v>1304.070796460177</v>
      </c>
      <c r="AV32" s="183">
        <v>72.448377581120951</v>
      </c>
      <c r="AW32" s="185">
        <f t="shared" si="18"/>
        <v>4</v>
      </c>
      <c r="AX32" s="465"/>
    </row>
    <row r="33" spans="2:50">
      <c r="B33" s="471"/>
      <c r="C33" s="185">
        <v>7</v>
      </c>
      <c r="D33" s="206" t="s">
        <v>335</v>
      </c>
      <c r="E33" s="169">
        <v>21</v>
      </c>
      <c r="F33" s="185">
        <v>1200</v>
      </c>
      <c r="G33" s="183">
        <v>57.142857142857146</v>
      </c>
      <c r="H33" s="452"/>
      <c r="I33" s="169">
        <f t="shared" ref="I33:I34" si="19">AVERAGE(P33,U33,Z33,AE33,AJ33,AO33,AT33)</f>
        <v>20</v>
      </c>
      <c r="J33" s="169">
        <f t="shared" ref="J33:J34" si="20">AVERAGE(Q33,V33,AA33,AF33,AK33,AP33,AU33)</f>
        <v>1086.2472775112324</v>
      </c>
      <c r="K33" s="183">
        <f t="shared" ref="K33:K34" si="21">AVERAGE(R33,W33,AB33,AG33,AL33,AQ33,AV33)</f>
        <v>54.312363875561616</v>
      </c>
      <c r="L33" s="452"/>
      <c r="M33" s="184">
        <f>RANK(K33, K$27:$K$41)</f>
        <v>7</v>
      </c>
      <c r="N33" s="454"/>
      <c r="O33" s="454"/>
      <c r="P33" s="185">
        <v>20</v>
      </c>
      <c r="Q33" s="169">
        <v>1081.538461538461</v>
      </c>
      <c r="R33" s="183">
        <v>54.076923076923052</v>
      </c>
      <c r="S33" s="185">
        <f t="shared" si="12"/>
        <v>7</v>
      </c>
      <c r="T33" s="465"/>
      <c r="U33" s="185">
        <v>20</v>
      </c>
      <c r="V33" s="169">
        <v>1082.3376623376619</v>
      </c>
      <c r="W33" s="183">
        <v>54.116883116883095</v>
      </c>
      <c r="X33" s="185">
        <f t="shared" si="13"/>
        <v>7</v>
      </c>
      <c r="Y33" s="465"/>
      <c r="Z33" s="185">
        <v>20</v>
      </c>
      <c r="AA33" s="169">
        <v>1104.6575342465756</v>
      </c>
      <c r="AB33" s="183">
        <v>55.232876712328775</v>
      </c>
      <c r="AC33" s="185">
        <f t="shared" si="14"/>
        <v>7</v>
      </c>
      <c r="AD33" s="465"/>
      <c r="AE33" s="185">
        <v>20</v>
      </c>
      <c r="AF33" s="169">
        <v>1084.2857142857147</v>
      </c>
      <c r="AG33" s="183">
        <v>54.214285714285737</v>
      </c>
      <c r="AH33" s="185">
        <f t="shared" si="15"/>
        <v>7</v>
      </c>
      <c r="AI33" s="465"/>
      <c r="AJ33" s="185">
        <v>20</v>
      </c>
      <c r="AK33" s="169">
        <v>1103.4782608695652</v>
      </c>
      <c r="AL33" s="183">
        <v>55.173913043478265</v>
      </c>
      <c r="AM33" s="185">
        <f t="shared" si="16"/>
        <v>7</v>
      </c>
      <c r="AN33" s="465"/>
      <c r="AO33" s="185">
        <v>20</v>
      </c>
      <c r="AP33" s="169">
        <v>1065.7894736842109</v>
      </c>
      <c r="AQ33" s="183">
        <v>53.289473684210542</v>
      </c>
      <c r="AR33" s="185">
        <f t="shared" si="17"/>
        <v>7</v>
      </c>
      <c r="AS33" s="465"/>
      <c r="AT33" s="185">
        <v>20</v>
      </c>
      <c r="AU33" s="169">
        <v>1081.6438356164374</v>
      </c>
      <c r="AV33" s="183">
        <v>54.082191780821873</v>
      </c>
      <c r="AW33" s="185">
        <f t="shared" si="18"/>
        <v>7</v>
      </c>
      <c r="AX33" s="465"/>
    </row>
    <row r="34" spans="2:50">
      <c r="B34" s="471"/>
      <c r="C34" s="185">
        <v>8</v>
      </c>
      <c r="D34" s="206" t="s">
        <v>336</v>
      </c>
      <c r="E34" s="169">
        <v>21</v>
      </c>
      <c r="F34" s="185">
        <v>1200</v>
      </c>
      <c r="G34" s="183">
        <v>57.142857142857146</v>
      </c>
      <c r="H34" s="452"/>
      <c r="I34" s="169">
        <f t="shared" si="19"/>
        <v>21</v>
      </c>
      <c r="J34" s="169">
        <f t="shared" si="20"/>
        <v>1074.9722988091603</v>
      </c>
      <c r="K34" s="183">
        <f t="shared" si="21"/>
        <v>51.189157086150502</v>
      </c>
      <c r="L34" s="452"/>
      <c r="M34" s="184">
        <f>RANK(K34, K$27:$K$41)</f>
        <v>8</v>
      </c>
      <c r="N34" s="454"/>
      <c r="O34" s="454"/>
      <c r="P34" s="185">
        <v>21</v>
      </c>
      <c r="Q34" s="169">
        <v>1076.7391304347825</v>
      </c>
      <c r="R34" s="183">
        <v>51.273291925465834</v>
      </c>
      <c r="S34" s="185">
        <f t="shared" si="12"/>
        <v>8</v>
      </c>
      <c r="T34" s="465"/>
      <c r="U34" s="185">
        <v>21</v>
      </c>
      <c r="V34" s="169">
        <v>1065.8064516129034</v>
      </c>
      <c r="W34" s="183">
        <v>50.752688172043023</v>
      </c>
      <c r="X34" s="185">
        <f t="shared" si="13"/>
        <v>8</v>
      </c>
      <c r="Y34" s="465"/>
      <c r="Z34" s="185">
        <v>21</v>
      </c>
      <c r="AA34" s="169">
        <v>1079.3548387096776</v>
      </c>
      <c r="AB34" s="183">
        <v>51.397849462365599</v>
      </c>
      <c r="AC34" s="185">
        <f t="shared" si="14"/>
        <v>8</v>
      </c>
      <c r="AD34" s="465"/>
      <c r="AE34" s="185">
        <v>21</v>
      </c>
      <c r="AF34" s="169">
        <v>1072.7777777777785</v>
      </c>
      <c r="AG34" s="183">
        <v>51.084656084656118</v>
      </c>
      <c r="AH34" s="185">
        <f t="shared" si="15"/>
        <v>8</v>
      </c>
      <c r="AI34" s="465"/>
      <c r="AJ34" s="185">
        <v>21</v>
      </c>
      <c r="AK34" s="169">
        <v>1062.8571428571429</v>
      </c>
      <c r="AL34" s="183">
        <v>50.612244897959187</v>
      </c>
      <c r="AM34" s="185">
        <f t="shared" si="16"/>
        <v>8</v>
      </c>
      <c r="AN34" s="465"/>
      <c r="AO34" s="185">
        <v>21</v>
      </c>
      <c r="AP34" s="169">
        <v>1084.0449438202247</v>
      </c>
      <c r="AQ34" s="183">
        <v>51.621187800963085</v>
      </c>
      <c r="AR34" s="185">
        <f t="shared" si="17"/>
        <v>8</v>
      </c>
      <c r="AS34" s="465"/>
      <c r="AT34" s="185">
        <v>21</v>
      </c>
      <c r="AU34" s="169">
        <v>1083.2258064516132</v>
      </c>
      <c r="AV34" s="183">
        <v>51.582181259600624</v>
      </c>
      <c r="AW34" s="185">
        <f t="shared" si="18"/>
        <v>8</v>
      </c>
      <c r="AX34" s="465"/>
    </row>
    <row r="35" spans="2:50">
      <c r="B35" s="471"/>
      <c r="C35" s="185">
        <v>9</v>
      </c>
      <c r="D35" s="206"/>
      <c r="E35" s="169"/>
      <c r="F35" s="185"/>
      <c r="G35" s="183"/>
      <c r="H35" s="452"/>
      <c r="I35" s="169"/>
      <c r="J35" s="169"/>
      <c r="K35" s="183"/>
      <c r="L35" s="452"/>
      <c r="M35" s="184" t="e">
        <f>RANK(K35, K$27:$K$41)</f>
        <v>#N/A</v>
      </c>
      <c r="N35" s="454"/>
      <c r="O35" s="454"/>
      <c r="P35" s="185"/>
      <c r="Q35" s="169"/>
      <c r="R35" s="183"/>
      <c r="S35" s="185" t="e">
        <f t="shared" si="12"/>
        <v>#N/A</v>
      </c>
      <c r="T35" s="465"/>
      <c r="U35" s="185"/>
      <c r="V35" s="169"/>
      <c r="W35" s="183"/>
      <c r="X35" s="185" t="e">
        <f t="shared" si="13"/>
        <v>#N/A</v>
      </c>
      <c r="Y35" s="465"/>
      <c r="Z35" s="185"/>
      <c r="AA35" s="169"/>
      <c r="AB35" s="183"/>
      <c r="AC35" s="185" t="e">
        <f t="shared" si="14"/>
        <v>#N/A</v>
      </c>
      <c r="AD35" s="465"/>
      <c r="AE35" s="185"/>
      <c r="AF35" s="169"/>
      <c r="AG35" s="183"/>
      <c r="AH35" s="185" t="e">
        <f t="shared" si="15"/>
        <v>#N/A</v>
      </c>
      <c r="AI35" s="465"/>
      <c r="AJ35" s="185"/>
      <c r="AK35" s="169"/>
      <c r="AL35" s="183"/>
      <c r="AM35" s="185" t="e">
        <f t="shared" si="16"/>
        <v>#N/A</v>
      </c>
      <c r="AN35" s="465"/>
      <c r="AO35" s="185"/>
      <c r="AP35" s="169"/>
      <c r="AQ35" s="183"/>
      <c r="AR35" s="185" t="e">
        <f t="shared" si="17"/>
        <v>#N/A</v>
      </c>
      <c r="AS35" s="465"/>
      <c r="AT35" s="185"/>
      <c r="AU35" s="169"/>
      <c r="AV35" s="183"/>
      <c r="AW35" s="185" t="e">
        <f t="shared" si="18"/>
        <v>#N/A</v>
      </c>
      <c r="AX35" s="465"/>
    </row>
    <row r="36" spans="2:50">
      <c r="B36" s="471"/>
      <c r="C36" s="185">
        <v>10</v>
      </c>
      <c r="D36" s="206"/>
      <c r="E36" s="169"/>
      <c r="F36" s="185"/>
      <c r="G36" s="183"/>
      <c r="H36" s="452"/>
      <c r="I36" s="169"/>
      <c r="J36" s="169"/>
      <c r="K36" s="183"/>
      <c r="L36" s="452"/>
      <c r="M36" s="184" t="e">
        <f>RANK(K36, K$27:$K$41)</f>
        <v>#N/A</v>
      </c>
      <c r="N36" s="454"/>
      <c r="O36" s="454"/>
      <c r="P36" s="185"/>
      <c r="Q36" s="169"/>
      <c r="R36" s="183"/>
      <c r="S36" s="185" t="e">
        <f t="shared" si="12"/>
        <v>#N/A</v>
      </c>
      <c r="T36" s="465"/>
      <c r="U36" s="185"/>
      <c r="V36" s="169"/>
      <c r="W36" s="183"/>
      <c r="X36" s="185" t="e">
        <f t="shared" si="13"/>
        <v>#N/A</v>
      </c>
      <c r="Y36" s="465"/>
      <c r="Z36" s="185"/>
      <c r="AA36" s="169"/>
      <c r="AB36" s="183"/>
      <c r="AC36" s="185" t="e">
        <f t="shared" si="14"/>
        <v>#N/A</v>
      </c>
      <c r="AD36" s="465"/>
      <c r="AE36" s="185"/>
      <c r="AF36" s="169"/>
      <c r="AG36" s="183"/>
      <c r="AH36" s="185" t="e">
        <f t="shared" si="15"/>
        <v>#N/A</v>
      </c>
      <c r="AI36" s="465"/>
      <c r="AJ36" s="185"/>
      <c r="AK36" s="169"/>
      <c r="AL36" s="183"/>
      <c r="AM36" s="185" t="e">
        <f t="shared" si="16"/>
        <v>#N/A</v>
      </c>
      <c r="AN36" s="465"/>
      <c r="AO36" s="185"/>
      <c r="AP36" s="169"/>
      <c r="AQ36" s="183"/>
      <c r="AR36" s="185" t="e">
        <f t="shared" si="17"/>
        <v>#N/A</v>
      </c>
      <c r="AS36" s="465"/>
      <c r="AT36" s="185"/>
      <c r="AU36" s="169"/>
      <c r="AV36" s="183"/>
      <c r="AW36" s="185" t="e">
        <f t="shared" si="18"/>
        <v>#N/A</v>
      </c>
      <c r="AX36" s="465"/>
    </row>
    <row r="37" spans="2:50">
      <c r="B37" s="471"/>
      <c r="C37" s="185">
        <v>11</v>
      </c>
      <c r="D37" s="206"/>
      <c r="E37" s="169"/>
      <c r="F37" s="185"/>
      <c r="G37" s="183"/>
      <c r="H37" s="452"/>
      <c r="I37" s="169"/>
      <c r="J37" s="169"/>
      <c r="K37" s="183"/>
      <c r="L37" s="452"/>
      <c r="M37" s="184" t="e">
        <f>RANK(K37, K$27:$K$41)</f>
        <v>#N/A</v>
      </c>
      <c r="N37" s="454"/>
      <c r="O37" s="454"/>
      <c r="P37" s="185"/>
      <c r="Q37" s="169"/>
      <c r="R37" s="183"/>
      <c r="S37" s="185" t="e">
        <f t="shared" si="12"/>
        <v>#N/A</v>
      </c>
      <c r="T37" s="465"/>
      <c r="U37" s="185"/>
      <c r="V37" s="169"/>
      <c r="W37" s="183"/>
      <c r="X37" s="185" t="e">
        <f t="shared" si="13"/>
        <v>#N/A</v>
      </c>
      <c r="Y37" s="465"/>
      <c r="Z37" s="185"/>
      <c r="AA37" s="169"/>
      <c r="AB37" s="183"/>
      <c r="AC37" s="185" t="e">
        <f t="shared" si="14"/>
        <v>#N/A</v>
      </c>
      <c r="AD37" s="465"/>
      <c r="AE37" s="185"/>
      <c r="AF37" s="169"/>
      <c r="AG37" s="183"/>
      <c r="AH37" s="185" t="e">
        <f t="shared" si="15"/>
        <v>#N/A</v>
      </c>
      <c r="AI37" s="465"/>
      <c r="AJ37" s="185"/>
      <c r="AK37" s="169"/>
      <c r="AL37" s="183"/>
      <c r="AM37" s="185" t="e">
        <f t="shared" si="16"/>
        <v>#N/A</v>
      </c>
      <c r="AN37" s="465"/>
      <c r="AO37" s="185"/>
      <c r="AP37" s="169"/>
      <c r="AQ37" s="183"/>
      <c r="AR37" s="185" t="e">
        <f t="shared" si="17"/>
        <v>#N/A</v>
      </c>
      <c r="AS37" s="465"/>
      <c r="AT37" s="185"/>
      <c r="AU37" s="169"/>
      <c r="AV37" s="183"/>
      <c r="AW37" s="185" t="e">
        <f t="shared" si="18"/>
        <v>#N/A</v>
      </c>
      <c r="AX37" s="465"/>
    </row>
    <row r="38" spans="2:50">
      <c r="B38" s="471"/>
      <c r="C38" s="185">
        <v>12</v>
      </c>
      <c r="D38" s="206"/>
      <c r="E38" s="169"/>
      <c r="F38" s="185"/>
      <c r="G38" s="183"/>
      <c r="H38" s="452"/>
      <c r="I38" s="169"/>
      <c r="J38" s="169"/>
      <c r="K38" s="183"/>
      <c r="L38" s="452"/>
      <c r="M38" s="184" t="e">
        <f>RANK(K38, K$27:$K$41)</f>
        <v>#N/A</v>
      </c>
      <c r="N38" s="454"/>
      <c r="O38" s="454"/>
      <c r="P38" s="185"/>
      <c r="Q38" s="169"/>
      <c r="R38" s="183"/>
      <c r="S38" s="185" t="e">
        <f t="shared" si="12"/>
        <v>#N/A</v>
      </c>
      <c r="T38" s="465"/>
      <c r="U38" s="185"/>
      <c r="V38" s="169"/>
      <c r="W38" s="183"/>
      <c r="X38" s="185" t="e">
        <f t="shared" si="13"/>
        <v>#N/A</v>
      </c>
      <c r="Y38" s="465"/>
      <c r="Z38" s="185"/>
      <c r="AA38" s="169"/>
      <c r="AB38" s="183"/>
      <c r="AC38" s="185" t="e">
        <f t="shared" si="14"/>
        <v>#N/A</v>
      </c>
      <c r="AD38" s="465"/>
      <c r="AE38" s="185"/>
      <c r="AF38" s="169"/>
      <c r="AG38" s="183"/>
      <c r="AH38" s="185" t="e">
        <f t="shared" si="15"/>
        <v>#N/A</v>
      </c>
      <c r="AI38" s="465"/>
      <c r="AJ38" s="185"/>
      <c r="AK38" s="169"/>
      <c r="AL38" s="183"/>
      <c r="AM38" s="185" t="e">
        <f t="shared" si="16"/>
        <v>#N/A</v>
      </c>
      <c r="AN38" s="465"/>
      <c r="AO38" s="185"/>
      <c r="AP38" s="169"/>
      <c r="AQ38" s="183"/>
      <c r="AR38" s="185" t="e">
        <f t="shared" si="17"/>
        <v>#N/A</v>
      </c>
      <c r="AS38" s="465"/>
      <c r="AT38" s="185"/>
      <c r="AU38" s="169"/>
      <c r="AV38" s="183"/>
      <c r="AW38" s="185" t="e">
        <f t="shared" si="18"/>
        <v>#N/A</v>
      </c>
      <c r="AX38" s="465"/>
    </row>
    <row r="39" spans="2:50">
      <c r="B39" s="471"/>
      <c r="C39" s="185">
        <v>13</v>
      </c>
      <c r="D39" s="206"/>
      <c r="E39" s="169"/>
      <c r="F39" s="185"/>
      <c r="G39" s="183"/>
      <c r="H39" s="452"/>
      <c r="I39" s="169"/>
      <c r="J39" s="169"/>
      <c r="K39" s="183"/>
      <c r="L39" s="452"/>
      <c r="M39" s="184" t="e">
        <f>RANK(K39, K$27:$K$41)</f>
        <v>#N/A</v>
      </c>
      <c r="N39" s="454"/>
      <c r="O39" s="454"/>
      <c r="P39" s="185"/>
      <c r="Q39" s="169"/>
      <c r="R39" s="183"/>
      <c r="S39" s="185" t="e">
        <f t="shared" si="12"/>
        <v>#N/A</v>
      </c>
      <c r="T39" s="465"/>
      <c r="U39" s="185"/>
      <c r="V39" s="169"/>
      <c r="W39" s="183"/>
      <c r="X39" s="185" t="e">
        <f t="shared" si="13"/>
        <v>#N/A</v>
      </c>
      <c r="Y39" s="465"/>
      <c r="Z39" s="185"/>
      <c r="AA39" s="169"/>
      <c r="AB39" s="183"/>
      <c r="AC39" s="185" t="e">
        <f t="shared" si="14"/>
        <v>#N/A</v>
      </c>
      <c r="AD39" s="465"/>
      <c r="AE39" s="185"/>
      <c r="AF39" s="169"/>
      <c r="AG39" s="183"/>
      <c r="AH39" s="185" t="e">
        <f t="shared" si="15"/>
        <v>#N/A</v>
      </c>
      <c r="AI39" s="465"/>
      <c r="AJ39" s="185"/>
      <c r="AK39" s="169"/>
      <c r="AL39" s="183"/>
      <c r="AM39" s="185" t="e">
        <f t="shared" si="16"/>
        <v>#N/A</v>
      </c>
      <c r="AN39" s="465"/>
      <c r="AO39" s="185"/>
      <c r="AP39" s="169"/>
      <c r="AQ39" s="183"/>
      <c r="AR39" s="185" t="e">
        <f t="shared" si="17"/>
        <v>#N/A</v>
      </c>
      <c r="AS39" s="465"/>
      <c r="AT39" s="185"/>
      <c r="AU39" s="169"/>
      <c r="AV39" s="183"/>
      <c r="AW39" s="185" t="e">
        <f t="shared" si="18"/>
        <v>#N/A</v>
      </c>
      <c r="AX39" s="465"/>
    </row>
    <row r="40" spans="2:50">
      <c r="B40" s="471"/>
      <c r="C40" s="185">
        <v>14</v>
      </c>
      <c r="D40" s="206"/>
      <c r="E40" s="169"/>
      <c r="F40" s="185"/>
      <c r="G40" s="183"/>
      <c r="H40" s="452"/>
      <c r="I40" s="169"/>
      <c r="J40" s="169"/>
      <c r="K40" s="183"/>
      <c r="L40" s="452"/>
      <c r="M40" s="184" t="e">
        <f>RANK(K40, K$27:$K$41)</f>
        <v>#N/A</v>
      </c>
      <c r="N40" s="454"/>
      <c r="O40" s="454"/>
      <c r="P40" s="185"/>
      <c r="Q40" s="169"/>
      <c r="R40" s="183"/>
      <c r="S40" s="185" t="e">
        <f t="shared" si="12"/>
        <v>#N/A</v>
      </c>
      <c r="T40" s="465"/>
      <c r="U40" s="185"/>
      <c r="V40" s="169"/>
      <c r="W40" s="183"/>
      <c r="X40" s="185" t="e">
        <f t="shared" si="13"/>
        <v>#N/A</v>
      </c>
      <c r="Y40" s="465"/>
      <c r="Z40" s="185"/>
      <c r="AA40" s="169"/>
      <c r="AB40" s="183"/>
      <c r="AC40" s="185" t="e">
        <f t="shared" si="14"/>
        <v>#N/A</v>
      </c>
      <c r="AD40" s="465"/>
      <c r="AE40" s="185"/>
      <c r="AF40" s="169"/>
      <c r="AG40" s="183"/>
      <c r="AH40" s="185" t="e">
        <f t="shared" si="15"/>
        <v>#N/A</v>
      </c>
      <c r="AI40" s="465"/>
      <c r="AJ40" s="185"/>
      <c r="AK40" s="169"/>
      <c r="AL40" s="183"/>
      <c r="AM40" s="185" t="e">
        <f t="shared" si="16"/>
        <v>#N/A</v>
      </c>
      <c r="AN40" s="465"/>
      <c r="AO40" s="185"/>
      <c r="AP40" s="169"/>
      <c r="AQ40" s="183"/>
      <c r="AR40" s="185" t="e">
        <f t="shared" si="17"/>
        <v>#N/A</v>
      </c>
      <c r="AS40" s="465"/>
      <c r="AT40" s="185"/>
      <c r="AU40" s="169"/>
      <c r="AV40" s="183"/>
      <c r="AW40" s="185" t="e">
        <f t="shared" si="18"/>
        <v>#N/A</v>
      </c>
      <c r="AX40" s="465"/>
    </row>
    <row r="41" spans="2:50">
      <c r="B41" s="471"/>
      <c r="C41" s="185">
        <v>15</v>
      </c>
      <c r="D41" s="206"/>
      <c r="E41" s="169"/>
      <c r="F41" s="185"/>
      <c r="G41" s="183"/>
      <c r="H41" s="453"/>
      <c r="I41" s="169"/>
      <c r="J41" s="169"/>
      <c r="K41" s="183"/>
      <c r="L41" s="453"/>
      <c r="M41" s="169" t="e">
        <f>RANK(K41, K$27:$K$41)</f>
        <v>#N/A</v>
      </c>
      <c r="N41" s="454"/>
      <c r="O41" s="454"/>
      <c r="P41" s="185"/>
      <c r="Q41" s="169"/>
      <c r="R41" s="183"/>
      <c r="S41" s="185" t="e">
        <f t="shared" si="12"/>
        <v>#N/A</v>
      </c>
      <c r="T41" s="466"/>
      <c r="U41" s="185"/>
      <c r="V41" s="169"/>
      <c r="W41" s="183"/>
      <c r="X41" s="185" t="e">
        <f t="shared" si="13"/>
        <v>#N/A</v>
      </c>
      <c r="Y41" s="466"/>
      <c r="Z41" s="185"/>
      <c r="AA41" s="169"/>
      <c r="AB41" s="183"/>
      <c r="AC41" s="185" t="e">
        <f t="shared" si="14"/>
        <v>#N/A</v>
      </c>
      <c r="AD41" s="466"/>
      <c r="AE41" s="185"/>
      <c r="AF41" s="169"/>
      <c r="AG41" s="183"/>
      <c r="AH41" s="185" t="e">
        <f t="shared" si="15"/>
        <v>#N/A</v>
      </c>
      <c r="AI41" s="466"/>
      <c r="AJ41" s="185"/>
      <c r="AK41" s="169"/>
      <c r="AL41" s="183"/>
      <c r="AM41" s="185" t="e">
        <f t="shared" si="16"/>
        <v>#N/A</v>
      </c>
      <c r="AN41" s="466"/>
      <c r="AO41" s="185"/>
      <c r="AP41" s="169"/>
      <c r="AQ41" s="183"/>
      <c r="AR41" s="185" t="e">
        <f t="shared" si="17"/>
        <v>#N/A</v>
      </c>
      <c r="AS41" s="466"/>
      <c r="AT41" s="185"/>
      <c r="AU41" s="169"/>
      <c r="AV41" s="183"/>
      <c r="AW41" s="185" t="e">
        <f t="shared" si="18"/>
        <v>#N/A</v>
      </c>
      <c r="AX41" s="466"/>
    </row>
    <row r="42" spans="2:50" ht="15.75">
      <c r="B42" s="481" t="s">
        <v>201</v>
      </c>
      <c r="C42" s="482"/>
      <c r="D42" s="482"/>
      <c r="E42" s="482"/>
      <c r="F42" s="482"/>
      <c r="G42" s="482"/>
      <c r="H42" s="482"/>
      <c r="I42" s="189"/>
      <c r="J42" s="186"/>
      <c r="K42" s="189"/>
      <c r="L42" s="189"/>
      <c r="M42" s="181"/>
      <c r="N42" s="461" t="s">
        <v>202</v>
      </c>
      <c r="O42" s="461" t="s">
        <v>150</v>
      </c>
      <c r="P42" s="470">
        <f>P22+7</f>
        <v>45972</v>
      </c>
      <c r="Q42" s="471"/>
      <c r="R42" s="471"/>
      <c r="S42" s="471"/>
      <c r="T42" s="471"/>
      <c r="U42" s="467">
        <f>P42+1</f>
        <v>45973</v>
      </c>
      <c r="V42" s="468"/>
      <c r="W42" s="468"/>
      <c r="X42" s="468"/>
      <c r="Y42" s="469"/>
      <c r="Z42" s="467">
        <f>U42+1</f>
        <v>45974</v>
      </c>
      <c r="AA42" s="468"/>
      <c r="AB42" s="468"/>
      <c r="AC42" s="468"/>
      <c r="AD42" s="469"/>
      <c r="AE42" s="467">
        <f>Z42+1</f>
        <v>45975</v>
      </c>
      <c r="AF42" s="468"/>
      <c r="AG42" s="468"/>
      <c r="AH42" s="468"/>
      <c r="AI42" s="469"/>
      <c r="AJ42" s="467">
        <f>AE42+1</f>
        <v>45976</v>
      </c>
      <c r="AK42" s="468"/>
      <c r="AL42" s="468"/>
      <c r="AM42" s="468"/>
      <c r="AN42" s="469"/>
      <c r="AO42" s="467">
        <f>AJ42+1</f>
        <v>45977</v>
      </c>
      <c r="AP42" s="468"/>
      <c r="AQ42" s="468"/>
      <c r="AR42" s="468"/>
      <c r="AS42" s="469"/>
      <c r="AT42" s="467">
        <f>AO42+1</f>
        <v>45978</v>
      </c>
      <c r="AU42" s="468"/>
      <c r="AV42" s="468"/>
      <c r="AW42" s="468"/>
      <c r="AX42" s="469"/>
    </row>
    <row r="43" spans="2:50" ht="15.75">
      <c r="B43" s="474"/>
      <c r="C43" s="474"/>
      <c r="D43" s="474"/>
      <c r="E43" s="474"/>
      <c r="F43" s="474"/>
      <c r="G43" s="474"/>
      <c r="H43" s="474"/>
      <c r="I43" s="187"/>
      <c r="J43" s="187"/>
      <c r="K43" s="187"/>
      <c r="L43" s="187"/>
      <c r="M43" s="182"/>
      <c r="N43" s="463"/>
      <c r="O43" s="463"/>
      <c r="P43" s="470" t="s">
        <v>203</v>
      </c>
      <c r="Q43" s="471"/>
      <c r="R43" s="471"/>
      <c r="S43" s="471"/>
      <c r="T43" s="471"/>
      <c r="U43" s="470" t="s">
        <v>204</v>
      </c>
      <c r="V43" s="471"/>
      <c r="W43" s="471"/>
      <c r="X43" s="471"/>
      <c r="Y43" s="471"/>
      <c r="Z43" s="470" t="s">
        <v>205</v>
      </c>
      <c r="AA43" s="471"/>
      <c r="AB43" s="471"/>
      <c r="AC43" s="471"/>
      <c r="AD43" s="471"/>
      <c r="AE43" s="470" t="s">
        <v>206</v>
      </c>
      <c r="AF43" s="471"/>
      <c r="AG43" s="471"/>
      <c r="AH43" s="471"/>
      <c r="AI43" s="471"/>
      <c r="AJ43" s="470" t="s">
        <v>207</v>
      </c>
      <c r="AK43" s="471"/>
      <c r="AL43" s="471"/>
      <c r="AM43" s="471"/>
      <c r="AN43" s="471"/>
      <c r="AO43" s="470" t="s">
        <v>157</v>
      </c>
      <c r="AP43" s="471"/>
      <c r="AQ43" s="471"/>
      <c r="AR43" s="471"/>
      <c r="AS43" s="471"/>
      <c r="AT43" s="470" t="s">
        <v>208</v>
      </c>
      <c r="AU43" s="471"/>
      <c r="AV43" s="471"/>
      <c r="AW43" s="471"/>
      <c r="AX43" s="471"/>
    </row>
    <row r="44" spans="2:50">
      <c r="B44" s="454" t="s">
        <v>209</v>
      </c>
      <c r="C44" s="454" t="s">
        <v>210</v>
      </c>
      <c r="D44" s="454"/>
      <c r="E44" s="454" t="s">
        <v>211</v>
      </c>
      <c r="F44" s="454"/>
      <c r="G44" s="454"/>
      <c r="H44" s="455" t="s">
        <v>212</v>
      </c>
      <c r="I44" s="454" t="s">
        <v>213</v>
      </c>
      <c r="J44" s="454"/>
      <c r="K44" s="454"/>
      <c r="L44" s="455" t="s">
        <v>212</v>
      </c>
      <c r="M44" s="461" t="s">
        <v>214</v>
      </c>
      <c r="N44" s="454"/>
      <c r="O44" s="454" t="s">
        <v>215</v>
      </c>
      <c r="P44" s="458" t="s">
        <v>216</v>
      </c>
      <c r="Q44" s="459"/>
      <c r="R44" s="459"/>
      <c r="S44" s="460"/>
      <c r="T44" s="454" t="s">
        <v>212</v>
      </c>
      <c r="U44" s="458" t="s">
        <v>216</v>
      </c>
      <c r="V44" s="459"/>
      <c r="W44" s="459"/>
      <c r="X44" s="460"/>
      <c r="Y44" s="454" t="s">
        <v>212</v>
      </c>
      <c r="Z44" s="458" t="s">
        <v>216</v>
      </c>
      <c r="AA44" s="459"/>
      <c r="AB44" s="459"/>
      <c r="AC44" s="460"/>
      <c r="AD44" s="454" t="s">
        <v>212</v>
      </c>
      <c r="AE44" s="458" t="s">
        <v>216</v>
      </c>
      <c r="AF44" s="459"/>
      <c r="AG44" s="459"/>
      <c r="AH44" s="460"/>
      <c r="AI44" s="454" t="s">
        <v>212</v>
      </c>
      <c r="AJ44" s="458" t="s">
        <v>216</v>
      </c>
      <c r="AK44" s="459"/>
      <c r="AL44" s="459"/>
      <c r="AM44" s="460"/>
      <c r="AN44" s="454" t="s">
        <v>212</v>
      </c>
      <c r="AO44" s="458" t="s">
        <v>216</v>
      </c>
      <c r="AP44" s="459"/>
      <c r="AQ44" s="459"/>
      <c r="AR44" s="460"/>
      <c r="AS44" s="454" t="s">
        <v>212</v>
      </c>
      <c r="AT44" s="458" t="s">
        <v>216</v>
      </c>
      <c r="AU44" s="459"/>
      <c r="AV44" s="459"/>
      <c r="AW44" s="460"/>
      <c r="AX44" s="454" t="s">
        <v>212</v>
      </c>
    </row>
    <row r="45" spans="2:50">
      <c r="B45" s="454"/>
      <c r="C45" s="454"/>
      <c r="D45" s="454"/>
      <c r="E45" s="454" t="s">
        <v>217</v>
      </c>
      <c r="F45" s="454"/>
      <c r="G45" s="454"/>
      <c r="H45" s="456"/>
      <c r="I45" s="454" t="s">
        <v>217</v>
      </c>
      <c r="J45" s="454"/>
      <c r="K45" s="454"/>
      <c r="L45" s="456"/>
      <c r="M45" s="462"/>
      <c r="N45" s="454"/>
      <c r="O45" s="454"/>
      <c r="P45" s="458" t="s">
        <v>218</v>
      </c>
      <c r="Q45" s="459"/>
      <c r="R45" s="459"/>
      <c r="S45" s="460"/>
      <c r="T45" s="454"/>
      <c r="U45" s="458" t="s">
        <v>218</v>
      </c>
      <c r="V45" s="459"/>
      <c r="W45" s="459"/>
      <c r="X45" s="460"/>
      <c r="Y45" s="454"/>
      <c r="Z45" s="458" t="s">
        <v>218</v>
      </c>
      <c r="AA45" s="459"/>
      <c r="AB45" s="459"/>
      <c r="AC45" s="460"/>
      <c r="AD45" s="454"/>
      <c r="AE45" s="458" t="s">
        <v>218</v>
      </c>
      <c r="AF45" s="459"/>
      <c r="AG45" s="459"/>
      <c r="AH45" s="460"/>
      <c r="AI45" s="454"/>
      <c r="AJ45" s="458" t="s">
        <v>218</v>
      </c>
      <c r="AK45" s="459"/>
      <c r="AL45" s="459"/>
      <c r="AM45" s="460"/>
      <c r="AN45" s="454"/>
      <c r="AO45" s="458" t="s">
        <v>218</v>
      </c>
      <c r="AP45" s="459"/>
      <c r="AQ45" s="459"/>
      <c r="AR45" s="460"/>
      <c r="AS45" s="454"/>
      <c r="AT45" s="458" t="s">
        <v>218</v>
      </c>
      <c r="AU45" s="459"/>
      <c r="AV45" s="459"/>
      <c r="AW45" s="460"/>
      <c r="AX45" s="454"/>
    </row>
    <row r="46" spans="2:50">
      <c r="B46" s="454"/>
      <c r="C46" s="454"/>
      <c r="D46" s="454"/>
      <c r="E46" s="275" t="s">
        <v>219</v>
      </c>
      <c r="F46" s="275" t="s">
        <v>220</v>
      </c>
      <c r="G46" s="275" t="s">
        <v>221</v>
      </c>
      <c r="H46" s="457"/>
      <c r="I46" s="275" t="s">
        <v>219</v>
      </c>
      <c r="J46" s="275" t="s">
        <v>220</v>
      </c>
      <c r="K46" s="275" t="s">
        <v>221</v>
      </c>
      <c r="L46" s="457"/>
      <c r="M46" s="463"/>
      <c r="N46" s="454"/>
      <c r="O46" s="454"/>
      <c r="P46" s="275" t="s">
        <v>219</v>
      </c>
      <c r="Q46" s="275" t="s">
        <v>220</v>
      </c>
      <c r="R46" s="275" t="s">
        <v>221</v>
      </c>
      <c r="S46" s="275" t="s">
        <v>214</v>
      </c>
      <c r="T46" s="454"/>
      <c r="U46" s="275" t="s">
        <v>219</v>
      </c>
      <c r="V46" s="275" t="s">
        <v>220</v>
      </c>
      <c r="W46" s="275" t="s">
        <v>221</v>
      </c>
      <c r="X46" s="275" t="s">
        <v>214</v>
      </c>
      <c r="Y46" s="454"/>
      <c r="Z46" s="275" t="s">
        <v>219</v>
      </c>
      <c r="AA46" s="275" t="s">
        <v>220</v>
      </c>
      <c r="AB46" s="275" t="s">
        <v>221</v>
      </c>
      <c r="AC46" s="275" t="s">
        <v>214</v>
      </c>
      <c r="AD46" s="454"/>
      <c r="AE46" s="275" t="s">
        <v>219</v>
      </c>
      <c r="AF46" s="275" t="s">
        <v>220</v>
      </c>
      <c r="AG46" s="275" t="s">
        <v>221</v>
      </c>
      <c r="AH46" s="275" t="s">
        <v>214</v>
      </c>
      <c r="AI46" s="454"/>
      <c r="AJ46" s="275" t="s">
        <v>219</v>
      </c>
      <c r="AK46" s="275" t="s">
        <v>220</v>
      </c>
      <c r="AL46" s="275" t="s">
        <v>221</v>
      </c>
      <c r="AM46" s="275" t="s">
        <v>214</v>
      </c>
      <c r="AN46" s="454"/>
      <c r="AO46" s="275" t="s">
        <v>219</v>
      </c>
      <c r="AP46" s="275" t="s">
        <v>220</v>
      </c>
      <c r="AQ46" s="275" t="s">
        <v>221</v>
      </c>
      <c r="AR46" s="275" t="s">
        <v>214</v>
      </c>
      <c r="AS46" s="454"/>
      <c r="AT46" s="275" t="s">
        <v>219</v>
      </c>
      <c r="AU46" s="275" t="s">
        <v>220</v>
      </c>
      <c r="AV46" s="275" t="s">
        <v>221</v>
      </c>
      <c r="AW46" s="275" t="s">
        <v>214</v>
      </c>
      <c r="AX46" s="454"/>
    </row>
    <row r="47" spans="2:50">
      <c r="B47" s="454" t="s">
        <v>190</v>
      </c>
      <c r="C47" s="185">
        <v>1</v>
      </c>
      <c r="D47" s="206"/>
      <c r="E47" s="169"/>
      <c r="F47" s="185"/>
      <c r="G47" s="183"/>
      <c r="H47" s="451" t="e">
        <f>AVERAGE(G47:G61)</f>
        <v>#DIV/0!</v>
      </c>
      <c r="I47" s="169" t="e">
        <f t="shared" ref="I47:K51" si="22">AVERAGE(P47,U47,Z47,AE47,AJ47,AO47,AT47)</f>
        <v>#DIV/0!</v>
      </c>
      <c r="J47" s="169" t="e">
        <f t="shared" si="22"/>
        <v>#DIV/0!</v>
      </c>
      <c r="K47" s="183" t="e">
        <f t="shared" si="22"/>
        <v>#DIV/0!</v>
      </c>
      <c r="L47" s="451" t="str">
        <f>IFERROR(AVERAGE(K47:K61),"-")</f>
        <v>-</v>
      </c>
      <c r="M47" s="184" t="e">
        <f>RANK(K47, K$47:$K$61)</f>
        <v>#DIV/0!</v>
      </c>
      <c r="N47" s="454"/>
      <c r="O47" s="454"/>
      <c r="P47" s="169"/>
      <c r="Q47" s="169"/>
      <c r="R47" s="183"/>
      <c r="S47" s="185" t="e">
        <f>RANK(R47, R$47:R$61)</f>
        <v>#N/A</v>
      </c>
      <c r="T47" s="464" t="e">
        <f>AVERAGE(R47:R61)</f>
        <v>#DIV/0!</v>
      </c>
      <c r="U47" s="169"/>
      <c r="V47" s="169"/>
      <c r="W47" s="183"/>
      <c r="X47" s="185" t="e">
        <f>RANK(W47, W$47:W$61)</f>
        <v>#N/A</v>
      </c>
      <c r="Y47" s="464" t="e">
        <f>AVERAGE(W47:W61)</f>
        <v>#DIV/0!</v>
      </c>
      <c r="Z47" s="169"/>
      <c r="AA47" s="169"/>
      <c r="AB47" s="183"/>
      <c r="AC47" s="185" t="e">
        <f>RANK(AB47, AB$47:AB$61)</f>
        <v>#N/A</v>
      </c>
      <c r="AD47" s="464" t="e">
        <f>AVERAGE(AB47:AB61)</f>
        <v>#DIV/0!</v>
      </c>
      <c r="AE47" s="169"/>
      <c r="AF47" s="169"/>
      <c r="AG47" s="183"/>
      <c r="AH47" s="185" t="e">
        <f>RANK(AG47, AG$47:AG$61)</f>
        <v>#N/A</v>
      </c>
      <c r="AI47" s="464" t="e">
        <f>AVERAGE(AG47:AG61)</f>
        <v>#DIV/0!</v>
      </c>
      <c r="AJ47" s="169"/>
      <c r="AK47" s="169"/>
      <c r="AL47" s="183"/>
      <c r="AM47" s="185" t="e">
        <f>RANK(AL47, AL$47:AL$61)</f>
        <v>#N/A</v>
      </c>
      <c r="AN47" s="464" t="e">
        <f>AVERAGE(AL47:AL61)</f>
        <v>#DIV/0!</v>
      </c>
      <c r="AO47" s="169"/>
      <c r="AP47" s="169"/>
      <c r="AQ47" s="183"/>
      <c r="AR47" s="185" t="e">
        <f>RANK(AQ47, AQ$47:AQ$61)</f>
        <v>#N/A</v>
      </c>
      <c r="AS47" s="464" t="e">
        <f>AVERAGE(AQ47:AQ61)</f>
        <v>#DIV/0!</v>
      </c>
      <c r="AT47" s="169"/>
      <c r="AU47" s="169"/>
      <c r="AV47" s="183"/>
      <c r="AW47" s="185" t="e">
        <f>RANK(AV47, AV$47:AV$61)</f>
        <v>#N/A</v>
      </c>
      <c r="AX47" s="464" t="e">
        <f>AVERAGE(AV47:AV61)</f>
        <v>#DIV/0!</v>
      </c>
    </row>
    <row r="48" spans="2:50">
      <c r="B48" s="471"/>
      <c r="C48" s="185">
        <v>2</v>
      </c>
      <c r="D48" s="206"/>
      <c r="E48" s="169"/>
      <c r="F48" s="185"/>
      <c r="G48" s="183"/>
      <c r="H48" s="452"/>
      <c r="I48" s="169" t="e">
        <f t="shared" si="22"/>
        <v>#DIV/0!</v>
      </c>
      <c r="J48" s="169" t="e">
        <f t="shared" si="22"/>
        <v>#DIV/0!</v>
      </c>
      <c r="K48" s="183" t="e">
        <f t="shared" si="22"/>
        <v>#DIV/0!</v>
      </c>
      <c r="L48" s="452"/>
      <c r="M48" s="184" t="e">
        <f>RANK(K48, K$47:$K$61)</f>
        <v>#DIV/0!</v>
      </c>
      <c r="N48" s="454"/>
      <c r="O48" s="454"/>
      <c r="P48" s="185"/>
      <c r="Q48" s="169"/>
      <c r="R48" s="183"/>
      <c r="S48" s="185" t="e">
        <f t="shared" ref="S48:S61" si="23">RANK(R48, R$47:R$61)</f>
        <v>#N/A</v>
      </c>
      <c r="T48" s="465"/>
      <c r="U48" s="185"/>
      <c r="V48" s="169"/>
      <c r="W48" s="183"/>
      <c r="X48" s="185" t="e">
        <f t="shared" ref="X48:X61" si="24">RANK(W48, W$47:W$61)</f>
        <v>#N/A</v>
      </c>
      <c r="Y48" s="465"/>
      <c r="Z48" s="185"/>
      <c r="AA48" s="169"/>
      <c r="AB48" s="183"/>
      <c r="AC48" s="185" t="e">
        <f t="shared" ref="AC48:AC61" si="25">RANK(AB48, AB$47:AB$61)</f>
        <v>#N/A</v>
      </c>
      <c r="AD48" s="465"/>
      <c r="AE48" s="185"/>
      <c r="AF48" s="169"/>
      <c r="AG48" s="183"/>
      <c r="AH48" s="185" t="e">
        <f t="shared" ref="AH48:AH61" si="26">RANK(AG48, AG$47:AG$61)</f>
        <v>#N/A</v>
      </c>
      <c r="AI48" s="465"/>
      <c r="AJ48" s="185"/>
      <c r="AK48" s="169"/>
      <c r="AL48" s="183"/>
      <c r="AM48" s="185" t="e">
        <f t="shared" ref="AM48:AM61" si="27">RANK(AL48, AL$47:AL$61)</f>
        <v>#N/A</v>
      </c>
      <c r="AN48" s="465"/>
      <c r="AO48" s="185"/>
      <c r="AP48" s="169"/>
      <c r="AQ48" s="183"/>
      <c r="AR48" s="185" t="e">
        <f t="shared" ref="AR48:AR61" si="28">RANK(AQ48, AQ$47:AQ$61)</f>
        <v>#N/A</v>
      </c>
      <c r="AS48" s="465"/>
      <c r="AT48" s="185"/>
      <c r="AU48" s="169"/>
      <c r="AV48" s="183"/>
      <c r="AW48" s="185" t="e">
        <f t="shared" ref="AW48:AW61" si="29">RANK(AV48, AV$47:AV$61)</f>
        <v>#N/A</v>
      </c>
      <c r="AX48" s="465"/>
    </row>
    <row r="49" spans="2:50">
      <c r="B49" s="471"/>
      <c r="C49" s="185">
        <v>3</v>
      </c>
      <c r="D49" s="206"/>
      <c r="E49" s="169"/>
      <c r="F49" s="185"/>
      <c r="G49" s="183"/>
      <c r="H49" s="452"/>
      <c r="I49" s="169" t="e">
        <f t="shared" si="22"/>
        <v>#DIV/0!</v>
      </c>
      <c r="J49" s="169" t="e">
        <f t="shared" si="22"/>
        <v>#DIV/0!</v>
      </c>
      <c r="K49" s="183" t="e">
        <f t="shared" si="22"/>
        <v>#DIV/0!</v>
      </c>
      <c r="L49" s="452"/>
      <c r="M49" s="184" t="e">
        <f>RANK(K49, K$47:$K$61)</f>
        <v>#DIV/0!</v>
      </c>
      <c r="N49" s="454"/>
      <c r="O49" s="454"/>
      <c r="P49" s="185"/>
      <c r="Q49" s="169"/>
      <c r="R49" s="183"/>
      <c r="S49" s="185" t="e">
        <f t="shared" si="23"/>
        <v>#N/A</v>
      </c>
      <c r="T49" s="465"/>
      <c r="U49" s="185"/>
      <c r="V49" s="169"/>
      <c r="W49" s="183"/>
      <c r="X49" s="185" t="e">
        <f t="shared" si="24"/>
        <v>#N/A</v>
      </c>
      <c r="Y49" s="465"/>
      <c r="Z49" s="185"/>
      <c r="AA49" s="169"/>
      <c r="AB49" s="183"/>
      <c r="AC49" s="185" t="e">
        <f t="shared" si="25"/>
        <v>#N/A</v>
      </c>
      <c r="AD49" s="465"/>
      <c r="AE49" s="185"/>
      <c r="AF49" s="169"/>
      <c r="AG49" s="183"/>
      <c r="AH49" s="185" t="e">
        <f t="shared" si="26"/>
        <v>#N/A</v>
      </c>
      <c r="AI49" s="465"/>
      <c r="AJ49" s="185"/>
      <c r="AK49" s="169"/>
      <c r="AL49" s="183"/>
      <c r="AM49" s="185" t="e">
        <f t="shared" si="27"/>
        <v>#N/A</v>
      </c>
      <c r="AN49" s="465"/>
      <c r="AO49" s="185"/>
      <c r="AP49" s="169"/>
      <c r="AQ49" s="183"/>
      <c r="AR49" s="185" t="e">
        <f t="shared" si="28"/>
        <v>#N/A</v>
      </c>
      <c r="AS49" s="465"/>
      <c r="AT49" s="185"/>
      <c r="AU49" s="169"/>
      <c r="AV49" s="183"/>
      <c r="AW49" s="185" t="e">
        <f t="shared" si="29"/>
        <v>#N/A</v>
      </c>
      <c r="AX49" s="465"/>
    </row>
    <row r="50" spans="2:50">
      <c r="B50" s="471"/>
      <c r="C50" s="185">
        <v>4</v>
      </c>
      <c r="D50" s="206"/>
      <c r="E50" s="169"/>
      <c r="F50" s="185"/>
      <c r="G50" s="183"/>
      <c r="H50" s="452"/>
      <c r="I50" s="169" t="e">
        <f t="shared" si="22"/>
        <v>#DIV/0!</v>
      </c>
      <c r="J50" s="169" t="e">
        <f t="shared" si="22"/>
        <v>#DIV/0!</v>
      </c>
      <c r="K50" s="183" t="e">
        <f t="shared" si="22"/>
        <v>#DIV/0!</v>
      </c>
      <c r="L50" s="452"/>
      <c r="M50" s="184" t="e">
        <f>RANK(K50, K$47:$K$61)</f>
        <v>#DIV/0!</v>
      </c>
      <c r="N50" s="454"/>
      <c r="O50" s="454"/>
      <c r="P50" s="185"/>
      <c r="Q50" s="169"/>
      <c r="R50" s="183"/>
      <c r="S50" s="185" t="e">
        <f t="shared" si="23"/>
        <v>#N/A</v>
      </c>
      <c r="T50" s="465"/>
      <c r="U50" s="185"/>
      <c r="V50" s="169"/>
      <c r="W50" s="183"/>
      <c r="X50" s="185" t="e">
        <f t="shared" si="24"/>
        <v>#N/A</v>
      </c>
      <c r="Y50" s="465"/>
      <c r="Z50" s="185"/>
      <c r="AA50" s="169"/>
      <c r="AB50" s="183"/>
      <c r="AC50" s="185" t="e">
        <f t="shared" si="25"/>
        <v>#N/A</v>
      </c>
      <c r="AD50" s="465"/>
      <c r="AE50" s="185"/>
      <c r="AF50" s="169"/>
      <c r="AG50" s="183"/>
      <c r="AH50" s="185" t="e">
        <f t="shared" si="26"/>
        <v>#N/A</v>
      </c>
      <c r="AI50" s="465"/>
      <c r="AJ50" s="185"/>
      <c r="AK50" s="169"/>
      <c r="AL50" s="183"/>
      <c r="AM50" s="185" t="e">
        <f t="shared" si="27"/>
        <v>#N/A</v>
      </c>
      <c r="AN50" s="465"/>
      <c r="AO50" s="185"/>
      <c r="AP50" s="169"/>
      <c r="AQ50" s="183"/>
      <c r="AR50" s="185" t="e">
        <f t="shared" si="28"/>
        <v>#N/A</v>
      </c>
      <c r="AS50" s="465"/>
      <c r="AT50" s="185"/>
      <c r="AU50" s="169"/>
      <c r="AV50" s="183"/>
      <c r="AW50" s="185" t="e">
        <f t="shared" si="29"/>
        <v>#N/A</v>
      </c>
      <c r="AX50" s="465"/>
    </row>
    <row r="51" spans="2:50">
      <c r="B51" s="471"/>
      <c r="C51" s="185">
        <v>5</v>
      </c>
      <c r="D51" s="206"/>
      <c r="E51" s="169"/>
      <c r="F51" s="185"/>
      <c r="G51" s="183"/>
      <c r="H51" s="452"/>
      <c r="I51" s="169" t="e">
        <f t="shared" si="22"/>
        <v>#DIV/0!</v>
      </c>
      <c r="J51" s="169" t="e">
        <f t="shared" si="22"/>
        <v>#DIV/0!</v>
      </c>
      <c r="K51" s="183" t="e">
        <f t="shared" si="22"/>
        <v>#DIV/0!</v>
      </c>
      <c r="L51" s="452"/>
      <c r="M51" s="184" t="e">
        <f>RANK(K51, K$47:$K$61)</f>
        <v>#DIV/0!</v>
      </c>
      <c r="N51" s="454"/>
      <c r="O51" s="454"/>
      <c r="P51" s="185"/>
      <c r="Q51" s="169"/>
      <c r="R51" s="183"/>
      <c r="S51" s="185" t="e">
        <f t="shared" si="23"/>
        <v>#N/A</v>
      </c>
      <c r="T51" s="465"/>
      <c r="U51" s="185"/>
      <c r="V51" s="169"/>
      <c r="W51" s="183"/>
      <c r="X51" s="185" t="e">
        <f t="shared" si="24"/>
        <v>#N/A</v>
      </c>
      <c r="Y51" s="465"/>
      <c r="Z51" s="185"/>
      <c r="AA51" s="169"/>
      <c r="AB51" s="183"/>
      <c r="AC51" s="185" t="e">
        <f t="shared" si="25"/>
        <v>#N/A</v>
      </c>
      <c r="AD51" s="465"/>
      <c r="AE51" s="185"/>
      <c r="AF51" s="169"/>
      <c r="AG51" s="183"/>
      <c r="AH51" s="185" t="e">
        <f t="shared" si="26"/>
        <v>#N/A</v>
      </c>
      <c r="AI51" s="465"/>
      <c r="AJ51" s="185"/>
      <c r="AK51" s="169"/>
      <c r="AL51" s="183"/>
      <c r="AM51" s="185" t="e">
        <f t="shared" si="27"/>
        <v>#N/A</v>
      </c>
      <c r="AN51" s="465"/>
      <c r="AO51" s="185"/>
      <c r="AP51" s="169"/>
      <c r="AQ51" s="183"/>
      <c r="AR51" s="185" t="e">
        <f t="shared" si="28"/>
        <v>#N/A</v>
      </c>
      <c r="AS51" s="465"/>
      <c r="AT51" s="185"/>
      <c r="AU51" s="169"/>
      <c r="AV51" s="183"/>
      <c r="AW51" s="185" t="e">
        <f t="shared" si="29"/>
        <v>#N/A</v>
      </c>
      <c r="AX51" s="465"/>
    </row>
    <row r="52" spans="2:50">
      <c r="B52" s="471"/>
      <c r="C52" s="185">
        <v>6</v>
      </c>
      <c r="D52" s="206"/>
      <c r="E52" s="169"/>
      <c r="F52" s="185"/>
      <c r="G52" s="183"/>
      <c r="H52" s="452"/>
      <c r="I52" s="169" t="e">
        <f t="shared" ref="I52:I53" si="30">AVERAGE(P52,U52,Z52,AE52,AJ52,AO52,AT52)</f>
        <v>#DIV/0!</v>
      </c>
      <c r="J52" s="169" t="e">
        <f t="shared" ref="J52:J53" si="31">AVERAGE(Q52,V52,AA52,AF52,AK52,AP52,AU52)</f>
        <v>#DIV/0!</v>
      </c>
      <c r="K52" s="183" t="e">
        <f t="shared" ref="K52:K53" si="32">AVERAGE(R52,W52,AB52,AG52,AL52,AQ52,AV52)</f>
        <v>#DIV/0!</v>
      </c>
      <c r="L52" s="452"/>
      <c r="M52" s="184" t="e">
        <f>RANK(K52, K$47:$K$61)</f>
        <v>#DIV/0!</v>
      </c>
      <c r="N52" s="454"/>
      <c r="O52" s="454"/>
      <c r="P52" s="185"/>
      <c r="Q52" s="169"/>
      <c r="R52" s="183"/>
      <c r="S52" s="185" t="e">
        <f t="shared" si="23"/>
        <v>#N/A</v>
      </c>
      <c r="T52" s="465"/>
      <c r="U52" s="185"/>
      <c r="V52" s="169"/>
      <c r="W52" s="183"/>
      <c r="X52" s="185" t="e">
        <f t="shared" si="24"/>
        <v>#N/A</v>
      </c>
      <c r="Y52" s="465"/>
      <c r="Z52" s="185"/>
      <c r="AA52" s="169"/>
      <c r="AB52" s="183"/>
      <c r="AC52" s="185" t="e">
        <f t="shared" si="25"/>
        <v>#N/A</v>
      </c>
      <c r="AD52" s="465"/>
      <c r="AE52" s="185"/>
      <c r="AF52" s="169"/>
      <c r="AG52" s="183"/>
      <c r="AH52" s="185" t="e">
        <f t="shared" si="26"/>
        <v>#N/A</v>
      </c>
      <c r="AI52" s="465"/>
      <c r="AJ52" s="185"/>
      <c r="AK52" s="169"/>
      <c r="AL52" s="183"/>
      <c r="AM52" s="185" t="e">
        <f t="shared" si="27"/>
        <v>#N/A</v>
      </c>
      <c r="AN52" s="465"/>
      <c r="AO52" s="185"/>
      <c r="AP52" s="169"/>
      <c r="AQ52" s="183"/>
      <c r="AR52" s="185" t="e">
        <f t="shared" si="28"/>
        <v>#N/A</v>
      </c>
      <c r="AS52" s="465"/>
      <c r="AT52" s="185"/>
      <c r="AU52" s="169"/>
      <c r="AV52" s="183"/>
      <c r="AW52" s="185" t="e">
        <f t="shared" si="29"/>
        <v>#N/A</v>
      </c>
      <c r="AX52" s="465"/>
    </row>
    <row r="53" spans="2:50">
      <c r="B53" s="471"/>
      <c r="C53" s="185">
        <v>7</v>
      </c>
      <c r="D53" s="206"/>
      <c r="E53" s="169"/>
      <c r="F53" s="185"/>
      <c r="G53" s="183"/>
      <c r="H53" s="452"/>
      <c r="I53" s="169" t="e">
        <f t="shared" si="30"/>
        <v>#DIV/0!</v>
      </c>
      <c r="J53" s="169" t="e">
        <f t="shared" si="31"/>
        <v>#DIV/0!</v>
      </c>
      <c r="K53" s="183" t="e">
        <f t="shared" si="32"/>
        <v>#DIV/0!</v>
      </c>
      <c r="L53" s="452"/>
      <c r="M53" s="184" t="e">
        <f>RANK(K53, K$47:$K$61)</f>
        <v>#DIV/0!</v>
      </c>
      <c r="N53" s="454"/>
      <c r="O53" s="454"/>
      <c r="P53" s="185"/>
      <c r="Q53" s="169"/>
      <c r="R53" s="183"/>
      <c r="S53" s="185" t="e">
        <f t="shared" si="23"/>
        <v>#N/A</v>
      </c>
      <c r="T53" s="465"/>
      <c r="U53" s="185"/>
      <c r="V53" s="169"/>
      <c r="W53" s="183"/>
      <c r="X53" s="185" t="e">
        <f t="shared" si="24"/>
        <v>#N/A</v>
      </c>
      <c r="Y53" s="465"/>
      <c r="Z53" s="185"/>
      <c r="AA53" s="169"/>
      <c r="AB53" s="183"/>
      <c r="AC53" s="185" t="e">
        <f t="shared" si="25"/>
        <v>#N/A</v>
      </c>
      <c r="AD53" s="465"/>
      <c r="AE53" s="185"/>
      <c r="AF53" s="169"/>
      <c r="AG53" s="183"/>
      <c r="AH53" s="185" t="e">
        <f t="shared" si="26"/>
        <v>#N/A</v>
      </c>
      <c r="AI53" s="465"/>
      <c r="AJ53" s="185"/>
      <c r="AK53" s="169"/>
      <c r="AL53" s="183"/>
      <c r="AM53" s="185" t="e">
        <f t="shared" si="27"/>
        <v>#N/A</v>
      </c>
      <c r="AN53" s="465"/>
      <c r="AO53" s="185"/>
      <c r="AP53" s="169"/>
      <c r="AQ53" s="183"/>
      <c r="AR53" s="185" t="e">
        <f t="shared" si="28"/>
        <v>#N/A</v>
      </c>
      <c r="AS53" s="465"/>
      <c r="AT53" s="185"/>
      <c r="AU53" s="169"/>
      <c r="AV53" s="183"/>
      <c r="AW53" s="185" t="e">
        <f t="shared" si="29"/>
        <v>#N/A</v>
      </c>
      <c r="AX53" s="465"/>
    </row>
    <row r="54" spans="2:50">
      <c r="B54" s="471"/>
      <c r="C54" s="185">
        <v>8</v>
      </c>
      <c r="D54" s="206"/>
      <c r="E54" s="169"/>
      <c r="F54" s="185"/>
      <c r="G54" s="183"/>
      <c r="H54" s="452"/>
      <c r="I54" s="169"/>
      <c r="J54" s="169"/>
      <c r="K54" s="183"/>
      <c r="L54" s="452"/>
      <c r="M54" s="184" t="e">
        <f>RANK(K54, K$47:$K$61)</f>
        <v>#DIV/0!</v>
      </c>
      <c r="N54" s="454"/>
      <c r="O54" s="454"/>
      <c r="P54" s="185"/>
      <c r="Q54" s="169"/>
      <c r="R54" s="183"/>
      <c r="S54" s="185" t="e">
        <f t="shared" si="23"/>
        <v>#N/A</v>
      </c>
      <c r="T54" s="465"/>
      <c r="U54" s="185"/>
      <c r="V54" s="169"/>
      <c r="W54" s="183"/>
      <c r="X54" s="185" t="e">
        <f t="shared" si="24"/>
        <v>#N/A</v>
      </c>
      <c r="Y54" s="465"/>
      <c r="Z54" s="185"/>
      <c r="AA54" s="169"/>
      <c r="AB54" s="183"/>
      <c r="AC54" s="185" t="e">
        <f t="shared" si="25"/>
        <v>#N/A</v>
      </c>
      <c r="AD54" s="465"/>
      <c r="AE54" s="185"/>
      <c r="AF54" s="169"/>
      <c r="AG54" s="183"/>
      <c r="AH54" s="185" t="e">
        <f t="shared" si="26"/>
        <v>#N/A</v>
      </c>
      <c r="AI54" s="465"/>
      <c r="AJ54" s="185"/>
      <c r="AK54" s="169"/>
      <c r="AL54" s="183"/>
      <c r="AM54" s="185" t="e">
        <f t="shared" si="27"/>
        <v>#N/A</v>
      </c>
      <c r="AN54" s="465"/>
      <c r="AO54" s="185"/>
      <c r="AP54" s="169"/>
      <c r="AQ54" s="183"/>
      <c r="AR54" s="185" t="e">
        <f t="shared" si="28"/>
        <v>#N/A</v>
      </c>
      <c r="AS54" s="465"/>
      <c r="AT54" s="185"/>
      <c r="AU54" s="169"/>
      <c r="AV54" s="183"/>
      <c r="AW54" s="185" t="e">
        <f t="shared" si="29"/>
        <v>#N/A</v>
      </c>
      <c r="AX54" s="465"/>
    </row>
    <row r="55" spans="2:50">
      <c r="B55" s="471"/>
      <c r="C55" s="185">
        <v>9</v>
      </c>
      <c r="D55" s="206"/>
      <c r="E55" s="169"/>
      <c r="F55" s="185"/>
      <c r="G55" s="183"/>
      <c r="H55" s="452"/>
      <c r="I55" s="169"/>
      <c r="J55" s="169"/>
      <c r="K55" s="183"/>
      <c r="L55" s="452"/>
      <c r="M55" s="184" t="e">
        <f>RANK(K55, K$47:$K$61)</f>
        <v>#DIV/0!</v>
      </c>
      <c r="N55" s="454"/>
      <c r="O55" s="454"/>
      <c r="P55" s="185"/>
      <c r="Q55" s="169"/>
      <c r="R55" s="183"/>
      <c r="S55" s="185" t="e">
        <f t="shared" si="23"/>
        <v>#N/A</v>
      </c>
      <c r="T55" s="465"/>
      <c r="U55" s="185"/>
      <c r="V55" s="169"/>
      <c r="W55" s="183"/>
      <c r="X55" s="185" t="e">
        <f t="shared" si="24"/>
        <v>#N/A</v>
      </c>
      <c r="Y55" s="465"/>
      <c r="Z55" s="185"/>
      <c r="AA55" s="169"/>
      <c r="AB55" s="183"/>
      <c r="AC55" s="185" t="e">
        <f t="shared" si="25"/>
        <v>#N/A</v>
      </c>
      <c r="AD55" s="465"/>
      <c r="AE55" s="185"/>
      <c r="AF55" s="169"/>
      <c r="AG55" s="183"/>
      <c r="AH55" s="185" t="e">
        <f t="shared" si="26"/>
        <v>#N/A</v>
      </c>
      <c r="AI55" s="465"/>
      <c r="AJ55" s="185"/>
      <c r="AK55" s="169"/>
      <c r="AL55" s="183"/>
      <c r="AM55" s="185" t="e">
        <f t="shared" si="27"/>
        <v>#N/A</v>
      </c>
      <c r="AN55" s="465"/>
      <c r="AO55" s="185"/>
      <c r="AP55" s="169"/>
      <c r="AQ55" s="183"/>
      <c r="AR55" s="185" t="e">
        <f t="shared" si="28"/>
        <v>#N/A</v>
      </c>
      <c r="AS55" s="465"/>
      <c r="AT55" s="185"/>
      <c r="AU55" s="169"/>
      <c r="AV55" s="183"/>
      <c r="AW55" s="185" t="e">
        <f t="shared" si="29"/>
        <v>#N/A</v>
      </c>
      <c r="AX55" s="465"/>
    </row>
    <row r="56" spans="2:50">
      <c r="B56" s="471"/>
      <c r="C56" s="185">
        <v>10</v>
      </c>
      <c r="D56" s="206"/>
      <c r="E56" s="169"/>
      <c r="F56" s="185"/>
      <c r="G56" s="183"/>
      <c r="H56" s="452"/>
      <c r="I56" s="169"/>
      <c r="J56" s="169"/>
      <c r="K56" s="183"/>
      <c r="L56" s="452"/>
      <c r="M56" s="184" t="e">
        <f>RANK(K56, K$47:$K$61)</f>
        <v>#DIV/0!</v>
      </c>
      <c r="N56" s="454"/>
      <c r="O56" s="454"/>
      <c r="P56" s="185"/>
      <c r="Q56" s="169"/>
      <c r="R56" s="183"/>
      <c r="S56" s="185" t="e">
        <f t="shared" si="23"/>
        <v>#N/A</v>
      </c>
      <c r="T56" s="465"/>
      <c r="U56" s="185"/>
      <c r="V56" s="169"/>
      <c r="W56" s="183"/>
      <c r="X56" s="185" t="e">
        <f t="shared" si="24"/>
        <v>#N/A</v>
      </c>
      <c r="Y56" s="465"/>
      <c r="Z56" s="185"/>
      <c r="AA56" s="169"/>
      <c r="AB56" s="183"/>
      <c r="AC56" s="185" t="e">
        <f t="shared" si="25"/>
        <v>#N/A</v>
      </c>
      <c r="AD56" s="465"/>
      <c r="AE56" s="185"/>
      <c r="AF56" s="169"/>
      <c r="AG56" s="183"/>
      <c r="AH56" s="185" t="e">
        <f t="shared" si="26"/>
        <v>#N/A</v>
      </c>
      <c r="AI56" s="465"/>
      <c r="AJ56" s="185"/>
      <c r="AK56" s="169"/>
      <c r="AL56" s="183"/>
      <c r="AM56" s="185" t="e">
        <f t="shared" si="27"/>
        <v>#N/A</v>
      </c>
      <c r="AN56" s="465"/>
      <c r="AO56" s="185"/>
      <c r="AP56" s="169"/>
      <c r="AQ56" s="183"/>
      <c r="AR56" s="185" t="e">
        <f t="shared" si="28"/>
        <v>#N/A</v>
      </c>
      <c r="AS56" s="465"/>
      <c r="AT56" s="185"/>
      <c r="AU56" s="169"/>
      <c r="AV56" s="183"/>
      <c r="AW56" s="185" t="e">
        <f t="shared" si="29"/>
        <v>#N/A</v>
      </c>
      <c r="AX56" s="465"/>
    </row>
    <row r="57" spans="2:50">
      <c r="B57" s="471"/>
      <c r="C57" s="185">
        <v>11</v>
      </c>
      <c r="D57" s="206"/>
      <c r="E57" s="169"/>
      <c r="F57" s="185"/>
      <c r="G57" s="183"/>
      <c r="H57" s="452"/>
      <c r="I57" s="169"/>
      <c r="J57" s="169"/>
      <c r="K57" s="183"/>
      <c r="L57" s="452"/>
      <c r="M57" s="184" t="e">
        <f>RANK(K57, K$47:$K$61)</f>
        <v>#DIV/0!</v>
      </c>
      <c r="N57" s="454"/>
      <c r="O57" s="454"/>
      <c r="P57" s="185"/>
      <c r="Q57" s="169"/>
      <c r="R57" s="183"/>
      <c r="S57" s="185" t="e">
        <f t="shared" si="23"/>
        <v>#N/A</v>
      </c>
      <c r="T57" s="465"/>
      <c r="U57" s="185"/>
      <c r="V57" s="169"/>
      <c r="W57" s="183"/>
      <c r="X57" s="185" t="e">
        <f t="shared" si="24"/>
        <v>#N/A</v>
      </c>
      <c r="Y57" s="465"/>
      <c r="Z57" s="185"/>
      <c r="AA57" s="169"/>
      <c r="AB57" s="183"/>
      <c r="AC57" s="185" t="e">
        <f t="shared" si="25"/>
        <v>#N/A</v>
      </c>
      <c r="AD57" s="465"/>
      <c r="AE57" s="185"/>
      <c r="AF57" s="169"/>
      <c r="AG57" s="183"/>
      <c r="AH57" s="185" t="e">
        <f t="shared" si="26"/>
        <v>#N/A</v>
      </c>
      <c r="AI57" s="465"/>
      <c r="AJ57" s="185"/>
      <c r="AK57" s="169"/>
      <c r="AL57" s="183"/>
      <c r="AM57" s="185" t="e">
        <f t="shared" si="27"/>
        <v>#N/A</v>
      </c>
      <c r="AN57" s="465"/>
      <c r="AO57" s="185"/>
      <c r="AP57" s="169"/>
      <c r="AQ57" s="183"/>
      <c r="AR57" s="185" t="e">
        <f t="shared" si="28"/>
        <v>#N/A</v>
      </c>
      <c r="AS57" s="465"/>
      <c r="AT57" s="185"/>
      <c r="AU57" s="169"/>
      <c r="AV57" s="183"/>
      <c r="AW57" s="185" t="e">
        <f t="shared" si="29"/>
        <v>#N/A</v>
      </c>
      <c r="AX57" s="465"/>
    </row>
    <row r="58" spans="2:50">
      <c r="B58" s="471"/>
      <c r="C58" s="185">
        <v>12</v>
      </c>
      <c r="D58" s="206"/>
      <c r="E58" s="169"/>
      <c r="F58" s="185"/>
      <c r="G58" s="183"/>
      <c r="H58" s="452"/>
      <c r="I58" s="169"/>
      <c r="J58" s="169"/>
      <c r="K58" s="183"/>
      <c r="L58" s="452"/>
      <c r="M58" s="184" t="e">
        <f>RANK(K58, K$47:$K$61)</f>
        <v>#DIV/0!</v>
      </c>
      <c r="N58" s="454"/>
      <c r="O58" s="454"/>
      <c r="P58" s="185"/>
      <c r="Q58" s="169"/>
      <c r="R58" s="183"/>
      <c r="S58" s="185" t="e">
        <f t="shared" si="23"/>
        <v>#N/A</v>
      </c>
      <c r="T58" s="465"/>
      <c r="U58" s="185"/>
      <c r="V58" s="169"/>
      <c r="W58" s="183"/>
      <c r="X58" s="185" t="e">
        <f t="shared" si="24"/>
        <v>#N/A</v>
      </c>
      <c r="Y58" s="465"/>
      <c r="Z58" s="185"/>
      <c r="AA58" s="169"/>
      <c r="AB58" s="183"/>
      <c r="AC58" s="185" t="e">
        <f t="shared" si="25"/>
        <v>#N/A</v>
      </c>
      <c r="AD58" s="465"/>
      <c r="AE58" s="185"/>
      <c r="AF58" s="169"/>
      <c r="AG58" s="183"/>
      <c r="AH58" s="185" t="e">
        <f t="shared" si="26"/>
        <v>#N/A</v>
      </c>
      <c r="AI58" s="465"/>
      <c r="AJ58" s="185"/>
      <c r="AK58" s="169"/>
      <c r="AL58" s="183"/>
      <c r="AM58" s="185" t="e">
        <f t="shared" si="27"/>
        <v>#N/A</v>
      </c>
      <c r="AN58" s="465"/>
      <c r="AO58" s="185"/>
      <c r="AP58" s="169"/>
      <c r="AQ58" s="183"/>
      <c r="AR58" s="185" t="e">
        <f t="shared" si="28"/>
        <v>#N/A</v>
      </c>
      <c r="AS58" s="465"/>
      <c r="AT58" s="185"/>
      <c r="AU58" s="169"/>
      <c r="AV58" s="183"/>
      <c r="AW58" s="185" t="e">
        <f t="shared" si="29"/>
        <v>#N/A</v>
      </c>
      <c r="AX58" s="465"/>
    </row>
    <row r="59" spans="2:50">
      <c r="B59" s="471"/>
      <c r="C59" s="185">
        <v>13</v>
      </c>
      <c r="D59" s="206"/>
      <c r="E59" s="169"/>
      <c r="F59" s="185"/>
      <c r="G59" s="183"/>
      <c r="H59" s="452"/>
      <c r="I59" s="169"/>
      <c r="J59" s="169"/>
      <c r="K59" s="183"/>
      <c r="L59" s="452"/>
      <c r="M59" s="184" t="e">
        <f>RANK(K59, K$47:$K$61)</f>
        <v>#DIV/0!</v>
      </c>
      <c r="N59" s="454"/>
      <c r="O59" s="454"/>
      <c r="P59" s="185"/>
      <c r="Q59" s="169"/>
      <c r="R59" s="183"/>
      <c r="S59" s="185" t="e">
        <f t="shared" si="23"/>
        <v>#N/A</v>
      </c>
      <c r="T59" s="465"/>
      <c r="U59" s="185"/>
      <c r="V59" s="169"/>
      <c r="W59" s="183"/>
      <c r="X59" s="185" t="e">
        <f t="shared" si="24"/>
        <v>#N/A</v>
      </c>
      <c r="Y59" s="465"/>
      <c r="Z59" s="185"/>
      <c r="AA59" s="169"/>
      <c r="AB59" s="183"/>
      <c r="AC59" s="185" t="e">
        <f t="shared" si="25"/>
        <v>#N/A</v>
      </c>
      <c r="AD59" s="465"/>
      <c r="AE59" s="185"/>
      <c r="AF59" s="169"/>
      <c r="AG59" s="183"/>
      <c r="AH59" s="185" t="e">
        <f t="shared" si="26"/>
        <v>#N/A</v>
      </c>
      <c r="AI59" s="465"/>
      <c r="AJ59" s="185"/>
      <c r="AK59" s="169"/>
      <c r="AL59" s="183"/>
      <c r="AM59" s="185" t="e">
        <f t="shared" si="27"/>
        <v>#N/A</v>
      </c>
      <c r="AN59" s="465"/>
      <c r="AO59" s="185"/>
      <c r="AP59" s="169"/>
      <c r="AQ59" s="183"/>
      <c r="AR59" s="185" t="e">
        <f t="shared" si="28"/>
        <v>#N/A</v>
      </c>
      <c r="AS59" s="465"/>
      <c r="AT59" s="185"/>
      <c r="AU59" s="169"/>
      <c r="AV59" s="183"/>
      <c r="AW59" s="185" t="e">
        <f t="shared" si="29"/>
        <v>#N/A</v>
      </c>
      <c r="AX59" s="465"/>
    </row>
    <row r="60" spans="2:50">
      <c r="B60" s="471"/>
      <c r="C60" s="185">
        <v>14</v>
      </c>
      <c r="D60" s="206"/>
      <c r="E60" s="169"/>
      <c r="F60" s="185"/>
      <c r="G60" s="183"/>
      <c r="H60" s="452"/>
      <c r="I60" s="169"/>
      <c r="J60" s="169"/>
      <c r="K60" s="183"/>
      <c r="L60" s="452"/>
      <c r="M60" s="184" t="e">
        <f>RANK(K60, K$47:$K$61)</f>
        <v>#DIV/0!</v>
      </c>
      <c r="N60" s="454"/>
      <c r="O60" s="454"/>
      <c r="P60" s="185"/>
      <c r="Q60" s="169"/>
      <c r="R60" s="183"/>
      <c r="S60" s="185" t="e">
        <f t="shared" si="23"/>
        <v>#N/A</v>
      </c>
      <c r="T60" s="465"/>
      <c r="U60" s="185"/>
      <c r="V60" s="169"/>
      <c r="W60" s="183"/>
      <c r="X60" s="185" t="e">
        <f t="shared" si="24"/>
        <v>#N/A</v>
      </c>
      <c r="Y60" s="465"/>
      <c r="Z60" s="185"/>
      <c r="AA60" s="169"/>
      <c r="AB60" s="183"/>
      <c r="AC60" s="185" t="e">
        <f t="shared" si="25"/>
        <v>#N/A</v>
      </c>
      <c r="AD60" s="465"/>
      <c r="AE60" s="185"/>
      <c r="AF60" s="169"/>
      <c r="AG60" s="183"/>
      <c r="AH60" s="185" t="e">
        <f t="shared" si="26"/>
        <v>#N/A</v>
      </c>
      <c r="AI60" s="465"/>
      <c r="AJ60" s="185"/>
      <c r="AK60" s="169"/>
      <c r="AL60" s="183"/>
      <c r="AM60" s="185" t="e">
        <f t="shared" si="27"/>
        <v>#N/A</v>
      </c>
      <c r="AN60" s="465"/>
      <c r="AO60" s="185"/>
      <c r="AP60" s="169"/>
      <c r="AQ60" s="183"/>
      <c r="AR60" s="185" t="e">
        <f t="shared" si="28"/>
        <v>#N/A</v>
      </c>
      <c r="AS60" s="465"/>
      <c r="AT60" s="185"/>
      <c r="AU60" s="169"/>
      <c r="AV60" s="183"/>
      <c r="AW60" s="185" t="e">
        <f t="shared" si="29"/>
        <v>#N/A</v>
      </c>
      <c r="AX60" s="465"/>
    </row>
    <row r="61" spans="2:50">
      <c r="B61" s="471"/>
      <c r="C61" s="185">
        <v>15</v>
      </c>
      <c r="D61" s="206"/>
      <c r="E61" s="169"/>
      <c r="F61" s="185"/>
      <c r="G61" s="183"/>
      <c r="H61" s="453"/>
      <c r="I61" s="169"/>
      <c r="J61" s="169"/>
      <c r="K61" s="183"/>
      <c r="L61" s="453"/>
      <c r="M61" s="184" t="e">
        <f>RANK(K61, K$47:$K$61)</f>
        <v>#DIV/0!</v>
      </c>
      <c r="N61" s="454"/>
      <c r="O61" s="454"/>
      <c r="P61" s="185"/>
      <c r="Q61" s="169"/>
      <c r="R61" s="183"/>
      <c r="S61" s="185" t="e">
        <f t="shared" si="23"/>
        <v>#N/A</v>
      </c>
      <c r="T61" s="466"/>
      <c r="U61" s="185"/>
      <c r="V61" s="169"/>
      <c r="W61" s="183"/>
      <c r="X61" s="185" t="e">
        <f t="shared" si="24"/>
        <v>#N/A</v>
      </c>
      <c r="Y61" s="466"/>
      <c r="Z61" s="185"/>
      <c r="AA61" s="169"/>
      <c r="AB61" s="183"/>
      <c r="AC61" s="185" t="e">
        <f t="shared" si="25"/>
        <v>#N/A</v>
      </c>
      <c r="AD61" s="466"/>
      <c r="AE61" s="185"/>
      <c r="AF61" s="169"/>
      <c r="AG61" s="183"/>
      <c r="AH61" s="185" t="e">
        <f t="shared" si="26"/>
        <v>#N/A</v>
      </c>
      <c r="AI61" s="466"/>
      <c r="AJ61" s="185"/>
      <c r="AK61" s="169"/>
      <c r="AL61" s="183"/>
      <c r="AM61" s="185" t="e">
        <f t="shared" si="27"/>
        <v>#N/A</v>
      </c>
      <c r="AN61" s="466"/>
      <c r="AO61" s="185"/>
      <c r="AP61" s="169"/>
      <c r="AQ61" s="183"/>
      <c r="AR61" s="185" t="e">
        <f t="shared" si="28"/>
        <v>#N/A</v>
      </c>
      <c r="AS61" s="466"/>
      <c r="AT61" s="185"/>
      <c r="AU61" s="169"/>
      <c r="AV61" s="183"/>
      <c r="AW61" s="185" t="e">
        <f t="shared" si="29"/>
        <v>#N/A</v>
      </c>
      <c r="AX61" s="466"/>
    </row>
    <row r="62" spans="2:50" ht="15.75">
      <c r="B62" s="472" t="s">
        <v>201</v>
      </c>
      <c r="C62" s="473"/>
      <c r="D62" s="473"/>
      <c r="E62" s="473"/>
      <c r="F62" s="473"/>
      <c r="G62" s="473"/>
      <c r="H62" s="473"/>
      <c r="I62" s="189"/>
      <c r="J62" s="189"/>
      <c r="K62" s="189"/>
      <c r="L62" s="189"/>
      <c r="M62" s="188"/>
      <c r="N62" s="461" t="s">
        <v>202</v>
      </c>
      <c r="O62" s="461" t="s">
        <v>150</v>
      </c>
      <c r="P62" s="470">
        <f>P42+7</f>
        <v>45979</v>
      </c>
      <c r="Q62" s="471"/>
      <c r="R62" s="471"/>
      <c r="S62" s="471"/>
      <c r="T62" s="471"/>
      <c r="U62" s="467">
        <f>P62+1</f>
        <v>45980</v>
      </c>
      <c r="V62" s="468"/>
      <c r="W62" s="468"/>
      <c r="X62" s="468"/>
      <c r="Y62" s="469"/>
      <c r="Z62" s="467">
        <f>U62+1</f>
        <v>45981</v>
      </c>
      <c r="AA62" s="468"/>
      <c r="AB62" s="468"/>
      <c r="AC62" s="468"/>
      <c r="AD62" s="469"/>
      <c r="AE62" s="467">
        <f>Z62+1</f>
        <v>45982</v>
      </c>
      <c r="AF62" s="468"/>
      <c r="AG62" s="468"/>
      <c r="AH62" s="468"/>
      <c r="AI62" s="469"/>
      <c r="AJ62" s="467">
        <f>AE62+1</f>
        <v>45983</v>
      </c>
      <c r="AK62" s="468"/>
      <c r="AL62" s="468"/>
      <c r="AM62" s="468"/>
      <c r="AN62" s="469"/>
      <c r="AO62" s="467">
        <f>AJ62+1</f>
        <v>45984</v>
      </c>
      <c r="AP62" s="468"/>
      <c r="AQ62" s="468"/>
      <c r="AR62" s="468"/>
      <c r="AS62" s="469"/>
      <c r="AT62" s="467">
        <f>AO62+1</f>
        <v>45985</v>
      </c>
      <c r="AU62" s="468"/>
      <c r="AV62" s="468"/>
      <c r="AW62" s="468"/>
      <c r="AX62" s="469"/>
    </row>
    <row r="63" spans="2:50" ht="15.75">
      <c r="B63" s="474"/>
      <c r="C63" s="474"/>
      <c r="D63" s="474"/>
      <c r="E63" s="474"/>
      <c r="F63" s="474"/>
      <c r="G63" s="474"/>
      <c r="H63" s="474"/>
      <c r="I63" s="187"/>
      <c r="J63" s="187"/>
      <c r="K63" s="187"/>
      <c r="L63" s="187"/>
      <c r="M63" s="182"/>
      <c r="N63" s="463"/>
      <c r="O63" s="463"/>
      <c r="P63" s="470" t="s">
        <v>203</v>
      </c>
      <c r="Q63" s="471"/>
      <c r="R63" s="471"/>
      <c r="S63" s="471"/>
      <c r="T63" s="471"/>
      <c r="U63" s="470" t="s">
        <v>204</v>
      </c>
      <c r="V63" s="471"/>
      <c r="W63" s="471"/>
      <c r="X63" s="471"/>
      <c r="Y63" s="471"/>
      <c r="Z63" s="470" t="s">
        <v>205</v>
      </c>
      <c r="AA63" s="471"/>
      <c r="AB63" s="471"/>
      <c r="AC63" s="471"/>
      <c r="AD63" s="471"/>
      <c r="AE63" s="470" t="s">
        <v>206</v>
      </c>
      <c r="AF63" s="471"/>
      <c r="AG63" s="471"/>
      <c r="AH63" s="471"/>
      <c r="AI63" s="471"/>
      <c r="AJ63" s="470" t="s">
        <v>207</v>
      </c>
      <c r="AK63" s="471"/>
      <c r="AL63" s="471"/>
      <c r="AM63" s="471"/>
      <c r="AN63" s="471"/>
      <c r="AO63" s="470" t="s">
        <v>157</v>
      </c>
      <c r="AP63" s="471"/>
      <c r="AQ63" s="471"/>
      <c r="AR63" s="471"/>
      <c r="AS63" s="471"/>
      <c r="AT63" s="470" t="s">
        <v>208</v>
      </c>
      <c r="AU63" s="471"/>
      <c r="AV63" s="471"/>
      <c r="AW63" s="471"/>
      <c r="AX63" s="471"/>
    </row>
    <row r="64" spans="2:50">
      <c r="B64" s="454" t="s">
        <v>209</v>
      </c>
      <c r="C64" s="454" t="s">
        <v>210</v>
      </c>
      <c r="D64" s="454"/>
      <c r="E64" s="454" t="s">
        <v>211</v>
      </c>
      <c r="F64" s="454"/>
      <c r="G64" s="454"/>
      <c r="H64" s="455" t="s">
        <v>212</v>
      </c>
      <c r="I64" s="454" t="s">
        <v>213</v>
      </c>
      <c r="J64" s="454"/>
      <c r="K64" s="454"/>
      <c r="L64" s="455" t="s">
        <v>212</v>
      </c>
      <c r="M64" s="461" t="s">
        <v>214</v>
      </c>
      <c r="N64" s="454"/>
      <c r="O64" s="454" t="s">
        <v>215</v>
      </c>
      <c r="P64" s="458" t="s">
        <v>216</v>
      </c>
      <c r="Q64" s="459"/>
      <c r="R64" s="459"/>
      <c r="S64" s="460"/>
      <c r="T64" s="454" t="s">
        <v>212</v>
      </c>
      <c r="U64" s="458" t="s">
        <v>216</v>
      </c>
      <c r="V64" s="459"/>
      <c r="W64" s="459"/>
      <c r="X64" s="460"/>
      <c r="Y64" s="454" t="s">
        <v>212</v>
      </c>
      <c r="Z64" s="458" t="s">
        <v>216</v>
      </c>
      <c r="AA64" s="459"/>
      <c r="AB64" s="459"/>
      <c r="AC64" s="460"/>
      <c r="AD64" s="454" t="s">
        <v>212</v>
      </c>
      <c r="AE64" s="458" t="s">
        <v>216</v>
      </c>
      <c r="AF64" s="459"/>
      <c r="AG64" s="459"/>
      <c r="AH64" s="460"/>
      <c r="AI64" s="454" t="s">
        <v>212</v>
      </c>
      <c r="AJ64" s="458" t="s">
        <v>216</v>
      </c>
      <c r="AK64" s="459"/>
      <c r="AL64" s="459"/>
      <c r="AM64" s="460"/>
      <c r="AN64" s="454" t="s">
        <v>212</v>
      </c>
      <c r="AO64" s="458" t="s">
        <v>216</v>
      </c>
      <c r="AP64" s="459"/>
      <c r="AQ64" s="459"/>
      <c r="AR64" s="460"/>
      <c r="AS64" s="454" t="s">
        <v>212</v>
      </c>
      <c r="AT64" s="458" t="s">
        <v>216</v>
      </c>
      <c r="AU64" s="459"/>
      <c r="AV64" s="459"/>
      <c r="AW64" s="460"/>
      <c r="AX64" s="454" t="s">
        <v>212</v>
      </c>
    </row>
    <row r="65" spans="2:50">
      <c r="B65" s="454"/>
      <c r="C65" s="454"/>
      <c r="D65" s="454"/>
      <c r="E65" s="454" t="s">
        <v>217</v>
      </c>
      <c r="F65" s="454"/>
      <c r="G65" s="454"/>
      <c r="H65" s="456"/>
      <c r="I65" s="454" t="s">
        <v>217</v>
      </c>
      <c r="J65" s="454"/>
      <c r="K65" s="454"/>
      <c r="L65" s="456"/>
      <c r="M65" s="462"/>
      <c r="N65" s="454"/>
      <c r="O65" s="454"/>
      <c r="P65" s="458" t="s">
        <v>218</v>
      </c>
      <c r="Q65" s="459"/>
      <c r="R65" s="459"/>
      <c r="S65" s="460"/>
      <c r="T65" s="454"/>
      <c r="U65" s="458" t="s">
        <v>218</v>
      </c>
      <c r="V65" s="459"/>
      <c r="W65" s="459"/>
      <c r="X65" s="460"/>
      <c r="Y65" s="454"/>
      <c r="Z65" s="458" t="s">
        <v>218</v>
      </c>
      <c r="AA65" s="459"/>
      <c r="AB65" s="459"/>
      <c r="AC65" s="460"/>
      <c r="AD65" s="454"/>
      <c r="AE65" s="458" t="s">
        <v>218</v>
      </c>
      <c r="AF65" s="459"/>
      <c r="AG65" s="459"/>
      <c r="AH65" s="460"/>
      <c r="AI65" s="454"/>
      <c r="AJ65" s="458" t="s">
        <v>218</v>
      </c>
      <c r="AK65" s="459"/>
      <c r="AL65" s="459"/>
      <c r="AM65" s="460"/>
      <c r="AN65" s="454"/>
      <c r="AO65" s="458" t="s">
        <v>218</v>
      </c>
      <c r="AP65" s="459"/>
      <c r="AQ65" s="459"/>
      <c r="AR65" s="460"/>
      <c r="AS65" s="454"/>
      <c r="AT65" s="458" t="s">
        <v>218</v>
      </c>
      <c r="AU65" s="459"/>
      <c r="AV65" s="459"/>
      <c r="AW65" s="460"/>
      <c r="AX65" s="454"/>
    </row>
    <row r="66" spans="2:50">
      <c r="B66" s="454"/>
      <c r="C66" s="454"/>
      <c r="D66" s="454"/>
      <c r="E66" s="275" t="s">
        <v>219</v>
      </c>
      <c r="F66" s="275" t="s">
        <v>220</v>
      </c>
      <c r="G66" s="275" t="s">
        <v>221</v>
      </c>
      <c r="H66" s="457"/>
      <c r="I66" s="275" t="s">
        <v>219</v>
      </c>
      <c r="J66" s="275" t="s">
        <v>220</v>
      </c>
      <c r="K66" s="275" t="s">
        <v>221</v>
      </c>
      <c r="L66" s="457"/>
      <c r="M66" s="463"/>
      <c r="N66" s="454"/>
      <c r="O66" s="454"/>
      <c r="P66" s="275" t="s">
        <v>219</v>
      </c>
      <c r="Q66" s="275" t="s">
        <v>220</v>
      </c>
      <c r="R66" s="275" t="s">
        <v>221</v>
      </c>
      <c r="S66" s="275" t="s">
        <v>214</v>
      </c>
      <c r="T66" s="454"/>
      <c r="U66" s="275" t="s">
        <v>219</v>
      </c>
      <c r="V66" s="275" t="s">
        <v>220</v>
      </c>
      <c r="W66" s="275" t="s">
        <v>221</v>
      </c>
      <c r="X66" s="275" t="s">
        <v>214</v>
      </c>
      <c r="Y66" s="454"/>
      <c r="Z66" s="275" t="s">
        <v>219</v>
      </c>
      <c r="AA66" s="275" t="s">
        <v>220</v>
      </c>
      <c r="AB66" s="275" t="s">
        <v>221</v>
      </c>
      <c r="AC66" s="275" t="s">
        <v>214</v>
      </c>
      <c r="AD66" s="454"/>
      <c r="AE66" s="275" t="s">
        <v>219</v>
      </c>
      <c r="AF66" s="275" t="s">
        <v>220</v>
      </c>
      <c r="AG66" s="275" t="s">
        <v>221</v>
      </c>
      <c r="AH66" s="275" t="s">
        <v>214</v>
      </c>
      <c r="AI66" s="454"/>
      <c r="AJ66" s="275" t="s">
        <v>219</v>
      </c>
      <c r="AK66" s="275" t="s">
        <v>220</v>
      </c>
      <c r="AL66" s="275" t="s">
        <v>221</v>
      </c>
      <c r="AM66" s="275" t="s">
        <v>214</v>
      </c>
      <c r="AN66" s="454"/>
      <c r="AO66" s="275" t="s">
        <v>219</v>
      </c>
      <c r="AP66" s="275" t="s">
        <v>220</v>
      </c>
      <c r="AQ66" s="275" t="s">
        <v>221</v>
      </c>
      <c r="AR66" s="275" t="s">
        <v>214</v>
      </c>
      <c r="AS66" s="454"/>
      <c r="AT66" s="275" t="s">
        <v>219</v>
      </c>
      <c r="AU66" s="275" t="s">
        <v>220</v>
      </c>
      <c r="AV66" s="275" t="s">
        <v>221</v>
      </c>
      <c r="AW66" s="275" t="s">
        <v>214</v>
      </c>
      <c r="AX66" s="454"/>
    </row>
    <row r="67" spans="2:50">
      <c r="B67" s="454" t="s">
        <v>190</v>
      </c>
      <c r="C67" s="185">
        <v>1</v>
      </c>
      <c r="D67" s="206"/>
      <c r="E67" s="169"/>
      <c r="F67" s="185"/>
      <c r="G67" s="183"/>
      <c r="H67" s="451" t="e">
        <f>AVERAGE(G67:G81)</f>
        <v>#DIV/0!</v>
      </c>
      <c r="I67" s="169" t="e">
        <f t="shared" ref="I67:K72" si="33">AVERAGE(P67,U67,Z67,AE67,AJ67,AO67,AT67)</f>
        <v>#DIV/0!</v>
      </c>
      <c r="J67" s="169" t="e">
        <f t="shared" si="33"/>
        <v>#DIV/0!</v>
      </c>
      <c r="K67" s="183" t="e">
        <f t="shared" si="33"/>
        <v>#DIV/0!</v>
      </c>
      <c r="L67" s="451" t="str">
        <f>IFERROR(AVERAGE(K67:K81),"-")</f>
        <v>-</v>
      </c>
      <c r="M67" s="184" t="e">
        <f>RANK(K67, K$67:$K$81)</f>
        <v>#DIV/0!</v>
      </c>
      <c r="N67" s="454"/>
      <c r="O67" s="454"/>
      <c r="P67" s="169"/>
      <c r="Q67" s="169"/>
      <c r="R67" s="183"/>
      <c r="S67" s="185" t="e">
        <f>RANK(R67, R$67:R$81)</f>
        <v>#N/A</v>
      </c>
      <c r="T67" s="464" t="e">
        <f>AVERAGE(R67:R81)</f>
        <v>#DIV/0!</v>
      </c>
      <c r="U67" s="169"/>
      <c r="V67" s="169"/>
      <c r="W67" s="183"/>
      <c r="X67" s="185" t="e">
        <f>RANK(W67, W$67:W$81)</f>
        <v>#N/A</v>
      </c>
      <c r="Y67" s="464" t="e">
        <f>AVERAGE(W67:W81)</f>
        <v>#DIV/0!</v>
      </c>
      <c r="Z67" s="169"/>
      <c r="AA67" s="169"/>
      <c r="AB67" s="183"/>
      <c r="AC67" s="185" t="e">
        <f>RANK(AB67, AB$67:AB$81)</f>
        <v>#N/A</v>
      </c>
      <c r="AD67" s="464" t="e">
        <f>AVERAGE(AB67:AB81)</f>
        <v>#DIV/0!</v>
      </c>
      <c r="AE67" s="169"/>
      <c r="AF67" s="169"/>
      <c r="AG67" s="183"/>
      <c r="AH67" s="185" t="e">
        <f>RANK(AG67, AG$67:AG$81)</f>
        <v>#N/A</v>
      </c>
      <c r="AI67" s="464" t="e">
        <f>AVERAGE(AG67:AG81)</f>
        <v>#DIV/0!</v>
      </c>
      <c r="AJ67" s="169"/>
      <c r="AK67" s="169"/>
      <c r="AL67" s="183"/>
      <c r="AM67" s="185" t="e">
        <f>RANK(AL67, AL$67:AL$81)</f>
        <v>#N/A</v>
      </c>
      <c r="AN67" s="464" t="e">
        <f>AVERAGE(AL67:AL81)</f>
        <v>#DIV/0!</v>
      </c>
      <c r="AO67" s="169"/>
      <c r="AP67" s="169"/>
      <c r="AQ67" s="183"/>
      <c r="AR67" s="185" t="e">
        <f>RANK(AQ67, AQ$67:AQ$81)</f>
        <v>#N/A</v>
      </c>
      <c r="AS67" s="464" t="e">
        <f>AVERAGE(AQ67:AQ81)</f>
        <v>#DIV/0!</v>
      </c>
      <c r="AT67" s="169"/>
      <c r="AU67" s="169"/>
      <c r="AV67" s="183"/>
      <c r="AW67" s="185" t="e">
        <f>RANK(AV67, AV$67:AV$81)</f>
        <v>#N/A</v>
      </c>
      <c r="AX67" s="464" t="e">
        <f>AVERAGE(AV67:AV81)</f>
        <v>#DIV/0!</v>
      </c>
    </row>
    <row r="68" spans="2:50">
      <c r="B68" s="471"/>
      <c r="C68" s="185">
        <v>2</v>
      </c>
      <c r="D68" s="206"/>
      <c r="E68" s="169"/>
      <c r="F68" s="185"/>
      <c r="G68" s="183"/>
      <c r="H68" s="452"/>
      <c r="I68" s="169" t="e">
        <f t="shared" si="33"/>
        <v>#DIV/0!</v>
      </c>
      <c r="J68" s="169" t="e">
        <f t="shared" si="33"/>
        <v>#DIV/0!</v>
      </c>
      <c r="K68" s="183" t="e">
        <f t="shared" si="33"/>
        <v>#DIV/0!</v>
      </c>
      <c r="L68" s="452"/>
      <c r="M68" s="184" t="e">
        <f>RANK(K68, K$67:$K$81)</f>
        <v>#DIV/0!</v>
      </c>
      <c r="N68" s="454"/>
      <c r="O68" s="454"/>
      <c r="P68" s="185"/>
      <c r="Q68" s="169"/>
      <c r="R68" s="183"/>
      <c r="S68" s="185" t="e">
        <f t="shared" ref="S68:S81" si="34">RANK(R68, R$67:R$81)</f>
        <v>#N/A</v>
      </c>
      <c r="T68" s="465"/>
      <c r="U68" s="185"/>
      <c r="V68" s="169"/>
      <c r="W68" s="183"/>
      <c r="X68" s="185" t="e">
        <f t="shared" ref="X68:X81" si="35">RANK(W68, W$67:W$81)</f>
        <v>#N/A</v>
      </c>
      <c r="Y68" s="465"/>
      <c r="Z68" s="185"/>
      <c r="AA68" s="169"/>
      <c r="AB68" s="183"/>
      <c r="AC68" s="185" t="e">
        <f t="shared" ref="AC68:AC81" si="36">RANK(AB68, AB$67:AB$81)</f>
        <v>#N/A</v>
      </c>
      <c r="AD68" s="465"/>
      <c r="AE68" s="185"/>
      <c r="AF68" s="169"/>
      <c r="AG68" s="183"/>
      <c r="AH68" s="185" t="e">
        <f t="shared" ref="AH68:AH81" si="37">RANK(AG68, AG$67:AG$81)</f>
        <v>#N/A</v>
      </c>
      <c r="AI68" s="465"/>
      <c r="AJ68" s="185"/>
      <c r="AK68" s="169"/>
      <c r="AL68" s="183"/>
      <c r="AM68" s="185" t="e">
        <f t="shared" ref="AM68:AM81" si="38">RANK(AL68, AL$67:AL$81)</f>
        <v>#N/A</v>
      </c>
      <c r="AN68" s="465"/>
      <c r="AO68" s="185"/>
      <c r="AP68" s="169"/>
      <c r="AQ68" s="183"/>
      <c r="AR68" s="185" t="e">
        <f t="shared" ref="AR68:AR81" si="39">RANK(AQ68, AQ$67:AQ$81)</f>
        <v>#N/A</v>
      </c>
      <c r="AS68" s="465"/>
      <c r="AT68" s="185"/>
      <c r="AU68" s="169"/>
      <c r="AV68" s="183"/>
      <c r="AW68" s="185" t="e">
        <f t="shared" ref="AW68:AW81" si="40">RANK(AV68, AV$67:AV$81)</f>
        <v>#N/A</v>
      </c>
      <c r="AX68" s="465"/>
    </row>
    <row r="69" spans="2:50">
      <c r="B69" s="471"/>
      <c r="C69" s="185">
        <v>3</v>
      </c>
      <c r="D69" s="206"/>
      <c r="E69" s="169"/>
      <c r="F69" s="185"/>
      <c r="G69" s="183"/>
      <c r="H69" s="452"/>
      <c r="I69" s="169" t="e">
        <f t="shared" si="33"/>
        <v>#DIV/0!</v>
      </c>
      <c r="J69" s="169" t="e">
        <f t="shared" si="33"/>
        <v>#DIV/0!</v>
      </c>
      <c r="K69" s="183" t="e">
        <f t="shared" si="33"/>
        <v>#DIV/0!</v>
      </c>
      <c r="L69" s="452"/>
      <c r="M69" s="184" t="e">
        <f>RANK(K69, K$67:$K$81)</f>
        <v>#DIV/0!</v>
      </c>
      <c r="N69" s="454"/>
      <c r="O69" s="454"/>
      <c r="P69" s="185"/>
      <c r="Q69" s="169"/>
      <c r="R69" s="183"/>
      <c r="S69" s="185" t="e">
        <f t="shared" si="34"/>
        <v>#N/A</v>
      </c>
      <c r="T69" s="465"/>
      <c r="U69" s="185"/>
      <c r="V69" s="169"/>
      <c r="W69" s="183"/>
      <c r="X69" s="185" t="e">
        <f t="shared" si="35"/>
        <v>#N/A</v>
      </c>
      <c r="Y69" s="465"/>
      <c r="Z69" s="185"/>
      <c r="AA69" s="169"/>
      <c r="AB69" s="183"/>
      <c r="AC69" s="185" t="e">
        <f t="shared" si="36"/>
        <v>#N/A</v>
      </c>
      <c r="AD69" s="465"/>
      <c r="AE69" s="185"/>
      <c r="AF69" s="169"/>
      <c r="AG69" s="183"/>
      <c r="AH69" s="185" t="e">
        <f t="shared" si="37"/>
        <v>#N/A</v>
      </c>
      <c r="AI69" s="465"/>
      <c r="AJ69" s="185"/>
      <c r="AK69" s="169"/>
      <c r="AL69" s="183"/>
      <c r="AM69" s="185" t="e">
        <f t="shared" si="38"/>
        <v>#N/A</v>
      </c>
      <c r="AN69" s="465"/>
      <c r="AO69" s="185"/>
      <c r="AP69" s="169"/>
      <c r="AQ69" s="183"/>
      <c r="AR69" s="185" t="e">
        <f t="shared" si="39"/>
        <v>#N/A</v>
      </c>
      <c r="AS69" s="465"/>
      <c r="AT69" s="185"/>
      <c r="AU69" s="169"/>
      <c r="AV69" s="183"/>
      <c r="AW69" s="185" t="e">
        <f t="shared" si="40"/>
        <v>#N/A</v>
      </c>
      <c r="AX69" s="465"/>
    </row>
    <row r="70" spans="2:50">
      <c r="B70" s="471"/>
      <c r="C70" s="185">
        <v>4</v>
      </c>
      <c r="D70" s="206"/>
      <c r="E70" s="169"/>
      <c r="F70" s="185"/>
      <c r="G70" s="183"/>
      <c r="H70" s="452"/>
      <c r="I70" s="169" t="e">
        <f t="shared" si="33"/>
        <v>#DIV/0!</v>
      </c>
      <c r="J70" s="169" t="e">
        <f t="shared" si="33"/>
        <v>#DIV/0!</v>
      </c>
      <c r="K70" s="183" t="e">
        <f t="shared" si="33"/>
        <v>#DIV/0!</v>
      </c>
      <c r="L70" s="452"/>
      <c r="M70" s="184" t="e">
        <f>RANK(K70, K$67:$K$81)</f>
        <v>#DIV/0!</v>
      </c>
      <c r="N70" s="454"/>
      <c r="O70" s="454"/>
      <c r="P70" s="185"/>
      <c r="Q70" s="169"/>
      <c r="R70" s="183"/>
      <c r="S70" s="185" t="e">
        <f t="shared" si="34"/>
        <v>#N/A</v>
      </c>
      <c r="T70" s="465"/>
      <c r="U70" s="185"/>
      <c r="V70" s="169"/>
      <c r="W70" s="183"/>
      <c r="X70" s="185" t="e">
        <f t="shared" si="35"/>
        <v>#N/A</v>
      </c>
      <c r="Y70" s="465"/>
      <c r="Z70" s="185"/>
      <c r="AA70" s="169"/>
      <c r="AB70" s="183"/>
      <c r="AC70" s="185" t="e">
        <f t="shared" si="36"/>
        <v>#N/A</v>
      </c>
      <c r="AD70" s="465"/>
      <c r="AE70" s="185"/>
      <c r="AF70" s="169"/>
      <c r="AG70" s="183"/>
      <c r="AH70" s="185" t="e">
        <f t="shared" si="37"/>
        <v>#N/A</v>
      </c>
      <c r="AI70" s="465"/>
      <c r="AJ70" s="185"/>
      <c r="AK70" s="169"/>
      <c r="AL70" s="183"/>
      <c r="AM70" s="185" t="e">
        <f t="shared" si="38"/>
        <v>#N/A</v>
      </c>
      <c r="AN70" s="465"/>
      <c r="AO70" s="185"/>
      <c r="AP70" s="169"/>
      <c r="AQ70" s="183"/>
      <c r="AR70" s="185" t="e">
        <f t="shared" si="39"/>
        <v>#N/A</v>
      </c>
      <c r="AS70" s="465"/>
      <c r="AT70" s="185"/>
      <c r="AU70" s="169"/>
      <c r="AV70" s="183"/>
      <c r="AW70" s="185" t="e">
        <f t="shared" si="40"/>
        <v>#N/A</v>
      </c>
      <c r="AX70" s="465"/>
    </row>
    <row r="71" spans="2:50">
      <c r="B71" s="471"/>
      <c r="C71" s="185">
        <v>5</v>
      </c>
      <c r="D71" s="206"/>
      <c r="E71" s="169"/>
      <c r="F71" s="185"/>
      <c r="G71" s="183"/>
      <c r="H71" s="452"/>
      <c r="I71" s="169" t="e">
        <f t="shared" si="33"/>
        <v>#DIV/0!</v>
      </c>
      <c r="J71" s="169" t="e">
        <f t="shared" si="33"/>
        <v>#DIV/0!</v>
      </c>
      <c r="K71" s="183" t="e">
        <f t="shared" si="33"/>
        <v>#DIV/0!</v>
      </c>
      <c r="L71" s="452"/>
      <c r="M71" s="184" t="e">
        <f>RANK(K71, K$67:$K$81)</f>
        <v>#DIV/0!</v>
      </c>
      <c r="N71" s="454"/>
      <c r="O71" s="454"/>
      <c r="P71" s="185"/>
      <c r="Q71" s="169"/>
      <c r="R71" s="183"/>
      <c r="S71" s="185" t="e">
        <f t="shared" si="34"/>
        <v>#N/A</v>
      </c>
      <c r="T71" s="465"/>
      <c r="U71" s="185"/>
      <c r="V71" s="169"/>
      <c r="W71" s="183"/>
      <c r="X71" s="185" t="e">
        <f t="shared" si="35"/>
        <v>#N/A</v>
      </c>
      <c r="Y71" s="465"/>
      <c r="Z71" s="185"/>
      <c r="AA71" s="169"/>
      <c r="AB71" s="183"/>
      <c r="AC71" s="185" t="e">
        <f t="shared" si="36"/>
        <v>#N/A</v>
      </c>
      <c r="AD71" s="465"/>
      <c r="AE71" s="185"/>
      <c r="AF71" s="169"/>
      <c r="AG71" s="183"/>
      <c r="AH71" s="185" t="e">
        <f t="shared" si="37"/>
        <v>#N/A</v>
      </c>
      <c r="AI71" s="465"/>
      <c r="AJ71" s="185"/>
      <c r="AK71" s="169"/>
      <c r="AL71" s="183"/>
      <c r="AM71" s="185" t="e">
        <f t="shared" si="38"/>
        <v>#N/A</v>
      </c>
      <c r="AN71" s="465"/>
      <c r="AO71" s="185"/>
      <c r="AP71" s="169"/>
      <c r="AQ71" s="183"/>
      <c r="AR71" s="185" t="e">
        <f t="shared" si="39"/>
        <v>#N/A</v>
      </c>
      <c r="AS71" s="465"/>
      <c r="AT71" s="185"/>
      <c r="AU71" s="169"/>
      <c r="AV71" s="183"/>
      <c r="AW71" s="185" t="e">
        <f t="shared" si="40"/>
        <v>#N/A</v>
      </c>
      <c r="AX71" s="465"/>
    </row>
    <row r="72" spans="2:50">
      <c r="B72" s="471"/>
      <c r="C72" s="185">
        <v>6</v>
      </c>
      <c r="D72" s="206"/>
      <c r="E72" s="169"/>
      <c r="F72" s="185"/>
      <c r="G72" s="183"/>
      <c r="H72" s="452"/>
      <c r="I72" s="169" t="e">
        <f t="shared" si="33"/>
        <v>#DIV/0!</v>
      </c>
      <c r="J72" s="169" t="e">
        <f t="shared" si="33"/>
        <v>#DIV/0!</v>
      </c>
      <c r="K72" s="183" t="e">
        <f t="shared" si="33"/>
        <v>#DIV/0!</v>
      </c>
      <c r="L72" s="452"/>
      <c r="M72" s="184" t="e">
        <f>RANK(K72, K$67:$K$81)</f>
        <v>#DIV/0!</v>
      </c>
      <c r="N72" s="454"/>
      <c r="O72" s="454"/>
      <c r="P72" s="185"/>
      <c r="Q72" s="169"/>
      <c r="R72" s="183"/>
      <c r="S72" s="185" t="e">
        <f t="shared" si="34"/>
        <v>#N/A</v>
      </c>
      <c r="T72" s="465"/>
      <c r="U72" s="185"/>
      <c r="V72" s="169"/>
      <c r="W72" s="183"/>
      <c r="X72" s="185" t="e">
        <f t="shared" si="35"/>
        <v>#N/A</v>
      </c>
      <c r="Y72" s="465"/>
      <c r="Z72" s="185"/>
      <c r="AA72" s="169"/>
      <c r="AB72" s="183"/>
      <c r="AC72" s="185" t="e">
        <f t="shared" si="36"/>
        <v>#N/A</v>
      </c>
      <c r="AD72" s="465"/>
      <c r="AE72" s="185"/>
      <c r="AF72" s="169"/>
      <c r="AG72" s="183"/>
      <c r="AH72" s="185" t="e">
        <f t="shared" si="37"/>
        <v>#N/A</v>
      </c>
      <c r="AI72" s="465"/>
      <c r="AJ72" s="185"/>
      <c r="AK72" s="169"/>
      <c r="AL72" s="183"/>
      <c r="AM72" s="185" t="e">
        <f t="shared" si="38"/>
        <v>#N/A</v>
      </c>
      <c r="AN72" s="465"/>
      <c r="AO72" s="185"/>
      <c r="AP72" s="169"/>
      <c r="AQ72" s="183"/>
      <c r="AR72" s="185" t="e">
        <f t="shared" si="39"/>
        <v>#N/A</v>
      </c>
      <c r="AS72" s="465"/>
      <c r="AT72" s="185"/>
      <c r="AU72" s="169"/>
      <c r="AV72" s="183"/>
      <c r="AW72" s="185" t="e">
        <f t="shared" si="40"/>
        <v>#N/A</v>
      </c>
      <c r="AX72" s="465"/>
    </row>
    <row r="73" spans="2:50">
      <c r="B73" s="471"/>
      <c r="C73" s="185">
        <v>7</v>
      </c>
      <c r="D73" s="206"/>
      <c r="E73" s="169"/>
      <c r="F73" s="185"/>
      <c r="G73" s="183"/>
      <c r="H73" s="452"/>
      <c r="I73" s="169" t="e">
        <f t="shared" ref="I73" si="41">AVERAGE(P73,U73,Z73,AE73,AJ73,AO73,AT73)</f>
        <v>#DIV/0!</v>
      </c>
      <c r="J73" s="169" t="e">
        <f t="shared" ref="J73" si="42">AVERAGE(Q73,V73,AA73,AF73,AK73,AP73,AU73)</f>
        <v>#DIV/0!</v>
      </c>
      <c r="K73" s="183" t="e">
        <f t="shared" ref="K73" si="43">AVERAGE(R73,W73,AB73,AG73,AL73,AQ73,AV73)</f>
        <v>#DIV/0!</v>
      </c>
      <c r="L73" s="452"/>
      <c r="M73" s="184" t="e">
        <f>RANK(K73, K$67:$K$81)</f>
        <v>#DIV/0!</v>
      </c>
      <c r="N73" s="454"/>
      <c r="O73" s="454"/>
      <c r="P73" s="185"/>
      <c r="Q73" s="169"/>
      <c r="R73" s="183"/>
      <c r="S73" s="185" t="e">
        <f t="shared" si="34"/>
        <v>#N/A</v>
      </c>
      <c r="T73" s="465"/>
      <c r="U73" s="185"/>
      <c r="V73" s="169"/>
      <c r="W73" s="183"/>
      <c r="X73" s="185" t="e">
        <f t="shared" si="35"/>
        <v>#N/A</v>
      </c>
      <c r="Y73" s="465"/>
      <c r="Z73" s="185"/>
      <c r="AA73" s="169"/>
      <c r="AB73" s="183"/>
      <c r="AC73" s="185" t="e">
        <f t="shared" si="36"/>
        <v>#N/A</v>
      </c>
      <c r="AD73" s="465"/>
      <c r="AE73" s="185"/>
      <c r="AF73" s="169"/>
      <c r="AG73" s="183"/>
      <c r="AH73" s="185" t="e">
        <f t="shared" si="37"/>
        <v>#N/A</v>
      </c>
      <c r="AI73" s="465"/>
      <c r="AJ73" s="185"/>
      <c r="AK73" s="169"/>
      <c r="AL73" s="183"/>
      <c r="AM73" s="185" t="e">
        <f t="shared" si="38"/>
        <v>#N/A</v>
      </c>
      <c r="AN73" s="465"/>
      <c r="AO73" s="185"/>
      <c r="AP73" s="169"/>
      <c r="AQ73" s="183"/>
      <c r="AR73" s="185" t="e">
        <f t="shared" si="39"/>
        <v>#N/A</v>
      </c>
      <c r="AS73" s="465"/>
      <c r="AT73" s="185"/>
      <c r="AU73" s="169"/>
      <c r="AV73" s="183"/>
      <c r="AW73" s="185" t="e">
        <f t="shared" si="40"/>
        <v>#N/A</v>
      </c>
      <c r="AX73" s="465"/>
    </row>
    <row r="74" spans="2:50">
      <c r="B74" s="471"/>
      <c r="C74" s="185">
        <v>8</v>
      </c>
      <c r="D74" s="206"/>
      <c r="E74" s="169"/>
      <c r="F74" s="185"/>
      <c r="G74" s="183"/>
      <c r="H74" s="452"/>
      <c r="I74" s="169"/>
      <c r="J74" s="169"/>
      <c r="K74" s="183"/>
      <c r="L74" s="452"/>
      <c r="M74" s="184" t="e">
        <f>RANK(K74, K$67:$K$81)</f>
        <v>#DIV/0!</v>
      </c>
      <c r="N74" s="454"/>
      <c r="O74" s="454"/>
      <c r="P74" s="185"/>
      <c r="Q74" s="169"/>
      <c r="R74" s="183"/>
      <c r="S74" s="185" t="e">
        <f t="shared" si="34"/>
        <v>#N/A</v>
      </c>
      <c r="T74" s="465"/>
      <c r="U74" s="185"/>
      <c r="V74" s="169"/>
      <c r="W74" s="183"/>
      <c r="X74" s="185" t="e">
        <f t="shared" si="35"/>
        <v>#N/A</v>
      </c>
      <c r="Y74" s="465"/>
      <c r="Z74" s="185"/>
      <c r="AA74" s="169"/>
      <c r="AB74" s="183"/>
      <c r="AC74" s="185" t="e">
        <f t="shared" si="36"/>
        <v>#N/A</v>
      </c>
      <c r="AD74" s="465"/>
      <c r="AE74" s="185"/>
      <c r="AF74" s="169"/>
      <c r="AG74" s="183"/>
      <c r="AH74" s="185" t="e">
        <f t="shared" si="37"/>
        <v>#N/A</v>
      </c>
      <c r="AI74" s="465"/>
      <c r="AJ74" s="185"/>
      <c r="AK74" s="169"/>
      <c r="AL74" s="183"/>
      <c r="AM74" s="185" t="e">
        <f t="shared" si="38"/>
        <v>#N/A</v>
      </c>
      <c r="AN74" s="465"/>
      <c r="AO74" s="185"/>
      <c r="AP74" s="169"/>
      <c r="AQ74" s="183"/>
      <c r="AR74" s="185" t="e">
        <f t="shared" si="39"/>
        <v>#N/A</v>
      </c>
      <c r="AS74" s="465"/>
      <c r="AT74" s="185"/>
      <c r="AU74" s="169"/>
      <c r="AV74" s="183"/>
      <c r="AW74" s="185" t="e">
        <f t="shared" si="40"/>
        <v>#N/A</v>
      </c>
      <c r="AX74" s="465"/>
    </row>
    <row r="75" spans="2:50">
      <c r="B75" s="471"/>
      <c r="C75" s="185">
        <v>9</v>
      </c>
      <c r="D75" s="206"/>
      <c r="E75" s="169"/>
      <c r="F75" s="185"/>
      <c r="G75" s="183"/>
      <c r="H75" s="452"/>
      <c r="I75" s="169"/>
      <c r="J75" s="169"/>
      <c r="K75" s="183"/>
      <c r="L75" s="452"/>
      <c r="M75" s="184" t="e">
        <f>RANK(K75, K$67:$K$81)</f>
        <v>#DIV/0!</v>
      </c>
      <c r="N75" s="454"/>
      <c r="O75" s="454"/>
      <c r="P75" s="185"/>
      <c r="Q75" s="169"/>
      <c r="R75" s="183"/>
      <c r="S75" s="185" t="e">
        <f t="shared" si="34"/>
        <v>#N/A</v>
      </c>
      <c r="T75" s="465"/>
      <c r="U75" s="185"/>
      <c r="V75" s="169"/>
      <c r="W75" s="183"/>
      <c r="X75" s="185" t="e">
        <f t="shared" si="35"/>
        <v>#N/A</v>
      </c>
      <c r="Y75" s="465"/>
      <c r="Z75" s="185"/>
      <c r="AA75" s="169"/>
      <c r="AB75" s="183"/>
      <c r="AC75" s="185" t="e">
        <f t="shared" si="36"/>
        <v>#N/A</v>
      </c>
      <c r="AD75" s="465"/>
      <c r="AE75" s="185"/>
      <c r="AF75" s="169"/>
      <c r="AG75" s="183"/>
      <c r="AH75" s="185" t="e">
        <f t="shared" si="37"/>
        <v>#N/A</v>
      </c>
      <c r="AI75" s="465"/>
      <c r="AJ75" s="185"/>
      <c r="AK75" s="169"/>
      <c r="AL75" s="183"/>
      <c r="AM75" s="185" t="e">
        <f t="shared" si="38"/>
        <v>#N/A</v>
      </c>
      <c r="AN75" s="465"/>
      <c r="AO75" s="185"/>
      <c r="AP75" s="169"/>
      <c r="AQ75" s="183"/>
      <c r="AR75" s="185" t="e">
        <f t="shared" si="39"/>
        <v>#N/A</v>
      </c>
      <c r="AS75" s="465"/>
      <c r="AT75" s="185"/>
      <c r="AU75" s="169"/>
      <c r="AV75" s="183"/>
      <c r="AW75" s="185" t="e">
        <f t="shared" si="40"/>
        <v>#N/A</v>
      </c>
      <c r="AX75" s="465"/>
    </row>
    <row r="76" spans="2:50">
      <c r="B76" s="471"/>
      <c r="C76" s="185">
        <v>10</v>
      </c>
      <c r="D76" s="206"/>
      <c r="E76" s="169"/>
      <c r="F76" s="185"/>
      <c r="G76" s="183"/>
      <c r="H76" s="452"/>
      <c r="I76" s="169"/>
      <c r="J76" s="169"/>
      <c r="K76" s="183"/>
      <c r="L76" s="452"/>
      <c r="M76" s="184" t="e">
        <f>RANK(K76, K$67:$K$81)</f>
        <v>#DIV/0!</v>
      </c>
      <c r="N76" s="454"/>
      <c r="O76" s="454"/>
      <c r="P76" s="185"/>
      <c r="Q76" s="169"/>
      <c r="R76" s="183"/>
      <c r="S76" s="185" t="e">
        <f t="shared" si="34"/>
        <v>#N/A</v>
      </c>
      <c r="T76" s="465"/>
      <c r="U76" s="185"/>
      <c r="V76" s="169"/>
      <c r="W76" s="183"/>
      <c r="X76" s="185" t="e">
        <f t="shared" si="35"/>
        <v>#N/A</v>
      </c>
      <c r="Y76" s="465"/>
      <c r="Z76" s="185"/>
      <c r="AA76" s="169"/>
      <c r="AB76" s="183"/>
      <c r="AC76" s="185" t="e">
        <f t="shared" si="36"/>
        <v>#N/A</v>
      </c>
      <c r="AD76" s="465"/>
      <c r="AE76" s="185"/>
      <c r="AF76" s="169"/>
      <c r="AG76" s="183"/>
      <c r="AH76" s="185" t="e">
        <f t="shared" si="37"/>
        <v>#N/A</v>
      </c>
      <c r="AI76" s="465"/>
      <c r="AJ76" s="185"/>
      <c r="AK76" s="169"/>
      <c r="AL76" s="183"/>
      <c r="AM76" s="185" t="e">
        <f t="shared" si="38"/>
        <v>#N/A</v>
      </c>
      <c r="AN76" s="465"/>
      <c r="AO76" s="185"/>
      <c r="AP76" s="169"/>
      <c r="AQ76" s="183"/>
      <c r="AR76" s="185" t="e">
        <f t="shared" si="39"/>
        <v>#N/A</v>
      </c>
      <c r="AS76" s="465"/>
      <c r="AT76" s="185"/>
      <c r="AU76" s="169"/>
      <c r="AV76" s="183"/>
      <c r="AW76" s="185" t="e">
        <f t="shared" si="40"/>
        <v>#N/A</v>
      </c>
      <c r="AX76" s="465"/>
    </row>
    <row r="77" spans="2:50">
      <c r="B77" s="471"/>
      <c r="C77" s="185">
        <v>11</v>
      </c>
      <c r="D77" s="206"/>
      <c r="E77" s="169"/>
      <c r="F77" s="185"/>
      <c r="G77" s="183"/>
      <c r="H77" s="452"/>
      <c r="I77" s="169"/>
      <c r="J77" s="169"/>
      <c r="K77" s="183"/>
      <c r="L77" s="452"/>
      <c r="M77" s="184" t="e">
        <f>RANK(K77, K$67:$K$81)</f>
        <v>#DIV/0!</v>
      </c>
      <c r="N77" s="454"/>
      <c r="O77" s="454"/>
      <c r="P77" s="185"/>
      <c r="Q77" s="169"/>
      <c r="R77" s="183"/>
      <c r="S77" s="185" t="e">
        <f t="shared" si="34"/>
        <v>#N/A</v>
      </c>
      <c r="T77" s="465"/>
      <c r="U77" s="185"/>
      <c r="V77" s="169"/>
      <c r="W77" s="183"/>
      <c r="X77" s="185" t="e">
        <f t="shared" si="35"/>
        <v>#N/A</v>
      </c>
      <c r="Y77" s="465"/>
      <c r="Z77" s="185"/>
      <c r="AA77" s="169"/>
      <c r="AB77" s="183"/>
      <c r="AC77" s="185" t="e">
        <f t="shared" si="36"/>
        <v>#N/A</v>
      </c>
      <c r="AD77" s="465"/>
      <c r="AE77" s="185"/>
      <c r="AF77" s="169"/>
      <c r="AG77" s="183"/>
      <c r="AH77" s="185" t="e">
        <f t="shared" si="37"/>
        <v>#N/A</v>
      </c>
      <c r="AI77" s="465"/>
      <c r="AJ77" s="185"/>
      <c r="AK77" s="169"/>
      <c r="AL77" s="183"/>
      <c r="AM77" s="185" t="e">
        <f t="shared" si="38"/>
        <v>#N/A</v>
      </c>
      <c r="AN77" s="465"/>
      <c r="AO77" s="185"/>
      <c r="AP77" s="169"/>
      <c r="AQ77" s="183"/>
      <c r="AR77" s="185" t="e">
        <f t="shared" si="39"/>
        <v>#N/A</v>
      </c>
      <c r="AS77" s="465"/>
      <c r="AT77" s="185"/>
      <c r="AU77" s="169"/>
      <c r="AV77" s="183"/>
      <c r="AW77" s="185" t="e">
        <f t="shared" si="40"/>
        <v>#N/A</v>
      </c>
      <c r="AX77" s="465"/>
    </row>
    <row r="78" spans="2:50">
      <c r="B78" s="471"/>
      <c r="C78" s="185">
        <v>12</v>
      </c>
      <c r="D78" s="206"/>
      <c r="E78" s="169"/>
      <c r="F78" s="185"/>
      <c r="G78" s="183"/>
      <c r="H78" s="452"/>
      <c r="I78" s="169"/>
      <c r="J78" s="169"/>
      <c r="K78" s="183"/>
      <c r="L78" s="452"/>
      <c r="M78" s="184" t="e">
        <f>RANK(K78, K$67:$K$81)</f>
        <v>#DIV/0!</v>
      </c>
      <c r="N78" s="454"/>
      <c r="O78" s="454"/>
      <c r="P78" s="185"/>
      <c r="Q78" s="169"/>
      <c r="R78" s="183"/>
      <c r="S78" s="185" t="e">
        <f t="shared" si="34"/>
        <v>#N/A</v>
      </c>
      <c r="T78" s="465"/>
      <c r="U78" s="185"/>
      <c r="V78" s="169"/>
      <c r="W78" s="183"/>
      <c r="X78" s="185" t="e">
        <f t="shared" si="35"/>
        <v>#N/A</v>
      </c>
      <c r="Y78" s="465"/>
      <c r="Z78" s="185"/>
      <c r="AA78" s="169"/>
      <c r="AB78" s="183"/>
      <c r="AC78" s="185" t="e">
        <f t="shared" si="36"/>
        <v>#N/A</v>
      </c>
      <c r="AD78" s="465"/>
      <c r="AE78" s="185"/>
      <c r="AF78" s="169"/>
      <c r="AG78" s="183"/>
      <c r="AH78" s="185" t="e">
        <f t="shared" si="37"/>
        <v>#N/A</v>
      </c>
      <c r="AI78" s="465"/>
      <c r="AJ78" s="185"/>
      <c r="AK78" s="169"/>
      <c r="AL78" s="183"/>
      <c r="AM78" s="185" t="e">
        <f t="shared" si="38"/>
        <v>#N/A</v>
      </c>
      <c r="AN78" s="465"/>
      <c r="AO78" s="185"/>
      <c r="AP78" s="169"/>
      <c r="AQ78" s="183"/>
      <c r="AR78" s="185" t="e">
        <f t="shared" si="39"/>
        <v>#N/A</v>
      </c>
      <c r="AS78" s="465"/>
      <c r="AT78" s="185"/>
      <c r="AU78" s="169"/>
      <c r="AV78" s="183"/>
      <c r="AW78" s="185" t="e">
        <f t="shared" si="40"/>
        <v>#N/A</v>
      </c>
      <c r="AX78" s="465"/>
    </row>
    <row r="79" spans="2:50">
      <c r="B79" s="471"/>
      <c r="C79" s="185">
        <v>13</v>
      </c>
      <c r="D79" s="206"/>
      <c r="E79" s="169"/>
      <c r="F79" s="185"/>
      <c r="G79" s="183"/>
      <c r="H79" s="452"/>
      <c r="I79" s="169"/>
      <c r="J79" s="169"/>
      <c r="K79" s="183"/>
      <c r="L79" s="452"/>
      <c r="M79" s="184" t="e">
        <f>RANK(K79, K$67:$K$81)</f>
        <v>#DIV/0!</v>
      </c>
      <c r="N79" s="454"/>
      <c r="O79" s="454"/>
      <c r="P79" s="185"/>
      <c r="Q79" s="169"/>
      <c r="R79" s="183"/>
      <c r="S79" s="185" t="e">
        <f t="shared" si="34"/>
        <v>#N/A</v>
      </c>
      <c r="T79" s="465"/>
      <c r="U79" s="185"/>
      <c r="V79" s="169"/>
      <c r="W79" s="183"/>
      <c r="X79" s="185" t="e">
        <f t="shared" si="35"/>
        <v>#N/A</v>
      </c>
      <c r="Y79" s="465"/>
      <c r="Z79" s="185"/>
      <c r="AA79" s="169"/>
      <c r="AB79" s="183"/>
      <c r="AC79" s="185" t="e">
        <f t="shared" si="36"/>
        <v>#N/A</v>
      </c>
      <c r="AD79" s="465"/>
      <c r="AE79" s="185"/>
      <c r="AF79" s="169"/>
      <c r="AG79" s="183"/>
      <c r="AH79" s="185" t="e">
        <f t="shared" si="37"/>
        <v>#N/A</v>
      </c>
      <c r="AI79" s="465"/>
      <c r="AJ79" s="185"/>
      <c r="AK79" s="169"/>
      <c r="AL79" s="183"/>
      <c r="AM79" s="185" t="e">
        <f t="shared" si="38"/>
        <v>#N/A</v>
      </c>
      <c r="AN79" s="465"/>
      <c r="AO79" s="185"/>
      <c r="AP79" s="169"/>
      <c r="AQ79" s="183"/>
      <c r="AR79" s="185" t="e">
        <f t="shared" si="39"/>
        <v>#N/A</v>
      </c>
      <c r="AS79" s="465"/>
      <c r="AT79" s="185"/>
      <c r="AU79" s="169"/>
      <c r="AV79" s="183"/>
      <c r="AW79" s="185" t="e">
        <f t="shared" si="40"/>
        <v>#N/A</v>
      </c>
      <c r="AX79" s="465"/>
    </row>
    <row r="80" spans="2:50">
      <c r="B80" s="471"/>
      <c r="C80" s="185">
        <v>14</v>
      </c>
      <c r="D80" s="206"/>
      <c r="E80" s="169"/>
      <c r="F80" s="185"/>
      <c r="G80" s="183"/>
      <c r="H80" s="452"/>
      <c r="I80" s="169"/>
      <c r="J80" s="169"/>
      <c r="K80" s="183"/>
      <c r="L80" s="452"/>
      <c r="M80" s="184" t="e">
        <f>RANK(K80, K$67:$K$81)</f>
        <v>#DIV/0!</v>
      </c>
      <c r="N80" s="454"/>
      <c r="O80" s="454"/>
      <c r="P80" s="185"/>
      <c r="Q80" s="169"/>
      <c r="R80" s="183"/>
      <c r="S80" s="185" t="e">
        <f t="shared" si="34"/>
        <v>#N/A</v>
      </c>
      <c r="T80" s="465"/>
      <c r="U80" s="185"/>
      <c r="V80" s="169"/>
      <c r="W80" s="183"/>
      <c r="X80" s="185" t="e">
        <f t="shared" si="35"/>
        <v>#N/A</v>
      </c>
      <c r="Y80" s="465"/>
      <c r="Z80" s="185"/>
      <c r="AA80" s="169"/>
      <c r="AB80" s="183"/>
      <c r="AC80" s="185" t="e">
        <f t="shared" si="36"/>
        <v>#N/A</v>
      </c>
      <c r="AD80" s="465"/>
      <c r="AE80" s="185"/>
      <c r="AF80" s="169"/>
      <c r="AG80" s="183"/>
      <c r="AH80" s="185" t="e">
        <f t="shared" si="37"/>
        <v>#N/A</v>
      </c>
      <c r="AI80" s="465"/>
      <c r="AJ80" s="185"/>
      <c r="AK80" s="169"/>
      <c r="AL80" s="183"/>
      <c r="AM80" s="185" t="e">
        <f t="shared" si="38"/>
        <v>#N/A</v>
      </c>
      <c r="AN80" s="465"/>
      <c r="AO80" s="185"/>
      <c r="AP80" s="169"/>
      <c r="AQ80" s="183"/>
      <c r="AR80" s="185" t="e">
        <f t="shared" si="39"/>
        <v>#N/A</v>
      </c>
      <c r="AS80" s="465"/>
      <c r="AT80" s="185"/>
      <c r="AU80" s="169"/>
      <c r="AV80" s="183"/>
      <c r="AW80" s="185" t="e">
        <f t="shared" si="40"/>
        <v>#N/A</v>
      </c>
      <c r="AX80" s="465"/>
    </row>
    <row r="81" spans="2:50">
      <c r="B81" s="471"/>
      <c r="C81" s="185">
        <v>15</v>
      </c>
      <c r="D81" s="206"/>
      <c r="E81" s="169"/>
      <c r="F81" s="185"/>
      <c r="G81" s="183"/>
      <c r="H81" s="453"/>
      <c r="I81" s="169"/>
      <c r="J81" s="169"/>
      <c r="K81" s="183"/>
      <c r="L81" s="453"/>
      <c r="M81" s="184" t="e">
        <f>RANK(K81, K$67:$K$81)</f>
        <v>#DIV/0!</v>
      </c>
      <c r="N81" s="454"/>
      <c r="O81" s="454"/>
      <c r="P81" s="185"/>
      <c r="Q81" s="169"/>
      <c r="R81" s="183"/>
      <c r="S81" s="185" t="e">
        <f t="shared" si="34"/>
        <v>#N/A</v>
      </c>
      <c r="T81" s="466"/>
      <c r="U81" s="185"/>
      <c r="V81" s="169"/>
      <c r="W81" s="183"/>
      <c r="X81" s="185" t="e">
        <f t="shared" si="35"/>
        <v>#N/A</v>
      </c>
      <c r="Y81" s="466"/>
      <c r="Z81" s="185"/>
      <c r="AA81" s="169"/>
      <c r="AB81" s="183"/>
      <c r="AC81" s="185" t="e">
        <f t="shared" si="36"/>
        <v>#N/A</v>
      </c>
      <c r="AD81" s="466"/>
      <c r="AE81" s="185"/>
      <c r="AF81" s="169"/>
      <c r="AG81" s="183"/>
      <c r="AH81" s="185" t="e">
        <f t="shared" si="37"/>
        <v>#N/A</v>
      </c>
      <c r="AI81" s="466"/>
      <c r="AJ81" s="185"/>
      <c r="AK81" s="169"/>
      <c r="AL81" s="183"/>
      <c r="AM81" s="185" t="e">
        <f t="shared" si="38"/>
        <v>#N/A</v>
      </c>
      <c r="AN81" s="466"/>
      <c r="AO81" s="185"/>
      <c r="AP81" s="169"/>
      <c r="AQ81" s="183"/>
      <c r="AR81" s="185" t="e">
        <f t="shared" si="39"/>
        <v>#N/A</v>
      </c>
      <c r="AS81" s="466"/>
      <c r="AT81" s="185"/>
      <c r="AU81" s="169"/>
      <c r="AV81" s="183"/>
      <c r="AW81" s="185" t="e">
        <f t="shared" si="40"/>
        <v>#N/A</v>
      </c>
      <c r="AX81" s="466"/>
    </row>
    <row r="82" spans="2:50" ht="15.75">
      <c r="B82" s="472" t="s">
        <v>201</v>
      </c>
      <c r="C82" s="473"/>
      <c r="D82" s="473"/>
      <c r="E82" s="473"/>
      <c r="F82" s="473"/>
      <c r="G82" s="473"/>
      <c r="H82" s="473"/>
      <c r="I82" s="189"/>
      <c r="J82" s="189"/>
      <c r="K82" s="189"/>
      <c r="L82" s="189"/>
      <c r="M82" s="188"/>
      <c r="N82" s="461" t="s">
        <v>202</v>
      </c>
      <c r="O82" s="461" t="s">
        <v>150</v>
      </c>
      <c r="P82" s="470">
        <f>P62+7</f>
        <v>45986</v>
      </c>
      <c r="Q82" s="471"/>
      <c r="R82" s="471"/>
      <c r="S82" s="471"/>
      <c r="T82" s="471"/>
      <c r="U82" s="467">
        <f>P82+1</f>
        <v>45987</v>
      </c>
      <c r="V82" s="468"/>
      <c r="W82" s="468"/>
      <c r="X82" s="468"/>
      <c r="Y82" s="469"/>
      <c r="Z82" s="467">
        <f>U82+1</f>
        <v>45988</v>
      </c>
      <c r="AA82" s="468"/>
      <c r="AB82" s="468"/>
      <c r="AC82" s="468"/>
      <c r="AD82" s="469"/>
      <c r="AE82" s="467">
        <f>Z82+1</f>
        <v>45989</v>
      </c>
      <c r="AF82" s="468"/>
      <c r="AG82" s="468"/>
      <c r="AH82" s="468"/>
      <c r="AI82" s="469"/>
      <c r="AJ82" s="467">
        <f>AE82+1</f>
        <v>45990</v>
      </c>
      <c r="AK82" s="468"/>
      <c r="AL82" s="468"/>
      <c r="AM82" s="468"/>
      <c r="AN82" s="469"/>
      <c r="AO82" s="467">
        <f>AJ82+1</f>
        <v>45991</v>
      </c>
      <c r="AP82" s="468"/>
      <c r="AQ82" s="468"/>
      <c r="AR82" s="468"/>
      <c r="AS82" s="469"/>
      <c r="AT82" s="467">
        <f>AO82+1</f>
        <v>45992</v>
      </c>
      <c r="AU82" s="468"/>
      <c r="AV82" s="468"/>
      <c r="AW82" s="468"/>
      <c r="AX82" s="469"/>
    </row>
    <row r="83" spans="2:50" ht="15.75">
      <c r="B83" s="474"/>
      <c r="C83" s="474"/>
      <c r="D83" s="474"/>
      <c r="E83" s="474"/>
      <c r="F83" s="474"/>
      <c r="G83" s="474"/>
      <c r="H83" s="474"/>
      <c r="I83" s="187"/>
      <c r="J83" s="187"/>
      <c r="K83" s="187"/>
      <c r="L83" s="187"/>
      <c r="M83" s="182"/>
      <c r="N83" s="463"/>
      <c r="O83" s="463"/>
      <c r="P83" s="470" t="s">
        <v>203</v>
      </c>
      <c r="Q83" s="471"/>
      <c r="R83" s="471"/>
      <c r="S83" s="471"/>
      <c r="T83" s="471"/>
      <c r="U83" s="470" t="s">
        <v>204</v>
      </c>
      <c r="V83" s="471"/>
      <c r="W83" s="471"/>
      <c r="X83" s="471"/>
      <c r="Y83" s="471"/>
      <c r="Z83" s="470" t="s">
        <v>205</v>
      </c>
      <c r="AA83" s="471"/>
      <c r="AB83" s="471"/>
      <c r="AC83" s="471"/>
      <c r="AD83" s="471"/>
      <c r="AE83" s="470" t="s">
        <v>206</v>
      </c>
      <c r="AF83" s="471"/>
      <c r="AG83" s="471"/>
      <c r="AH83" s="471"/>
      <c r="AI83" s="471"/>
      <c r="AJ83" s="470" t="s">
        <v>207</v>
      </c>
      <c r="AK83" s="471"/>
      <c r="AL83" s="471"/>
      <c r="AM83" s="471"/>
      <c r="AN83" s="471"/>
      <c r="AO83" s="470" t="s">
        <v>157</v>
      </c>
      <c r="AP83" s="471"/>
      <c r="AQ83" s="471"/>
      <c r="AR83" s="471"/>
      <c r="AS83" s="471"/>
      <c r="AT83" s="470" t="s">
        <v>208</v>
      </c>
      <c r="AU83" s="471"/>
      <c r="AV83" s="471"/>
      <c r="AW83" s="471"/>
      <c r="AX83" s="471"/>
    </row>
    <row r="84" spans="2:50">
      <c r="B84" s="454" t="s">
        <v>209</v>
      </c>
      <c r="C84" s="454" t="s">
        <v>210</v>
      </c>
      <c r="D84" s="454"/>
      <c r="E84" s="454" t="s">
        <v>211</v>
      </c>
      <c r="F84" s="454"/>
      <c r="G84" s="454"/>
      <c r="H84" s="455" t="s">
        <v>212</v>
      </c>
      <c r="I84" s="454" t="s">
        <v>213</v>
      </c>
      <c r="J84" s="454"/>
      <c r="K84" s="454"/>
      <c r="L84" s="455" t="s">
        <v>212</v>
      </c>
      <c r="M84" s="461" t="s">
        <v>214</v>
      </c>
      <c r="N84" s="454"/>
      <c r="O84" s="454" t="s">
        <v>215</v>
      </c>
      <c r="P84" s="458" t="s">
        <v>216</v>
      </c>
      <c r="Q84" s="459"/>
      <c r="R84" s="459"/>
      <c r="S84" s="460"/>
      <c r="T84" s="454" t="s">
        <v>212</v>
      </c>
      <c r="U84" s="458" t="s">
        <v>216</v>
      </c>
      <c r="V84" s="459"/>
      <c r="W84" s="459"/>
      <c r="X84" s="460"/>
      <c r="Y84" s="454" t="s">
        <v>212</v>
      </c>
      <c r="Z84" s="458" t="s">
        <v>216</v>
      </c>
      <c r="AA84" s="459"/>
      <c r="AB84" s="459"/>
      <c r="AC84" s="460"/>
      <c r="AD84" s="454" t="s">
        <v>212</v>
      </c>
      <c r="AE84" s="458" t="s">
        <v>216</v>
      </c>
      <c r="AF84" s="459"/>
      <c r="AG84" s="459"/>
      <c r="AH84" s="460"/>
      <c r="AI84" s="454" t="s">
        <v>212</v>
      </c>
      <c r="AJ84" s="458" t="s">
        <v>216</v>
      </c>
      <c r="AK84" s="459"/>
      <c r="AL84" s="459"/>
      <c r="AM84" s="460"/>
      <c r="AN84" s="454" t="s">
        <v>212</v>
      </c>
      <c r="AO84" s="458" t="s">
        <v>216</v>
      </c>
      <c r="AP84" s="459"/>
      <c r="AQ84" s="459"/>
      <c r="AR84" s="460"/>
      <c r="AS84" s="454" t="s">
        <v>212</v>
      </c>
      <c r="AT84" s="458" t="s">
        <v>216</v>
      </c>
      <c r="AU84" s="459"/>
      <c r="AV84" s="459"/>
      <c r="AW84" s="460"/>
      <c r="AX84" s="454" t="s">
        <v>212</v>
      </c>
    </row>
    <row r="85" spans="2:50">
      <c r="B85" s="454"/>
      <c r="C85" s="454"/>
      <c r="D85" s="454"/>
      <c r="E85" s="454" t="s">
        <v>217</v>
      </c>
      <c r="F85" s="454"/>
      <c r="G85" s="454"/>
      <c r="H85" s="456"/>
      <c r="I85" s="454" t="s">
        <v>217</v>
      </c>
      <c r="J85" s="454"/>
      <c r="K85" s="454"/>
      <c r="L85" s="456"/>
      <c r="M85" s="462"/>
      <c r="N85" s="454"/>
      <c r="O85" s="454"/>
      <c r="P85" s="458" t="s">
        <v>218</v>
      </c>
      <c r="Q85" s="459"/>
      <c r="R85" s="459"/>
      <c r="S85" s="460"/>
      <c r="T85" s="454"/>
      <c r="U85" s="458" t="s">
        <v>218</v>
      </c>
      <c r="V85" s="459"/>
      <c r="W85" s="459"/>
      <c r="X85" s="460"/>
      <c r="Y85" s="454"/>
      <c r="Z85" s="458" t="s">
        <v>218</v>
      </c>
      <c r="AA85" s="459"/>
      <c r="AB85" s="459"/>
      <c r="AC85" s="460"/>
      <c r="AD85" s="454"/>
      <c r="AE85" s="458" t="s">
        <v>218</v>
      </c>
      <c r="AF85" s="459"/>
      <c r="AG85" s="459"/>
      <c r="AH85" s="460"/>
      <c r="AI85" s="454"/>
      <c r="AJ85" s="458" t="s">
        <v>218</v>
      </c>
      <c r="AK85" s="459"/>
      <c r="AL85" s="459"/>
      <c r="AM85" s="460"/>
      <c r="AN85" s="454"/>
      <c r="AO85" s="458" t="s">
        <v>218</v>
      </c>
      <c r="AP85" s="459"/>
      <c r="AQ85" s="459"/>
      <c r="AR85" s="460"/>
      <c r="AS85" s="454"/>
      <c r="AT85" s="458" t="s">
        <v>218</v>
      </c>
      <c r="AU85" s="459"/>
      <c r="AV85" s="459"/>
      <c r="AW85" s="460"/>
      <c r="AX85" s="454"/>
    </row>
    <row r="86" spans="2:50">
      <c r="B86" s="454"/>
      <c r="C86" s="454"/>
      <c r="D86" s="454"/>
      <c r="E86" s="275" t="s">
        <v>219</v>
      </c>
      <c r="F86" s="275" t="s">
        <v>220</v>
      </c>
      <c r="G86" s="275" t="s">
        <v>221</v>
      </c>
      <c r="H86" s="457"/>
      <c r="I86" s="275" t="s">
        <v>219</v>
      </c>
      <c r="J86" s="275" t="s">
        <v>220</v>
      </c>
      <c r="K86" s="275" t="s">
        <v>221</v>
      </c>
      <c r="L86" s="457"/>
      <c r="M86" s="463"/>
      <c r="N86" s="454"/>
      <c r="O86" s="454"/>
      <c r="P86" s="275" t="s">
        <v>219</v>
      </c>
      <c r="Q86" s="275" t="s">
        <v>220</v>
      </c>
      <c r="R86" s="275" t="s">
        <v>221</v>
      </c>
      <c r="S86" s="275" t="s">
        <v>214</v>
      </c>
      <c r="T86" s="454"/>
      <c r="U86" s="275" t="s">
        <v>219</v>
      </c>
      <c r="V86" s="275" t="s">
        <v>220</v>
      </c>
      <c r="W86" s="275" t="s">
        <v>221</v>
      </c>
      <c r="X86" s="275" t="s">
        <v>214</v>
      </c>
      <c r="Y86" s="454"/>
      <c r="Z86" s="275" t="s">
        <v>219</v>
      </c>
      <c r="AA86" s="275" t="s">
        <v>220</v>
      </c>
      <c r="AB86" s="275" t="s">
        <v>221</v>
      </c>
      <c r="AC86" s="275" t="s">
        <v>214</v>
      </c>
      <c r="AD86" s="454"/>
      <c r="AE86" s="275" t="s">
        <v>219</v>
      </c>
      <c r="AF86" s="275" t="s">
        <v>220</v>
      </c>
      <c r="AG86" s="275" t="s">
        <v>221</v>
      </c>
      <c r="AH86" s="275" t="s">
        <v>214</v>
      </c>
      <c r="AI86" s="454"/>
      <c r="AJ86" s="275" t="s">
        <v>219</v>
      </c>
      <c r="AK86" s="275" t="s">
        <v>220</v>
      </c>
      <c r="AL86" s="275" t="s">
        <v>221</v>
      </c>
      <c r="AM86" s="275" t="s">
        <v>214</v>
      </c>
      <c r="AN86" s="454"/>
      <c r="AO86" s="275" t="s">
        <v>219</v>
      </c>
      <c r="AP86" s="275" t="s">
        <v>220</v>
      </c>
      <c r="AQ86" s="275" t="s">
        <v>221</v>
      </c>
      <c r="AR86" s="275" t="s">
        <v>214</v>
      </c>
      <c r="AS86" s="454"/>
      <c r="AT86" s="275" t="s">
        <v>219</v>
      </c>
      <c r="AU86" s="275" t="s">
        <v>220</v>
      </c>
      <c r="AV86" s="275" t="s">
        <v>221</v>
      </c>
      <c r="AW86" s="275" t="s">
        <v>214</v>
      </c>
      <c r="AX86" s="454"/>
    </row>
    <row r="87" spans="2:50">
      <c r="B87" s="454" t="s">
        <v>190</v>
      </c>
      <c r="C87" s="185">
        <v>1</v>
      </c>
      <c r="D87" s="206"/>
      <c r="E87" s="169"/>
      <c r="F87" s="185"/>
      <c r="G87" s="183"/>
      <c r="H87" s="451" t="e">
        <f>AVERAGE(G87:G101)</f>
        <v>#DIV/0!</v>
      </c>
      <c r="I87" s="169" t="e">
        <f>AVERAGE(P87,U87,Z87,AE87,AJ87,AO87,AT87)</f>
        <v>#DIV/0!</v>
      </c>
      <c r="J87" s="169" t="e">
        <f>AVERAGE(Q87,V87,AA87,AF87,AK87,AP87,AU87)</f>
        <v>#DIV/0!</v>
      </c>
      <c r="K87" s="183" t="e">
        <f>AVERAGE(R87,W87,AB87,AG87,AL87,AQ87,AV87)</f>
        <v>#DIV/0!</v>
      </c>
      <c r="L87" s="451" t="str">
        <f>IFERROR(AVERAGE(K87:K101),"-")</f>
        <v>-</v>
      </c>
      <c r="M87" s="184" t="e">
        <f>RANK(K87, K$87:$K$101)</f>
        <v>#DIV/0!</v>
      </c>
      <c r="N87" s="454"/>
      <c r="O87" s="454"/>
      <c r="P87" s="169"/>
      <c r="Q87" s="169"/>
      <c r="R87" s="183"/>
      <c r="S87" s="185" t="e">
        <f>RANK(R87, R$87:R$101)</f>
        <v>#N/A</v>
      </c>
      <c r="T87" s="464" t="e">
        <f>AVERAGE(R87:R101)</f>
        <v>#DIV/0!</v>
      </c>
      <c r="U87" s="169"/>
      <c r="V87" s="169"/>
      <c r="W87" s="183"/>
      <c r="X87" s="185" t="e">
        <f>RANK(W87, W$87:W$101)</f>
        <v>#N/A</v>
      </c>
      <c r="Y87" s="464" t="e">
        <f>AVERAGE(W87:W101)</f>
        <v>#DIV/0!</v>
      </c>
      <c r="Z87" s="169"/>
      <c r="AA87" s="169"/>
      <c r="AB87" s="183"/>
      <c r="AC87" s="185" t="e">
        <f>RANK(AB87, AB$87:AB$101)</f>
        <v>#N/A</v>
      </c>
      <c r="AD87" s="464" t="e">
        <f>AVERAGE(AB87:AB101)</f>
        <v>#DIV/0!</v>
      </c>
      <c r="AE87" s="169"/>
      <c r="AF87" s="169"/>
      <c r="AG87" s="183"/>
      <c r="AH87" s="185" t="e">
        <f>RANK(AG87, AG$87:AG$101)</f>
        <v>#N/A</v>
      </c>
      <c r="AI87" s="464" t="e">
        <f>AVERAGE(AG87:AG101)</f>
        <v>#DIV/0!</v>
      </c>
      <c r="AJ87" s="169"/>
      <c r="AK87" s="169"/>
      <c r="AL87" s="183"/>
      <c r="AM87" s="185" t="e">
        <f>RANK(AL87, AL$87:AL$101)</f>
        <v>#N/A</v>
      </c>
      <c r="AN87" s="464" t="e">
        <f>AVERAGE(AL87:AL101)</f>
        <v>#DIV/0!</v>
      </c>
      <c r="AO87" s="169"/>
      <c r="AP87" s="169"/>
      <c r="AQ87" s="183"/>
      <c r="AR87" s="185" t="e">
        <f>RANK(AQ87, AQ$87:AQ$101)</f>
        <v>#N/A</v>
      </c>
      <c r="AS87" s="464" t="e">
        <f>AVERAGE(AQ87:AQ101)</f>
        <v>#DIV/0!</v>
      </c>
      <c r="AT87" s="169"/>
      <c r="AU87" s="169"/>
      <c r="AV87" s="183"/>
      <c r="AW87" s="185" t="e">
        <f>RANK(AV87, AV$87:AV$101)</f>
        <v>#N/A</v>
      </c>
      <c r="AX87" s="464" t="e">
        <f>AVERAGE(AV87:AV101)</f>
        <v>#DIV/0!</v>
      </c>
    </row>
    <row r="88" spans="2:50">
      <c r="B88" s="471"/>
      <c r="C88" s="185">
        <v>2</v>
      </c>
      <c r="D88" s="206"/>
      <c r="E88" s="169"/>
      <c r="F88" s="185"/>
      <c r="G88" s="183"/>
      <c r="H88" s="452"/>
      <c r="I88" s="169" t="e">
        <f t="shared" ref="I88:K92" si="44">AVERAGE(P88,U88,Z88,AE88,AJ88,AO88,AT88)</f>
        <v>#DIV/0!</v>
      </c>
      <c r="J88" s="169" t="e">
        <f t="shared" si="44"/>
        <v>#DIV/0!</v>
      </c>
      <c r="K88" s="183" t="e">
        <f t="shared" si="44"/>
        <v>#DIV/0!</v>
      </c>
      <c r="L88" s="452"/>
      <c r="M88" s="184" t="e">
        <f>RANK(K88, K$87:$K$101)</f>
        <v>#DIV/0!</v>
      </c>
      <c r="N88" s="454"/>
      <c r="O88" s="454"/>
      <c r="P88" s="185"/>
      <c r="Q88" s="169"/>
      <c r="R88" s="183"/>
      <c r="S88" s="185" t="e">
        <f t="shared" ref="S88:S101" si="45">RANK(R88, R$87:R$101)</f>
        <v>#N/A</v>
      </c>
      <c r="T88" s="465"/>
      <c r="U88" s="185"/>
      <c r="V88" s="169"/>
      <c r="W88" s="183"/>
      <c r="X88" s="185" t="e">
        <f t="shared" ref="X88:X101" si="46">RANK(W88, W$87:W$101)</f>
        <v>#N/A</v>
      </c>
      <c r="Y88" s="465"/>
      <c r="Z88" s="185"/>
      <c r="AA88" s="169"/>
      <c r="AB88" s="183"/>
      <c r="AC88" s="185" t="e">
        <f t="shared" ref="AC88:AC101" si="47">RANK(AB88, AB$87:AB$101)</f>
        <v>#N/A</v>
      </c>
      <c r="AD88" s="465"/>
      <c r="AE88" s="185"/>
      <c r="AF88" s="169"/>
      <c r="AG88" s="183"/>
      <c r="AH88" s="185" t="e">
        <f t="shared" ref="AH88:AH101" si="48">RANK(AG88, AG$87:AG$101)</f>
        <v>#N/A</v>
      </c>
      <c r="AI88" s="465"/>
      <c r="AJ88" s="185"/>
      <c r="AK88" s="169"/>
      <c r="AL88" s="183"/>
      <c r="AM88" s="185" t="e">
        <f t="shared" ref="AM88:AM101" si="49">RANK(AL88, AL$87:AL$101)</f>
        <v>#N/A</v>
      </c>
      <c r="AN88" s="465"/>
      <c r="AO88" s="185"/>
      <c r="AP88" s="169"/>
      <c r="AQ88" s="183"/>
      <c r="AR88" s="185" t="e">
        <f t="shared" ref="AR88:AR101" si="50">RANK(AQ88, AQ$87:AQ$101)</f>
        <v>#N/A</v>
      </c>
      <c r="AS88" s="465"/>
      <c r="AT88" s="185"/>
      <c r="AU88" s="169"/>
      <c r="AV88" s="183"/>
      <c r="AW88" s="185" t="e">
        <f t="shared" ref="AW88:AW101" si="51">RANK(AV88, AV$87:AV$101)</f>
        <v>#N/A</v>
      </c>
      <c r="AX88" s="465"/>
    </row>
    <row r="89" spans="2:50">
      <c r="B89" s="471"/>
      <c r="C89" s="185">
        <v>3</v>
      </c>
      <c r="D89" s="206"/>
      <c r="E89" s="169"/>
      <c r="F89" s="185"/>
      <c r="G89" s="183"/>
      <c r="H89" s="452"/>
      <c r="I89" s="169" t="e">
        <f t="shared" si="44"/>
        <v>#DIV/0!</v>
      </c>
      <c r="J89" s="169" t="e">
        <f t="shared" si="44"/>
        <v>#DIV/0!</v>
      </c>
      <c r="K89" s="183" t="e">
        <f t="shared" si="44"/>
        <v>#DIV/0!</v>
      </c>
      <c r="L89" s="452"/>
      <c r="M89" s="184" t="e">
        <f>RANK(K89, K$87:$K$101)</f>
        <v>#DIV/0!</v>
      </c>
      <c r="N89" s="454"/>
      <c r="O89" s="454"/>
      <c r="P89" s="185"/>
      <c r="Q89" s="169"/>
      <c r="R89" s="183"/>
      <c r="S89" s="185" t="e">
        <f t="shared" si="45"/>
        <v>#N/A</v>
      </c>
      <c r="T89" s="465"/>
      <c r="U89" s="185"/>
      <c r="V89" s="169"/>
      <c r="W89" s="183"/>
      <c r="X89" s="185" t="e">
        <f t="shared" si="46"/>
        <v>#N/A</v>
      </c>
      <c r="Y89" s="465"/>
      <c r="Z89" s="185"/>
      <c r="AA89" s="169"/>
      <c r="AB89" s="183"/>
      <c r="AC89" s="185" t="e">
        <f t="shared" si="47"/>
        <v>#N/A</v>
      </c>
      <c r="AD89" s="465"/>
      <c r="AE89" s="185"/>
      <c r="AF89" s="169"/>
      <c r="AG89" s="183"/>
      <c r="AH89" s="185" t="e">
        <f t="shared" si="48"/>
        <v>#N/A</v>
      </c>
      <c r="AI89" s="465"/>
      <c r="AJ89" s="185"/>
      <c r="AK89" s="169"/>
      <c r="AL89" s="183"/>
      <c r="AM89" s="185" t="e">
        <f t="shared" si="49"/>
        <v>#N/A</v>
      </c>
      <c r="AN89" s="465"/>
      <c r="AO89" s="185"/>
      <c r="AP89" s="169"/>
      <c r="AQ89" s="183"/>
      <c r="AR89" s="185" t="e">
        <f t="shared" si="50"/>
        <v>#N/A</v>
      </c>
      <c r="AS89" s="465"/>
      <c r="AT89" s="185"/>
      <c r="AU89" s="169"/>
      <c r="AV89" s="183"/>
      <c r="AW89" s="185" t="e">
        <f t="shared" si="51"/>
        <v>#N/A</v>
      </c>
      <c r="AX89" s="465"/>
    </row>
    <row r="90" spans="2:50">
      <c r="B90" s="471"/>
      <c r="C90" s="185">
        <v>4</v>
      </c>
      <c r="D90" s="206"/>
      <c r="E90" s="169"/>
      <c r="F90" s="185"/>
      <c r="G90" s="183"/>
      <c r="H90" s="452"/>
      <c r="I90" s="169" t="e">
        <f t="shared" si="44"/>
        <v>#DIV/0!</v>
      </c>
      <c r="J90" s="169" t="e">
        <f t="shared" si="44"/>
        <v>#DIV/0!</v>
      </c>
      <c r="K90" s="183" t="e">
        <f t="shared" si="44"/>
        <v>#DIV/0!</v>
      </c>
      <c r="L90" s="452"/>
      <c r="M90" s="184" t="e">
        <f>RANK(K90, K$87:$K$101)</f>
        <v>#DIV/0!</v>
      </c>
      <c r="N90" s="454"/>
      <c r="O90" s="454"/>
      <c r="P90" s="185"/>
      <c r="Q90" s="169"/>
      <c r="R90" s="183"/>
      <c r="S90" s="185" t="e">
        <f t="shared" si="45"/>
        <v>#N/A</v>
      </c>
      <c r="T90" s="465"/>
      <c r="U90" s="185"/>
      <c r="V90" s="169"/>
      <c r="W90" s="183"/>
      <c r="X90" s="185" t="e">
        <f t="shared" si="46"/>
        <v>#N/A</v>
      </c>
      <c r="Y90" s="465"/>
      <c r="Z90" s="185"/>
      <c r="AA90" s="169"/>
      <c r="AB90" s="183"/>
      <c r="AC90" s="185" t="e">
        <f t="shared" si="47"/>
        <v>#N/A</v>
      </c>
      <c r="AD90" s="465"/>
      <c r="AE90" s="185"/>
      <c r="AF90" s="169"/>
      <c r="AG90" s="183"/>
      <c r="AH90" s="185" t="e">
        <f t="shared" si="48"/>
        <v>#N/A</v>
      </c>
      <c r="AI90" s="465"/>
      <c r="AJ90" s="185"/>
      <c r="AK90" s="169"/>
      <c r="AL90" s="183"/>
      <c r="AM90" s="185" t="e">
        <f t="shared" si="49"/>
        <v>#N/A</v>
      </c>
      <c r="AN90" s="465"/>
      <c r="AO90" s="185"/>
      <c r="AP90" s="169"/>
      <c r="AQ90" s="183"/>
      <c r="AR90" s="185" t="e">
        <f t="shared" si="50"/>
        <v>#N/A</v>
      </c>
      <c r="AS90" s="465"/>
      <c r="AT90" s="185"/>
      <c r="AU90" s="169"/>
      <c r="AV90" s="183"/>
      <c r="AW90" s="185" t="e">
        <f t="shared" si="51"/>
        <v>#N/A</v>
      </c>
      <c r="AX90" s="465"/>
    </row>
    <row r="91" spans="2:50">
      <c r="B91" s="471"/>
      <c r="C91" s="185">
        <v>5</v>
      </c>
      <c r="D91" s="206"/>
      <c r="E91" s="169"/>
      <c r="F91" s="185"/>
      <c r="G91" s="183"/>
      <c r="H91" s="452"/>
      <c r="I91" s="169" t="e">
        <f t="shared" si="44"/>
        <v>#DIV/0!</v>
      </c>
      <c r="J91" s="169" t="e">
        <f t="shared" si="44"/>
        <v>#DIV/0!</v>
      </c>
      <c r="K91" s="183" t="e">
        <f t="shared" si="44"/>
        <v>#DIV/0!</v>
      </c>
      <c r="L91" s="452"/>
      <c r="M91" s="184" t="e">
        <f>RANK(K91, K$87:$K$101)</f>
        <v>#DIV/0!</v>
      </c>
      <c r="N91" s="454"/>
      <c r="O91" s="454"/>
      <c r="P91" s="185"/>
      <c r="Q91" s="169"/>
      <c r="R91" s="183"/>
      <c r="S91" s="185" t="e">
        <f t="shared" si="45"/>
        <v>#N/A</v>
      </c>
      <c r="T91" s="465"/>
      <c r="U91" s="185"/>
      <c r="V91" s="169"/>
      <c r="W91" s="183"/>
      <c r="X91" s="185" t="e">
        <f t="shared" si="46"/>
        <v>#N/A</v>
      </c>
      <c r="Y91" s="465"/>
      <c r="Z91" s="185"/>
      <c r="AA91" s="169"/>
      <c r="AB91" s="183"/>
      <c r="AC91" s="185" t="e">
        <f t="shared" si="47"/>
        <v>#N/A</v>
      </c>
      <c r="AD91" s="465"/>
      <c r="AE91" s="185"/>
      <c r="AF91" s="169"/>
      <c r="AG91" s="183"/>
      <c r="AH91" s="185" t="e">
        <f t="shared" si="48"/>
        <v>#N/A</v>
      </c>
      <c r="AI91" s="465"/>
      <c r="AJ91" s="185"/>
      <c r="AK91" s="169"/>
      <c r="AL91" s="183"/>
      <c r="AM91" s="185" t="e">
        <f t="shared" si="49"/>
        <v>#N/A</v>
      </c>
      <c r="AN91" s="465"/>
      <c r="AO91" s="185"/>
      <c r="AP91" s="169"/>
      <c r="AQ91" s="183"/>
      <c r="AR91" s="185" t="e">
        <f t="shared" si="50"/>
        <v>#N/A</v>
      </c>
      <c r="AS91" s="465"/>
      <c r="AT91" s="185"/>
      <c r="AU91" s="169"/>
      <c r="AV91" s="183"/>
      <c r="AW91" s="185" t="e">
        <f t="shared" si="51"/>
        <v>#N/A</v>
      </c>
      <c r="AX91" s="465"/>
    </row>
    <row r="92" spans="2:50">
      <c r="B92" s="471"/>
      <c r="C92" s="185">
        <v>6</v>
      </c>
      <c r="D92" s="206"/>
      <c r="E92" s="169"/>
      <c r="F92" s="185"/>
      <c r="G92" s="183"/>
      <c r="H92" s="452"/>
      <c r="I92" s="169" t="e">
        <f t="shared" si="44"/>
        <v>#DIV/0!</v>
      </c>
      <c r="J92" s="169" t="e">
        <f t="shared" si="44"/>
        <v>#DIV/0!</v>
      </c>
      <c r="K92" s="183" t="e">
        <f t="shared" si="44"/>
        <v>#DIV/0!</v>
      </c>
      <c r="L92" s="452"/>
      <c r="M92" s="184" t="e">
        <f>RANK(K92, K$87:$K$101)</f>
        <v>#DIV/0!</v>
      </c>
      <c r="N92" s="454"/>
      <c r="O92" s="454"/>
      <c r="P92" s="185"/>
      <c r="Q92" s="169"/>
      <c r="R92" s="183"/>
      <c r="S92" s="185" t="e">
        <f t="shared" si="45"/>
        <v>#N/A</v>
      </c>
      <c r="T92" s="465"/>
      <c r="U92" s="185"/>
      <c r="V92" s="169"/>
      <c r="W92" s="183"/>
      <c r="X92" s="185" t="e">
        <f t="shared" si="46"/>
        <v>#N/A</v>
      </c>
      <c r="Y92" s="465"/>
      <c r="Z92" s="185"/>
      <c r="AA92" s="169"/>
      <c r="AB92" s="183"/>
      <c r="AC92" s="185" t="e">
        <f t="shared" si="47"/>
        <v>#N/A</v>
      </c>
      <c r="AD92" s="465"/>
      <c r="AE92" s="185"/>
      <c r="AF92" s="169"/>
      <c r="AG92" s="183"/>
      <c r="AH92" s="185" t="e">
        <f t="shared" si="48"/>
        <v>#N/A</v>
      </c>
      <c r="AI92" s="465"/>
      <c r="AJ92" s="185"/>
      <c r="AK92" s="169"/>
      <c r="AL92" s="183"/>
      <c r="AM92" s="185" t="e">
        <f t="shared" si="49"/>
        <v>#N/A</v>
      </c>
      <c r="AN92" s="465"/>
      <c r="AO92" s="185"/>
      <c r="AP92" s="169"/>
      <c r="AQ92" s="183"/>
      <c r="AR92" s="185" t="e">
        <f t="shared" si="50"/>
        <v>#N/A</v>
      </c>
      <c r="AS92" s="465"/>
      <c r="AT92" s="185"/>
      <c r="AU92" s="169"/>
      <c r="AV92" s="183"/>
      <c r="AW92" s="185" t="e">
        <f t="shared" si="51"/>
        <v>#N/A</v>
      </c>
      <c r="AX92" s="465"/>
    </row>
    <row r="93" spans="2:50">
      <c r="B93" s="471"/>
      <c r="C93" s="185">
        <v>7</v>
      </c>
      <c r="D93" s="206"/>
      <c r="E93" s="169"/>
      <c r="F93" s="185"/>
      <c r="G93" s="183"/>
      <c r="H93" s="452"/>
      <c r="I93" s="169" t="e">
        <f t="shared" ref="I93:I94" si="52">AVERAGE(P93,U93,Z93,AE93,AJ93,AO93,AT93)</f>
        <v>#DIV/0!</v>
      </c>
      <c r="J93" s="169" t="e">
        <f t="shared" ref="J93:J94" si="53">AVERAGE(Q93,V93,AA93,AF93,AK93,AP93,AU93)</f>
        <v>#DIV/0!</v>
      </c>
      <c r="K93" s="183" t="e">
        <f t="shared" ref="K93:K94" si="54">AVERAGE(R93,W93,AB93,AG93,AL93,AQ93,AV93)</f>
        <v>#DIV/0!</v>
      </c>
      <c r="L93" s="452"/>
      <c r="M93" s="184" t="e">
        <f>RANK(K93, K$87:$K$101)</f>
        <v>#DIV/0!</v>
      </c>
      <c r="N93" s="454"/>
      <c r="O93" s="454"/>
      <c r="P93" s="185"/>
      <c r="Q93" s="169"/>
      <c r="R93" s="183"/>
      <c r="S93" s="185" t="e">
        <f t="shared" si="45"/>
        <v>#N/A</v>
      </c>
      <c r="T93" s="465"/>
      <c r="U93" s="185"/>
      <c r="V93" s="169"/>
      <c r="W93" s="183"/>
      <c r="X93" s="185" t="e">
        <f t="shared" si="46"/>
        <v>#N/A</v>
      </c>
      <c r="Y93" s="465"/>
      <c r="Z93" s="185"/>
      <c r="AA93" s="169"/>
      <c r="AB93" s="183"/>
      <c r="AC93" s="185" t="e">
        <f t="shared" si="47"/>
        <v>#N/A</v>
      </c>
      <c r="AD93" s="465"/>
      <c r="AE93" s="185"/>
      <c r="AF93" s="169"/>
      <c r="AG93" s="183"/>
      <c r="AH93" s="185" t="e">
        <f t="shared" si="48"/>
        <v>#N/A</v>
      </c>
      <c r="AI93" s="465"/>
      <c r="AJ93" s="185"/>
      <c r="AK93" s="169"/>
      <c r="AL93" s="183"/>
      <c r="AM93" s="185" t="e">
        <f t="shared" si="49"/>
        <v>#N/A</v>
      </c>
      <c r="AN93" s="465"/>
      <c r="AO93" s="185"/>
      <c r="AP93" s="169"/>
      <c r="AQ93" s="183"/>
      <c r="AR93" s="185" t="e">
        <f t="shared" si="50"/>
        <v>#N/A</v>
      </c>
      <c r="AS93" s="465"/>
      <c r="AT93" s="185"/>
      <c r="AU93" s="169"/>
      <c r="AV93" s="183"/>
      <c r="AW93" s="185" t="e">
        <f t="shared" si="51"/>
        <v>#N/A</v>
      </c>
      <c r="AX93" s="465"/>
    </row>
    <row r="94" spans="2:50">
      <c r="B94" s="471"/>
      <c r="C94" s="185">
        <v>8</v>
      </c>
      <c r="D94" s="206"/>
      <c r="E94" s="169"/>
      <c r="F94" s="185"/>
      <c r="G94" s="183"/>
      <c r="H94" s="452"/>
      <c r="I94" s="169" t="e">
        <f t="shared" si="52"/>
        <v>#DIV/0!</v>
      </c>
      <c r="J94" s="169" t="e">
        <f t="shared" si="53"/>
        <v>#DIV/0!</v>
      </c>
      <c r="K94" s="183" t="e">
        <f t="shared" si="54"/>
        <v>#DIV/0!</v>
      </c>
      <c r="L94" s="452"/>
      <c r="M94" s="184" t="e">
        <f>RANK(K94, K$87:$K$101)</f>
        <v>#DIV/0!</v>
      </c>
      <c r="N94" s="454"/>
      <c r="O94" s="454"/>
      <c r="P94" s="185"/>
      <c r="Q94" s="169"/>
      <c r="R94" s="183"/>
      <c r="S94" s="185" t="e">
        <f t="shared" si="45"/>
        <v>#N/A</v>
      </c>
      <c r="T94" s="465"/>
      <c r="U94" s="185"/>
      <c r="V94" s="169"/>
      <c r="W94" s="183"/>
      <c r="X94" s="185" t="e">
        <f t="shared" si="46"/>
        <v>#N/A</v>
      </c>
      <c r="Y94" s="465"/>
      <c r="Z94" s="185"/>
      <c r="AA94" s="169"/>
      <c r="AB94" s="183"/>
      <c r="AC94" s="185" t="e">
        <f t="shared" si="47"/>
        <v>#N/A</v>
      </c>
      <c r="AD94" s="465"/>
      <c r="AE94" s="185"/>
      <c r="AF94" s="169"/>
      <c r="AG94" s="183"/>
      <c r="AH94" s="185" t="e">
        <f t="shared" si="48"/>
        <v>#N/A</v>
      </c>
      <c r="AI94" s="465"/>
      <c r="AJ94" s="185"/>
      <c r="AK94" s="169"/>
      <c r="AL94" s="183"/>
      <c r="AM94" s="185" t="e">
        <f t="shared" si="49"/>
        <v>#N/A</v>
      </c>
      <c r="AN94" s="465"/>
      <c r="AO94" s="185"/>
      <c r="AP94" s="169"/>
      <c r="AQ94" s="183"/>
      <c r="AR94" s="185" t="e">
        <f t="shared" si="50"/>
        <v>#N/A</v>
      </c>
      <c r="AS94" s="465"/>
      <c r="AT94" s="185"/>
      <c r="AU94" s="169"/>
      <c r="AV94" s="183"/>
      <c r="AW94" s="185" t="e">
        <f t="shared" si="51"/>
        <v>#N/A</v>
      </c>
      <c r="AX94" s="465"/>
    </row>
    <row r="95" spans="2:50">
      <c r="B95" s="471"/>
      <c r="C95" s="185">
        <v>9</v>
      </c>
      <c r="D95" s="206"/>
      <c r="E95" s="169"/>
      <c r="F95" s="185"/>
      <c r="G95" s="183"/>
      <c r="H95" s="452"/>
      <c r="I95" s="169"/>
      <c r="J95" s="169"/>
      <c r="K95" s="183"/>
      <c r="L95" s="452"/>
      <c r="M95" s="184" t="e">
        <f>RANK(K95, K$87:$K$101)</f>
        <v>#DIV/0!</v>
      </c>
      <c r="N95" s="454"/>
      <c r="O95" s="454"/>
      <c r="P95" s="185"/>
      <c r="Q95" s="169"/>
      <c r="R95" s="183"/>
      <c r="S95" s="185" t="e">
        <f t="shared" si="45"/>
        <v>#N/A</v>
      </c>
      <c r="T95" s="465"/>
      <c r="U95" s="185"/>
      <c r="V95" s="169"/>
      <c r="W95" s="183"/>
      <c r="X95" s="185" t="e">
        <f t="shared" si="46"/>
        <v>#N/A</v>
      </c>
      <c r="Y95" s="465"/>
      <c r="Z95" s="185"/>
      <c r="AA95" s="169"/>
      <c r="AB95" s="183"/>
      <c r="AC95" s="185" t="e">
        <f t="shared" si="47"/>
        <v>#N/A</v>
      </c>
      <c r="AD95" s="465"/>
      <c r="AE95" s="185"/>
      <c r="AF95" s="169"/>
      <c r="AG95" s="183"/>
      <c r="AH95" s="185" t="e">
        <f t="shared" si="48"/>
        <v>#N/A</v>
      </c>
      <c r="AI95" s="465"/>
      <c r="AJ95" s="185"/>
      <c r="AK95" s="169"/>
      <c r="AL95" s="183"/>
      <c r="AM95" s="185" t="e">
        <f t="shared" si="49"/>
        <v>#N/A</v>
      </c>
      <c r="AN95" s="465"/>
      <c r="AO95" s="185"/>
      <c r="AP95" s="169"/>
      <c r="AQ95" s="183"/>
      <c r="AR95" s="185" t="e">
        <f t="shared" si="50"/>
        <v>#N/A</v>
      </c>
      <c r="AS95" s="465"/>
      <c r="AT95" s="185"/>
      <c r="AU95" s="169"/>
      <c r="AV95" s="183"/>
      <c r="AW95" s="185" t="e">
        <f t="shared" si="51"/>
        <v>#N/A</v>
      </c>
      <c r="AX95" s="465"/>
    </row>
    <row r="96" spans="2:50">
      <c r="B96" s="471"/>
      <c r="C96" s="185">
        <v>10</v>
      </c>
      <c r="D96" s="206"/>
      <c r="E96" s="169"/>
      <c r="F96" s="185"/>
      <c r="G96" s="183"/>
      <c r="H96" s="452"/>
      <c r="I96" s="169"/>
      <c r="J96" s="169"/>
      <c r="K96" s="183"/>
      <c r="L96" s="452"/>
      <c r="M96" s="184" t="e">
        <f>RANK(K96, K$87:$K$101)</f>
        <v>#DIV/0!</v>
      </c>
      <c r="N96" s="454"/>
      <c r="O96" s="454"/>
      <c r="P96" s="185"/>
      <c r="Q96" s="169"/>
      <c r="R96" s="183"/>
      <c r="S96" s="185" t="e">
        <f t="shared" si="45"/>
        <v>#N/A</v>
      </c>
      <c r="T96" s="465"/>
      <c r="U96" s="185"/>
      <c r="V96" s="169"/>
      <c r="W96" s="183"/>
      <c r="X96" s="185" t="e">
        <f t="shared" si="46"/>
        <v>#N/A</v>
      </c>
      <c r="Y96" s="465"/>
      <c r="Z96" s="185"/>
      <c r="AA96" s="169"/>
      <c r="AB96" s="183"/>
      <c r="AC96" s="185" t="e">
        <f t="shared" si="47"/>
        <v>#N/A</v>
      </c>
      <c r="AD96" s="465"/>
      <c r="AE96" s="185"/>
      <c r="AF96" s="169"/>
      <c r="AG96" s="183"/>
      <c r="AH96" s="185" t="e">
        <f t="shared" si="48"/>
        <v>#N/A</v>
      </c>
      <c r="AI96" s="465"/>
      <c r="AJ96" s="185"/>
      <c r="AK96" s="169"/>
      <c r="AL96" s="183"/>
      <c r="AM96" s="185" t="e">
        <f t="shared" si="49"/>
        <v>#N/A</v>
      </c>
      <c r="AN96" s="465"/>
      <c r="AO96" s="185"/>
      <c r="AP96" s="169"/>
      <c r="AQ96" s="183"/>
      <c r="AR96" s="185" t="e">
        <f t="shared" si="50"/>
        <v>#N/A</v>
      </c>
      <c r="AS96" s="465"/>
      <c r="AT96" s="185"/>
      <c r="AU96" s="169"/>
      <c r="AV96" s="183"/>
      <c r="AW96" s="185" t="e">
        <f t="shared" si="51"/>
        <v>#N/A</v>
      </c>
      <c r="AX96" s="465"/>
    </row>
    <row r="97" spans="2:50">
      <c r="B97" s="471"/>
      <c r="C97" s="185">
        <v>11</v>
      </c>
      <c r="D97" s="206"/>
      <c r="E97" s="169"/>
      <c r="F97" s="185"/>
      <c r="G97" s="183"/>
      <c r="H97" s="452"/>
      <c r="I97" s="169"/>
      <c r="J97" s="169"/>
      <c r="K97" s="183"/>
      <c r="L97" s="452"/>
      <c r="M97" s="184" t="e">
        <f>RANK(K97, K$87:$K$101)</f>
        <v>#DIV/0!</v>
      </c>
      <c r="N97" s="454"/>
      <c r="O97" s="454"/>
      <c r="P97" s="185"/>
      <c r="Q97" s="169"/>
      <c r="R97" s="183"/>
      <c r="S97" s="185" t="e">
        <f t="shared" si="45"/>
        <v>#N/A</v>
      </c>
      <c r="T97" s="465"/>
      <c r="U97" s="185"/>
      <c r="V97" s="169"/>
      <c r="W97" s="183"/>
      <c r="X97" s="185" t="e">
        <f t="shared" si="46"/>
        <v>#N/A</v>
      </c>
      <c r="Y97" s="465"/>
      <c r="Z97" s="185"/>
      <c r="AA97" s="169"/>
      <c r="AB97" s="183"/>
      <c r="AC97" s="185" t="e">
        <f t="shared" si="47"/>
        <v>#N/A</v>
      </c>
      <c r="AD97" s="465"/>
      <c r="AE97" s="185"/>
      <c r="AF97" s="169"/>
      <c r="AG97" s="183"/>
      <c r="AH97" s="185" t="e">
        <f t="shared" si="48"/>
        <v>#N/A</v>
      </c>
      <c r="AI97" s="465"/>
      <c r="AJ97" s="185"/>
      <c r="AK97" s="169"/>
      <c r="AL97" s="183"/>
      <c r="AM97" s="185" t="e">
        <f t="shared" si="49"/>
        <v>#N/A</v>
      </c>
      <c r="AN97" s="465"/>
      <c r="AO97" s="185"/>
      <c r="AP97" s="169"/>
      <c r="AQ97" s="183"/>
      <c r="AR97" s="185" t="e">
        <f t="shared" si="50"/>
        <v>#N/A</v>
      </c>
      <c r="AS97" s="465"/>
      <c r="AT97" s="185"/>
      <c r="AU97" s="169"/>
      <c r="AV97" s="183"/>
      <c r="AW97" s="185" t="e">
        <f t="shared" si="51"/>
        <v>#N/A</v>
      </c>
      <c r="AX97" s="465"/>
    </row>
    <row r="98" spans="2:50">
      <c r="B98" s="471"/>
      <c r="C98" s="185">
        <v>12</v>
      </c>
      <c r="D98" s="206"/>
      <c r="E98" s="169"/>
      <c r="F98" s="185"/>
      <c r="G98" s="183"/>
      <c r="H98" s="452"/>
      <c r="I98" s="169"/>
      <c r="J98" s="169"/>
      <c r="K98" s="183"/>
      <c r="L98" s="452"/>
      <c r="M98" s="184" t="e">
        <f>RANK(K98, K$87:$K$101)</f>
        <v>#DIV/0!</v>
      </c>
      <c r="N98" s="454"/>
      <c r="O98" s="454"/>
      <c r="P98" s="185"/>
      <c r="Q98" s="169"/>
      <c r="R98" s="183"/>
      <c r="S98" s="185" t="e">
        <f t="shared" si="45"/>
        <v>#N/A</v>
      </c>
      <c r="T98" s="465"/>
      <c r="U98" s="185"/>
      <c r="V98" s="169"/>
      <c r="W98" s="183"/>
      <c r="X98" s="185" t="e">
        <f t="shared" si="46"/>
        <v>#N/A</v>
      </c>
      <c r="Y98" s="465"/>
      <c r="Z98" s="185"/>
      <c r="AA98" s="169"/>
      <c r="AB98" s="183"/>
      <c r="AC98" s="185" t="e">
        <f t="shared" si="47"/>
        <v>#N/A</v>
      </c>
      <c r="AD98" s="465"/>
      <c r="AE98" s="185"/>
      <c r="AF98" s="169"/>
      <c r="AG98" s="183"/>
      <c r="AH98" s="185" t="e">
        <f t="shared" si="48"/>
        <v>#N/A</v>
      </c>
      <c r="AI98" s="465"/>
      <c r="AJ98" s="185"/>
      <c r="AK98" s="169"/>
      <c r="AL98" s="183"/>
      <c r="AM98" s="185" t="e">
        <f t="shared" si="49"/>
        <v>#N/A</v>
      </c>
      <c r="AN98" s="465"/>
      <c r="AO98" s="185"/>
      <c r="AP98" s="169"/>
      <c r="AQ98" s="183"/>
      <c r="AR98" s="185" t="e">
        <f t="shared" si="50"/>
        <v>#N/A</v>
      </c>
      <c r="AS98" s="465"/>
      <c r="AT98" s="185"/>
      <c r="AU98" s="169"/>
      <c r="AV98" s="183"/>
      <c r="AW98" s="185" t="e">
        <f t="shared" si="51"/>
        <v>#N/A</v>
      </c>
      <c r="AX98" s="465"/>
    </row>
    <row r="99" spans="2:50">
      <c r="B99" s="471"/>
      <c r="C99" s="185">
        <v>13</v>
      </c>
      <c r="D99" s="206"/>
      <c r="E99" s="169"/>
      <c r="F99" s="185"/>
      <c r="G99" s="183"/>
      <c r="H99" s="452"/>
      <c r="I99" s="169"/>
      <c r="J99" s="169"/>
      <c r="K99" s="183"/>
      <c r="L99" s="452"/>
      <c r="M99" s="184" t="e">
        <f>RANK(K99, K$87:$K$101)</f>
        <v>#DIV/0!</v>
      </c>
      <c r="N99" s="454"/>
      <c r="O99" s="454"/>
      <c r="P99" s="185"/>
      <c r="Q99" s="169"/>
      <c r="R99" s="183"/>
      <c r="S99" s="185" t="e">
        <f t="shared" si="45"/>
        <v>#N/A</v>
      </c>
      <c r="T99" s="465"/>
      <c r="U99" s="185"/>
      <c r="V99" s="169"/>
      <c r="W99" s="183"/>
      <c r="X99" s="185" t="e">
        <f t="shared" si="46"/>
        <v>#N/A</v>
      </c>
      <c r="Y99" s="465"/>
      <c r="Z99" s="185"/>
      <c r="AA99" s="169"/>
      <c r="AB99" s="183"/>
      <c r="AC99" s="185" t="e">
        <f t="shared" si="47"/>
        <v>#N/A</v>
      </c>
      <c r="AD99" s="465"/>
      <c r="AE99" s="185"/>
      <c r="AF99" s="169"/>
      <c r="AG99" s="183"/>
      <c r="AH99" s="185" t="e">
        <f t="shared" si="48"/>
        <v>#N/A</v>
      </c>
      <c r="AI99" s="465"/>
      <c r="AJ99" s="185"/>
      <c r="AK99" s="169"/>
      <c r="AL99" s="183"/>
      <c r="AM99" s="185" t="e">
        <f t="shared" si="49"/>
        <v>#N/A</v>
      </c>
      <c r="AN99" s="465"/>
      <c r="AO99" s="185"/>
      <c r="AP99" s="169"/>
      <c r="AQ99" s="183"/>
      <c r="AR99" s="185" t="e">
        <f t="shared" si="50"/>
        <v>#N/A</v>
      </c>
      <c r="AS99" s="465"/>
      <c r="AT99" s="185"/>
      <c r="AU99" s="169"/>
      <c r="AV99" s="183"/>
      <c r="AW99" s="185" t="e">
        <f t="shared" si="51"/>
        <v>#N/A</v>
      </c>
      <c r="AX99" s="465"/>
    </row>
    <row r="100" spans="2:50">
      <c r="B100" s="471"/>
      <c r="C100" s="185">
        <v>14</v>
      </c>
      <c r="D100" s="206"/>
      <c r="E100" s="169"/>
      <c r="F100" s="185"/>
      <c r="G100" s="183"/>
      <c r="H100" s="452"/>
      <c r="I100" s="169"/>
      <c r="J100" s="169"/>
      <c r="K100" s="183"/>
      <c r="L100" s="452"/>
      <c r="M100" s="184" t="e">
        <f>RANK(K100, K$87:$K$101)</f>
        <v>#DIV/0!</v>
      </c>
      <c r="N100" s="454"/>
      <c r="O100" s="454"/>
      <c r="P100" s="185"/>
      <c r="Q100" s="169"/>
      <c r="R100" s="183"/>
      <c r="S100" s="185" t="e">
        <f t="shared" si="45"/>
        <v>#N/A</v>
      </c>
      <c r="T100" s="465"/>
      <c r="U100" s="185"/>
      <c r="V100" s="169"/>
      <c r="W100" s="183"/>
      <c r="X100" s="185" t="e">
        <f t="shared" si="46"/>
        <v>#N/A</v>
      </c>
      <c r="Y100" s="465"/>
      <c r="Z100" s="185"/>
      <c r="AA100" s="169"/>
      <c r="AB100" s="183"/>
      <c r="AC100" s="185" t="e">
        <f t="shared" si="47"/>
        <v>#N/A</v>
      </c>
      <c r="AD100" s="465"/>
      <c r="AE100" s="185"/>
      <c r="AF100" s="169"/>
      <c r="AG100" s="183"/>
      <c r="AH100" s="185" t="e">
        <f t="shared" si="48"/>
        <v>#N/A</v>
      </c>
      <c r="AI100" s="465"/>
      <c r="AJ100" s="185"/>
      <c r="AK100" s="169"/>
      <c r="AL100" s="183"/>
      <c r="AM100" s="185" t="e">
        <f t="shared" si="49"/>
        <v>#N/A</v>
      </c>
      <c r="AN100" s="465"/>
      <c r="AO100" s="185"/>
      <c r="AP100" s="169"/>
      <c r="AQ100" s="183"/>
      <c r="AR100" s="185" t="e">
        <f t="shared" si="50"/>
        <v>#N/A</v>
      </c>
      <c r="AS100" s="465"/>
      <c r="AT100" s="185"/>
      <c r="AU100" s="169"/>
      <c r="AV100" s="183"/>
      <c r="AW100" s="185" t="e">
        <f t="shared" si="51"/>
        <v>#N/A</v>
      </c>
      <c r="AX100" s="465"/>
    </row>
    <row r="101" spans="2:50">
      <c r="B101" s="471"/>
      <c r="C101" s="185">
        <v>15</v>
      </c>
      <c r="D101" s="206"/>
      <c r="E101" s="169"/>
      <c r="F101" s="185"/>
      <c r="G101" s="183"/>
      <c r="H101" s="453"/>
      <c r="I101" s="169"/>
      <c r="J101" s="169"/>
      <c r="K101" s="183"/>
      <c r="L101" s="453"/>
      <c r="M101" s="169" t="e">
        <f>RANK(K101, K$87:$K$101)</f>
        <v>#DIV/0!</v>
      </c>
      <c r="N101" s="454"/>
      <c r="O101" s="454"/>
      <c r="P101" s="185"/>
      <c r="Q101" s="169"/>
      <c r="R101" s="183"/>
      <c r="S101" s="185" t="e">
        <f t="shared" si="45"/>
        <v>#N/A</v>
      </c>
      <c r="T101" s="466"/>
      <c r="U101" s="185"/>
      <c r="V101" s="169"/>
      <c r="W101" s="183"/>
      <c r="X101" s="185" t="e">
        <f t="shared" si="46"/>
        <v>#N/A</v>
      </c>
      <c r="Y101" s="466"/>
      <c r="Z101" s="185"/>
      <c r="AA101" s="169"/>
      <c r="AB101" s="183"/>
      <c r="AC101" s="185" t="e">
        <f t="shared" si="47"/>
        <v>#N/A</v>
      </c>
      <c r="AD101" s="466"/>
      <c r="AE101" s="185"/>
      <c r="AF101" s="169"/>
      <c r="AG101" s="183"/>
      <c r="AH101" s="185" t="e">
        <f t="shared" si="48"/>
        <v>#N/A</v>
      </c>
      <c r="AI101" s="466"/>
      <c r="AJ101" s="185"/>
      <c r="AK101" s="169"/>
      <c r="AL101" s="183"/>
      <c r="AM101" s="185" t="e">
        <f t="shared" si="49"/>
        <v>#N/A</v>
      </c>
      <c r="AN101" s="466"/>
      <c r="AO101" s="185"/>
      <c r="AP101" s="169"/>
      <c r="AQ101" s="183"/>
      <c r="AR101" s="185" t="e">
        <f t="shared" si="50"/>
        <v>#N/A</v>
      </c>
      <c r="AS101" s="466"/>
      <c r="AT101" s="185"/>
      <c r="AU101" s="169"/>
      <c r="AV101" s="183"/>
      <c r="AW101" s="185" t="e">
        <f t="shared" si="51"/>
        <v>#N/A</v>
      </c>
      <c r="AX101" s="466"/>
    </row>
    <row r="102" spans="2:50" ht="15.75">
      <c r="B102" s="472" t="s">
        <v>201</v>
      </c>
      <c r="C102" s="473"/>
      <c r="D102" s="473"/>
      <c r="E102" s="473"/>
      <c r="F102" s="473"/>
      <c r="G102" s="473"/>
      <c r="H102" s="473"/>
      <c r="I102" s="189"/>
      <c r="J102" s="189"/>
      <c r="K102" s="189"/>
      <c r="L102" s="189"/>
      <c r="M102" s="188"/>
      <c r="N102" s="461" t="s">
        <v>202</v>
      </c>
      <c r="O102" s="461" t="s">
        <v>150</v>
      </c>
      <c r="P102" s="470">
        <f>P82+7</f>
        <v>45993</v>
      </c>
      <c r="Q102" s="471"/>
      <c r="R102" s="471"/>
      <c r="S102" s="471"/>
      <c r="T102" s="471"/>
      <c r="U102" s="467">
        <f>P102+1</f>
        <v>45994</v>
      </c>
      <c r="V102" s="468"/>
      <c r="W102" s="468"/>
      <c r="X102" s="468"/>
      <c r="Y102" s="469"/>
      <c r="Z102" s="467">
        <f>U102+1</f>
        <v>45995</v>
      </c>
      <c r="AA102" s="468"/>
      <c r="AB102" s="468"/>
      <c r="AC102" s="468"/>
      <c r="AD102" s="469"/>
      <c r="AE102" s="467">
        <f>Z102+1</f>
        <v>45996</v>
      </c>
      <c r="AF102" s="468"/>
      <c r="AG102" s="468"/>
      <c r="AH102" s="468"/>
      <c r="AI102" s="469"/>
      <c r="AJ102" s="467">
        <f>AE102+1</f>
        <v>45997</v>
      </c>
      <c r="AK102" s="468"/>
      <c r="AL102" s="468"/>
      <c r="AM102" s="468"/>
      <c r="AN102" s="469"/>
      <c r="AO102" s="467">
        <f>AJ102+1</f>
        <v>45998</v>
      </c>
      <c r="AP102" s="468"/>
      <c r="AQ102" s="468"/>
      <c r="AR102" s="468"/>
      <c r="AS102" s="469"/>
      <c r="AT102" s="467">
        <f>AO102+1</f>
        <v>45999</v>
      </c>
      <c r="AU102" s="468"/>
      <c r="AV102" s="468"/>
      <c r="AW102" s="468"/>
      <c r="AX102" s="469"/>
    </row>
    <row r="103" spans="2:50" ht="15.75">
      <c r="B103" s="474"/>
      <c r="C103" s="474"/>
      <c r="D103" s="474"/>
      <c r="E103" s="474"/>
      <c r="F103" s="474"/>
      <c r="G103" s="474"/>
      <c r="H103" s="474"/>
      <c r="I103" s="187"/>
      <c r="J103" s="187"/>
      <c r="K103" s="187"/>
      <c r="L103" s="187"/>
      <c r="M103" s="182"/>
      <c r="N103" s="463"/>
      <c r="O103" s="463"/>
      <c r="P103" s="470" t="s">
        <v>203</v>
      </c>
      <c r="Q103" s="471"/>
      <c r="R103" s="471"/>
      <c r="S103" s="471"/>
      <c r="T103" s="471"/>
      <c r="U103" s="470" t="s">
        <v>204</v>
      </c>
      <c r="V103" s="471"/>
      <c r="W103" s="471"/>
      <c r="X103" s="471"/>
      <c r="Y103" s="471"/>
      <c r="Z103" s="470" t="s">
        <v>205</v>
      </c>
      <c r="AA103" s="471"/>
      <c r="AB103" s="471"/>
      <c r="AC103" s="471"/>
      <c r="AD103" s="471"/>
      <c r="AE103" s="470" t="s">
        <v>206</v>
      </c>
      <c r="AF103" s="471"/>
      <c r="AG103" s="471"/>
      <c r="AH103" s="471"/>
      <c r="AI103" s="471"/>
      <c r="AJ103" s="470" t="s">
        <v>207</v>
      </c>
      <c r="AK103" s="471"/>
      <c r="AL103" s="471"/>
      <c r="AM103" s="471"/>
      <c r="AN103" s="471"/>
      <c r="AO103" s="470" t="s">
        <v>157</v>
      </c>
      <c r="AP103" s="471"/>
      <c r="AQ103" s="471"/>
      <c r="AR103" s="471"/>
      <c r="AS103" s="471"/>
      <c r="AT103" s="470" t="s">
        <v>208</v>
      </c>
      <c r="AU103" s="471"/>
      <c r="AV103" s="471"/>
      <c r="AW103" s="471"/>
      <c r="AX103" s="471"/>
    </row>
    <row r="104" spans="2:50">
      <c r="B104" s="454" t="s">
        <v>209</v>
      </c>
      <c r="C104" s="454" t="s">
        <v>210</v>
      </c>
      <c r="D104" s="454"/>
      <c r="E104" s="454" t="s">
        <v>211</v>
      </c>
      <c r="F104" s="454"/>
      <c r="G104" s="454"/>
      <c r="H104" s="455" t="s">
        <v>212</v>
      </c>
      <c r="I104" s="454" t="s">
        <v>213</v>
      </c>
      <c r="J104" s="454"/>
      <c r="K104" s="454"/>
      <c r="L104" s="455" t="s">
        <v>212</v>
      </c>
      <c r="M104" s="461" t="s">
        <v>214</v>
      </c>
      <c r="N104" s="454"/>
      <c r="O104" s="454" t="s">
        <v>215</v>
      </c>
      <c r="P104" s="458" t="s">
        <v>216</v>
      </c>
      <c r="Q104" s="459"/>
      <c r="R104" s="459"/>
      <c r="S104" s="460"/>
      <c r="T104" s="454" t="s">
        <v>212</v>
      </c>
      <c r="U104" s="458" t="s">
        <v>216</v>
      </c>
      <c r="V104" s="459"/>
      <c r="W104" s="459"/>
      <c r="X104" s="460"/>
      <c r="Y104" s="454" t="s">
        <v>212</v>
      </c>
      <c r="Z104" s="458" t="s">
        <v>216</v>
      </c>
      <c r="AA104" s="459"/>
      <c r="AB104" s="459"/>
      <c r="AC104" s="460"/>
      <c r="AD104" s="454" t="s">
        <v>212</v>
      </c>
      <c r="AE104" s="458" t="s">
        <v>216</v>
      </c>
      <c r="AF104" s="459"/>
      <c r="AG104" s="459"/>
      <c r="AH104" s="460"/>
      <c r="AI104" s="454" t="s">
        <v>212</v>
      </c>
      <c r="AJ104" s="458" t="s">
        <v>216</v>
      </c>
      <c r="AK104" s="459"/>
      <c r="AL104" s="459"/>
      <c r="AM104" s="460"/>
      <c r="AN104" s="454" t="s">
        <v>212</v>
      </c>
      <c r="AO104" s="458" t="s">
        <v>216</v>
      </c>
      <c r="AP104" s="459"/>
      <c r="AQ104" s="459"/>
      <c r="AR104" s="460"/>
      <c r="AS104" s="454" t="s">
        <v>212</v>
      </c>
      <c r="AT104" s="458" t="s">
        <v>216</v>
      </c>
      <c r="AU104" s="459"/>
      <c r="AV104" s="459"/>
      <c r="AW104" s="460"/>
      <c r="AX104" s="454" t="s">
        <v>212</v>
      </c>
    </row>
    <row r="105" spans="2:50">
      <c r="B105" s="454"/>
      <c r="C105" s="454"/>
      <c r="D105" s="454"/>
      <c r="E105" s="454" t="s">
        <v>217</v>
      </c>
      <c r="F105" s="454"/>
      <c r="G105" s="454"/>
      <c r="H105" s="456"/>
      <c r="I105" s="454" t="s">
        <v>217</v>
      </c>
      <c r="J105" s="454"/>
      <c r="K105" s="454"/>
      <c r="L105" s="456"/>
      <c r="M105" s="462"/>
      <c r="N105" s="454"/>
      <c r="O105" s="454"/>
      <c r="P105" s="458" t="s">
        <v>218</v>
      </c>
      <c r="Q105" s="459"/>
      <c r="R105" s="459"/>
      <c r="S105" s="460"/>
      <c r="T105" s="454"/>
      <c r="U105" s="458" t="s">
        <v>218</v>
      </c>
      <c r="V105" s="459"/>
      <c r="W105" s="459"/>
      <c r="X105" s="460"/>
      <c r="Y105" s="454"/>
      <c r="Z105" s="458" t="s">
        <v>218</v>
      </c>
      <c r="AA105" s="459"/>
      <c r="AB105" s="459"/>
      <c r="AC105" s="460"/>
      <c r="AD105" s="454"/>
      <c r="AE105" s="458" t="s">
        <v>218</v>
      </c>
      <c r="AF105" s="459"/>
      <c r="AG105" s="459"/>
      <c r="AH105" s="460"/>
      <c r="AI105" s="454"/>
      <c r="AJ105" s="458" t="s">
        <v>218</v>
      </c>
      <c r="AK105" s="459"/>
      <c r="AL105" s="459"/>
      <c r="AM105" s="460"/>
      <c r="AN105" s="454"/>
      <c r="AO105" s="458" t="s">
        <v>218</v>
      </c>
      <c r="AP105" s="459"/>
      <c r="AQ105" s="459"/>
      <c r="AR105" s="460"/>
      <c r="AS105" s="454"/>
      <c r="AT105" s="458" t="s">
        <v>218</v>
      </c>
      <c r="AU105" s="459"/>
      <c r="AV105" s="459"/>
      <c r="AW105" s="460"/>
      <c r="AX105" s="454"/>
    </row>
    <row r="106" spans="2:50">
      <c r="B106" s="454"/>
      <c r="C106" s="454"/>
      <c r="D106" s="454"/>
      <c r="E106" s="275" t="s">
        <v>219</v>
      </c>
      <c r="F106" s="275" t="s">
        <v>220</v>
      </c>
      <c r="G106" s="275" t="s">
        <v>221</v>
      </c>
      <c r="H106" s="457"/>
      <c r="I106" s="275" t="s">
        <v>219</v>
      </c>
      <c r="J106" s="275" t="s">
        <v>220</v>
      </c>
      <c r="K106" s="275" t="s">
        <v>221</v>
      </c>
      <c r="L106" s="457"/>
      <c r="M106" s="463"/>
      <c r="N106" s="454"/>
      <c r="O106" s="454"/>
      <c r="P106" s="275" t="s">
        <v>219</v>
      </c>
      <c r="Q106" s="275" t="s">
        <v>220</v>
      </c>
      <c r="R106" s="275" t="s">
        <v>221</v>
      </c>
      <c r="S106" s="275" t="s">
        <v>214</v>
      </c>
      <c r="T106" s="454"/>
      <c r="U106" s="275" t="s">
        <v>219</v>
      </c>
      <c r="V106" s="275" t="s">
        <v>220</v>
      </c>
      <c r="W106" s="275" t="s">
        <v>221</v>
      </c>
      <c r="X106" s="275" t="s">
        <v>214</v>
      </c>
      <c r="Y106" s="454"/>
      <c r="Z106" s="275" t="s">
        <v>219</v>
      </c>
      <c r="AA106" s="275" t="s">
        <v>220</v>
      </c>
      <c r="AB106" s="275" t="s">
        <v>221</v>
      </c>
      <c r="AC106" s="275" t="s">
        <v>214</v>
      </c>
      <c r="AD106" s="454"/>
      <c r="AE106" s="275" t="s">
        <v>219</v>
      </c>
      <c r="AF106" s="275" t="s">
        <v>220</v>
      </c>
      <c r="AG106" s="275" t="s">
        <v>221</v>
      </c>
      <c r="AH106" s="275" t="s">
        <v>214</v>
      </c>
      <c r="AI106" s="454"/>
      <c r="AJ106" s="275" t="s">
        <v>219</v>
      </c>
      <c r="AK106" s="275" t="s">
        <v>220</v>
      </c>
      <c r="AL106" s="275" t="s">
        <v>221</v>
      </c>
      <c r="AM106" s="275" t="s">
        <v>214</v>
      </c>
      <c r="AN106" s="454"/>
      <c r="AO106" s="275" t="s">
        <v>219</v>
      </c>
      <c r="AP106" s="275" t="s">
        <v>220</v>
      </c>
      <c r="AQ106" s="275" t="s">
        <v>221</v>
      </c>
      <c r="AR106" s="275" t="s">
        <v>214</v>
      </c>
      <c r="AS106" s="454"/>
      <c r="AT106" s="275" t="s">
        <v>219</v>
      </c>
      <c r="AU106" s="275" t="s">
        <v>220</v>
      </c>
      <c r="AV106" s="275" t="s">
        <v>221</v>
      </c>
      <c r="AW106" s="275" t="s">
        <v>214</v>
      </c>
      <c r="AX106" s="454"/>
    </row>
    <row r="107" spans="2:50">
      <c r="B107" s="454" t="s">
        <v>190</v>
      </c>
      <c r="C107" s="185">
        <v>1</v>
      </c>
      <c r="D107" s="206"/>
      <c r="E107" s="169"/>
      <c r="F107" s="185"/>
      <c r="G107" s="183"/>
      <c r="H107" s="451" t="e">
        <f>AVERAGE(G107:G121)</f>
        <v>#DIV/0!</v>
      </c>
      <c r="I107" s="169" t="e">
        <f>AVERAGE(P107,U107,Z107,AE107,AJ107,AO107,AT107)</f>
        <v>#DIV/0!</v>
      </c>
      <c r="J107" s="169" t="e">
        <f>AVERAGE(Q107,V107,AA107,AF107,AK107,AP107,AU107)</f>
        <v>#DIV/0!</v>
      </c>
      <c r="K107" s="183" t="e">
        <f>AVERAGE(R107,W107,AB107,AG107,AL107,AQ107,AV107)</f>
        <v>#DIV/0!</v>
      </c>
      <c r="L107" s="451" t="str">
        <f>IFERROR(AVERAGE(K107:K121),"-")</f>
        <v>-</v>
      </c>
      <c r="M107" s="184" t="e">
        <f>RANK(K107, K$107:$K$121)</f>
        <v>#DIV/0!</v>
      </c>
      <c r="N107" s="454"/>
      <c r="O107" s="454"/>
      <c r="P107" s="169"/>
      <c r="Q107" s="169"/>
      <c r="R107" s="183"/>
      <c r="S107" s="185" t="e">
        <f>RANK(R107, R$107:R$121)</f>
        <v>#N/A</v>
      </c>
      <c r="T107" s="464" t="e">
        <f>AVERAGE(R107:R121)</f>
        <v>#DIV/0!</v>
      </c>
      <c r="U107" s="169"/>
      <c r="V107" s="169"/>
      <c r="W107" s="183"/>
      <c r="X107" s="185" t="e">
        <f>RANK(W107, W$107:W$121)</f>
        <v>#N/A</v>
      </c>
      <c r="Y107" s="464" t="e">
        <f>AVERAGE(W107:W121)</f>
        <v>#DIV/0!</v>
      </c>
      <c r="Z107" s="169"/>
      <c r="AA107" s="169"/>
      <c r="AB107" s="183"/>
      <c r="AC107" s="185" t="e">
        <f>RANK(AB107, AB$107:AB$121)</f>
        <v>#N/A</v>
      </c>
      <c r="AD107" s="464" t="e">
        <f>AVERAGE(AB107:AB121)</f>
        <v>#DIV/0!</v>
      </c>
      <c r="AE107" s="169"/>
      <c r="AF107" s="169"/>
      <c r="AG107" s="183"/>
      <c r="AH107" s="185" t="e">
        <f>RANK(AG107, AG$107:AG$121)</f>
        <v>#N/A</v>
      </c>
      <c r="AI107" s="464" t="e">
        <f>AVERAGE(AG107:AG121)</f>
        <v>#DIV/0!</v>
      </c>
      <c r="AJ107" s="169"/>
      <c r="AK107" s="169"/>
      <c r="AL107" s="183"/>
      <c r="AM107" s="185" t="e">
        <f>RANK(AL107, AL$107:AL$121)</f>
        <v>#N/A</v>
      </c>
      <c r="AN107" s="464" t="e">
        <f>AVERAGE(AL107:AL121)</f>
        <v>#DIV/0!</v>
      </c>
      <c r="AO107" s="169"/>
      <c r="AP107" s="169"/>
      <c r="AQ107" s="183"/>
      <c r="AR107" s="185" t="e">
        <f>RANK(AQ107, AQ$107:AQ$121)</f>
        <v>#N/A</v>
      </c>
      <c r="AS107" s="464" t="e">
        <f>AVERAGE(AQ107:AQ121)</f>
        <v>#DIV/0!</v>
      </c>
      <c r="AT107" s="169"/>
      <c r="AU107" s="169"/>
      <c r="AV107" s="183"/>
      <c r="AW107" s="185" t="e">
        <f>RANK(AV107, AV$107:AV$121)</f>
        <v>#N/A</v>
      </c>
      <c r="AX107" s="464" t="e">
        <f>AVERAGE(AV107:AV121)</f>
        <v>#DIV/0!</v>
      </c>
    </row>
    <row r="108" spans="2:50">
      <c r="B108" s="471"/>
      <c r="C108" s="185">
        <v>2</v>
      </c>
      <c r="D108" s="206"/>
      <c r="E108" s="169"/>
      <c r="F108" s="185"/>
      <c r="G108" s="183"/>
      <c r="H108" s="452"/>
      <c r="I108" s="169" t="e">
        <f t="shared" ref="I108:I112" si="55">AVERAGE(P108,U108,Z108,AE108,AJ108,AO108,AT108)</f>
        <v>#DIV/0!</v>
      </c>
      <c r="J108" s="169" t="e">
        <f t="shared" ref="J108:J112" si="56">AVERAGE(Q108,V108,AA108,AF108,AK108,AP108,AU108)</f>
        <v>#DIV/0!</v>
      </c>
      <c r="K108" s="183" t="e">
        <f t="shared" ref="K108:K112" si="57">AVERAGE(R108,W108,AB108,AG108,AL108,AQ108,AV108)</f>
        <v>#DIV/0!</v>
      </c>
      <c r="L108" s="452"/>
      <c r="M108" s="184" t="e">
        <f>RANK(K108, K$107:$K$121)</f>
        <v>#DIV/0!</v>
      </c>
      <c r="N108" s="454"/>
      <c r="O108" s="454"/>
      <c r="P108" s="185"/>
      <c r="Q108" s="169"/>
      <c r="R108" s="183"/>
      <c r="S108" s="185" t="e">
        <f t="shared" ref="S108:S121" si="58">RANK(R108, R$107:R$121)</f>
        <v>#N/A</v>
      </c>
      <c r="T108" s="465"/>
      <c r="U108" s="185"/>
      <c r="V108" s="169"/>
      <c r="W108" s="183"/>
      <c r="X108" s="185" t="e">
        <f t="shared" ref="X108:X113" si="59">RANK(W108, W$107:W$121)</f>
        <v>#N/A</v>
      </c>
      <c r="Y108" s="465"/>
      <c r="Z108" s="185"/>
      <c r="AA108" s="169"/>
      <c r="AB108" s="183"/>
      <c r="AC108" s="185" t="e">
        <f t="shared" ref="AC108:AC113" si="60">RANK(AB108, AB$107:AB$121)</f>
        <v>#N/A</v>
      </c>
      <c r="AD108" s="465"/>
      <c r="AE108" s="185"/>
      <c r="AF108" s="169"/>
      <c r="AG108" s="183"/>
      <c r="AH108" s="185" t="e">
        <f t="shared" ref="AH108:AH113" si="61">RANK(AG108, AG$107:AG$121)</f>
        <v>#N/A</v>
      </c>
      <c r="AI108" s="465"/>
      <c r="AJ108" s="185"/>
      <c r="AK108" s="169"/>
      <c r="AL108" s="183"/>
      <c r="AM108" s="185" t="e">
        <f t="shared" ref="AM108:AM113" si="62">RANK(AL108, AL$107:AL$121)</f>
        <v>#N/A</v>
      </c>
      <c r="AN108" s="465"/>
      <c r="AO108" s="185"/>
      <c r="AP108" s="169"/>
      <c r="AQ108" s="183"/>
      <c r="AR108" s="185" t="e">
        <f t="shared" ref="AR108:AR113" si="63">RANK(AQ108, AQ$107:AQ$121)</f>
        <v>#N/A</v>
      </c>
      <c r="AS108" s="465"/>
      <c r="AT108" s="185"/>
      <c r="AU108" s="169"/>
      <c r="AV108" s="183"/>
      <c r="AW108" s="185" t="e">
        <f t="shared" ref="AW108:AW113" si="64">RANK(AV108, AV$107:AV$121)</f>
        <v>#N/A</v>
      </c>
      <c r="AX108" s="465"/>
    </row>
    <row r="109" spans="2:50">
      <c r="B109" s="471"/>
      <c r="C109" s="185">
        <v>3</v>
      </c>
      <c r="D109" s="206"/>
      <c r="E109" s="169"/>
      <c r="F109" s="185"/>
      <c r="G109" s="183"/>
      <c r="H109" s="452"/>
      <c r="I109" s="169" t="e">
        <f t="shared" si="55"/>
        <v>#DIV/0!</v>
      </c>
      <c r="J109" s="169" t="e">
        <f t="shared" si="56"/>
        <v>#DIV/0!</v>
      </c>
      <c r="K109" s="183" t="e">
        <f t="shared" si="57"/>
        <v>#DIV/0!</v>
      </c>
      <c r="L109" s="452"/>
      <c r="M109" s="184" t="e">
        <f>RANK(K109, K$107:$K$121)</f>
        <v>#DIV/0!</v>
      </c>
      <c r="N109" s="454"/>
      <c r="O109" s="454"/>
      <c r="P109" s="185"/>
      <c r="Q109" s="169"/>
      <c r="R109" s="183"/>
      <c r="S109" s="185" t="e">
        <f t="shared" si="58"/>
        <v>#N/A</v>
      </c>
      <c r="T109" s="465"/>
      <c r="U109" s="185"/>
      <c r="V109" s="169"/>
      <c r="W109" s="183"/>
      <c r="X109" s="185" t="e">
        <f t="shared" si="59"/>
        <v>#N/A</v>
      </c>
      <c r="Y109" s="465"/>
      <c r="Z109" s="185"/>
      <c r="AA109" s="169"/>
      <c r="AB109" s="183"/>
      <c r="AC109" s="185" t="e">
        <f t="shared" si="60"/>
        <v>#N/A</v>
      </c>
      <c r="AD109" s="465"/>
      <c r="AE109" s="185"/>
      <c r="AF109" s="169"/>
      <c r="AG109" s="183"/>
      <c r="AH109" s="185" t="e">
        <f t="shared" si="61"/>
        <v>#N/A</v>
      </c>
      <c r="AI109" s="465"/>
      <c r="AJ109" s="185"/>
      <c r="AK109" s="169"/>
      <c r="AL109" s="183"/>
      <c r="AM109" s="185" t="e">
        <f t="shared" si="62"/>
        <v>#N/A</v>
      </c>
      <c r="AN109" s="465"/>
      <c r="AO109" s="185"/>
      <c r="AP109" s="169"/>
      <c r="AQ109" s="183"/>
      <c r="AR109" s="185" t="e">
        <f t="shared" si="63"/>
        <v>#N/A</v>
      </c>
      <c r="AS109" s="465"/>
      <c r="AT109" s="185"/>
      <c r="AU109" s="169"/>
      <c r="AV109" s="183"/>
      <c r="AW109" s="185" t="e">
        <f t="shared" si="64"/>
        <v>#N/A</v>
      </c>
      <c r="AX109" s="465"/>
    </row>
    <row r="110" spans="2:50">
      <c r="B110" s="471"/>
      <c r="C110" s="185">
        <v>4</v>
      </c>
      <c r="D110" s="206"/>
      <c r="E110" s="169"/>
      <c r="F110" s="185"/>
      <c r="G110" s="183"/>
      <c r="H110" s="452"/>
      <c r="I110" s="169" t="e">
        <f t="shared" si="55"/>
        <v>#DIV/0!</v>
      </c>
      <c r="J110" s="169" t="e">
        <f t="shared" si="56"/>
        <v>#DIV/0!</v>
      </c>
      <c r="K110" s="183" t="e">
        <f t="shared" si="57"/>
        <v>#DIV/0!</v>
      </c>
      <c r="L110" s="452"/>
      <c r="M110" s="184" t="e">
        <f>RANK(K110, K$107:$K$121)</f>
        <v>#DIV/0!</v>
      </c>
      <c r="N110" s="454"/>
      <c r="O110" s="454"/>
      <c r="P110" s="185"/>
      <c r="Q110" s="169"/>
      <c r="R110" s="183"/>
      <c r="S110" s="185" t="e">
        <f t="shared" si="58"/>
        <v>#N/A</v>
      </c>
      <c r="T110" s="465"/>
      <c r="U110" s="185"/>
      <c r="V110" s="169"/>
      <c r="W110" s="183"/>
      <c r="X110" s="185" t="e">
        <f t="shared" si="59"/>
        <v>#N/A</v>
      </c>
      <c r="Y110" s="465"/>
      <c r="Z110" s="185"/>
      <c r="AA110" s="169"/>
      <c r="AB110" s="183"/>
      <c r="AC110" s="185" t="e">
        <f t="shared" si="60"/>
        <v>#N/A</v>
      </c>
      <c r="AD110" s="465"/>
      <c r="AE110" s="185"/>
      <c r="AF110" s="169"/>
      <c r="AG110" s="183"/>
      <c r="AH110" s="185" t="e">
        <f t="shared" si="61"/>
        <v>#N/A</v>
      </c>
      <c r="AI110" s="465"/>
      <c r="AJ110" s="185"/>
      <c r="AK110" s="169"/>
      <c r="AL110" s="183"/>
      <c r="AM110" s="185" t="e">
        <f t="shared" si="62"/>
        <v>#N/A</v>
      </c>
      <c r="AN110" s="465"/>
      <c r="AO110" s="185"/>
      <c r="AP110" s="169"/>
      <c r="AQ110" s="183"/>
      <c r="AR110" s="185" t="e">
        <f t="shared" si="63"/>
        <v>#N/A</v>
      </c>
      <c r="AS110" s="465"/>
      <c r="AT110" s="185"/>
      <c r="AU110" s="169"/>
      <c r="AV110" s="183"/>
      <c r="AW110" s="185" t="e">
        <f t="shared" si="64"/>
        <v>#N/A</v>
      </c>
      <c r="AX110" s="465"/>
    </row>
    <row r="111" spans="2:50">
      <c r="B111" s="471"/>
      <c r="C111" s="185">
        <v>5</v>
      </c>
      <c r="D111" s="206"/>
      <c r="E111" s="169"/>
      <c r="F111" s="185"/>
      <c r="G111" s="183"/>
      <c r="H111" s="452"/>
      <c r="I111" s="169" t="e">
        <f t="shared" si="55"/>
        <v>#DIV/0!</v>
      </c>
      <c r="J111" s="169" t="e">
        <f t="shared" si="56"/>
        <v>#DIV/0!</v>
      </c>
      <c r="K111" s="183" t="e">
        <f t="shared" si="57"/>
        <v>#DIV/0!</v>
      </c>
      <c r="L111" s="452"/>
      <c r="M111" s="184" t="e">
        <f>RANK(K111, K$107:$K$121)</f>
        <v>#DIV/0!</v>
      </c>
      <c r="N111" s="454"/>
      <c r="O111" s="454"/>
      <c r="P111" s="185"/>
      <c r="Q111" s="169"/>
      <c r="R111" s="183"/>
      <c r="S111" s="185" t="e">
        <f t="shared" si="58"/>
        <v>#N/A</v>
      </c>
      <c r="T111" s="465"/>
      <c r="U111" s="185"/>
      <c r="V111" s="169"/>
      <c r="W111" s="183"/>
      <c r="X111" s="185" t="e">
        <f t="shared" si="59"/>
        <v>#N/A</v>
      </c>
      <c r="Y111" s="465"/>
      <c r="Z111" s="185"/>
      <c r="AA111" s="169"/>
      <c r="AB111" s="183"/>
      <c r="AC111" s="185" t="e">
        <f t="shared" si="60"/>
        <v>#N/A</v>
      </c>
      <c r="AD111" s="465"/>
      <c r="AE111" s="185"/>
      <c r="AF111" s="169"/>
      <c r="AG111" s="183"/>
      <c r="AH111" s="185" t="e">
        <f t="shared" si="61"/>
        <v>#N/A</v>
      </c>
      <c r="AI111" s="465"/>
      <c r="AJ111" s="185"/>
      <c r="AK111" s="169"/>
      <c r="AL111" s="183"/>
      <c r="AM111" s="185" t="e">
        <f t="shared" si="62"/>
        <v>#N/A</v>
      </c>
      <c r="AN111" s="465"/>
      <c r="AO111" s="185"/>
      <c r="AP111" s="169"/>
      <c r="AQ111" s="183"/>
      <c r="AR111" s="185" t="e">
        <f t="shared" si="63"/>
        <v>#N/A</v>
      </c>
      <c r="AS111" s="465"/>
      <c r="AT111" s="185"/>
      <c r="AU111" s="169"/>
      <c r="AV111" s="183"/>
      <c r="AW111" s="185" t="e">
        <f t="shared" si="64"/>
        <v>#N/A</v>
      </c>
      <c r="AX111" s="465"/>
    </row>
    <row r="112" spans="2:50">
      <c r="B112" s="471"/>
      <c r="C112" s="185">
        <v>6</v>
      </c>
      <c r="D112" s="206"/>
      <c r="E112" s="169"/>
      <c r="F112" s="185"/>
      <c r="G112" s="183"/>
      <c r="H112" s="452"/>
      <c r="I112" s="169" t="e">
        <f t="shared" si="55"/>
        <v>#DIV/0!</v>
      </c>
      <c r="J112" s="169" t="e">
        <f t="shared" si="56"/>
        <v>#DIV/0!</v>
      </c>
      <c r="K112" s="183" t="e">
        <f t="shared" si="57"/>
        <v>#DIV/0!</v>
      </c>
      <c r="L112" s="452"/>
      <c r="M112" s="184" t="e">
        <f>RANK(K112, K$107:$K$121)</f>
        <v>#DIV/0!</v>
      </c>
      <c r="N112" s="454"/>
      <c r="O112" s="454"/>
      <c r="P112" s="185"/>
      <c r="Q112" s="169"/>
      <c r="R112" s="183"/>
      <c r="S112" s="185" t="e">
        <f t="shared" si="58"/>
        <v>#N/A</v>
      </c>
      <c r="T112" s="465"/>
      <c r="U112" s="185"/>
      <c r="V112" s="169"/>
      <c r="W112" s="183"/>
      <c r="X112" s="185" t="e">
        <f t="shared" si="59"/>
        <v>#N/A</v>
      </c>
      <c r="Y112" s="465"/>
      <c r="Z112" s="185"/>
      <c r="AA112" s="169"/>
      <c r="AB112" s="183"/>
      <c r="AC112" s="185" t="e">
        <f t="shared" si="60"/>
        <v>#N/A</v>
      </c>
      <c r="AD112" s="465"/>
      <c r="AE112" s="185"/>
      <c r="AF112" s="169"/>
      <c r="AG112" s="183"/>
      <c r="AH112" s="185" t="e">
        <f t="shared" si="61"/>
        <v>#N/A</v>
      </c>
      <c r="AI112" s="465"/>
      <c r="AJ112" s="185"/>
      <c r="AK112" s="169"/>
      <c r="AL112" s="183"/>
      <c r="AM112" s="185" t="e">
        <f t="shared" si="62"/>
        <v>#N/A</v>
      </c>
      <c r="AN112" s="465"/>
      <c r="AO112" s="185"/>
      <c r="AP112" s="169"/>
      <c r="AQ112" s="183"/>
      <c r="AR112" s="185" t="e">
        <f t="shared" si="63"/>
        <v>#N/A</v>
      </c>
      <c r="AS112" s="465"/>
      <c r="AT112" s="185"/>
      <c r="AU112" s="169"/>
      <c r="AV112" s="183"/>
      <c r="AW112" s="185" t="e">
        <f t="shared" si="64"/>
        <v>#N/A</v>
      </c>
      <c r="AX112" s="465"/>
    </row>
    <row r="113" spans="2:50">
      <c r="B113" s="471"/>
      <c r="C113" s="185">
        <v>7</v>
      </c>
      <c r="D113" s="206"/>
      <c r="E113" s="169"/>
      <c r="F113" s="185"/>
      <c r="G113" s="183"/>
      <c r="H113" s="452"/>
      <c r="I113" s="169" t="e">
        <f t="shared" ref="I113" si="65">AVERAGE(P113,U113,Z113,AE113,AJ113,AO113,AT113)</f>
        <v>#DIV/0!</v>
      </c>
      <c r="J113" s="169" t="e">
        <f t="shared" ref="J113" si="66">AVERAGE(Q113,V113,AA113,AF113,AK113,AP113,AU113)</f>
        <v>#DIV/0!</v>
      </c>
      <c r="K113" s="183" t="e">
        <f t="shared" ref="K113" si="67">AVERAGE(R113,W113,AB113,AG113,AL113,AQ113,AV113)</f>
        <v>#DIV/0!</v>
      </c>
      <c r="L113" s="452"/>
      <c r="M113" s="184" t="e">
        <f>RANK(K113, K$107:$K$121)</f>
        <v>#DIV/0!</v>
      </c>
      <c r="N113" s="454"/>
      <c r="O113" s="454"/>
      <c r="P113" s="185"/>
      <c r="Q113" s="169"/>
      <c r="R113" s="183"/>
      <c r="S113" s="185" t="e">
        <f t="shared" si="58"/>
        <v>#N/A</v>
      </c>
      <c r="T113" s="465"/>
      <c r="U113" s="185"/>
      <c r="V113" s="169"/>
      <c r="W113" s="183"/>
      <c r="X113" s="185" t="e">
        <f t="shared" si="59"/>
        <v>#N/A</v>
      </c>
      <c r="Y113" s="465"/>
      <c r="Z113" s="185"/>
      <c r="AA113" s="169"/>
      <c r="AB113" s="183"/>
      <c r="AC113" s="185" t="e">
        <f t="shared" si="60"/>
        <v>#N/A</v>
      </c>
      <c r="AD113" s="465"/>
      <c r="AE113" s="185"/>
      <c r="AF113" s="169"/>
      <c r="AG113" s="183"/>
      <c r="AH113" s="185" t="e">
        <f t="shared" si="61"/>
        <v>#N/A</v>
      </c>
      <c r="AI113" s="465"/>
      <c r="AJ113" s="185"/>
      <c r="AK113" s="169"/>
      <c r="AL113" s="183"/>
      <c r="AM113" s="185" t="e">
        <f t="shared" si="62"/>
        <v>#N/A</v>
      </c>
      <c r="AN113" s="465"/>
      <c r="AO113" s="185"/>
      <c r="AP113" s="169"/>
      <c r="AQ113" s="183"/>
      <c r="AR113" s="185" t="e">
        <f t="shared" si="63"/>
        <v>#N/A</v>
      </c>
      <c r="AS113" s="465"/>
      <c r="AT113" s="185"/>
      <c r="AU113" s="169"/>
      <c r="AV113" s="183"/>
      <c r="AW113" s="185" t="e">
        <f t="shared" si="64"/>
        <v>#N/A</v>
      </c>
      <c r="AX113" s="465"/>
    </row>
    <row r="114" spans="2:50">
      <c r="B114" s="471"/>
      <c r="C114" s="185">
        <v>8</v>
      </c>
      <c r="D114" s="206"/>
      <c r="E114" s="169"/>
      <c r="F114" s="185"/>
      <c r="G114" s="183"/>
      <c r="H114" s="452"/>
      <c r="I114" s="169"/>
      <c r="J114" s="169"/>
      <c r="K114" s="183"/>
      <c r="L114" s="452"/>
      <c r="M114" s="184" t="e">
        <f>RANK(K114, K$107:$K$121)</f>
        <v>#DIV/0!</v>
      </c>
      <c r="N114" s="454"/>
      <c r="O114" s="454"/>
      <c r="P114" s="185"/>
      <c r="Q114" s="169"/>
      <c r="R114" s="183"/>
      <c r="S114" s="185" t="e">
        <f t="shared" si="58"/>
        <v>#N/A</v>
      </c>
      <c r="T114" s="465"/>
      <c r="U114" s="185"/>
      <c r="V114" s="169"/>
      <c r="W114" s="183"/>
      <c r="X114" s="185" t="e">
        <f t="shared" ref="X114:X121" si="68">RANK(W114, W$107:W$121)</f>
        <v>#N/A</v>
      </c>
      <c r="Y114" s="465"/>
      <c r="Z114" s="185"/>
      <c r="AA114" s="169"/>
      <c r="AB114" s="183"/>
      <c r="AC114" s="185" t="e">
        <f t="shared" ref="AC114:AC121" si="69">RANK(AB114, AB$107:AB$121)</f>
        <v>#N/A</v>
      </c>
      <c r="AD114" s="465"/>
      <c r="AE114" s="185"/>
      <c r="AF114" s="169"/>
      <c r="AG114" s="183"/>
      <c r="AH114" s="185" t="e">
        <f t="shared" ref="AH114:AH121" si="70">RANK(AG114, AG$107:AG$121)</f>
        <v>#N/A</v>
      </c>
      <c r="AI114" s="465"/>
      <c r="AJ114" s="185"/>
      <c r="AK114" s="169"/>
      <c r="AL114" s="183"/>
      <c r="AM114" s="185" t="e">
        <f t="shared" ref="AM114:AM121" si="71">RANK(AL114, AL$107:AL$121)</f>
        <v>#N/A</v>
      </c>
      <c r="AN114" s="465"/>
      <c r="AO114" s="185"/>
      <c r="AP114" s="169"/>
      <c r="AQ114" s="183"/>
      <c r="AR114" s="185" t="e">
        <f t="shared" ref="AR114:AR121" si="72">RANK(AQ114, AQ$107:AQ$121)</f>
        <v>#N/A</v>
      </c>
      <c r="AS114" s="465"/>
      <c r="AT114" s="185"/>
      <c r="AU114" s="169"/>
      <c r="AV114" s="183"/>
      <c r="AW114" s="185" t="e">
        <f t="shared" ref="AW114:AW121" si="73">RANK(AV114, AV$107:AV$121)</f>
        <v>#N/A</v>
      </c>
      <c r="AX114" s="465"/>
    </row>
    <row r="115" spans="2:50">
      <c r="B115" s="471"/>
      <c r="C115" s="185">
        <v>9</v>
      </c>
      <c r="D115" s="206"/>
      <c r="E115" s="169"/>
      <c r="F115" s="185"/>
      <c r="G115" s="183"/>
      <c r="H115" s="452"/>
      <c r="I115" s="169"/>
      <c r="J115" s="169"/>
      <c r="K115" s="183"/>
      <c r="L115" s="452"/>
      <c r="M115" s="184" t="e">
        <f>RANK(K115, K$107:$K$121)</f>
        <v>#DIV/0!</v>
      </c>
      <c r="N115" s="454"/>
      <c r="O115" s="454"/>
      <c r="P115" s="185"/>
      <c r="Q115" s="169"/>
      <c r="R115" s="183"/>
      <c r="S115" s="185" t="e">
        <f t="shared" si="58"/>
        <v>#N/A</v>
      </c>
      <c r="T115" s="465"/>
      <c r="U115" s="185"/>
      <c r="V115" s="169"/>
      <c r="W115" s="183"/>
      <c r="X115" s="185" t="e">
        <f t="shared" si="68"/>
        <v>#N/A</v>
      </c>
      <c r="Y115" s="465"/>
      <c r="Z115" s="185"/>
      <c r="AA115" s="169"/>
      <c r="AB115" s="183"/>
      <c r="AC115" s="185" t="e">
        <f t="shared" si="69"/>
        <v>#N/A</v>
      </c>
      <c r="AD115" s="465"/>
      <c r="AE115" s="185"/>
      <c r="AF115" s="169"/>
      <c r="AG115" s="183"/>
      <c r="AH115" s="185" t="e">
        <f t="shared" si="70"/>
        <v>#N/A</v>
      </c>
      <c r="AI115" s="465"/>
      <c r="AJ115" s="185"/>
      <c r="AK115" s="169"/>
      <c r="AL115" s="183"/>
      <c r="AM115" s="185" t="e">
        <f t="shared" si="71"/>
        <v>#N/A</v>
      </c>
      <c r="AN115" s="465"/>
      <c r="AO115" s="185"/>
      <c r="AP115" s="169"/>
      <c r="AQ115" s="183"/>
      <c r="AR115" s="185" t="e">
        <f t="shared" si="72"/>
        <v>#N/A</v>
      </c>
      <c r="AS115" s="465"/>
      <c r="AT115" s="185"/>
      <c r="AU115" s="169"/>
      <c r="AV115" s="183"/>
      <c r="AW115" s="185" t="e">
        <f t="shared" si="73"/>
        <v>#N/A</v>
      </c>
      <c r="AX115" s="465"/>
    </row>
    <row r="116" spans="2:50">
      <c r="B116" s="471"/>
      <c r="C116" s="185">
        <v>10</v>
      </c>
      <c r="D116" s="206"/>
      <c r="E116" s="169"/>
      <c r="F116" s="185"/>
      <c r="G116" s="183"/>
      <c r="H116" s="452"/>
      <c r="I116" s="169"/>
      <c r="J116" s="169"/>
      <c r="K116" s="183"/>
      <c r="L116" s="452"/>
      <c r="M116" s="184" t="e">
        <f>RANK(K116, K$107:$K$121)</f>
        <v>#DIV/0!</v>
      </c>
      <c r="N116" s="454"/>
      <c r="O116" s="454"/>
      <c r="P116" s="185"/>
      <c r="Q116" s="169"/>
      <c r="R116" s="183"/>
      <c r="S116" s="185" t="e">
        <f t="shared" si="58"/>
        <v>#N/A</v>
      </c>
      <c r="T116" s="465"/>
      <c r="U116" s="185"/>
      <c r="V116" s="169"/>
      <c r="W116" s="183"/>
      <c r="X116" s="185" t="e">
        <f t="shared" si="68"/>
        <v>#N/A</v>
      </c>
      <c r="Y116" s="465"/>
      <c r="Z116" s="185"/>
      <c r="AA116" s="169"/>
      <c r="AB116" s="183"/>
      <c r="AC116" s="185" t="e">
        <f t="shared" si="69"/>
        <v>#N/A</v>
      </c>
      <c r="AD116" s="465"/>
      <c r="AE116" s="185"/>
      <c r="AF116" s="169"/>
      <c r="AG116" s="183"/>
      <c r="AH116" s="185" t="e">
        <f t="shared" si="70"/>
        <v>#N/A</v>
      </c>
      <c r="AI116" s="465"/>
      <c r="AJ116" s="185"/>
      <c r="AK116" s="169"/>
      <c r="AL116" s="183"/>
      <c r="AM116" s="185" t="e">
        <f t="shared" si="71"/>
        <v>#N/A</v>
      </c>
      <c r="AN116" s="465"/>
      <c r="AO116" s="185"/>
      <c r="AP116" s="169"/>
      <c r="AQ116" s="183"/>
      <c r="AR116" s="185" t="e">
        <f t="shared" si="72"/>
        <v>#N/A</v>
      </c>
      <c r="AS116" s="465"/>
      <c r="AT116" s="185"/>
      <c r="AU116" s="169"/>
      <c r="AV116" s="183"/>
      <c r="AW116" s="185" t="e">
        <f t="shared" si="73"/>
        <v>#N/A</v>
      </c>
      <c r="AX116" s="465"/>
    </row>
    <row r="117" spans="2:50">
      <c r="B117" s="471"/>
      <c r="C117" s="185">
        <v>11</v>
      </c>
      <c r="D117" s="206"/>
      <c r="E117" s="169"/>
      <c r="F117" s="185"/>
      <c r="G117" s="183"/>
      <c r="H117" s="452"/>
      <c r="I117" s="169"/>
      <c r="J117" s="169"/>
      <c r="K117" s="183"/>
      <c r="L117" s="452"/>
      <c r="M117" s="184" t="e">
        <f>RANK(K117, K$107:$K$121)</f>
        <v>#DIV/0!</v>
      </c>
      <c r="N117" s="454"/>
      <c r="O117" s="454"/>
      <c r="P117" s="185"/>
      <c r="Q117" s="169"/>
      <c r="R117" s="183"/>
      <c r="S117" s="185" t="e">
        <f t="shared" si="58"/>
        <v>#N/A</v>
      </c>
      <c r="T117" s="465"/>
      <c r="U117" s="185"/>
      <c r="V117" s="169"/>
      <c r="W117" s="183"/>
      <c r="X117" s="185" t="e">
        <f t="shared" si="68"/>
        <v>#N/A</v>
      </c>
      <c r="Y117" s="465"/>
      <c r="Z117" s="185"/>
      <c r="AA117" s="169"/>
      <c r="AB117" s="183"/>
      <c r="AC117" s="185" t="e">
        <f t="shared" si="69"/>
        <v>#N/A</v>
      </c>
      <c r="AD117" s="465"/>
      <c r="AE117" s="185"/>
      <c r="AF117" s="169"/>
      <c r="AG117" s="183"/>
      <c r="AH117" s="185" t="e">
        <f t="shared" si="70"/>
        <v>#N/A</v>
      </c>
      <c r="AI117" s="465"/>
      <c r="AJ117" s="185"/>
      <c r="AK117" s="169"/>
      <c r="AL117" s="183"/>
      <c r="AM117" s="185" t="e">
        <f t="shared" si="71"/>
        <v>#N/A</v>
      </c>
      <c r="AN117" s="465"/>
      <c r="AO117" s="185"/>
      <c r="AP117" s="169"/>
      <c r="AQ117" s="183"/>
      <c r="AR117" s="185" t="e">
        <f t="shared" si="72"/>
        <v>#N/A</v>
      </c>
      <c r="AS117" s="465"/>
      <c r="AT117" s="185"/>
      <c r="AU117" s="169"/>
      <c r="AV117" s="183"/>
      <c r="AW117" s="185" t="e">
        <f t="shared" si="73"/>
        <v>#N/A</v>
      </c>
      <c r="AX117" s="465"/>
    </row>
    <row r="118" spans="2:50">
      <c r="B118" s="471"/>
      <c r="C118" s="185">
        <v>12</v>
      </c>
      <c r="D118" s="206"/>
      <c r="E118" s="169"/>
      <c r="F118" s="185"/>
      <c r="G118" s="183"/>
      <c r="H118" s="452"/>
      <c r="I118" s="169"/>
      <c r="J118" s="169"/>
      <c r="K118" s="183"/>
      <c r="L118" s="452"/>
      <c r="M118" s="184" t="e">
        <f>RANK(K118, K$107:$K$121)</f>
        <v>#DIV/0!</v>
      </c>
      <c r="N118" s="454"/>
      <c r="O118" s="454"/>
      <c r="P118" s="185"/>
      <c r="Q118" s="169"/>
      <c r="R118" s="183"/>
      <c r="S118" s="185" t="e">
        <f t="shared" si="58"/>
        <v>#N/A</v>
      </c>
      <c r="T118" s="465"/>
      <c r="U118" s="185"/>
      <c r="V118" s="169"/>
      <c r="W118" s="183"/>
      <c r="X118" s="185" t="e">
        <f t="shared" si="68"/>
        <v>#N/A</v>
      </c>
      <c r="Y118" s="465"/>
      <c r="Z118" s="185"/>
      <c r="AA118" s="169"/>
      <c r="AB118" s="183"/>
      <c r="AC118" s="185" t="e">
        <f t="shared" si="69"/>
        <v>#N/A</v>
      </c>
      <c r="AD118" s="465"/>
      <c r="AE118" s="185"/>
      <c r="AF118" s="169"/>
      <c r="AG118" s="183"/>
      <c r="AH118" s="185" t="e">
        <f t="shared" si="70"/>
        <v>#N/A</v>
      </c>
      <c r="AI118" s="465"/>
      <c r="AJ118" s="185"/>
      <c r="AK118" s="169"/>
      <c r="AL118" s="183"/>
      <c r="AM118" s="185" t="e">
        <f t="shared" si="71"/>
        <v>#N/A</v>
      </c>
      <c r="AN118" s="465"/>
      <c r="AO118" s="185"/>
      <c r="AP118" s="169"/>
      <c r="AQ118" s="183"/>
      <c r="AR118" s="185" t="e">
        <f t="shared" si="72"/>
        <v>#N/A</v>
      </c>
      <c r="AS118" s="465"/>
      <c r="AT118" s="185"/>
      <c r="AU118" s="169"/>
      <c r="AV118" s="183"/>
      <c r="AW118" s="185" t="e">
        <f t="shared" si="73"/>
        <v>#N/A</v>
      </c>
      <c r="AX118" s="465"/>
    </row>
    <row r="119" spans="2:50">
      <c r="B119" s="471"/>
      <c r="C119" s="185">
        <v>13</v>
      </c>
      <c r="D119" s="206"/>
      <c r="E119" s="169"/>
      <c r="F119" s="185"/>
      <c r="G119" s="183"/>
      <c r="H119" s="452"/>
      <c r="I119" s="169"/>
      <c r="J119" s="169"/>
      <c r="K119" s="183"/>
      <c r="L119" s="452"/>
      <c r="M119" s="184" t="e">
        <f>RANK(K119, K$107:$K$121)</f>
        <v>#DIV/0!</v>
      </c>
      <c r="N119" s="454"/>
      <c r="O119" s="454"/>
      <c r="P119" s="185"/>
      <c r="Q119" s="169"/>
      <c r="R119" s="183"/>
      <c r="S119" s="185" t="e">
        <f t="shared" si="58"/>
        <v>#N/A</v>
      </c>
      <c r="T119" s="465"/>
      <c r="U119" s="185"/>
      <c r="V119" s="169"/>
      <c r="W119" s="183"/>
      <c r="X119" s="185" t="e">
        <f t="shared" si="68"/>
        <v>#N/A</v>
      </c>
      <c r="Y119" s="465"/>
      <c r="Z119" s="185"/>
      <c r="AA119" s="169"/>
      <c r="AB119" s="183"/>
      <c r="AC119" s="185" t="e">
        <f t="shared" si="69"/>
        <v>#N/A</v>
      </c>
      <c r="AD119" s="465"/>
      <c r="AE119" s="185"/>
      <c r="AF119" s="169"/>
      <c r="AG119" s="183"/>
      <c r="AH119" s="185" t="e">
        <f t="shared" si="70"/>
        <v>#N/A</v>
      </c>
      <c r="AI119" s="465"/>
      <c r="AJ119" s="185"/>
      <c r="AK119" s="169"/>
      <c r="AL119" s="183"/>
      <c r="AM119" s="185" t="e">
        <f t="shared" si="71"/>
        <v>#N/A</v>
      </c>
      <c r="AN119" s="465"/>
      <c r="AO119" s="185"/>
      <c r="AP119" s="169"/>
      <c r="AQ119" s="183"/>
      <c r="AR119" s="185" t="e">
        <f t="shared" si="72"/>
        <v>#N/A</v>
      </c>
      <c r="AS119" s="465"/>
      <c r="AT119" s="185"/>
      <c r="AU119" s="169"/>
      <c r="AV119" s="183"/>
      <c r="AW119" s="185" t="e">
        <f t="shared" si="73"/>
        <v>#N/A</v>
      </c>
      <c r="AX119" s="465"/>
    </row>
    <row r="120" spans="2:50">
      <c r="B120" s="471"/>
      <c r="C120" s="185">
        <v>14</v>
      </c>
      <c r="D120" s="206"/>
      <c r="E120" s="169"/>
      <c r="F120" s="185"/>
      <c r="G120" s="183"/>
      <c r="H120" s="452"/>
      <c r="I120" s="169"/>
      <c r="J120" s="169"/>
      <c r="K120" s="183"/>
      <c r="L120" s="452"/>
      <c r="M120" s="184" t="e">
        <f>RANK(K120, K$107:$K$121)</f>
        <v>#DIV/0!</v>
      </c>
      <c r="N120" s="454"/>
      <c r="O120" s="454"/>
      <c r="P120" s="185"/>
      <c r="Q120" s="169"/>
      <c r="R120" s="183"/>
      <c r="S120" s="185" t="e">
        <f t="shared" si="58"/>
        <v>#N/A</v>
      </c>
      <c r="T120" s="465"/>
      <c r="U120" s="185"/>
      <c r="V120" s="169"/>
      <c r="W120" s="183"/>
      <c r="X120" s="185" t="e">
        <f t="shared" si="68"/>
        <v>#N/A</v>
      </c>
      <c r="Y120" s="465"/>
      <c r="Z120" s="185"/>
      <c r="AA120" s="169"/>
      <c r="AB120" s="183"/>
      <c r="AC120" s="185" t="e">
        <f t="shared" si="69"/>
        <v>#N/A</v>
      </c>
      <c r="AD120" s="465"/>
      <c r="AE120" s="185"/>
      <c r="AF120" s="169"/>
      <c r="AG120" s="183"/>
      <c r="AH120" s="185" t="e">
        <f t="shared" si="70"/>
        <v>#N/A</v>
      </c>
      <c r="AI120" s="465"/>
      <c r="AJ120" s="185"/>
      <c r="AK120" s="169"/>
      <c r="AL120" s="183"/>
      <c r="AM120" s="185" t="e">
        <f t="shared" si="71"/>
        <v>#N/A</v>
      </c>
      <c r="AN120" s="465"/>
      <c r="AO120" s="185"/>
      <c r="AP120" s="169"/>
      <c r="AQ120" s="183"/>
      <c r="AR120" s="185" t="e">
        <f t="shared" si="72"/>
        <v>#N/A</v>
      </c>
      <c r="AS120" s="465"/>
      <c r="AT120" s="185"/>
      <c r="AU120" s="169"/>
      <c r="AV120" s="183"/>
      <c r="AW120" s="185" t="e">
        <f t="shared" si="73"/>
        <v>#N/A</v>
      </c>
      <c r="AX120" s="465"/>
    </row>
    <row r="121" spans="2:50">
      <c r="B121" s="471"/>
      <c r="C121" s="185">
        <v>15</v>
      </c>
      <c r="D121" s="206"/>
      <c r="E121" s="169"/>
      <c r="F121" s="185"/>
      <c r="G121" s="183"/>
      <c r="H121" s="453"/>
      <c r="I121" s="169"/>
      <c r="J121" s="169"/>
      <c r="K121" s="183"/>
      <c r="L121" s="453"/>
      <c r="M121" s="184" t="e">
        <f>RANK(K121, K$107:$K$121)</f>
        <v>#DIV/0!</v>
      </c>
      <c r="N121" s="454"/>
      <c r="O121" s="454"/>
      <c r="P121" s="185"/>
      <c r="Q121" s="169"/>
      <c r="R121" s="183"/>
      <c r="S121" s="185" t="e">
        <f t="shared" si="58"/>
        <v>#N/A</v>
      </c>
      <c r="T121" s="466"/>
      <c r="U121" s="185"/>
      <c r="V121" s="169"/>
      <c r="W121" s="183"/>
      <c r="X121" s="185" t="e">
        <f t="shared" si="68"/>
        <v>#N/A</v>
      </c>
      <c r="Y121" s="466"/>
      <c r="Z121" s="185"/>
      <c r="AA121" s="169"/>
      <c r="AB121" s="183"/>
      <c r="AC121" s="185" t="e">
        <f t="shared" si="69"/>
        <v>#N/A</v>
      </c>
      <c r="AD121" s="466"/>
      <c r="AE121" s="185"/>
      <c r="AF121" s="169"/>
      <c r="AG121" s="183"/>
      <c r="AH121" s="185" t="e">
        <f t="shared" si="70"/>
        <v>#N/A</v>
      </c>
      <c r="AI121" s="466"/>
      <c r="AJ121" s="185"/>
      <c r="AK121" s="169"/>
      <c r="AL121" s="183"/>
      <c r="AM121" s="185" t="e">
        <f t="shared" si="71"/>
        <v>#N/A</v>
      </c>
      <c r="AN121" s="466"/>
      <c r="AO121" s="185"/>
      <c r="AP121" s="169"/>
      <c r="AQ121" s="183"/>
      <c r="AR121" s="185" t="e">
        <f t="shared" si="72"/>
        <v>#N/A</v>
      </c>
      <c r="AS121" s="466"/>
      <c r="AT121" s="185"/>
      <c r="AU121" s="169"/>
      <c r="AV121" s="183"/>
      <c r="AW121" s="185" t="e">
        <f t="shared" si="73"/>
        <v>#N/A</v>
      </c>
      <c r="AX121" s="466"/>
    </row>
    <row r="123" spans="2:50" ht="15.75">
      <c r="B123" s="489" t="s">
        <v>247</v>
      </c>
      <c r="C123" s="490"/>
      <c r="D123" s="490"/>
      <c r="E123" s="490"/>
      <c r="F123" s="490"/>
      <c r="G123" s="490"/>
      <c r="H123" s="490"/>
      <c r="I123" s="291"/>
      <c r="J123" s="291"/>
      <c r="K123" s="291"/>
      <c r="L123" s="291"/>
      <c r="M123" s="292"/>
    </row>
    <row r="124" spans="2:50" ht="15.75">
      <c r="B124" s="491"/>
      <c r="C124" s="491"/>
      <c r="D124" s="491"/>
      <c r="E124" s="491"/>
      <c r="F124" s="491"/>
      <c r="G124" s="491"/>
      <c r="H124" s="491"/>
      <c r="I124" s="293"/>
      <c r="J124" s="293"/>
      <c r="K124" s="293"/>
      <c r="L124" s="293"/>
      <c r="M124" s="294"/>
    </row>
    <row r="125" spans="2:50">
      <c r="B125" s="454" t="s">
        <v>209</v>
      </c>
      <c r="C125" s="454" t="s">
        <v>210</v>
      </c>
      <c r="D125" s="454"/>
      <c r="E125" s="454" t="s">
        <v>211</v>
      </c>
      <c r="F125" s="454"/>
      <c r="G125" s="454"/>
      <c r="H125" s="455" t="s">
        <v>212</v>
      </c>
      <c r="I125" s="492" t="s">
        <v>213</v>
      </c>
      <c r="J125" s="492"/>
      <c r="K125" s="492"/>
      <c r="L125" s="505" t="s">
        <v>212</v>
      </c>
      <c r="M125" s="508" t="s">
        <v>214</v>
      </c>
    </row>
    <row r="126" spans="2:50">
      <c r="B126" s="454"/>
      <c r="C126" s="454"/>
      <c r="D126" s="454"/>
      <c r="E126" s="454" t="s">
        <v>217</v>
      </c>
      <c r="F126" s="454"/>
      <c r="G126" s="454"/>
      <c r="H126" s="456"/>
      <c r="I126" s="492" t="s">
        <v>217</v>
      </c>
      <c r="J126" s="492"/>
      <c r="K126" s="492"/>
      <c r="L126" s="506"/>
      <c r="M126" s="509"/>
    </row>
    <row r="127" spans="2:50">
      <c r="B127" s="454"/>
      <c r="C127" s="454"/>
      <c r="D127" s="454"/>
      <c r="E127" s="275" t="s">
        <v>219</v>
      </c>
      <c r="F127" s="275" t="s">
        <v>220</v>
      </c>
      <c r="G127" s="275" t="s">
        <v>221</v>
      </c>
      <c r="H127" s="457"/>
      <c r="I127" s="295" t="s">
        <v>219</v>
      </c>
      <c r="J127" s="295" t="s">
        <v>220</v>
      </c>
      <c r="K127" s="295" t="s">
        <v>221</v>
      </c>
      <c r="L127" s="507"/>
      <c r="M127" s="510"/>
    </row>
    <row r="128" spans="2:50">
      <c r="B128" s="454" t="s">
        <v>190</v>
      </c>
      <c r="C128" s="185">
        <v>1</v>
      </c>
      <c r="D128" s="206"/>
      <c r="E128" s="169"/>
      <c r="F128" s="185"/>
      <c r="G128" s="183"/>
      <c r="H128" s="451" t="e">
        <f>AVERAGE(G128:G142)</f>
        <v>#DIV/0!</v>
      </c>
      <c r="I128" s="169" t="e">
        <f t="shared" ref="I128:J133" si="74">AVERAGEIF($D$7:$D$121,$D128,I$7:I$121)</f>
        <v>#DIV/0!</v>
      </c>
      <c r="J128" s="169" t="e">
        <f t="shared" si="74"/>
        <v>#DIV/0!</v>
      </c>
      <c r="K128" s="169" t="e">
        <f t="shared" ref="K128:K133" si="75">AVERAGEIF($D$7:$D$121,$D128,K$7:K$121)</f>
        <v>#DIV/0!</v>
      </c>
      <c r="L128" s="502" t="e">
        <f>AVERAGE(K128:K142)</f>
        <v>#DIV/0!</v>
      </c>
      <c r="M128" s="169" t="e">
        <f>RANK(K128, K$128:$K$142)</f>
        <v>#DIV/0!</v>
      </c>
    </row>
    <row r="129" spans="2:13">
      <c r="B129" s="471"/>
      <c r="C129" s="185">
        <v>2</v>
      </c>
      <c r="D129" s="206"/>
      <c r="E129" s="169"/>
      <c r="F129" s="185"/>
      <c r="G129" s="183"/>
      <c r="H129" s="452"/>
      <c r="I129" s="169" t="e">
        <f t="shared" si="74"/>
        <v>#DIV/0!</v>
      </c>
      <c r="J129" s="169" t="e">
        <f t="shared" si="74"/>
        <v>#DIV/0!</v>
      </c>
      <c r="K129" s="169" t="e">
        <f t="shared" si="75"/>
        <v>#DIV/0!</v>
      </c>
      <c r="L129" s="503"/>
      <c r="M129" s="169" t="e">
        <f>RANK(K129, K$128:$K$142)</f>
        <v>#DIV/0!</v>
      </c>
    </row>
    <row r="130" spans="2:13">
      <c r="B130" s="471"/>
      <c r="C130" s="185">
        <v>3</v>
      </c>
      <c r="D130" s="206"/>
      <c r="E130" s="169"/>
      <c r="F130" s="185"/>
      <c r="G130" s="183"/>
      <c r="H130" s="452"/>
      <c r="I130" s="169" t="e">
        <f t="shared" si="74"/>
        <v>#DIV/0!</v>
      </c>
      <c r="J130" s="169" t="e">
        <f t="shared" si="74"/>
        <v>#DIV/0!</v>
      </c>
      <c r="K130" s="169" t="e">
        <f t="shared" si="75"/>
        <v>#DIV/0!</v>
      </c>
      <c r="L130" s="503"/>
      <c r="M130" s="169" t="e">
        <f>RANK(K130, K$128:$K$142)</f>
        <v>#DIV/0!</v>
      </c>
    </row>
    <row r="131" spans="2:13">
      <c r="B131" s="471"/>
      <c r="C131" s="185">
        <v>4</v>
      </c>
      <c r="D131" s="206"/>
      <c r="E131" s="169"/>
      <c r="F131" s="185"/>
      <c r="G131" s="183"/>
      <c r="H131" s="452"/>
      <c r="I131" s="169" t="e">
        <f t="shared" si="74"/>
        <v>#DIV/0!</v>
      </c>
      <c r="J131" s="169" t="e">
        <f t="shared" si="74"/>
        <v>#DIV/0!</v>
      </c>
      <c r="K131" s="169" t="e">
        <f t="shared" si="75"/>
        <v>#DIV/0!</v>
      </c>
      <c r="L131" s="503"/>
      <c r="M131" s="169" t="e">
        <f>RANK(K131, K$128:$K$142)</f>
        <v>#DIV/0!</v>
      </c>
    </row>
    <row r="132" spans="2:13">
      <c r="B132" s="471"/>
      <c r="C132" s="185">
        <v>5</v>
      </c>
      <c r="D132" s="206"/>
      <c r="E132" s="169"/>
      <c r="F132" s="185"/>
      <c r="G132" s="183"/>
      <c r="H132" s="452"/>
      <c r="I132" s="169" t="e">
        <f t="shared" si="74"/>
        <v>#DIV/0!</v>
      </c>
      <c r="J132" s="169" t="e">
        <f t="shared" si="74"/>
        <v>#DIV/0!</v>
      </c>
      <c r="K132" s="169" t="e">
        <f t="shared" si="75"/>
        <v>#DIV/0!</v>
      </c>
      <c r="L132" s="503"/>
      <c r="M132" s="169" t="e">
        <f>RANK(K132, K$128:$K$142)</f>
        <v>#DIV/0!</v>
      </c>
    </row>
    <row r="133" spans="2:13">
      <c r="B133" s="471"/>
      <c r="C133" s="185">
        <v>6</v>
      </c>
      <c r="D133" s="296"/>
      <c r="E133" s="169"/>
      <c r="F133" s="185"/>
      <c r="G133" s="183"/>
      <c r="H133" s="452"/>
      <c r="I133" s="169" t="e">
        <f t="shared" si="74"/>
        <v>#DIV/0!</v>
      </c>
      <c r="J133" s="169" t="e">
        <f t="shared" si="74"/>
        <v>#DIV/0!</v>
      </c>
      <c r="K133" s="169" t="e">
        <f t="shared" si="75"/>
        <v>#DIV/0!</v>
      </c>
      <c r="L133" s="503"/>
      <c r="M133" s="169" t="e">
        <f>RANK(K133, K$128:$K$142)</f>
        <v>#DIV/0!</v>
      </c>
    </row>
    <row r="134" spans="2:13">
      <c r="B134" s="471"/>
      <c r="C134" s="185">
        <v>7</v>
      </c>
      <c r="D134" s="206"/>
      <c r="E134" s="169"/>
      <c r="F134" s="185"/>
      <c r="G134" s="183"/>
      <c r="H134" s="452"/>
      <c r="I134" s="169"/>
      <c r="J134" s="169"/>
      <c r="K134" s="169"/>
      <c r="L134" s="503"/>
      <c r="M134" s="169" t="e">
        <f>RANK(K134, K$128:$K$142)</f>
        <v>#DIV/0!</v>
      </c>
    </row>
    <row r="135" spans="2:13">
      <c r="B135" s="471"/>
      <c r="C135" s="185">
        <v>8</v>
      </c>
      <c r="D135" s="206"/>
      <c r="E135" s="169"/>
      <c r="F135" s="185"/>
      <c r="G135" s="183"/>
      <c r="H135" s="452"/>
      <c r="I135" s="169"/>
      <c r="J135" s="169"/>
      <c r="K135" s="169"/>
      <c r="L135" s="503"/>
      <c r="M135" s="169" t="e">
        <f>RANK(K135, K$128:$K$142)</f>
        <v>#DIV/0!</v>
      </c>
    </row>
    <row r="136" spans="2:13">
      <c r="B136" s="471"/>
      <c r="C136" s="185">
        <v>9</v>
      </c>
      <c r="D136" s="206"/>
      <c r="E136" s="185"/>
      <c r="F136" s="185"/>
      <c r="G136" s="185"/>
      <c r="H136" s="452"/>
      <c r="I136" s="169"/>
      <c r="J136" s="169"/>
      <c r="K136" s="169"/>
      <c r="L136" s="503"/>
      <c r="M136" s="169" t="e">
        <f>RANK(K136, K$128:$K$142)</f>
        <v>#DIV/0!</v>
      </c>
    </row>
    <row r="137" spans="2:13">
      <c r="B137" s="471"/>
      <c r="C137" s="185">
        <v>10</v>
      </c>
      <c r="D137" s="206"/>
      <c r="E137" s="185"/>
      <c r="F137" s="185"/>
      <c r="G137" s="185"/>
      <c r="H137" s="452"/>
      <c r="I137" s="169"/>
      <c r="J137" s="169"/>
      <c r="K137" s="169"/>
      <c r="L137" s="503"/>
      <c r="M137" s="169" t="e">
        <f>RANK(K137, K$128:$K$142)</f>
        <v>#DIV/0!</v>
      </c>
    </row>
    <row r="138" spans="2:13">
      <c r="B138" s="471"/>
      <c r="C138" s="185">
        <v>11</v>
      </c>
      <c r="D138" s="206"/>
      <c r="E138" s="185"/>
      <c r="F138" s="185"/>
      <c r="G138" s="185"/>
      <c r="H138" s="452"/>
      <c r="I138" s="169"/>
      <c r="J138" s="169"/>
      <c r="K138" s="169"/>
      <c r="L138" s="503"/>
      <c r="M138" s="169" t="e">
        <f>RANK(K138, K$128:$K$142)</f>
        <v>#DIV/0!</v>
      </c>
    </row>
    <row r="139" spans="2:13">
      <c r="B139" s="471"/>
      <c r="C139" s="185">
        <v>12</v>
      </c>
      <c r="D139" s="206"/>
      <c r="E139" s="185"/>
      <c r="F139" s="185"/>
      <c r="G139" s="185"/>
      <c r="H139" s="452"/>
      <c r="I139" s="169"/>
      <c r="J139" s="169"/>
      <c r="K139" s="169"/>
      <c r="L139" s="503"/>
      <c r="M139" s="169" t="e">
        <f>RANK(K139, K$128:$K$142)</f>
        <v>#DIV/0!</v>
      </c>
    </row>
    <row r="140" spans="2:13">
      <c r="B140" s="471"/>
      <c r="C140" s="185">
        <v>13</v>
      </c>
      <c r="D140" s="206"/>
      <c r="E140" s="185"/>
      <c r="F140" s="185"/>
      <c r="G140" s="185"/>
      <c r="H140" s="452"/>
      <c r="I140" s="169"/>
      <c r="J140" s="169"/>
      <c r="K140" s="169"/>
      <c r="L140" s="503"/>
      <c r="M140" s="169" t="e">
        <f>RANK(K140, K$128:$K$142)</f>
        <v>#DIV/0!</v>
      </c>
    </row>
    <row r="141" spans="2:13">
      <c r="B141" s="471"/>
      <c r="C141" s="185">
        <v>14</v>
      </c>
      <c r="D141" s="206"/>
      <c r="E141" s="185"/>
      <c r="F141" s="185"/>
      <c r="G141" s="185"/>
      <c r="H141" s="452"/>
      <c r="I141" s="169"/>
      <c r="J141" s="169"/>
      <c r="K141" s="169"/>
      <c r="L141" s="503"/>
      <c r="M141" s="169" t="e">
        <f>RANK(K141, K$128:$K$142)</f>
        <v>#DIV/0!</v>
      </c>
    </row>
    <row r="142" spans="2:13">
      <c r="B142" s="471"/>
      <c r="C142" s="185">
        <v>15</v>
      </c>
      <c r="D142" s="206"/>
      <c r="E142" s="185"/>
      <c r="F142" s="185"/>
      <c r="G142" s="185"/>
      <c r="H142" s="453"/>
      <c r="I142" s="169"/>
      <c r="J142" s="169"/>
      <c r="K142" s="169"/>
      <c r="L142" s="504"/>
      <c r="M142" s="16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zoomScale="90" zoomScaleNormal="9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115"/>
    </row>
    <row r="2" spans="1:13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customHeight="1">
      <c r="A3" s="521" t="s">
        <v>338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115"/>
    </row>
    <row r="4" spans="1:13" s="116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</row>
    <row r="5" spans="1:13" s="122" customFormat="1" ht="16.350000000000001" customHeight="1">
      <c r="A5" s="532" t="s">
        <v>209</v>
      </c>
      <c r="B5" s="154">
        <v>1</v>
      </c>
      <c r="C5" s="154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532"/>
      <c r="B6" s="155" t="s">
        <v>339</v>
      </c>
      <c r="C6" s="155" t="s">
        <v>340</v>
      </c>
      <c r="D6" s="146" t="s">
        <v>341</v>
      </c>
      <c r="E6" s="146" t="s">
        <v>342</v>
      </c>
      <c r="F6" s="132" t="s">
        <v>343</v>
      </c>
      <c r="G6" s="147" t="s">
        <v>344</v>
      </c>
      <c r="H6" s="148" t="s">
        <v>345</v>
      </c>
      <c r="I6" s="147" t="s">
        <v>346</v>
      </c>
      <c r="J6" s="147" t="s">
        <v>347</v>
      </c>
      <c r="K6" s="144"/>
      <c r="L6" s="144"/>
    </row>
    <row r="7" spans="1:13" s="122" customFormat="1" ht="15.75" customHeight="1">
      <c r="A7" s="535" t="s">
        <v>131</v>
      </c>
      <c r="B7" s="535"/>
      <c r="C7" s="150" t="s">
        <v>52</v>
      </c>
      <c r="D7" s="535" t="s">
        <v>53</v>
      </c>
      <c r="E7" s="536"/>
      <c r="F7" s="536"/>
      <c r="G7" s="150" t="s">
        <v>54</v>
      </c>
      <c r="H7" s="150" t="s">
        <v>348</v>
      </c>
      <c r="I7" s="150" t="s">
        <v>349</v>
      </c>
      <c r="J7" s="202" t="s">
        <v>350</v>
      </c>
      <c r="K7" s="535" t="s">
        <v>58</v>
      </c>
      <c r="L7" s="536"/>
      <c r="M7" s="143"/>
    </row>
    <row r="8" spans="1:13" ht="15.75" customHeight="1">
      <c r="A8" s="532">
        <v>1</v>
      </c>
      <c r="B8" s="535" t="s">
        <v>222</v>
      </c>
      <c r="C8" s="123">
        <v>1</v>
      </c>
      <c r="D8" s="523" t="s">
        <v>226</v>
      </c>
      <c r="E8" s="524"/>
      <c r="F8" s="525"/>
      <c r="G8" s="145">
        <v>3</v>
      </c>
      <c r="H8" s="220">
        <v>2875.9903961584664</v>
      </c>
      <c r="I8" s="220">
        <v>958.66346538615551</v>
      </c>
      <c r="J8" s="221" t="s">
        <v>351</v>
      </c>
      <c r="K8" s="519"/>
      <c r="L8" s="520"/>
    </row>
    <row r="9" spans="1:13" ht="15.75" customHeight="1">
      <c r="A9" s="532"/>
      <c r="B9" s="535"/>
      <c r="C9" s="123">
        <v>2</v>
      </c>
      <c r="D9" s="523" t="s">
        <v>224</v>
      </c>
      <c r="E9" s="524"/>
      <c r="F9" s="525"/>
      <c r="G9" s="145">
        <v>3</v>
      </c>
      <c r="H9" s="220">
        <v>2831.2473306360193</v>
      </c>
      <c r="I9" s="220">
        <v>943.74911021200626</v>
      </c>
      <c r="J9" s="222" t="s">
        <v>352</v>
      </c>
      <c r="K9" s="513"/>
      <c r="L9" s="514"/>
    </row>
    <row r="10" spans="1:13" ht="15.75" customHeight="1">
      <c r="A10" s="532"/>
      <c r="B10" s="535"/>
      <c r="C10" s="123">
        <v>3</v>
      </c>
      <c r="D10" s="537" t="s">
        <v>353</v>
      </c>
      <c r="E10" s="538"/>
      <c r="F10" s="539"/>
      <c r="G10" s="145">
        <v>3</v>
      </c>
      <c r="H10" s="220">
        <v>2801.1734174145031</v>
      </c>
      <c r="I10" s="220">
        <v>933.72447247150103</v>
      </c>
      <c r="J10" s="222" t="s">
        <v>352</v>
      </c>
      <c r="K10" s="519"/>
      <c r="L10" s="520"/>
    </row>
    <row r="11" spans="1:13" ht="15.75" customHeight="1">
      <c r="A11" s="532"/>
      <c r="B11" s="535"/>
      <c r="C11" s="123">
        <v>4</v>
      </c>
      <c r="D11" s="523" t="s">
        <v>233</v>
      </c>
      <c r="E11" s="524"/>
      <c r="F11" s="525"/>
      <c r="G11" s="145">
        <v>3</v>
      </c>
      <c r="H11" s="220">
        <v>2792.4430240811807</v>
      </c>
      <c r="I11" s="220">
        <v>930.81434136039331</v>
      </c>
      <c r="J11" s="221" t="s">
        <v>351</v>
      </c>
      <c r="K11" s="513"/>
      <c r="L11" s="514"/>
    </row>
    <row r="12" spans="1:13" ht="15.75" customHeight="1">
      <c r="A12" s="532"/>
      <c r="B12" s="535"/>
      <c r="C12" s="123">
        <v>5</v>
      </c>
      <c r="D12" s="523" t="s">
        <v>244</v>
      </c>
      <c r="E12" s="524"/>
      <c r="F12" s="525"/>
      <c r="G12" s="145">
        <v>3</v>
      </c>
      <c r="H12" s="220">
        <v>2778.5142857142928</v>
      </c>
      <c r="I12" s="220">
        <v>926.17142857143097</v>
      </c>
      <c r="K12" s="513"/>
      <c r="L12" s="514"/>
    </row>
    <row r="13" spans="1:13" ht="15.75" customHeight="1">
      <c r="A13" s="532"/>
      <c r="B13" s="535"/>
      <c r="C13" s="153" t="s">
        <v>354</v>
      </c>
      <c r="D13" s="523" t="s">
        <v>246</v>
      </c>
      <c r="E13" s="524"/>
      <c r="F13" s="525"/>
      <c r="G13" s="145">
        <v>12</v>
      </c>
      <c r="H13" s="220">
        <v>1475.1128795581903</v>
      </c>
      <c r="I13" s="220">
        <v>122.92607329651587</v>
      </c>
      <c r="J13" s="221" t="s">
        <v>351</v>
      </c>
      <c r="K13" s="513"/>
      <c r="L13" s="514"/>
    </row>
    <row r="14" spans="1:13" ht="15.75" customHeight="1">
      <c r="A14" s="532"/>
      <c r="B14" s="535"/>
      <c r="C14" s="153" t="s">
        <v>355</v>
      </c>
      <c r="D14" s="523" t="s">
        <v>245</v>
      </c>
      <c r="E14" s="524"/>
      <c r="F14" s="525"/>
      <c r="G14" s="145">
        <v>4</v>
      </c>
      <c r="H14" s="220">
        <v>2457.071377912865</v>
      </c>
      <c r="I14" s="220">
        <v>614.26784447821626</v>
      </c>
      <c r="J14" s="221" t="s">
        <v>351</v>
      </c>
      <c r="K14" s="513"/>
      <c r="L14" s="514"/>
    </row>
    <row r="15" spans="1:13" ht="15.75" customHeight="1">
      <c r="A15" s="532"/>
      <c r="B15" s="535"/>
      <c r="C15" s="153" t="s">
        <v>356</v>
      </c>
      <c r="D15" s="523" t="s">
        <v>242</v>
      </c>
      <c r="E15" s="524"/>
      <c r="F15" s="525"/>
      <c r="G15" s="145">
        <v>4</v>
      </c>
      <c r="H15" s="220">
        <v>2477.1428571428546</v>
      </c>
      <c r="I15" s="220">
        <v>619.28571428571365</v>
      </c>
      <c r="J15" s="223" t="s">
        <v>357</v>
      </c>
      <c r="K15" s="513" t="s">
        <v>358</v>
      </c>
      <c r="L15" s="514"/>
    </row>
    <row r="16" spans="1:13" ht="15.75" customHeight="1">
      <c r="A16" s="532"/>
      <c r="B16" s="535"/>
      <c r="C16" s="153" t="s">
        <v>359</v>
      </c>
      <c r="D16" s="523" t="s">
        <v>234</v>
      </c>
      <c r="E16" s="524"/>
      <c r="F16" s="525"/>
      <c r="G16" s="145">
        <v>4</v>
      </c>
      <c r="H16" s="220">
        <v>2628.2787881032591</v>
      </c>
      <c r="I16" s="220">
        <v>657.06969702581478</v>
      </c>
      <c r="J16" s="223" t="s">
        <v>357</v>
      </c>
      <c r="K16" s="513" t="s">
        <v>360</v>
      </c>
      <c r="L16" s="514"/>
      <c r="M16" s="115"/>
    </row>
    <row r="17" spans="1:13" ht="15.75" customHeight="1">
      <c r="A17" s="532"/>
      <c r="B17" s="535"/>
      <c r="C17" s="153" t="s">
        <v>361</v>
      </c>
      <c r="D17" s="523" t="s">
        <v>239</v>
      </c>
      <c r="E17" s="524"/>
      <c r="F17" s="525"/>
      <c r="G17" s="145">
        <v>4</v>
      </c>
      <c r="H17" s="220">
        <v>2670.3428571428485</v>
      </c>
      <c r="I17" s="220">
        <v>667.58571428571213</v>
      </c>
      <c r="J17" s="223" t="s">
        <v>357</v>
      </c>
      <c r="K17" s="513" t="s">
        <v>358</v>
      </c>
      <c r="L17" s="514"/>
      <c r="M17" s="115"/>
    </row>
    <row r="18" spans="1:13" s="120" customFormat="1" ht="15.75" customHeight="1">
      <c r="A18" s="528" t="s">
        <v>131</v>
      </c>
      <c r="B18" s="528"/>
      <c r="C18" s="262" t="s">
        <v>52</v>
      </c>
      <c r="D18" s="529" t="s">
        <v>53</v>
      </c>
      <c r="E18" s="530"/>
      <c r="F18" s="531"/>
      <c r="G18" s="262" t="s">
        <v>54</v>
      </c>
      <c r="H18" s="262" t="s">
        <v>348</v>
      </c>
      <c r="I18" s="262" t="s">
        <v>349</v>
      </c>
      <c r="J18" s="202" t="s">
        <v>350</v>
      </c>
      <c r="K18" s="529" t="s">
        <v>58</v>
      </c>
      <c r="L18" s="531"/>
      <c r="M18" s="144"/>
    </row>
    <row r="19" spans="1:13" ht="15.75" customHeight="1">
      <c r="A19" s="532">
        <v>2</v>
      </c>
      <c r="B19" s="535" t="s">
        <v>340</v>
      </c>
      <c r="C19" s="123">
        <v>1</v>
      </c>
      <c r="D19" s="523" t="s">
        <v>254</v>
      </c>
      <c r="E19" s="524"/>
      <c r="F19" s="525"/>
      <c r="G19" s="145">
        <v>5</v>
      </c>
      <c r="H19" s="220">
        <v>1521.8019361590784</v>
      </c>
      <c r="I19" s="220">
        <v>304.36038723181571</v>
      </c>
      <c r="J19" s="222" t="s">
        <v>352</v>
      </c>
      <c r="K19" s="511"/>
      <c r="L19" s="512"/>
      <c r="M19" s="115"/>
    </row>
    <row r="20" spans="1:13" ht="15.75" customHeight="1">
      <c r="A20" s="532"/>
      <c r="B20" s="535"/>
      <c r="C20" s="123">
        <v>2</v>
      </c>
      <c r="D20" s="523" t="s">
        <v>255</v>
      </c>
      <c r="E20" s="524"/>
      <c r="F20" s="525"/>
      <c r="G20" s="145">
        <v>5</v>
      </c>
      <c r="H20" s="220">
        <v>1488.2362764052257</v>
      </c>
      <c r="I20" s="220">
        <v>297.64725528104509</v>
      </c>
      <c r="J20" s="223" t="s">
        <v>357</v>
      </c>
      <c r="K20" s="517" t="s">
        <v>360</v>
      </c>
      <c r="L20" s="518"/>
      <c r="M20" s="115"/>
    </row>
    <row r="21" spans="1:13" ht="15.75" customHeight="1">
      <c r="A21" s="532"/>
      <c r="B21" s="535"/>
      <c r="C21" s="123">
        <v>3</v>
      </c>
      <c r="D21" s="523" t="s">
        <v>256</v>
      </c>
      <c r="E21" s="524"/>
      <c r="F21" s="525"/>
      <c r="G21" s="220">
        <v>5</v>
      </c>
      <c r="H21" s="220">
        <v>1475.0925175956061</v>
      </c>
      <c r="I21" s="220">
        <v>295.01850351912117</v>
      </c>
      <c r="J21" s="221" t="s">
        <v>351</v>
      </c>
      <c r="K21" s="511"/>
      <c r="L21" s="512"/>
      <c r="M21" s="115"/>
    </row>
    <row r="22" spans="1:13" ht="15.75" customHeight="1">
      <c r="A22" s="532"/>
      <c r="B22" s="535"/>
      <c r="C22" s="123">
        <v>4</v>
      </c>
      <c r="D22" s="523" t="s">
        <v>252</v>
      </c>
      <c r="E22" s="524"/>
      <c r="F22" s="525"/>
      <c r="G22" s="220">
        <v>12.142857142857142</v>
      </c>
      <c r="H22" s="220">
        <v>1781.6909090909101</v>
      </c>
      <c r="I22" s="220">
        <v>146.74774669774678</v>
      </c>
      <c r="J22" s="221" t="s">
        <v>351</v>
      </c>
      <c r="K22" s="526"/>
      <c r="L22" s="527"/>
      <c r="M22" s="115"/>
    </row>
    <row r="23" spans="1:13" ht="15.75" customHeight="1">
      <c r="A23" s="532"/>
      <c r="B23" s="535"/>
      <c r="C23" s="123">
        <v>5</v>
      </c>
      <c r="D23" s="523" t="s">
        <v>253</v>
      </c>
      <c r="E23" s="524"/>
      <c r="F23" s="525"/>
      <c r="G23" s="220">
        <v>12.142857142857142</v>
      </c>
      <c r="H23" s="220">
        <v>1745.9203463203469</v>
      </c>
      <c r="I23" s="220">
        <v>143.90325230325234</v>
      </c>
      <c r="J23" s="221" t="s">
        <v>351</v>
      </c>
      <c r="K23" s="526"/>
      <c r="L23" s="527"/>
      <c r="M23" s="115"/>
    </row>
    <row r="24" spans="1:13" ht="15.75" customHeight="1">
      <c r="A24" s="532"/>
      <c r="B24" s="535"/>
      <c r="C24" s="153" t="s">
        <v>354</v>
      </c>
      <c r="D24" s="523" t="s">
        <v>251</v>
      </c>
      <c r="E24" s="524"/>
      <c r="F24" s="525"/>
      <c r="G24" s="220">
        <v>10</v>
      </c>
      <c r="H24" s="220">
        <v>828.64042876089718</v>
      </c>
      <c r="I24" s="220">
        <v>82.864042876089712</v>
      </c>
      <c r="J24" s="221" t="s">
        <v>351</v>
      </c>
      <c r="K24" s="515"/>
      <c r="L24" s="516"/>
      <c r="M24" s="115"/>
    </row>
    <row r="25" spans="1:13" ht="15.75" customHeight="1">
      <c r="A25" s="532"/>
      <c r="B25" s="535"/>
      <c r="C25" s="153" t="s">
        <v>355</v>
      </c>
      <c r="D25" s="523" t="s">
        <v>258</v>
      </c>
      <c r="E25" s="524"/>
      <c r="F25" s="525"/>
      <c r="G25" s="220">
        <v>12.857142857142858</v>
      </c>
      <c r="H25" s="220">
        <v>1188.841295546559</v>
      </c>
      <c r="I25" s="220">
        <v>92.518645726742903</v>
      </c>
      <c r="J25" s="221" t="s">
        <v>351</v>
      </c>
      <c r="K25" s="515"/>
      <c r="L25" s="516"/>
      <c r="M25" s="115"/>
    </row>
    <row r="26" spans="1:13" ht="15.75" customHeight="1">
      <c r="A26" s="532"/>
      <c r="B26" s="535"/>
      <c r="C26" s="153" t="s">
        <v>356</v>
      </c>
      <c r="D26" s="523" t="s">
        <v>257</v>
      </c>
      <c r="E26" s="524"/>
      <c r="F26" s="525"/>
      <c r="G26" s="220">
        <v>12.857142857142858</v>
      </c>
      <c r="H26" s="220">
        <v>1213.2108843537419</v>
      </c>
      <c r="I26" s="220">
        <v>94.447933019361599</v>
      </c>
      <c r="J26" s="221" t="s">
        <v>351</v>
      </c>
      <c r="K26" s="515"/>
      <c r="L26" s="516"/>
      <c r="M26" s="115"/>
    </row>
    <row r="27" spans="1:13" ht="15.75" customHeight="1">
      <c r="A27" s="532"/>
      <c r="B27" s="535"/>
      <c r="C27" s="153" t="s">
        <v>359</v>
      </c>
      <c r="D27" s="523"/>
      <c r="E27" s="524"/>
      <c r="F27" s="525"/>
      <c r="G27" s="145"/>
      <c r="H27" s="220"/>
      <c r="I27" s="220"/>
      <c r="J27" s="152"/>
      <c r="K27" s="533"/>
      <c r="L27" s="534"/>
      <c r="M27" s="115"/>
    </row>
    <row r="28" spans="1:13" ht="15.75" customHeight="1">
      <c r="A28" s="532"/>
      <c r="B28" s="535"/>
      <c r="C28" s="153" t="s">
        <v>361</v>
      </c>
      <c r="D28" s="523"/>
      <c r="E28" s="524"/>
      <c r="F28" s="525"/>
      <c r="G28" s="145"/>
      <c r="H28" s="220"/>
      <c r="I28" s="220"/>
      <c r="J28" s="152"/>
      <c r="K28" s="533"/>
      <c r="L28" s="534"/>
      <c r="M28" s="115"/>
    </row>
  </sheetData>
  <mergeCells count="53"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K27:L27"/>
    <mergeCell ref="D22:F22"/>
    <mergeCell ref="D24:F24"/>
    <mergeCell ref="D25:F25"/>
    <mergeCell ref="D26:F26"/>
    <mergeCell ref="D23:F23"/>
    <mergeCell ref="A3:L4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D28:F28"/>
    <mergeCell ref="K8:L8"/>
    <mergeCell ref="K9:L9"/>
    <mergeCell ref="K10:L10"/>
    <mergeCell ref="K16:L16"/>
    <mergeCell ref="K17:L17"/>
    <mergeCell ref="K11:L11"/>
    <mergeCell ref="K12:L12"/>
    <mergeCell ref="K13:L13"/>
    <mergeCell ref="K14:L14"/>
    <mergeCell ref="K21:L21"/>
    <mergeCell ref="K15:L15"/>
    <mergeCell ref="K25:L25"/>
    <mergeCell ref="K26:L26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115"/>
    </row>
    <row r="2" spans="1:13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customHeight="1">
      <c r="A3" s="521" t="s">
        <v>338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115"/>
    </row>
    <row r="4" spans="1:13" s="116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</row>
    <row r="5" spans="1:13" s="122" customFormat="1" ht="16.350000000000001" customHeight="1">
      <c r="A5" s="532" t="s">
        <v>209</v>
      </c>
      <c r="B5" s="145">
        <v>1</v>
      </c>
      <c r="C5" s="145">
        <v>2</v>
      </c>
      <c r="D5" s="154">
        <v>3</v>
      </c>
      <c r="E5" s="154">
        <v>4</v>
      </c>
      <c r="F5" s="145">
        <v>5</v>
      </c>
      <c r="G5" s="145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3" ht="16.350000000000001" customHeight="1">
      <c r="A6" s="532"/>
      <c r="B6" s="146" t="s">
        <v>339</v>
      </c>
      <c r="C6" s="146" t="s">
        <v>340</v>
      </c>
      <c r="D6" s="155" t="s">
        <v>341</v>
      </c>
      <c r="E6" s="155" t="s">
        <v>342</v>
      </c>
      <c r="F6" s="132" t="s">
        <v>343</v>
      </c>
      <c r="G6" s="147" t="s">
        <v>344</v>
      </c>
      <c r="H6" s="148" t="s">
        <v>345</v>
      </c>
      <c r="I6" s="147" t="s">
        <v>346</v>
      </c>
      <c r="J6" s="147" t="s">
        <v>347</v>
      </c>
      <c r="K6" s="144"/>
      <c r="L6" s="144"/>
    </row>
    <row r="7" spans="1:13" s="122" customFormat="1" ht="15.75" customHeight="1">
      <c r="A7" s="535" t="s">
        <v>131</v>
      </c>
      <c r="B7" s="535"/>
      <c r="C7" s="150" t="s">
        <v>52</v>
      </c>
      <c r="D7" s="535" t="s">
        <v>53</v>
      </c>
      <c r="E7" s="536"/>
      <c r="F7" s="536"/>
      <c r="G7" s="150" t="s">
        <v>54</v>
      </c>
      <c r="H7" s="150" t="s">
        <v>348</v>
      </c>
      <c r="I7" s="150" t="s">
        <v>362</v>
      </c>
      <c r="J7" s="202" t="s">
        <v>350</v>
      </c>
      <c r="K7" s="535" t="s">
        <v>58</v>
      </c>
      <c r="L7" s="536"/>
      <c r="M7" s="143"/>
    </row>
    <row r="8" spans="1:13" ht="15.75" customHeight="1">
      <c r="A8" s="532">
        <v>3</v>
      </c>
      <c r="B8" s="535" t="s">
        <v>363</v>
      </c>
      <c r="C8" s="123">
        <v>1</v>
      </c>
      <c r="D8" s="541" t="s">
        <v>261</v>
      </c>
      <c r="E8" s="542"/>
      <c r="F8" s="543"/>
      <c r="G8" s="220">
        <v>4</v>
      </c>
      <c r="H8" s="220">
        <v>2127.8218923933273</v>
      </c>
      <c r="I8" s="220">
        <v>531.95547309833182</v>
      </c>
      <c r="J8" s="224" t="s">
        <v>364</v>
      </c>
      <c r="K8" s="515"/>
      <c r="L8" s="516"/>
    </row>
    <row r="9" spans="1:13" ht="15.75" customHeight="1">
      <c r="A9" s="532"/>
      <c r="B9" s="535"/>
      <c r="C9" s="123">
        <v>2</v>
      </c>
      <c r="D9" s="541" t="s">
        <v>260</v>
      </c>
      <c r="E9" s="542"/>
      <c r="F9" s="543"/>
      <c r="G9" s="220">
        <v>4</v>
      </c>
      <c r="H9" s="220">
        <v>2033.8080495356085</v>
      </c>
      <c r="I9" s="220">
        <v>508.45201238390212</v>
      </c>
      <c r="J9" s="224" t="s">
        <v>364</v>
      </c>
      <c r="K9" s="515"/>
      <c r="L9" s="516"/>
    </row>
    <row r="10" spans="1:13" ht="15.75" customHeight="1">
      <c r="A10" s="532"/>
      <c r="B10" s="535"/>
      <c r="C10" s="123">
        <v>3</v>
      </c>
      <c r="D10" s="541" t="s">
        <v>269</v>
      </c>
      <c r="E10" s="542"/>
      <c r="F10" s="543"/>
      <c r="G10" s="220">
        <v>4</v>
      </c>
      <c r="H10" s="220">
        <v>1823.6904761904825</v>
      </c>
      <c r="I10" s="220">
        <v>455.92261904762063</v>
      </c>
      <c r="J10" s="224" t="s">
        <v>364</v>
      </c>
      <c r="K10" s="515"/>
      <c r="L10" s="516"/>
    </row>
    <row r="11" spans="1:13" ht="15.75" customHeight="1">
      <c r="A11" s="532"/>
      <c r="B11" s="535"/>
      <c r="C11" s="123">
        <v>4</v>
      </c>
      <c r="D11" s="541" t="s">
        <v>266</v>
      </c>
      <c r="E11" s="542"/>
      <c r="F11" s="543"/>
      <c r="G11" s="220">
        <v>9</v>
      </c>
      <c r="H11" s="220">
        <v>2000.8235294117651</v>
      </c>
      <c r="I11" s="220">
        <v>222.31372549019611</v>
      </c>
      <c r="J11" s="224" t="s">
        <v>364</v>
      </c>
      <c r="K11" s="515"/>
      <c r="L11" s="516"/>
    </row>
    <row r="12" spans="1:13" ht="15.75" customHeight="1">
      <c r="A12" s="532"/>
      <c r="B12" s="535"/>
      <c r="C12" s="123">
        <v>5</v>
      </c>
      <c r="D12" s="541" t="s">
        <v>267</v>
      </c>
      <c r="E12" s="542"/>
      <c r="F12" s="543"/>
      <c r="G12" s="220">
        <v>9.7142857142857135</v>
      </c>
      <c r="H12" s="220">
        <v>1985.042697696583</v>
      </c>
      <c r="I12" s="220">
        <v>204.81878114959022</v>
      </c>
      <c r="J12" s="224" t="s">
        <v>364</v>
      </c>
      <c r="K12" s="515"/>
      <c r="L12" s="516"/>
    </row>
    <row r="13" spans="1:13" ht="15.75" customHeight="1">
      <c r="A13" s="532"/>
      <c r="B13" s="535"/>
      <c r="C13" s="153" t="s">
        <v>354</v>
      </c>
      <c r="D13" s="541" t="s">
        <v>268</v>
      </c>
      <c r="E13" s="542"/>
      <c r="F13" s="543"/>
      <c r="G13" s="220">
        <v>18</v>
      </c>
      <c r="H13" s="220">
        <v>1239.7564927251981</v>
      </c>
      <c r="I13" s="220">
        <v>68.875360706955448</v>
      </c>
      <c r="J13" s="224" t="s">
        <v>364</v>
      </c>
      <c r="K13" s="541"/>
      <c r="L13" s="543"/>
    </row>
    <row r="14" spans="1:13" ht="15.75" customHeight="1">
      <c r="A14" s="532"/>
      <c r="B14" s="535"/>
      <c r="C14" s="153" t="s">
        <v>355</v>
      </c>
      <c r="D14" s="541" t="s">
        <v>265</v>
      </c>
      <c r="E14" s="542"/>
      <c r="F14" s="543"/>
      <c r="G14" s="145">
        <v>13</v>
      </c>
      <c r="H14" s="220">
        <v>1995.2534037702651</v>
      </c>
      <c r="I14" s="220">
        <v>153.48103105925117</v>
      </c>
      <c r="J14" s="224" t="s">
        <v>364</v>
      </c>
      <c r="K14" s="533"/>
      <c r="L14" s="534"/>
    </row>
    <row r="15" spans="1:13" ht="15.75" customHeight="1">
      <c r="A15" s="532"/>
      <c r="B15" s="535"/>
      <c r="C15" s="153" t="s">
        <v>356</v>
      </c>
      <c r="D15" s="541" t="s">
        <v>262</v>
      </c>
      <c r="E15" s="542"/>
      <c r="F15" s="543"/>
      <c r="G15" s="220">
        <v>12</v>
      </c>
      <c r="H15" s="220">
        <v>1974.5452006889707</v>
      </c>
      <c r="I15" s="220">
        <v>164.54543339074758</v>
      </c>
      <c r="J15" s="224" t="s">
        <v>364</v>
      </c>
      <c r="K15" s="515"/>
      <c r="L15" s="516"/>
    </row>
    <row r="16" spans="1:13" ht="15.75" customHeight="1">
      <c r="A16" s="532"/>
      <c r="B16" s="535"/>
      <c r="C16" s="153" t="s">
        <v>359</v>
      </c>
      <c r="D16" s="541" t="s">
        <v>264</v>
      </c>
      <c r="E16" s="542"/>
      <c r="F16" s="543"/>
      <c r="G16" s="220">
        <v>11</v>
      </c>
      <c r="H16" s="220">
        <v>1976.4496977014664</v>
      </c>
      <c r="I16" s="220">
        <v>179.67724524558784</v>
      </c>
      <c r="J16" s="223" t="s">
        <v>357</v>
      </c>
      <c r="K16" s="515"/>
      <c r="L16" s="516"/>
      <c r="M16" s="115"/>
    </row>
    <row r="17" spans="1:13" ht="15.75" customHeight="1">
      <c r="A17" s="532"/>
      <c r="B17" s="535"/>
      <c r="C17" s="153" t="s">
        <v>361</v>
      </c>
      <c r="D17" s="541" t="s">
        <v>365</v>
      </c>
      <c r="E17" s="542"/>
      <c r="F17" s="543"/>
      <c r="G17" s="220">
        <v>11</v>
      </c>
      <c r="H17" s="220">
        <v>2081.7061412463959</v>
      </c>
      <c r="I17" s="220">
        <v>189.24601284058144</v>
      </c>
      <c r="J17" s="222" t="s">
        <v>352</v>
      </c>
      <c r="K17" s="515"/>
      <c r="L17" s="516"/>
      <c r="M17" s="115"/>
    </row>
    <row r="18" spans="1:13" s="120" customFormat="1" ht="15.75" customHeight="1">
      <c r="A18" s="528" t="s">
        <v>131</v>
      </c>
      <c r="B18" s="528"/>
      <c r="C18" s="262" t="s">
        <v>52</v>
      </c>
      <c r="D18" s="529" t="s">
        <v>53</v>
      </c>
      <c r="E18" s="530"/>
      <c r="F18" s="531"/>
      <c r="G18" s="262" t="s">
        <v>54</v>
      </c>
      <c r="H18" s="262" t="s">
        <v>348</v>
      </c>
      <c r="I18" s="262" t="s">
        <v>349</v>
      </c>
      <c r="J18" s="202" t="s">
        <v>350</v>
      </c>
      <c r="K18" s="529" t="s">
        <v>58</v>
      </c>
      <c r="L18" s="531"/>
      <c r="M18" s="144"/>
    </row>
    <row r="19" spans="1:13" ht="15.75" customHeight="1">
      <c r="A19" s="532">
        <v>4</v>
      </c>
      <c r="B19" s="535" t="s">
        <v>342</v>
      </c>
      <c r="C19" s="123">
        <v>1</v>
      </c>
      <c r="D19" s="541" t="s">
        <v>366</v>
      </c>
      <c r="E19" s="542"/>
      <c r="F19" s="543"/>
      <c r="G19" s="225">
        <v>12.714285714285714</v>
      </c>
      <c r="H19" s="225">
        <v>1477.5635697635703</v>
      </c>
      <c r="I19" s="225">
        <v>116.54139194139195</v>
      </c>
      <c r="J19" s="222" t="s">
        <v>352</v>
      </c>
      <c r="K19" s="533"/>
      <c r="L19" s="534"/>
      <c r="M19" s="115"/>
    </row>
    <row r="20" spans="1:13" ht="15.75" customHeight="1">
      <c r="A20" s="532"/>
      <c r="B20" s="535"/>
      <c r="C20" s="123">
        <v>2</v>
      </c>
      <c r="D20" s="541"/>
      <c r="E20" s="542"/>
      <c r="F20" s="543"/>
      <c r="G20" s="152"/>
      <c r="H20" s="152"/>
      <c r="I20" s="152"/>
      <c r="J20" s="152"/>
      <c r="K20" s="533"/>
      <c r="L20" s="534"/>
      <c r="M20" s="115"/>
    </row>
    <row r="21" spans="1:13" ht="15.75" customHeight="1">
      <c r="A21" s="532"/>
      <c r="B21" s="535"/>
      <c r="C21" s="123">
        <v>3</v>
      </c>
      <c r="D21" s="533"/>
      <c r="E21" s="540"/>
      <c r="F21" s="534"/>
      <c r="G21" s="152"/>
      <c r="H21" s="152"/>
      <c r="I21" s="152"/>
      <c r="J21" s="152"/>
      <c r="K21" s="533"/>
      <c r="L21" s="534"/>
      <c r="M21" s="115"/>
    </row>
    <row r="22" spans="1:13" ht="15.75" customHeight="1">
      <c r="A22" s="532"/>
      <c r="B22" s="535"/>
      <c r="C22" s="123">
        <v>4</v>
      </c>
      <c r="D22" s="533"/>
      <c r="E22" s="540"/>
      <c r="F22" s="534"/>
      <c r="G22" s="152"/>
      <c r="H22" s="152"/>
      <c r="I22" s="152"/>
      <c r="J22" s="152"/>
      <c r="K22" s="533"/>
      <c r="L22" s="534"/>
      <c r="M22" s="115"/>
    </row>
    <row r="23" spans="1:13" ht="15.75" customHeight="1">
      <c r="A23" s="532"/>
      <c r="B23" s="535"/>
      <c r="C23" s="123">
        <v>5</v>
      </c>
      <c r="D23" s="533"/>
      <c r="E23" s="540"/>
      <c r="F23" s="534"/>
      <c r="G23" s="152"/>
      <c r="H23" s="152"/>
      <c r="I23" s="152"/>
      <c r="J23" s="152"/>
      <c r="K23" s="533"/>
      <c r="L23" s="534"/>
      <c r="M23" s="115"/>
    </row>
    <row r="24" spans="1:13" ht="15.75" customHeight="1">
      <c r="A24" s="532"/>
      <c r="B24" s="535"/>
      <c r="C24" s="153" t="s">
        <v>354</v>
      </c>
      <c r="D24" s="541" t="s">
        <v>367</v>
      </c>
      <c r="E24" s="542"/>
      <c r="F24" s="543"/>
      <c r="G24" s="225">
        <v>12.714285714285714</v>
      </c>
      <c r="H24" s="225">
        <v>1433.1428571428582</v>
      </c>
      <c r="I24" s="225">
        <v>113.25474525474533</v>
      </c>
      <c r="J24" s="223" t="s">
        <v>357</v>
      </c>
      <c r="K24" s="544" t="s">
        <v>368</v>
      </c>
      <c r="L24" s="545"/>
      <c r="M24" s="115"/>
    </row>
    <row r="25" spans="1:13" ht="15.75" customHeight="1">
      <c r="A25" s="532"/>
      <c r="B25" s="535"/>
      <c r="C25" s="153" t="s">
        <v>355</v>
      </c>
      <c r="D25" s="533"/>
      <c r="E25" s="540"/>
      <c r="F25" s="534"/>
      <c r="G25" s="152"/>
      <c r="H25" s="152"/>
      <c r="I25" s="152"/>
      <c r="J25" s="152"/>
      <c r="K25" s="533"/>
      <c r="L25" s="534"/>
      <c r="M25" s="115"/>
    </row>
    <row r="26" spans="1:13" ht="15.75" customHeight="1">
      <c r="A26" s="532"/>
      <c r="B26" s="535"/>
      <c r="C26" s="153" t="s">
        <v>356</v>
      </c>
      <c r="D26" s="533"/>
      <c r="E26" s="540"/>
      <c r="F26" s="534"/>
      <c r="G26" s="152"/>
      <c r="H26" s="152"/>
      <c r="I26" s="152"/>
      <c r="J26" s="152"/>
      <c r="K26" s="533"/>
      <c r="L26" s="534"/>
      <c r="M26" s="115"/>
    </row>
    <row r="27" spans="1:13" ht="15.75" customHeight="1">
      <c r="A27" s="532"/>
      <c r="B27" s="535"/>
      <c r="C27" s="153" t="s">
        <v>359</v>
      </c>
      <c r="D27" s="533"/>
      <c r="E27" s="540"/>
      <c r="F27" s="534"/>
      <c r="G27" s="152"/>
      <c r="H27" s="152"/>
      <c r="I27" s="152"/>
      <c r="J27" s="152"/>
      <c r="K27" s="533"/>
      <c r="L27" s="534"/>
      <c r="M27" s="115"/>
    </row>
    <row r="28" spans="1:13" ht="15.75" customHeight="1">
      <c r="A28" s="532"/>
      <c r="B28" s="535"/>
      <c r="C28" s="153" t="s">
        <v>361</v>
      </c>
      <c r="D28" s="533"/>
      <c r="E28" s="540"/>
      <c r="F28" s="534"/>
      <c r="G28" s="152"/>
      <c r="H28" s="152"/>
      <c r="I28" s="152"/>
      <c r="J28" s="152"/>
      <c r="K28" s="533"/>
      <c r="L28" s="534"/>
      <c r="M28" s="115"/>
    </row>
  </sheetData>
  <mergeCells count="53"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8"/>
    <mergeCell ref="K9:L9"/>
    <mergeCell ref="K10:L10"/>
    <mergeCell ref="A18:B18"/>
    <mergeCell ref="D18:F18"/>
    <mergeCell ref="K18:L18"/>
    <mergeCell ref="K22:L22"/>
    <mergeCell ref="D23:F23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115"/>
    </row>
    <row r="2" spans="1:18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8" ht="15.75" customHeight="1">
      <c r="A3" s="521" t="s">
        <v>338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115"/>
    </row>
    <row r="4" spans="1:18" s="116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</row>
    <row r="5" spans="1:18" s="122" customFormat="1" ht="16.350000000000001" customHeight="1">
      <c r="A5" s="532" t="s">
        <v>209</v>
      </c>
      <c r="B5" s="145">
        <v>1</v>
      </c>
      <c r="C5" s="145">
        <v>2</v>
      </c>
      <c r="D5" s="145">
        <v>3</v>
      </c>
      <c r="E5" s="145">
        <v>4</v>
      </c>
      <c r="F5" s="154">
        <v>5</v>
      </c>
      <c r="G5" s="154">
        <v>6</v>
      </c>
      <c r="H5" s="145">
        <v>7</v>
      </c>
      <c r="I5" s="145">
        <v>8</v>
      </c>
      <c r="J5" s="145">
        <v>9</v>
      </c>
      <c r="K5" s="143"/>
      <c r="L5" s="143"/>
      <c r="M5" s="143"/>
    </row>
    <row r="6" spans="1:18" ht="16.350000000000001" customHeight="1">
      <c r="A6" s="532"/>
      <c r="B6" s="146" t="s">
        <v>339</v>
      </c>
      <c r="C6" s="146" t="s">
        <v>340</v>
      </c>
      <c r="D6" s="146" t="s">
        <v>341</v>
      </c>
      <c r="E6" s="146" t="s">
        <v>342</v>
      </c>
      <c r="F6" s="156" t="s">
        <v>343</v>
      </c>
      <c r="G6" s="157" t="s">
        <v>344</v>
      </c>
      <c r="H6" s="148" t="s">
        <v>345</v>
      </c>
      <c r="I6" s="147" t="s">
        <v>346</v>
      </c>
      <c r="J6" s="147" t="s">
        <v>347</v>
      </c>
      <c r="K6" s="144"/>
      <c r="L6" s="144"/>
    </row>
    <row r="7" spans="1:18" s="122" customFormat="1" ht="15.75" customHeight="1">
      <c r="A7" s="535" t="s">
        <v>131</v>
      </c>
      <c r="B7" s="535"/>
      <c r="C7" s="150" t="s">
        <v>52</v>
      </c>
      <c r="D7" s="535" t="s">
        <v>53</v>
      </c>
      <c r="E7" s="536"/>
      <c r="F7" s="536"/>
      <c r="G7" s="150" t="s">
        <v>54</v>
      </c>
      <c r="H7" s="150" t="s">
        <v>348</v>
      </c>
      <c r="I7" s="150" t="s">
        <v>349</v>
      </c>
      <c r="J7" s="202" t="s">
        <v>350</v>
      </c>
      <c r="K7" s="535" t="s">
        <v>58</v>
      </c>
      <c r="L7" s="536"/>
      <c r="M7" s="143"/>
    </row>
    <row r="8" spans="1:18" ht="15.75" customHeight="1">
      <c r="A8" s="532">
        <v>5</v>
      </c>
      <c r="B8" s="535" t="s">
        <v>343</v>
      </c>
      <c r="C8" s="123">
        <v>1</v>
      </c>
      <c r="D8" s="546" t="s">
        <v>369</v>
      </c>
      <c r="E8" s="547"/>
      <c r="F8" s="548"/>
      <c r="G8" s="225">
        <v>6</v>
      </c>
      <c r="H8" s="225">
        <v>1481.7615843750823</v>
      </c>
      <c r="I8" s="225">
        <v>246.96026406251369</v>
      </c>
      <c r="J8" s="224" t="s">
        <v>364</v>
      </c>
      <c r="K8" s="562"/>
      <c r="L8" s="550"/>
      <c r="P8" s="235"/>
      <c r="Q8" s="235"/>
      <c r="R8" s="235"/>
    </row>
    <row r="9" spans="1:18" ht="15.75" customHeight="1">
      <c r="A9" s="532"/>
      <c r="B9" s="535"/>
      <c r="C9" s="123">
        <v>2</v>
      </c>
      <c r="D9" s="546" t="s">
        <v>370</v>
      </c>
      <c r="E9" s="547"/>
      <c r="F9" s="548"/>
      <c r="G9" s="225">
        <v>6</v>
      </c>
      <c r="H9" s="225">
        <v>1478.933187615409</v>
      </c>
      <c r="I9" s="225">
        <v>246.48886460256816</v>
      </c>
      <c r="J9" s="224" t="s">
        <v>364</v>
      </c>
      <c r="K9" s="549"/>
      <c r="L9" s="550"/>
      <c r="P9" s="235"/>
      <c r="Q9" s="235"/>
      <c r="R9" s="235"/>
    </row>
    <row r="10" spans="1:18" ht="15.75" customHeight="1">
      <c r="A10" s="532"/>
      <c r="B10" s="535"/>
      <c r="C10" s="123">
        <v>3</v>
      </c>
      <c r="D10" s="546" t="s">
        <v>371</v>
      </c>
      <c r="E10" s="547"/>
      <c r="F10" s="548"/>
      <c r="G10" s="225">
        <v>16.571428571428573</v>
      </c>
      <c r="H10" s="225">
        <v>1397.5233129290775</v>
      </c>
      <c r="I10" s="225">
        <v>84.411946296362473</v>
      </c>
      <c r="J10" s="224" t="s">
        <v>364</v>
      </c>
      <c r="K10" s="549"/>
      <c r="L10" s="550"/>
      <c r="P10" s="235"/>
      <c r="Q10" s="235"/>
      <c r="R10" s="235"/>
    </row>
    <row r="11" spans="1:18" ht="15.75" customHeight="1">
      <c r="A11" s="532"/>
      <c r="B11" s="535"/>
      <c r="C11" s="123">
        <v>4</v>
      </c>
      <c r="D11" s="546" t="s">
        <v>372</v>
      </c>
      <c r="E11" s="547"/>
      <c r="F11" s="548"/>
      <c r="G11" s="225">
        <v>15.5</v>
      </c>
      <c r="H11" s="225">
        <v>1275.1288016381773</v>
      </c>
      <c r="I11" s="225">
        <v>82.354459171711795</v>
      </c>
      <c r="J11" s="222" t="s">
        <v>352</v>
      </c>
      <c r="K11" s="551" t="s">
        <v>373</v>
      </c>
      <c r="L11" s="552"/>
      <c r="P11" s="235"/>
      <c r="Q11" s="235"/>
      <c r="R11" s="235"/>
    </row>
    <row r="12" spans="1:18" ht="15.75" customHeight="1">
      <c r="A12" s="532"/>
      <c r="B12" s="535"/>
      <c r="C12" s="123">
        <v>5</v>
      </c>
      <c r="D12" s="546" t="s">
        <v>374</v>
      </c>
      <c r="E12" s="547"/>
      <c r="F12" s="548"/>
      <c r="G12" s="225">
        <v>16.714285714285715</v>
      </c>
      <c r="H12" s="225">
        <v>1337.8105448461961</v>
      </c>
      <c r="I12" s="225">
        <v>80.107156463409027</v>
      </c>
      <c r="J12" s="222" t="s">
        <v>352</v>
      </c>
      <c r="K12" s="553"/>
      <c r="L12" s="554"/>
      <c r="P12" s="235"/>
      <c r="Q12" s="235"/>
      <c r="R12" s="235"/>
    </row>
    <row r="13" spans="1:18" ht="15.75" customHeight="1">
      <c r="A13" s="532"/>
      <c r="B13" s="535"/>
      <c r="C13" s="153" t="s">
        <v>354</v>
      </c>
      <c r="D13" s="546" t="s">
        <v>375</v>
      </c>
      <c r="E13" s="547"/>
      <c r="F13" s="548"/>
      <c r="G13" s="225">
        <v>20</v>
      </c>
      <c r="H13" s="225">
        <v>1272.439871904284</v>
      </c>
      <c r="I13" s="225">
        <v>63.6219935952142</v>
      </c>
      <c r="J13" s="223" t="s">
        <v>357</v>
      </c>
      <c r="K13" s="551" t="s">
        <v>376</v>
      </c>
      <c r="L13" s="552"/>
      <c r="P13" s="235"/>
      <c r="Q13" s="235"/>
      <c r="R13" s="235"/>
    </row>
    <row r="14" spans="1:18" ht="15.75" customHeight="1">
      <c r="A14" s="532"/>
      <c r="B14" s="535"/>
      <c r="C14" s="153" t="s">
        <v>355</v>
      </c>
      <c r="D14" s="546" t="s">
        <v>377</v>
      </c>
      <c r="E14" s="547"/>
      <c r="F14" s="548"/>
      <c r="G14" s="225">
        <v>16.857142857142858</v>
      </c>
      <c r="H14" s="225">
        <v>1088.9599328051556</v>
      </c>
      <c r="I14" s="225">
        <v>64.632842347172343</v>
      </c>
      <c r="J14" s="223" t="s">
        <v>357</v>
      </c>
      <c r="K14" s="553"/>
      <c r="L14" s="554"/>
      <c r="P14" s="235"/>
      <c r="Q14" s="235"/>
      <c r="R14" s="235"/>
    </row>
    <row r="15" spans="1:18" ht="15.75" customHeight="1">
      <c r="A15" s="532"/>
      <c r="B15" s="535"/>
      <c r="C15" s="153" t="s">
        <v>356</v>
      </c>
      <c r="D15" s="546" t="s">
        <v>378</v>
      </c>
      <c r="E15" s="547"/>
      <c r="F15" s="548"/>
      <c r="G15" s="225">
        <v>18</v>
      </c>
      <c r="H15" s="225">
        <v>1177.9128929416904</v>
      </c>
      <c r="I15" s="225">
        <v>65.439605163427245</v>
      </c>
      <c r="J15" s="223" t="s">
        <v>357</v>
      </c>
      <c r="K15" s="549" t="s">
        <v>379</v>
      </c>
      <c r="L15" s="550"/>
      <c r="P15" s="235"/>
      <c r="Q15" s="235"/>
      <c r="R15" s="235"/>
    </row>
    <row r="16" spans="1:18" ht="15.75" customHeight="1">
      <c r="A16" s="532"/>
      <c r="B16" s="535"/>
      <c r="C16" s="153" t="s">
        <v>359</v>
      </c>
      <c r="D16" s="546" t="s">
        <v>380</v>
      </c>
      <c r="E16" s="547"/>
      <c r="F16" s="548"/>
      <c r="G16" s="225">
        <v>17.5</v>
      </c>
      <c r="H16" s="225">
        <v>1177.6036036036035</v>
      </c>
      <c r="I16" s="225">
        <v>67.363598893010661</v>
      </c>
      <c r="J16" s="222" t="s">
        <v>352</v>
      </c>
      <c r="K16" s="549"/>
      <c r="L16" s="550"/>
      <c r="M16" s="115"/>
      <c r="P16" s="235"/>
      <c r="Q16" s="235"/>
      <c r="R16" s="235"/>
    </row>
    <row r="17" spans="1:18" ht="15.75" customHeight="1">
      <c r="A17" s="532"/>
      <c r="B17" s="535"/>
      <c r="C17" s="153" t="s">
        <v>361</v>
      </c>
      <c r="D17" s="546" t="s">
        <v>381</v>
      </c>
      <c r="E17" s="547"/>
      <c r="F17" s="548"/>
      <c r="G17" s="225">
        <v>18.857142857142858</v>
      </c>
      <c r="H17" s="225">
        <v>1272.4039471544809</v>
      </c>
      <c r="I17" s="225">
        <v>67.499957118406243</v>
      </c>
      <c r="J17" s="223" t="s">
        <v>357</v>
      </c>
      <c r="K17" s="558" t="s">
        <v>382</v>
      </c>
      <c r="L17" s="550"/>
      <c r="M17" s="115"/>
      <c r="P17" s="235"/>
      <c r="Q17" s="235"/>
      <c r="R17" s="235"/>
    </row>
    <row r="18" spans="1:18" s="120" customFormat="1" ht="15.75" customHeight="1">
      <c r="A18" s="528" t="s">
        <v>131</v>
      </c>
      <c r="B18" s="528"/>
      <c r="C18" s="262" t="s">
        <v>52</v>
      </c>
      <c r="D18" s="528" t="s">
        <v>53</v>
      </c>
      <c r="E18" s="561"/>
      <c r="F18" s="561"/>
      <c r="G18" s="262" t="s">
        <v>54</v>
      </c>
      <c r="H18" s="262" t="s">
        <v>348</v>
      </c>
      <c r="I18" s="262" t="s">
        <v>349</v>
      </c>
      <c r="J18" s="202" t="s">
        <v>350</v>
      </c>
      <c r="K18" s="528" t="s">
        <v>58</v>
      </c>
      <c r="L18" s="561"/>
      <c r="M18" s="144"/>
    </row>
    <row r="19" spans="1:18" ht="15.75" customHeight="1">
      <c r="A19" s="532">
        <v>6</v>
      </c>
      <c r="B19" s="535" t="s">
        <v>344</v>
      </c>
      <c r="C19" s="123">
        <v>1</v>
      </c>
      <c r="D19" s="546" t="s">
        <v>383</v>
      </c>
      <c r="E19" s="547"/>
      <c r="F19" s="548"/>
      <c r="G19" s="225">
        <v>15.142857142857142</v>
      </c>
      <c r="H19" s="225">
        <v>1507.218045112782</v>
      </c>
      <c r="I19" s="225">
        <v>99.790413533834581</v>
      </c>
      <c r="J19" s="222" t="s">
        <v>352</v>
      </c>
      <c r="K19" s="563"/>
      <c r="L19" s="550"/>
      <c r="M19" s="115"/>
      <c r="P19" s="235"/>
      <c r="Q19" s="235"/>
      <c r="R19" s="235"/>
    </row>
    <row r="20" spans="1:18" ht="15.75" customHeight="1">
      <c r="A20" s="532"/>
      <c r="B20" s="535"/>
      <c r="C20" s="123">
        <v>2</v>
      </c>
      <c r="D20" s="546" t="s">
        <v>384</v>
      </c>
      <c r="E20" s="547"/>
      <c r="F20" s="548"/>
      <c r="G20" s="225">
        <v>17</v>
      </c>
      <c r="H20" s="225">
        <v>1600.3076923076922</v>
      </c>
      <c r="I20" s="225">
        <v>94.135746606334834</v>
      </c>
      <c r="J20" s="223" t="s">
        <v>357</v>
      </c>
      <c r="K20" s="551" t="s">
        <v>382</v>
      </c>
      <c r="L20" s="555"/>
      <c r="M20" s="115"/>
      <c r="P20" s="235"/>
      <c r="Q20" s="235"/>
      <c r="R20" s="235"/>
    </row>
    <row r="21" spans="1:18" ht="15.75" customHeight="1">
      <c r="A21" s="532"/>
      <c r="B21" s="535"/>
      <c r="C21" s="123">
        <v>3</v>
      </c>
      <c r="D21" s="546" t="s">
        <v>385</v>
      </c>
      <c r="E21" s="547"/>
      <c r="F21" s="548"/>
      <c r="G21" s="225">
        <v>16</v>
      </c>
      <c r="H21" s="225">
        <v>1419.120879120879</v>
      </c>
      <c r="I21" s="225">
        <v>88.695054945054935</v>
      </c>
      <c r="J21" s="223" t="s">
        <v>357</v>
      </c>
      <c r="K21" s="556"/>
      <c r="L21" s="557"/>
      <c r="M21" s="115"/>
      <c r="P21" s="235"/>
      <c r="Q21" s="235"/>
      <c r="R21" s="235"/>
    </row>
    <row r="22" spans="1:18" ht="15.75" customHeight="1">
      <c r="A22" s="532"/>
      <c r="B22" s="535"/>
      <c r="C22" s="123">
        <v>4</v>
      </c>
      <c r="D22" s="546" t="s">
        <v>386</v>
      </c>
      <c r="E22" s="547"/>
      <c r="F22" s="548"/>
      <c r="G22" s="225">
        <v>18</v>
      </c>
      <c r="H22" s="225">
        <v>1421.5170068027212</v>
      </c>
      <c r="I22" s="225">
        <v>78.973167044595613</v>
      </c>
      <c r="J22" s="224" t="s">
        <v>364</v>
      </c>
      <c r="K22" s="558"/>
      <c r="L22" s="550"/>
      <c r="M22" s="115"/>
      <c r="P22" s="235"/>
      <c r="Q22" s="235"/>
      <c r="R22" s="235"/>
    </row>
    <row r="23" spans="1:18" ht="15.75" customHeight="1">
      <c r="A23" s="532"/>
      <c r="B23" s="535"/>
      <c r="C23" s="123">
        <v>5</v>
      </c>
      <c r="D23" s="546" t="s">
        <v>387</v>
      </c>
      <c r="E23" s="547"/>
      <c r="F23" s="548"/>
      <c r="G23" s="225">
        <v>18</v>
      </c>
      <c r="H23" s="225">
        <v>1412.6802721088436</v>
      </c>
      <c r="I23" s="225">
        <v>78.482237339380191</v>
      </c>
      <c r="J23" s="222" t="s">
        <v>352</v>
      </c>
      <c r="K23" s="559"/>
      <c r="L23" s="560"/>
      <c r="M23" s="115"/>
      <c r="P23" s="235"/>
      <c r="Q23" s="235"/>
      <c r="R23" s="235"/>
    </row>
    <row r="24" spans="1:18" ht="15.75" customHeight="1">
      <c r="A24" s="532"/>
      <c r="B24" s="535"/>
      <c r="C24" s="153" t="s">
        <v>354</v>
      </c>
      <c r="D24" s="546" t="s">
        <v>388</v>
      </c>
      <c r="E24" s="547"/>
      <c r="F24" s="548"/>
      <c r="G24" s="225">
        <v>20.857142857142858</v>
      </c>
      <c r="H24" s="225">
        <v>1361.5297092288242</v>
      </c>
      <c r="I24" s="225">
        <v>65.249954849196314</v>
      </c>
      <c r="J24" s="223" t="s">
        <v>357</v>
      </c>
      <c r="K24" s="559" t="s">
        <v>382</v>
      </c>
      <c r="L24" s="560"/>
      <c r="M24" s="115"/>
      <c r="P24" s="235"/>
      <c r="Q24" s="235"/>
      <c r="R24" s="235"/>
    </row>
    <row r="25" spans="1:18" ht="15.75" customHeight="1">
      <c r="A25" s="532"/>
      <c r="B25" s="535"/>
      <c r="C25" s="153" t="s">
        <v>355</v>
      </c>
      <c r="D25" s="546" t="s">
        <v>389</v>
      </c>
      <c r="E25" s="547"/>
      <c r="F25" s="548"/>
      <c r="G25" s="225">
        <v>20.714285714285715</v>
      </c>
      <c r="H25" s="225">
        <v>1354.3460764587523</v>
      </c>
      <c r="I25" s="225">
        <v>65.330781682576657</v>
      </c>
      <c r="J25" s="222" t="s">
        <v>352</v>
      </c>
      <c r="K25" s="558"/>
      <c r="L25" s="550"/>
      <c r="M25" s="115"/>
      <c r="P25" s="235"/>
      <c r="Q25" s="235"/>
      <c r="R25" s="235"/>
    </row>
    <row r="26" spans="1:18" ht="15.75" customHeight="1">
      <c r="A26" s="532"/>
      <c r="B26" s="535"/>
      <c r="C26" s="153" t="s">
        <v>356</v>
      </c>
      <c r="D26" s="546" t="s">
        <v>390</v>
      </c>
      <c r="E26" s="547"/>
      <c r="F26" s="548"/>
      <c r="G26" s="225">
        <v>20</v>
      </c>
      <c r="H26" s="225">
        <v>1416.0667903525045</v>
      </c>
      <c r="I26" s="225">
        <v>70.803339517625233</v>
      </c>
      <c r="J26" s="224" t="s">
        <v>364</v>
      </c>
      <c r="K26" s="558"/>
      <c r="L26" s="550"/>
      <c r="M26" s="115"/>
      <c r="P26" s="235"/>
      <c r="Q26" s="235"/>
      <c r="R26" s="235"/>
    </row>
    <row r="27" spans="1:18" ht="15.75" customHeight="1">
      <c r="A27" s="532"/>
      <c r="B27" s="535"/>
      <c r="C27" s="153" t="s">
        <v>359</v>
      </c>
      <c r="D27" s="546" t="s">
        <v>391</v>
      </c>
      <c r="E27" s="547"/>
      <c r="F27" s="548"/>
      <c r="G27" s="225">
        <v>19</v>
      </c>
      <c r="H27" s="225">
        <v>1411.4285714285713</v>
      </c>
      <c r="I27" s="225">
        <v>74.285714285714292</v>
      </c>
      <c r="J27" s="224" t="s">
        <v>364</v>
      </c>
      <c r="K27" s="558"/>
      <c r="L27" s="550"/>
      <c r="M27" s="115"/>
      <c r="P27" s="235"/>
      <c r="Q27" s="235"/>
      <c r="R27" s="235"/>
    </row>
    <row r="28" spans="1:18" ht="15.75" customHeight="1">
      <c r="A28" s="532"/>
      <c r="B28" s="535"/>
      <c r="C28" s="153" t="s">
        <v>361</v>
      </c>
      <c r="D28" s="546" t="s">
        <v>392</v>
      </c>
      <c r="E28" s="547"/>
      <c r="F28" s="548"/>
      <c r="G28" s="225">
        <v>18</v>
      </c>
      <c r="H28" s="225">
        <v>1354.7448979591838</v>
      </c>
      <c r="I28" s="225">
        <v>75.263605442176882</v>
      </c>
      <c r="J28" s="224" t="s">
        <v>364</v>
      </c>
      <c r="K28" s="558"/>
      <c r="L28" s="550"/>
      <c r="M28" s="115"/>
      <c r="P28" s="235"/>
      <c r="Q28" s="235"/>
      <c r="R28" s="235"/>
    </row>
  </sheetData>
  <mergeCells count="50">
    <mergeCell ref="A1:L2"/>
    <mergeCell ref="D12:F12"/>
    <mergeCell ref="D9:F9"/>
    <mergeCell ref="K8:L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K9:L9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D14:F14"/>
    <mergeCell ref="D13:F13"/>
    <mergeCell ref="D10:F10"/>
    <mergeCell ref="K15:L15"/>
    <mergeCell ref="D8:F8"/>
    <mergeCell ref="D28:F28"/>
    <mergeCell ref="D24:F24"/>
    <mergeCell ref="D25:F25"/>
    <mergeCell ref="D26:F26"/>
    <mergeCell ref="K24:L24"/>
    <mergeCell ref="K28:L28"/>
    <mergeCell ref="D22:F22"/>
    <mergeCell ref="D23:F23"/>
    <mergeCell ref="D27:F27"/>
    <mergeCell ref="K25:L25"/>
    <mergeCell ref="K26:L26"/>
    <mergeCell ref="K27:L27"/>
    <mergeCell ref="D19:F19"/>
    <mergeCell ref="D20:F20"/>
    <mergeCell ref="K10:L10"/>
    <mergeCell ref="K11:L12"/>
    <mergeCell ref="K13:L14"/>
    <mergeCell ref="K20:L21"/>
    <mergeCell ref="D21:F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115"/>
    </row>
    <row r="2" spans="1:13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customHeight="1">
      <c r="A3" s="521" t="s">
        <v>338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15"/>
    </row>
    <row r="4" spans="1:13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3" s="122" customFormat="1" ht="16.350000000000001" customHeight="1">
      <c r="A5" s="567" t="s">
        <v>209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54">
        <v>7</v>
      </c>
      <c r="I5" s="154">
        <v>8</v>
      </c>
      <c r="J5" s="145">
        <v>9</v>
      </c>
      <c r="K5" s="143"/>
      <c r="L5" s="143"/>
      <c r="M5" s="143"/>
    </row>
    <row r="6" spans="1:13" ht="16.350000000000001" customHeight="1">
      <c r="A6" s="568"/>
      <c r="B6" s="146" t="s">
        <v>339</v>
      </c>
      <c r="C6" s="146" t="s">
        <v>340</v>
      </c>
      <c r="D6" s="146" t="s">
        <v>341</v>
      </c>
      <c r="E6" s="146" t="s">
        <v>342</v>
      </c>
      <c r="F6" s="132" t="s">
        <v>343</v>
      </c>
      <c r="G6" s="147" t="s">
        <v>344</v>
      </c>
      <c r="H6" s="155" t="s">
        <v>345</v>
      </c>
      <c r="I6" s="157" t="s">
        <v>346</v>
      </c>
      <c r="J6" s="147" t="s">
        <v>347</v>
      </c>
      <c r="K6" s="144"/>
      <c r="L6" s="144"/>
    </row>
    <row r="7" spans="1:13" s="122" customFormat="1" ht="15.75" customHeight="1">
      <c r="A7" s="569" t="s">
        <v>131</v>
      </c>
      <c r="B7" s="570"/>
      <c r="C7" s="150" t="s">
        <v>52</v>
      </c>
      <c r="D7" s="569" t="s">
        <v>53</v>
      </c>
      <c r="E7" s="571"/>
      <c r="F7" s="570"/>
      <c r="G7" s="150" t="s">
        <v>54</v>
      </c>
      <c r="H7" s="150" t="s">
        <v>348</v>
      </c>
      <c r="I7" s="150" t="s">
        <v>349</v>
      </c>
      <c r="J7" s="202" t="s">
        <v>350</v>
      </c>
      <c r="K7" s="569" t="s">
        <v>58</v>
      </c>
      <c r="L7" s="570"/>
      <c r="M7" s="143"/>
    </row>
    <row r="8" spans="1:13" ht="15.75" customHeight="1">
      <c r="A8" s="567">
        <v>7</v>
      </c>
      <c r="B8" s="575" t="s">
        <v>393</v>
      </c>
      <c r="C8" s="123">
        <v>1</v>
      </c>
      <c r="D8" s="564" t="s">
        <v>394</v>
      </c>
      <c r="E8" s="565"/>
      <c r="F8" s="566"/>
      <c r="G8" s="220">
        <v>12</v>
      </c>
      <c r="H8" s="220">
        <v>1383.3572306549272</v>
      </c>
      <c r="I8" s="220">
        <v>115.27976922124397</v>
      </c>
      <c r="J8" s="224" t="s">
        <v>364</v>
      </c>
      <c r="K8" s="544"/>
      <c r="L8" s="543"/>
    </row>
    <row r="9" spans="1:13" ht="15.75" customHeight="1">
      <c r="A9" s="574"/>
      <c r="B9" s="576"/>
      <c r="C9" s="123">
        <v>2</v>
      </c>
      <c r="D9" s="564" t="s">
        <v>395</v>
      </c>
      <c r="E9" s="565"/>
      <c r="F9" s="566"/>
      <c r="G9" s="220">
        <v>17.571428571428573</v>
      </c>
      <c r="H9" s="220">
        <v>1386.1362308857172</v>
      </c>
      <c r="I9" s="220">
        <v>78.949122409419701</v>
      </c>
      <c r="J9" s="224" t="s">
        <v>364</v>
      </c>
      <c r="K9" s="544"/>
      <c r="L9" s="543"/>
    </row>
    <row r="10" spans="1:13" ht="15.75" customHeight="1">
      <c r="A10" s="574"/>
      <c r="B10" s="576"/>
      <c r="C10" s="123">
        <v>3</v>
      </c>
      <c r="D10" s="564" t="s">
        <v>396</v>
      </c>
      <c r="E10" s="565"/>
      <c r="F10" s="566"/>
      <c r="G10" s="220">
        <v>17.857142857142858</v>
      </c>
      <c r="H10" s="220">
        <v>1399.3371066170582</v>
      </c>
      <c r="I10" s="220">
        <v>78.385208070695583</v>
      </c>
      <c r="J10" s="224" t="s">
        <v>364</v>
      </c>
      <c r="K10" s="544"/>
      <c r="L10" s="543"/>
    </row>
    <row r="11" spans="1:13" ht="15.75" customHeight="1">
      <c r="A11" s="574"/>
      <c r="B11" s="576"/>
      <c r="C11" s="123">
        <v>4</v>
      </c>
      <c r="D11" s="564" t="s">
        <v>397</v>
      </c>
      <c r="E11" s="565"/>
      <c r="F11" s="566"/>
      <c r="G11" s="220">
        <v>18</v>
      </c>
      <c r="H11" s="220">
        <v>1388.5435148504082</v>
      </c>
      <c r="I11" s="220">
        <v>77.141306380578243</v>
      </c>
      <c r="J11" s="224" t="s">
        <v>364</v>
      </c>
      <c r="K11" s="544"/>
      <c r="L11" s="543"/>
    </row>
    <row r="12" spans="1:13" ht="15.75" customHeight="1">
      <c r="A12" s="574"/>
      <c r="B12" s="576"/>
      <c r="C12" s="123">
        <v>5</v>
      </c>
      <c r="D12" s="564"/>
      <c r="E12" s="565"/>
      <c r="F12" s="566"/>
      <c r="G12" s="220"/>
      <c r="H12" s="220"/>
      <c r="I12" s="220"/>
      <c r="J12" s="224" t="s">
        <v>364</v>
      </c>
      <c r="K12" s="559"/>
      <c r="L12" s="560"/>
    </row>
    <row r="13" spans="1:13" ht="15.75" customHeight="1">
      <c r="A13" s="574"/>
      <c r="B13" s="576"/>
      <c r="C13" s="153" t="s">
        <v>354</v>
      </c>
      <c r="D13" s="564" t="s">
        <v>398</v>
      </c>
      <c r="E13" s="565"/>
      <c r="F13" s="566"/>
      <c r="G13" s="220">
        <v>18.142857142857142</v>
      </c>
      <c r="H13" s="220">
        <v>1235.5332792337381</v>
      </c>
      <c r="I13" s="220">
        <v>68.118677868559914</v>
      </c>
      <c r="J13" s="224" t="s">
        <v>364</v>
      </c>
      <c r="K13" s="544"/>
      <c r="L13" s="543"/>
    </row>
    <row r="14" spans="1:13" ht="15.75" customHeight="1">
      <c r="A14" s="574"/>
      <c r="B14" s="576"/>
      <c r="C14" s="153" t="s">
        <v>355</v>
      </c>
      <c r="D14" s="564" t="s">
        <v>399</v>
      </c>
      <c r="E14" s="565"/>
      <c r="F14" s="566"/>
      <c r="G14" s="220">
        <v>20</v>
      </c>
      <c r="H14" s="220">
        <v>1389.45951952631</v>
      </c>
      <c r="I14" s="220">
        <v>69.472975976315496</v>
      </c>
      <c r="J14" s="224" t="s">
        <v>364</v>
      </c>
      <c r="K14" s="572"/>
      <c r="L14" s="573"/>
    </row>
    <row r="15" spans="1:13" ht="15.75" customHeight="1">
      <c r="A15" s="574"/>
      <c r="B15" s="576"/>
      <c r="C15" s="153" t="s">
        <v>356</v>
      </c>
      <c r="D15" s="564" t="s">
        <v>400</v>
      </c>
      <c r="E15" s="565"/>
      <c r="F15" s="566"/>
      <c r="G15" s="220">
        <v>18</v>
      </c>
      <c r="H15" s="220">
        <v>1309.0828993666441</v>
      </c>
      <c r="I15" s="220">
        <v>72.72682774259134</v>
      </c>
      <c r="J15" s="223" t="s">
        <v>357</v>
      </c>
      <c r="K15" s="572" t="s">
        <v>401</v>
      </c>
      <c r="L15" s="573"/>
    </row>
    <row r="16" spans="1:13" ht="15.75" customHeight="1">
      <c r="A16" s="574"/>
      <c r="B16" s="576"/>
      <c r="C16" s="153" t="s">
        <v>359</v>
      </c>
      <c r="D16" s="564" t="s">
        <v>402</v>
      </c>
      <c r="E16" s="565"/>
      <c r="F16" s="566"/>
      <c r="G16" s="220">
        <v>18</v>
      </c>
      <c r="H16" s="220">
        <v>1339.083707457899</v>
      </c>
      <c r="I16" s="220">
        <v>74.393539303216599</v>
      </c>
      <c r="J16" s="222" t="s">
        <v>352</v>
      </c>
      <c r="K16" s="533"/>
      <c r="L16" s="534"/>
      <c r="M16" s="115"/>
    </row>
    <row r="17" spans="1:13" ht="15.75" customHeight="1">
      <c r="A17" s="568"/>
      <c r="B17" s="577"/>
      <c r="C17" s="153" t="s">
        <v>361</v>
      </c>
      <c r="D17" s="564"/>
      <c r="E17" s="565"/>
      <c r="F17" s="566"/>
      <c r="G17" s="220"/>
      <c r="H17" s="220"/>
      <c r="I17" s="220"/>
      <c r="J17" s="224" t="s">
        <v>364</v>
      </c>
      <c r="K17" s="515"/>
      <c r="L17" s="534"/>
      <c r="M17" s="115"/>
    </row>
    <row r="18" spans="1:13" s="120" customFormat="1" ht="15.75" customHeight="1">
      <c r="A18" s="529" t="s">
        <v>131</v>
      </c>
      <c r="B18" s="531"/>
      <c r="C18" s="262" t="s">
        <v>52</v>
      </c>
      <c r="D18" s="529" t="s">
        <v>53</v>
      </c>
      <c r="E18" s="530"/>
      <c r="F18" s="531"/>
      <c r="G18" s="262" t="s">
        <v>54</v>
      </c>
      <c r="H18" s="262" t="s">
        <v>348</v>
      </c>
      <c r="I18" s="262" t="s">
        <v>349</v>
      </c>
      <c r="J18" s="202" t="s">
        <v>350</v>
      </c>
      <c r="K18" s="529" t="s">
        <v>58</v>
      </c>
      <c r="L18" s="531"/>
      <c r="M18" s="144"/>
    </row>
    <row r="19" spans="1:13" ht="15.75" customHeight="1">
      <c r="A19" s="567">
        <v>8</v>
      </c>
      <c r="B19" s="575" t="s">
        <v>403</v>
      </c>
      <c r="C19" s="123">
        <v>1</v>
      </c>
      <c r="D19" s="564" t="s">
        <v>327</v>
      </c>
      <c r="E19" s="565" t="s">
        <v>327</v>
      </c>
      <c r="F19" s="566" t="s">
        <v>327</v>
      </c>
      <c r="G19" s="220">
        <v>19</v>
      </c>
      <c r="H19" s="220">
        <v>2479.39019381653</v>
      </c>
      <c r="I19" s="220">
        <v>130.49422072718582</v>
      </c>
      <c r="J19" s="222" t="s">
        <v>352</v>
      </c>
      <c r="K19" s="544"/>
      <c r="L19" s="543"/>
      <c r="M19" s="115"/>
    </row>
    <row r="20" spans="1:13" ht="15.75" customHeight="1">
      <c r="A20" s="574"/>
      <c r="B20" s="576"/>
      <c r="C20" s="123">
        <v>2</v>
      </c>
      <c r="D20" s="564" t="s">
        <v>326</v>
      </c>
      <c r="E20" s="565" t="s">
        <v>326</v>
      </c>
      <c r="F20" s="566" t="s">
        <v>326</v>
      </c>
      <c r="G20" s="220">
        <v>19</v>
      </c>
      <c r="H20" s="220">
        <v>2457.9319832709684</v>
      </c>
      <c r="I20" s="220">
        <v>129.36484122478782</v>
      </c>
      <c r="J20" s="223" t="s">
        <v>357</v>
      </c>
      <c r="K20" s="544" t="s">
        <v>373</v>
      </c>
      <c r="L20" s="543"/>
      <c r="M20" s="115"/>
    </row>
    <row r="21" spans="1:13" ht="15.75" customHeight="1">
      <c r="A21" s="574"/>
      <c r="B21" s="576"/>
      <c r="C21" s="123">
        <v>3</v>
      </c>
      <c r="D21" s="564" t="s">
        <v>325</v>
      </c>
      <c r="E21" s="565" t="s">
        <v>325</v>
      </c>
      <c r="F21" s="566" t="s">
        <v>325</v>
      </c>
      <c r="G21" s="220">
        <v>19</v>
      </c>
      <c r="H21" s="220">
        <v>2345.1660271309838</v>
      </c>
      <c r="I21" s="220">
        <v>123.42979090163071</v>
      </c>
      <c r="J21" s="224" t="s">
        <v>364</v>
      </c>
      <c r="K21" s="544"/>
      <c r="L21" s="543"/>
      <c r="M21" s="115"/>
    </row>
    <row r="22" spans="1:13" ht="15.75" customHeight="1">
      <c r="A22" s="574"/>
      <c r="B22" s="576"/>
      <c r="C22" s="123">
        <v>4</v>
      </c>
      <c r="D22" s="564"/>
      <c r="E22" s="565"/>
      <c r="F22" s="566"/>
      <c r="G22" s="220"/>
      <c r="H22" s="220"/>
      <c r="I22" s="220"/>
      <c r="J22" s="222"/>
      <c r="K22" s="544"/>
      <c r="L22" s="543"/>
      <c r="M22" s="115"/>
    </row>
    <row r="23" spans="1:13" ht="15.75" customHeight="1">
      <c r="A23" s="574"/>
      <c r="B23" s="576"/>
      <c r="C23" s="123">
        <v>5</v>
      </c>
      <c r="D23" s="564"/>
      <c r="E23" s="565"/>
      <c r="F23" s="566"/>
      <c r="G23" s="220"/>
      <c r="H23" s="220"/>
      <c r="I23" s="220"/>
      <c r="J23" s="152"/>
      <c r="K23" s="533"/>
      <c r="L23" s="534"/>
      <c r="M23" s="115"/>
    </row>
    <row r="24" spans="1:13" ht="15.75" customHeight="1">
      <c r="A24" s="574"/>
      <c r="B24" s="576"/>
      <c r="C24" s="153" t="s">
        <v>354</v>
      </c>
      <c r="D24" s="564" t="s">
        <v>324</v>
      </c>
      <c r="E24" s="565"/>
      <c r="F24" s="566" t="s">
        <v>324</v>
      </c>
      <c r="G24" s="220">
        <v>21</v>
      </c>
      <c r="H24" s="220">
        <v>2171.4837923463119</v>
      </c>
      <c r="I24" s="220">
        <v>103.40399011172913</v>
      </c>
      <c r="J24" s="224" t="s">
        <v>364</v>
      </c>
      <c r="K24" s="541"/>
      <c r="L24" s="543"/>
      <c r="M24" s="115"/>
    </row>
    <row r="25" spans="1:13" ht="15.75" customHeight="1">
      <c r="A25" s="574"/>
      <c r="B25" s="576"/>
      <c r="C25" s="153" t="s">
        <v>355</v>
      </c>
      <c r="D25" s="564" t="s">
        <v>328</v>
      </c>
      <c r="E25" s="565"/>
      <c r="F25" s="566"/>
      <c r="G25" s="220">
        <v>20</v>
      </c>
      <c r="H25" s="220">
        <v>2162.9817064088379</v>
      </c>
      <c r="I25" s="220">
        <v>108.1490853204419</v>
      </c>
      <c r="J25" s="224" t="s">
        <v>364</v>
      </c>
      <c r="K25" s="533"/>
      <c r="L25" s="534"/>
      <c r="M25" s="115"/>
    </row>
    <row r="26" spans="1:13" ht="15.75" customHeight="1">
      <c r="A26" s="574"/>
      <c r="B26" s="576"/>
      <c r="C26" s="153" t="s">
        <v>356</v>
      </c>
      <c r="D26" s="564"/>
      <c r="E26" s="565"/>
      <c r="F26" s="566"/>
      <c r="G26" s="220"/>
      <c r="H26" s="220"/>
      <c r="I26" s="220"/>
      <c r="J26" s="224"/>
      <c r="K26" s="533"/>
      <c r="L26" s="534"/>
      <c r="M26" s="115"/>
    </row>
    <row r="27" spans="1:13" ht="15.75" customHeight="1">
      <c r="A27" s="574"/>
      <c r="B27" s="576"/>
      <c r="C27" s="153" t="s">
        <v>359</v>
      </c>
      <c r="D27" s="564"/>
      <c r="E27" s="565"/>
      <c r="F27" s="566"/>
      <c r="G27" s="152"/>
      <c r="H27" s="152"/>
      <c r="I27" s="152"/>
      <c r="J27" s="152"/>
      <c r="K27" s="533"/>
      <c r="L27" s="534"/>
      <c r="M27" s="115"/>
    </row>
    <row r="28" spans="1:13" ht="15.75" customHeight="1">
      <c r="A28" s="568"/>
      <c r="B28" s="577"/>
      <c r="C28" s="153" t="s">
        <v>361</v>
      </c>
      <c r="D28" s="564"/>
      <c r="E28" s="565"/>
      <c r="F28" s="566"/>
      <c r="G28" s="152"/>
      <c r="H28" s="152"/>
      <c r="I28" s="152"/>
      <c r="J28" s="152"/>
      <c r="K28" s="533"/>
      <c r="L28" s="534"/>
      <c r="M28" s="115"/>
    </row>
  </sheetData>
  <mergeCells count="53">
    <mergeCell ref="K16:L16"/>
    <mergeCell ref="D17:F17"/>
    <mergeCell ref="D27:F27"/>
    <mergeCell ref="K27:L27"/>
    <mergeCell ref="K17:L1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0:L10"/>
    <mergeCell ref="K11:L11"/>
    <mergeCell ref="K12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8" sqref="K8:L10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115"/>
    </row>
    <row r="2" spans="1:13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</row>
    <row r="3" spans="1:13" ht="15.75" customHeight="1">
      <c r="A3" s="521" t="s">
        <v>338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15"/>
    </row>
    <row r="4" spans="1:13" s="116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3" s="122" customFormat="1" ht="16.350000000000001" customHeight="1">
      <c r="A5" s="567" t="s">
        <v>209</v>
      </c>
      <c r="B5" s="145">
        <v>1</v>
      </c>
      <c r="C5" s="145">
        <v>2</v>
      </c>
      <c r="D5" s="145">
        <v>3</v>
      </c>
      <c r="E5" s="145">
        <v>4</v>
      </c>
      <c r="F5" s="145">
        <v>5</v>
      </c>
      <c r="G5" s="145">
        <v>6</v>
      </c>
      <c r="H5" s="145">
        <v>7</v>
      </c>
      <c r="I5" s="145">
        <v>8</v>
      </c>
      <c r="J5" s="154">
        <v>9</v>
      </c>
      <c r="K5" s="143"/>
      <c r="L5" s="143"/>
      <c r="M5" s="143"/>
    </row>
    <row r="6" spans="1:13" ht="16.350000000000001" customHeight="1">
      <c r="A6" s="568"/>
      <c r="B6" s="146" t="s">
        <v>339</v>
      </c>
      <c r="C6" s="146" t="s">
        <v>340</v>
      </c>
      <c r="D6" s="146" t="s">
        <v>341</v>
      </c>
      <c r="E6" s="146" t="s">
        <v>342</v>
      </c>
      <c r="F6" s="132" t="s">
        <v>343</v>
      </c>
      <c r="G6" s="147" t="s">
        <v>344</v>
      </c>
      <c r="H6" s="148" t="s">
        <v>345</v>
      </c>
      <c r="I6" s="147" t="s">
        <v>346</v>
      </c>
      <c r="J6" s="157" t="s">
        <v>347</v>
      </c>
      <c r="K6" s="144"/>
      <c r="L6" s="144"/>
    </row>
    <row r="7" spans="1:13" s="122" customFormat="1" ht="15.75" customHeight="1">
      <c r="A7" s="569" t="s">
        <v>131</v>
      </c>
      <c r="B7" s="570"/>
      <c r="C7" s="150" t="s">
        <v>52</v>
      </c>
      <c r="D7" s="569" t="s">
        <v>53</v>
      </c>
      <c r="E7" s="571"/>
      <c r="F7" s="570"/>
      <c r="G7" s="150" t="s">
        <v>54</v>
      </c>
      <c r="H7" s="150" t="s">
        <v>348</v>
      </c>
      <c r="I7" s="150" t="s">
        <v>349</v>
      </c>
      <c r="J7" s="202" t="s">
        <v>350</v>
      </c>
      <c r="K7" s="569" t="s">
        <v>58</v>
      </c>
      <c r="L7" s="570"/>
      <c r="M7" s="143"/>
    </row>
    <row r="8" spans="1:13" ht="15.75" customHeight="1">
      <c r="A8" s="567">
        <f>J5</f>
        <v>9</v>
      </c>
      <c r="B8" s="575" t="str">
        <f>J6</f>
        <v>微波小吃</v>
      </c>
      <c r="C8" s="123">
        <v>1</v>
      </c>
      <c r="D8" s="541" t="s">
        <v>404</v>
      </c>
      <c r="E8" s="542"/>
      <c r="F8" s="543"/>
      <c r="G8" s="220">
        <v>7</v>
      </c>
      <c r="H8" s="220">
        <v>1306.9596333224167</v>
      </c>
      <c r="I8" s="220">
        <v>186.70851904605954</v>
      </c>
      <c r="J8" s="222" t="s">
        <v>352</v>
      </c>
      <c r="K8" s="578" t="s">
        <v>405</v>
      </c>
      <c r="L8" s="579"/>
    </row>
    <row r="9" spans="1:13" ht="15.75" customHeight="1">
      <c r="A9" s="574"/>
      <c r="B9" s="576"/>
      <c r="C9" s="123">
        <v>2</v>
      </c>
      <c r="D9" s="541" t="s">
        <v>329</v>
      </c>
      <c r="E9" s="542"/>
      <c r="F9" s="543"/>
      <c r="G9" s="220">
        <v>7</v>
      </c>
      <c r="H9" s="220">
        <v>1301.6322617932233</v>
      </c>
      <c r="I9" s="220">
        <v>185.94746597046043</v>
      </c>
      <c r="J9" s="223" t="s">
        <v>357</v>
      </c>
      <c r="K9" s="580"/>
      <c r="L9" s="581"/>
    </row>
    <row r="10" spans="1:13" ht="15.75" customHeight="1">
      <c r="A10" s="574"/>
      <c r="B10" s="576"/>
      <c r="C10" s="123">
        <v>3</v>
      </c>
      <c r="D10" s="541" t="s">
        <v>330</v>
      </c>
      <c r="E10" s="542"/>
      <c r="F10" s="543"/>
      <c r="G10" s="220">
        <v>7</v>
      </c>
      <c r="H10" s="220">
        <v>1285.7709760196828</v>
      </c>
      <c r="I10" s="220">
        <v>183.68156800281184</v>
      </c>
      <c r="J10" s="223" t="s">
        <v>357</v>
      </c>
      <c r="K10" s="582"/>
      <c r="L10" s="583"/>
    </row>
    <row r="11" spans="1:13" ht="15.75" customHeight="1">
      <c r="A11" s="574"/>
      <c r="B11" s="576"/>
      <c r="C11" s="123">
        <v>4</v>
      </c>
      <c r="D11" s="541" t="s">
        <v>332</v>
      </c>
      <c r="E11" s="542"/>
      <c r="F11" s="543"/>
      <c r="G11" s="220">
        <v>17.714285714285715</v>
      </c>
      <c r="H11" s="220">
        <v>1280.4385522017096</v>
      </c>
      <c r="I11" s="220">
        <v>72.342417358671213</v>
      </c>
      <c r="J11" s="221" t="s">
        <v>351</v>
      </c>
      <c r="K11" s="533"/>
      <c r="L11" s="534"/>
    </row>
    <row r="12" spans="1:13" ht="15.75" customHeight="1">
      <c r="A12" s="574"/>
      <c r="B12" s="576"/>
      <c r="C12" s="123">
        <v>5</v>
      </c>
      <c r="D12" s="541"/>
      <c r="E12" s="542"/>
      <c r="F12" s="543"/>
      <c r="G12" s="152"/>
      <c r="H12" s="152"/>
      <c r="I12" s="152"/>
      <c r="J12" s="152"/>
      <c r="K12" s="533"/>
      <c r="L12" s="534"/>
    </row>
    <row r="13" spans="1:13" ht="15.75" customHeight="1">
      <c r="A13" s="574"/>
      <c r="B13" s="576"/>
      <c r="C13" s="153" t="s">
        <v>354</v>
      </c>
      <c r="D13" s="541" t="s">
        <v>336</v>
      </c>
      <c r="E13" s="542"/>
      <c r="F13" s="543"/>
      <c r="G13" s="220">
        <v>21</v>
      </c>
      <c r="H13" s="220">
        <v>1074.9722988091603</v>
      </c>
      <c r="I13" s="220">
        <v>51.189157086150502</v>
      </c>
      <c r="J13" s="221" t="s">
        <v>351</v>
      </c>
      <c r="K13" s="584"/>
      <c r="L13" s="585"/>
    </row>
    <row r="14" spans="1:13" ht="15.75" customHeight="1">
      <c r="A14" s="574"/>
      <c r="B14" s="576"/>
      <c r="C14" s="153" t="s">
        <v>355</v>
      </c>
      <c r="D14" s="541" t="s">
        <v>335</v>
      </c>
      <c r="E14" s="542"/>
      <c r="F14" s="543"/>
      <c r="G14" s="220">
        <v>20</v>
      </c>
      <c r="H14" s="220">
        <v>1086.2472775112324</v>
      </c>
      <c r="I14" s="220">
        <v>54.312363875561616</v>
      </c>
      <c r="J14" s="221" t="s">
        <v>351</v>
      </c>
      <c r="K14" s="586"/>
      <c r="L14" s="585"/>
    </row>
    <row r="15" spans="1:13" ht="15.75" customHeight="1">
      <c r="A15" s="574"/>
      <c r="B15" s="576"/>
      <c r="C15" s="153" t="s">
        <v>356</v>
      </c>
      <c r="D15" s="541" t="s">
        <v>334</v>
      </c>
      <c r="E15" s="542"/>
      <c r="F15" s="543"/>
      <c r="G15" s="220">
        <v>18</v>
      </c>
      <c r="H15" s="220">
        <v>1296.5024275547416</v>
      </c>
      <c r="I15" s="220">
        <v>72.027912641930087</v>
      </c>
      <c r="J15" s="221" t="s">
        <v>351</v>
      </c>
      <c r="K15" s="584"/>
      <c r="L15" s="585"/>
    </row>
    <row r="16" spans="1:13" ht="15.75" customHeight="1">
      <c r="A16" s="574"/>
      <c r="B16" s="576"/>
      <c r="C16" s="153" t="s">
        <v>359</v>
      </c>
      <c r="D16" s="541" t="s">
        <v>331</v>
      </c>
      <c r="E16" s="542"/>
      <c r="F16" s="543"/>
      <c r="G16" s="220">
        <v>18</v>
      </c>
      <c r="H16" s="220">
        <v>1296.7910874812753</v>
      </c>
      <c r="I16" s="220">
        <v>72.043949304515294</v>
      </c>
      <c r="J16" s="221" t="s">
        <v>351</v>
      </c>
      <c r="K16" s="544"/>
      <c r="L16" s="543"/>
      <c r="M16" s="115"/>
    </row>
    <row r="17" spans="1:13" ht="15.75" customHeight="1">
      <c r="A17" s="568"/>
      <c r="B17" s="577"/>
      <c r="C17" s="153" t="s">
        <v>361</v>
      </c>
      <c r="D17" s="541"/>
      <c r="E17" s="542"/>
      <c r="F17" s="543"/>
      <c r="G17" s="152"/>
      <c r="H17" s="152"/>
      <c r="I17" s="152"/>
      <c r="J17" s="152"/>
      <c r="K17" s="533"/>
      <c r="L17" s="534"/>
      <c r="M17" s="115"/>
    </row>
    <row r="18" spans="1:13" s="120" customFormat="1" ht="15.75" customHeight="1">
      <c r="A18" s="529" t="s">
        <v>131</v>
      </c>
      <c r="B18" s="531"/>
      <c r="C18" s="262" t="s">
        <v>52</v>
      </c>
      <c r="D18" s="529" t="s">
        <v>53</v>
      </c>
      <c r="E18" s="530"/>
      <c r="F18" s="531"/>
      <c r="G18" s="262" t="s">
        <v>54</v>
      </c>
      <c r="H18" s="262" t="s">
        <v>348</v>
      </c>
      <c r="I18" s="262" t="s">
        <v>349</v>
      </c>
      <c r="J18" s="202" t="s">
        <v>350</v>
      </c>
      <c r="K18" s="529" t="s">
        <v>58</v>
      </c>
      <c r="L18" s="531"/>
      <c r="M18" s="144"/>
    </row>
    <row r="19" spans="1:13" ht="15.75" customHeight="1">
      <c r="A19" s="567"/>
      <c r="B19" s="575"/>
      <c r="C19" s="123">
        <v>1</v>
      </c>
      <c r="D19" s="541"/>
      <c r="E19" s="542"/>
      <c r="F19" s="543"/>
      <c r="G19" s="152"/>
      <c r="H19" s="152"/>
      <c r="I19" s="152"/>
      <c r="J19" s="152"/>
      <c r="K19" s="541"/>
      <c r="L19" s="543"/>
      <c r="M19" s="115"/>
    </row>
    <row r="20" spans="1:13" ht="15.75" customHeight="1">
      <c r="A20" s="574"/>
      <c r="B20" s="576"/>
      <c r="C20" s="123">
        <v>2</v>
      </c>
      <c r="D20" s="533"/>
      <c r="E20" s="540"/>
      <c r="F20" s="534"/>
      <c r="G20" s="152"/>
      <c r="H20" s="152"/>
      <c r="I20" s="152"/>
      <c r="J20" s="152"/>
      <c r="K20" s="533"/>
      <c r="L20" s="534"/>
      <c r="M20" s="115"/>
    </row>
    <row r="21" spans="1:13" ht="15.75" customHeight="1">
      <c r="A21" s="574"/>
      <c r="B21" s="576"/>
      <c r="C21" s="123">
        <v>3</v>
      </c>
      <c r="D21" s="533"/>
      <c r="E21" s="540"/>
      <c r="F21" s="534"/>
      <c r="G21" s="152"/>
      <c r="H21" s="152"/>
      <c r="I21" s="152"/>
      <c r="J21" s="152"/>
      <c r="K21" s="533"/>
      <c r="L21" s="534"/>
      <c r="M21" s="115"/>
    </row>
    <row r="22" spans="1:13" ht="15.75" customHeight="1">
      <c r="A22" s="574"/>
      <c r="B22" s="576"/>
      <c r="C22" s="123">
        <v>4</v>
      </c>
      <c r="D22" s="533"/>
      <c r="E22" s="540"/>
      <c r="F22" s="534"/>
      <c r="G22" s="152"/>
      <c r="H22" s="152"/>
      <c r="I22" s="152"/>
      <c r="J22" s="152"/>
      <c r="K22" s="533"/>
      <c r="L22" s="534"/>
      <c r="M22" s="115"/>
    </row>
    <row r="23" spans="1:13" ht="15.75" customHeight="1">
      <c r="A23" s="574"/>
      <c r="B23" s="576"/>
      <c r="C23" s="123">
        <v>5</v>
      </c>
      <c r="D23" s="533"/>
      <c r="E23" s="540"/>
      <c r="F23" s="534"/>
      <c r="G23" s="152"/>
      <c r="H23" s="152"/>
      <c r="I23" s="152"/>
      <c r="J23" s="152"/>
      <c r="K23" s="533"/>
      <c r="L23" s="534"/>
      <c r="M23" s="115"/>
    </row>
    <row r="24" spans="1:13" ht="15.75" customHeight="1">
      <c r="A24" s="574"/>
      <c r="B24" s="576"/>
      <c r="C24" s="153" t="s">
        <v>354</v>
      </c>
      <c r="D24" s="541"/>
      <c r="E24" s="542"/>
      <c r="F24" s="543"/>
      <c r="G24" s="152"/>
      <c r="H24" s="152"/>
      <c r="I24" s="152"/>
      <c r="J24" s="152"/>
      <c r="K24" s="541"/>
      <c r="L24" s="543"/>
      <c r="M24" s="115"/>
    </row>
    <row r="25" spans="1:13" ht="15.75" customHeight="1">
      <c r="A25" s="574"/>
      <c r="B25" s="576"/>
      <c r="C25" s="153" t="s">
        <v>355</v>
      </c>
      <c r="D25" s="533"/>
      <c r="E25" s="540"/>
      <c r="F25" s="534"/>
      <c r="G25" s="152"/>
      <c r="H25" s="152"/>
      <c r="I25" s="152"/>
      <c r="J25" s="152"/>
      <c r="K25" s="533"/>
      <c r="L25" s="534"/>
      <c r="M25" s="115"/>
    </row>
    <row r="26" spans="1:13" ht="15.75" customHeight="1">
      <c r="A26" s="574"/>
      <c r="B26" s="576"/>
      <c r="C26" s="153" t="s">
        <v>356</v>
      </c>
      <c r="D26" s="533"/>
      <c r="E26" s="540"/>
      <c r="F26" s="534"/>
      <c r="G26" s="152"/>
      <c r="H26" s="152"/>
      <c r="I26" s="152"/>
      <c r="J26" s="152"/>
      <c r="K26" s="533"/>
      <c r="L26" s="534"/>
      <c r="M26" s="115"/>
    </row>
    <row r="27" spans="1:13" ht="15.75" customHeight="1">
      <c r="A27" s="574"/>
      <c r="B27" s="576"/>
      <c r="C27" s="153" t="s">
        <v>359</v>
      </c>
      <c r="D27" s="533"/>
      <c r="E27" s="540"/>
      <c r="F27" s="534"/>
      <c r="G27" s="152"/>
      <c r="H27" s="152"/>
      <c r="I27" s="152"/>
      <c r="J27" s="152"/>
      <c r="K27" s="533"/>
      <c r="L27" s="534"/>
      <c r="M27" s="115"/>
    </row>
    <row r="28" spans="1:13" ht="15.75" customHeight="1">
      <c r="A28" s="568"/>
      <c r="B28" s="577"/>
      <c r="C28" s="153" t="s">
        <v>361</v>
      </c>
      <c r="D28" s="533"/>
      <c r="E28" s="540"/>
      <c r="F28" s="534"/>
      <c r="G28" s="152"/>
      <c r="H28" s="152"/>
      <c r="I28" s="152"/>
      <c r="J28" s="152"/>
      <c r="K28" s="533"/>
      <c r="L28" s="534"/>
      <c r="M28" s="115"/>
    </row>
  </sheetData>
  <mergeCells count="51"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89" t="s">
        <v>337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</row>
    <row r="2" spans="1:13" s="171" customFormat="1" ht="15.75" customHeight="1">
      <c r="A2" s="589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</row>
    <row r="3" spans="1:13" ht="15.75" customHeight="1">
      <c r="A3" s="590" t="s">
        <v>406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13" s="171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</row>
    <row r="5" spans="1:13" ht="15.75" customHeight="1">
      <c r="A5" s="172" t="s">
        <v>407</v>
      </c>
      <c r="B5" s="173">
        <v>212376150</v>
      </c>
    </row>
    <row r="6" spans="1:13" ht="15.75" customHeight="1">
      <c r="A6" s="591" t="s">
        <v>105</v>
      </c>
      <c r="B6" s="592" t="s">
        <v>47</v>
      </c>
      <c r="C6" s="592"/>
      <c r="D6" s="593"/>
      <c r="E6" s="591" t="s">
        <v>105</v>
      </c>
      <c r="F6" s="595">
        <v>1</v>
      </c>
      <c r="G6" s="595"/>
      <c r="H6" s="595">
        <v>2</v>
      </c>
      <c r="I6" s="595"/>
      <c r="J6" s="595">
        <v>3</v>
      </c>
      <c r="K6" s="595"/>
      <c r="L6" s="595">
        <v>4</v>
      </c>
      <c r="M6" s="595"/>
    </row>
    <row r="7" spans="1:13" ht="31.35" customHeight="1">
      <c r="A7" s="591"/>
      <c r="B7" s="592"/>
      <c r="C7" s="592"/>
      <c r="D7" s="594"/>
      <c r="E7" s="591"/>
      <c r="F7" s="587" t="s">
        <v>408</v>
      </c>
      <c r="G7" s="587"/>
      <c r="H7" s="587" t="s">
        <v>409</v>
      </c>
      <c r="I7" s="587"/>
      <c r="J7" s="587" t="s">
        <v>410</v>
      </c>
      <c r="K7" s="587"/>
      <c r="L7" s="587" t="s">
        <v>411</v>
      </c>
      <c r="M7" s="587"/>
    </row>
    <row r="8" spans="1:13" ht="15.75" customHeight="1">
      <c r="A8" s="591"/>
      <c r="B8" s="196" t="s">
        <v>50</v>
      </c>
      <c r="C8" s="196" t="s">
        <v>15</v>
      </c>
      <c r="D8" s="594"/>
      <c r="E8" s="591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412</v>
      </c>
      <c r="B9" s="175">
        <v>47927.00699999994</v>
      </c>
      <c r="C9" s="176">
        <f>B9/$B$5</f>
        <v>2.256703824793883E-4</v>
      </c>
      <c r="D9" s="594"/>
      <c r="E9" s="174" t="s">
        <v>412</v>
      </c>
      <c r="F9" s="177">
        <v>1423.9050000000002</v>
      </c>
      <c r="G9" s="178">
        <f>IFERROR(F9/$B$9,"")</f>
        <v>2.9709866923256903E-2</v>
      </c>
      <c r="H9" s="177">
        <v>5535.9419999999991</v>
      </c>
      <c r="I9" s="178">
        <f>IFERROR(H9/$B$9,"")</f>
        <v>0.11550777623146812</v>
      </c>
      <c r="J9" s="177">
        <v>6691.5360000000019</v>
      </c>
      <c r="K9" s="178">
        <f>IFERROR(J9/$B$9,"")</f>
        <v>0.13961931735065389</v>
      </c>
      <c r="L9" s="177">
        <v>17258.763000000006</v>
      </c>
      <c r="M9" s="178">
        <f>IFERROR(L9/$B$9,"")</f>
        <v>0.36010516993059943</v>
      </c>
    </row>
    <row r="10" spans="1:13" ht="19.350000000000001" customHeight="1">
      <c r="A10" s="179" t="s">
        <v>413</v>
      </c>
      <c r="B10" s="180">
        <v>69974.579191980054</v>
      </c>
      <c r="C10" s="176">
        <f>B10/$B$5</f>
        <v>3.2948416849999424E-4</v>
      </c>
      <c r="D10" s="594"/>
      <c r="E10" s="179" t="s">
        <v>413</v>
      </c>
      <c r="F10" s="177">
        <v>1179.8078200000007</v>
      </c>
      <c r="G10" s="178">
        <f>IFERROR(F10/$B$10,"")</f>
        <v>1.6860520400746062E-2</v>
      </c>
      <c r="H10" s="177">
        <v>3563.9139100000007</v>
      </c>
      <c r="I10" s="178">
        <f>IFERROR(H10/$B$10,"")</f>
        <v>5.0931551874319365E-2</v>
      </c>
      <c r="J10" s="177">
        <v>3130.998689999999</v>
      </c>
      <c r="K10" s="178">
        <f>IFERROR(J10/$B$10,"")</f>
        <v>4.4744801986016804E-2</v>
      </c>
      <c r="L10" s="177">
        <v>14381.948886699534</v>
      </c>
      <c r="M10" s="178">
        <f>IFERROR(L10/$B$10,"")</f>
        <v>0.20553105217312806</v>
      </c>
    </row>
    <row r="11" spans="1:13" ht="15.75" customHeight="1">
      <c r="D11" s="594"/>
      <c r="E11" s="591" t="s">
        <v>105</v>
      </c>
      <c r="F11" s="595">
        <v>5</v>
      </c>
      <c r="G11" s="595"/>
      <c r="H11" s="595">
        <v>6</v>
      </c>
      <c r="I11" s="595"/>
      <c r="J11" s="595">
        <v>7</v>
      </c>
      <c r="K11" s="595"/>
      <c r="L11" s="596">
        <v>8</v>
      </c>
      <c r="M11" s="596"/>
    </row>
    <row r="12" spans="1:13" ht="31.35" customHeight="1">
      <c r="D12" s="594"/>
      <c r="E12" s="591"/>
      <c r="F12" s="587" t="s">
        <v>414</v>
      </c>
      <c r="G12" s="587"/>
      <c r="H12" s="587" t="s">
        <v>415</v>
      </c>
      <c r="I12" s="587"/>
      <c r="J12" s="587" t="s">
        <v>416</v>
      </c>
      <c r="K12" s="587"/>
      <c r="L12" s="588" t="s">
        <v>417</v>
      </c>
      <c r="M12" s="588"/>
    </row>
    <row r="13" spans="1:13" ht="15.75" customHeight="1">
      <c r="D13" s="594"/>
      <c r="E13" s="591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594"/>
      <c r="E14" s="174" t="s">
        <v>412</v>
      </c>
      <c r="F14" s="177">
        <v>12460.915000000001</v>
      </c>
      <c r="G14" s="178">
        <f>IFERROR(F14/$B$9,"")</f>
        <v>0.25999777119401629</v>
      </c>
      <c r="H14" s="177">
        <v>1494.27</v>
      </c>
      <c r="I14" s="178">
        <f>IFERROR(H14/$B$9,"")</f>
        <v>3.1178037051218365E-2</v>
      </c>
      <c r="J14" s="177">
        <v>3061.675999999999</v>
      </c>
      <c r="K14" s="178">
        <f>IFERROR(J14/$B$9,"")</f>
        <v>6.3882061318788444E-2</v>
      </c>
      <c r="L14" s="177">
        <v>0</v>
      </c>
      <c r="M14" s="178">
        <f>IFERROR(L14/$B$9,"")</f>
        <v>0</v>
      </c>
    </row>
    <row r="15" spans="1:13" ht="19.350000000000001" customHeight="1">
      <c r="D15" s="594"/>
      <c r="E15" s="179" t="s">
        <v>413</v>
      </c>
      <c r="F15" s="177">
        <v>30846.731825280494</v>
      </c>
      <c r="G15" s="178">
        <f>IFERROR(F15/$B$10,"")</f>
        <v>0.44082768601795191</v>
      </c>
      <c r="H15" s="177">
        <v>12704.309300000044</v>
      </c>
      <c r="I15" s="178">
        <f>IFERROR(H15/$B$10,"")</f>
        <v>0.18155606574131589</v>
      </c>
      <c r="J15" s="177">
        <v>3994.7131600000112</v>
      </c>
      <c r="K15" s="178">
        <f>IFERROR(J15/$B$10,"")</f>
        <v>5.7088062638293857E-2</v>
      </c>
      <c r="L15" s="177">
        <v>0</v>
      </c>
      <c r="M15" s="17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84"/>
  <sheetViews>
    <sheetView tabSelected="1" topLeftCell="A167" zoomScale="110" zoomScaleNormal="110" zoomScaleSheetLayoutView="115" workbookViewId="0">
      <selection activeCell="M187" sqref="M187"/>
    </sheetView>
  </sheetViews>
  <sheetFormatPr defaultColWidth="12.5703125" defaultRowHeight="15.75" customHeight="1"/>
  <cols>
    <col min="1" max="1" width="7.5703125" style="170" customWidth="1"/>
    <col min="2" max="2" width="14.85546875" style="170" customWidth="1"/>
    <col min="3" max="3" width="12.85546875" style="170" customWidth="1"/>
    <col min="4" max="4" width="2.5703125" style="170" customWidth="1"/>
    <col min="5" max="5" width="7.5703125" style="170" customWidth="1"/>
    <col min="6" max="6" width="12.85546875" style="170" customWidth="1"/>
    <col min="7" max="7" width="9.42578125" style="170" customWidth="1"/>
    <col min="8" max="8" width="12.85546875" style="170" customWidth="1"/>
    <col min="9" max="9" width="9.42578125" style="170" customWidth="1"/>
    <col min="10" max="10" width="12.85546875" style="170" customWidth="1"/>
    <col min="11" max="11" width="9.42578125" style="170" customWidth="1"/>
    <col min="12" max="12" width="12.85546875" style="170" customWidth="1"/>
    <col min="13" max="13" width="9.42578125" style="170" customWidth="1"/>
    <col min="14" max="16384" width="12.5703125" style="170"/>
  </cols>
  <sheetData>
    <row r="1" spans="1:13" ht="15.75" customHeight="1">
      <c r="A1" s="589" t="s">
        <v>337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</row>
    <row r="2" spans="1:13" s="171" customFormat="1" ht="15.75" customHeight="1">
      <c r="A2" s="589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</row>
    <row r="3" spans="1:13" ht="15.75" customHeight="1">
      <c r="A3" s="590" t="s">
        <v>418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13" s="171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</row>
    <row r="5" spans="1:13" ht="15.75" customHeight="1">
      <c r="A5" s="172" t="s">
        <v>407</v>
      </c>
      <c r="B5" s="173">
        <v>75872986</v>
      </c>
    </row>
    <row r="6" spans="1:13" ht="15.75" customHeight="1">
      <c r="A6" s="591" t="s">
        <v>105</v>
      </c>
      <c r="B6" s="592" t="s">
        <v>47</v>
      </c>
      <c r="C6" s="592"/>
      <c r="D6" s="593"/>
      <c r="E6" s="591" t="s">
        <v>105</v>
      </c>
      <c r="F6" s="595">
        <v>1</v>
      </c>
      <c r="G6" s="595"/>
      <c r="H6" s="595">
        <v>2</v>
      </c>
      <c r="I6" s="595"/>
      <c r="J6" s="595">
        <v>3</v>
      </c>
      <c r="K6" s="595"/>
      <c r="L6" s="595">
        <v>4</v>
      </c>
      <c r="M6" s="595"/>
    </row>
    <row r="7" spans="1:13" ht="31.35" customHeight="1">
      <c r="A7" s="591"/>
      <c r="B7" s="592"/>
      <c r="C7" s="592"/>
      <c r="D7" s="594"/>
      <c r="E7" s="591"/>
      <c r="F7" s="587" t="s">
        <v>408</v>
      </c>
      <c r="G7" s="587"/>
      <c r="H7" s="587" t="s">
        <v>409</v>
      </c>
      <c r="I7" s="587"/>
      <c r="J7" s="587" t="s">
        <v>410</v>
      </c>
      <c r="K7" s="587"/>
      <c r="L7" s="587" t="s">
        <v>419</v>
      </c>
      <c r="M7" s="587"/>
    </row>
    <row r="8" spans="1:13" ht="15.75" customHeight="1">
      <c r="A8" s="591"/>
      <c r="B8" s="196" t="s">
        <v>50</v>
      </c>
      <c r="C8" s="196" t="s">
        <v>15</v>
      </c>
      <c r="D8" s="594"/>
      <c r="E8" s="591"/>
      <c r="F8" s="196" t="s">
        <v>50</v>
      </c>
      <c r="G8" s="196" t="s">
        <v>15</v>
      </c>
      <c r="H8" s="196" t="s">
        <v>50</v>
      </c>
      <c r="I8" s="196" t="s">
        <v>15</v>
      </c>
      <c r="J8" s="196" t="s">
        <v>50</v>
      </c>
      <c r="K8" s="196" t="s">
        <v>15</v>
      </c>
      <c r="L8" s="196" t="s">
        <v>50</v>
      </c>
      <c r="M8" s="196" t="s">
        <v>15</v>
      </c>
    </row>
    <row r="9" spans="1:13" ht="19.350000000000001" customHeight="1">
      <c r="A9" s="174" t="s">
        <v>412</v>
      </c>
      <c r="B9" s="175">
        <v>18257.814999999991</v>
      </c>
      <c r="C9" s="176">
        <f>B9/$B$5</f>
        <v>2.4063656859372835E-4</v>
      </c>
      <c r="D9" s="594"/>
      <c r="E9" s="174" t="s">
        <v>412</v>
      </c>
      <c r="F9" s="177">
        <v>552.57299999999998</v>
      </c>
      <c r="G9" s="178">
        <f>IFERROR(F9/$B$9,"")</f>
        <v>3.0265012543943523E-2</v>
      </c>
      <c r="H9" s="177">
        <v>1893.9470000000001</v>
      </c>
      <c r="I9" s="178">
        <f>IFERROR(H9/$B$9,"")</f>
        <v>0.10373349713533635</v>
      </c>
      <c r="J9" s="177">
        <v>2015.6379999999999</v>
      </c>
      <c r="K9" s="178">
        <f>IFERROR(J9/$B$9,"")</f>
        <v>0.11039864299205578</v>
      </c>
      <c r="L9" s="177">
        <v>6004.951</v>
      </c>
      <c r="M9" s="178">
        <f>IFERROR(L9/$B$9,"")</f>
        <v>0.32889757071150094</v>
      </c>
    </row>
    <row r="10" spans="1:13" ht="19.350000000000001" customHeight="1">
      <c r="A10" s="179" t="s">
        <v>413</v>
      </c>
      <c r="B10" s="180">
        <v>22782.319846732516</v>
      </c>
      <c r="C10" s="176">
        <f>B10/$B$5</f>
        <v>3.0026918733279477E-4</v>
      </c>
      <c r="D10" s="594"/>
      <c r="E10" s="179" t="s">
        <v>413</v>
      </c>
      <c r="F10" s="177">
        <v>733.22632000000021</v>
      </c>
      <c r="G10" s="178">
        <f>IFERROR(F10/$B$10,"")</f>
        <v>3.2184006059644575E-2</v>
      </c>
      <c r="H10" s="177">
        <v>2126.0029800000007</v>
      </c>
      <c r="I10" s="178">
        <f>IFERROR(H10/$B$10,"")</f>
        <v>9.3318107826710892E-2</v>
      </c>
      <c r="J10" s="177">
        <v>833.94599999999934</v>
      </c>
      <c r="K10" s="178">
        <f>IFERROR(J10/$B$10,"")</f>
        <v>3.6604964095419169E-2</v>
      </c>
      <c r="L10" s="177">
        <v>7270.6642214520316</v>
      </c>
      <c r="M10" s="178">
        <f>IFERROR(L10/$B$10,"")</f>
        <v>0.31913625435711734</v>
      </c>
    </row>
    <row r="11" spans="1:13" ht="15.75" customHeight="1">
      <c r="D11" s="594"/>
      <c r="E11" s="591" t="s">
        <v>105</v>
      </c>
      <c r="F11" s="595">
        <v>5</v>
      </c>
      <c r="G11" s="595"/>
      <c r="H11" s="595">
        <v>6</v>
      </c>
      <c r="I11" s="595"/>
      <c r="J11" s="595">
        <v>7</v>
      </c>
      <c r="K11" s="595"/>
      <c r="L11" s="596">
        <v>8</v>
      </c>
      <c r="M11" s="596"/>
    </row>
    <row r="12" spans="1:13" ht="31.35" customHeight="1">
      <c r="D12" s="594"/>
      <c r="E12" s="591"/>
      <c r="F12" s="587" t="s">
        <v>414</v>
      </c>
      <c r="G12" s="587"/>
      <c r="H12" s="587" t="s">
        <v>415</v>
      </c>
      <c r="I12" s="587"/>
      <c r="J12" s="587" t="s">
        <v>416</v>
      </c>
      <c r="K12" s="587"/>
      <c r="L12" s="588" t="s">
        <v>417</v>
      </c>
      <c r="M12" s="588"/>
    </row>
    <row r="13" spans="1:13" ht="15.75" customHeight="1">
      <c r="D13" s="594"/>
      <c r="E13" s="591"/>
      <c r="F13" s="196" t="s">
        <v>50</v>
      </c>
      <c r="G13" s="196" t="s">
        <v>15</v>
      </c>
      <c r="H13" s="196" t="s">
        <v>50</v>
      </c>
      <c r="I13" s="196" t="s">
        <v>15</v>
      </c>
      <c r="J13" s="196" t="s">
        <v>50</v>
      </c>
      <c r="K13" s="196" t="s">
        <v>15</v>
      </c>
      <c r="L13" s="196" t="s">
        <v>50</v>
      </c>
      <c r="M13" s="196" t="s">
        <v>15</v>
      </c>
    </row>
    <row r="14" spans="1:13" ht="19.350000000000001" customHeight="1">
      <c r="D14" s="594"/>
      <c r="E14" s="174" t="s">
        <v>412</v>
      </c>
      <c r="F14" s="177">
        <v>6580.9920000000002</v>
      </c>
      <c r="G14" s="178">
        <f>IFERROR(F14/$B$9,"")</f>
        <v>0.3604479506446967</v>
      </c>
      <c r="H14" s="177">
        <v>0</v>
      </c>
      <c r="I14" s="178">
        <f>IFERROR(H14/$B$9,"")</f>
        <v>0</v>
      </c>
      <c r="J14" s="177">
        <v>1209.7139999999999</v>
      </c>
      <c r="K14" s="178">
        <f>IFERROR(J14/$B$9,"")</f>
        <v>6.6257325972467154E-2</v>
      </c>
      <c r="L14" s="177">
        <v>0</v>
      </c>
      <c r="M14" s="178">
        <f>IFERROR(L14/$B$9,"")</f>
        <v>0</v>
      </c>
    </row>
    <row r="15" spans="1:13" ht="19.350000000000001" customHeight="1" thickBot="1">
      <c r="D15" s="594"/>
      <c r="E15" s="179" t="s">
        <v>413</v>
      </c>
      <c r="F15" s="177">
        <v>9515.0165852805003</v>
      </c>
      <c r="G15" s="178">
        <f>IFERROR(F15/$B$10,"")</f>
        <v>0.41764915290859467</v>
      </c>
      <c r="H15" s="177">
        <v>415.10627999999923</v>
      </c>
      <c r="I15" s="178">
        <f>IFERROR(H15/$B$10,"")</f>
        <v>1.8220544825663772E-2</v>
      </c>
      <c r="J15" s="177">
        <v>1888.3574600000009</v>
      </c>
      <c r="K15" s="178">
        <f>IFERROR(J15/$B$10,"")</f>
        <v>8.2886969926850212E-2</v>
      </c>
      <c r="L15" s="177">
        <v>0</v>
      </c>
      <c r="M15" s="178">
        <f>IFERROR(L15/$B$10,"")</f>
        <v>0</v>
      </c>
    </row>
    <row r="16" spans="1:13" ht="15.75" customHeight="1">
      <c r="A16" s="597" t="s">
        <v>420</v>
      </c>
      <c r="B16" s="598"/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599"/>
    </row>
    <row r="17" spans="1:13" ht="15.75" customHeight="1">
      <c r="A17" s="600"/>
      <c r="B17" s="590"/>
      <c r="C17" s="590"/>
      <c r="D17" s="590"/>
      <c r="E17" s="590"/>
      <c r="F17" s="590"/>
      <c r="G17" s="590"/>
      <c r="H17" s="590"/>
      <c r="I17" s="590"/>
      <c r="J17" s="590"/>
      <c r="K17" s="590"/>
      <c r="L17" s="590"/>
      <c r="M17" s="601"/>
    </row>
    <row r="18" spans="1:13" ht="15.75" customHeight="1">
      <c r="A18" s="246" t="s">
        <v>407</v>
      </c>
      <c r="B18" s="173">
        <v>48523585</v>
      </c>
      <c r="M18" s="247"/>
    </row>
    <row r="19" spans="1:13" ht="15.75" customHeight="1">
      <c r="A19" s="602" t="s">
        <v>105</v>
      </c>
      <c r="B19" s="592" t="s">
        <v>47</v>
      </c>
      <c r="C19" s="592"/>
      <c r="D19" s="593"/>
      <c r="E19" s="591" t="s">
        <v>105</v>
      </c>
      <c r="F19" s="595">
        <v>1</v>
      </c>
      <c r="G19" s="595"/>
      <c r="H19" s="595">
        <v>2</v>
      </c>
      <c r="I19" s="595"/>
      <c r="J19" s="595">
        <v>3</v>
      </c>
      <c r="K19" s="595"/>
      <c r="L19" s="595">
        <v>4</v>
      </c>
      <c r="M19" s="604"/>
    </row>
    <row r="20" spans="1:13" ht="15.75" customHeight="1">
      <c r="A20" s="602"/>
      <c r="B20" s="592"/>
      <c r="C20" s="592"/>
      <c r="D20" s="594"/>
      <c r="E20" s="591"/>
      <c r="F20" s="587" t="s">
        <v>408</v>
      </c>
      <c r="G20" s="587"/>
      <c r="H20" s="587" t="s">
        <v>409</v>
      </c>
      <c r="I20" s="587"/>
      <c r="J20" s="587" t="s">
        <v>410</v>
      </c>
      <c r="K20" s="587"/>
      <c r="L20" s="587" t="s">
        <v>419</v>
      </c>
      <c r="M20" s="605"/>
    </row>
    <row r="21" spans="1:13" ht="15.75" customHeight="1">
      <c r="A21" s="602"/>
      <c r="B21" s="196" t="s">
        <v>50</v>
      </c>
      <c r="C21" s="196" t="s">
        <v>15</v>
      </c>
      <c r="D21" s="594"/>
      <c r="E21" s="591"/>
      <c r="F21" s="196" t="s">
        <v>50</v>
      </c>
      <c r="G21" s="196" t="s">
        <v>15</v>
      </c>
      <c r="H21" s="196" t="s">
        <v>50</v>
      </c>
      <c r="I21" s="196" t="s">
        <v>15</v>
      </c>
      <c r="J21" s="196" t="s">
        <v>50</v>
      </c>
      <c r="K21" s="196" t="s">
        <v>15</v>
      </c>
      <c r="L21" s="196" t="s">
        <v>50</v>
      </c>
      <c r="M21" s="248" t="s">
        <v>15</v>
      </c>
    </row>
    <row r="22" spans="1:13" ht="15.75" customHeight="1">
      <c r="A22" s="249" t="s">
        <v>412</v>
      </c>
      <c r="B22" s="250">
        <v>11676.691000000003</v>
      </c>
      <c r="C22" s="176">
        <f>B22/$B$18</f>
        <v>2.4063949520630024E-4</v>
      </c>
      <c r="D22" s="594"/>
      <c r="E22" s="174" t="s">
        <v>412</v>
      </c>
      <c r="F22" s="251">
        <v>165.98000000000002</v>
      </c>
      <c r="G22" s="178">
        <f>IFERROR(F22/$B$9,"")</f>
        <v>9.0909016221272978E-3</v>
      </c>
      <c r="H22" s="251">
        <v>1611.5420000000004</v>
      </c>
      <c r="I22" s="178">
        <f>IFERROR(H22/$B$9,"")</f>
        <v>8.8265874092820037E-2</v>
      </c>
      <c r="J22" s="251">
        <v>1228.9280000000001</v>
      </c>
      <c r="K22" s="178">
        <f>IFERROR(J22/$B$9,"")</f>
        <v>6.7309697244714153E-2</v>
      </c>
      <c r="L22" s="251">
        <v>3775.8909999999996</v>
      </c>
      <c r="M22" s="252">
        <f>IFERROR(L22/$B$9,"")</f>
        <v>0.20680957715915083</v>
      </c>
    </row>
    <row r="23" spans="1:13" ht="15.75" customHeight="1">
      <c r="A23" s="253" t="s">
        <v>413</v>
      </c>
      <c r="B23" s="254">
        <v>18680.446015247508</v>
      </c>
      <c r="C23" s="176">
        <f>B23/$B$18</f>
        <v>3.8497662559861369E-4</v>
      </c>
      <c r="D23" s="594"/>
      <c r="E23" s="179" t="s">
        <v>413</v>
      </c>
      <c r="F23" s="251">
        <v>0</v>
      </c>
      <c r="G23" s="178">
        <f>IFERROR(F23/$B$10,"")</f>
        <v>0</v>
      </c>
      <c r="H23" s="251">
        <v>644.21809999999959</v>
      </c>
      <c r="I23" s="178">
        <f>IFERROR(H23/$B$10,"")</f>
        <v>2.8277107174947972E-2</v>
      </c>
      <c r="J23" s="251">
        <v>874.41625999999883</v>
      </c>
      <c r="K23" s="178">
        <f>IFERROR(J23/$B$10,"")</f>
        <v>3.8381352991381575E-2</v>
      </c>
      <c r="L23" s="251">
        <v>3059.7451552474977</v>
      </c>
      <c r="M23" s="252">
        <f>IFERROR(L23/$B$10,"")</f>
        <v>0.13430349393002364</v>
      </c>
    </row>
    <row r="24" spans="1:13" ht="15.75" customHeight="1">
      <c r="A24" s="255"/>
      <c r="D24" s="594"/>
      <c r="E24" s="591" t="s">
        <v>105</v>
      </c>
      <c r="F24" s="595">
        <v>5</v>
      </c>
      <c r="G24" s="595"/>
      <c r="H24" s="595">
        <v>6</v>
      </c>
      <c r="I24" s="595"/>
      <c r="J24" s="595">
        <v>7</v>
      </c>
      <c r="K24" s="595"/>
      <c r="L24" s="596">
        <v>8</v>
      </c>
      <c r="M24" s="614"/>
    </row>
    <row r="25" spans="1:13" ht="15.75" customHeight="1">
      <c r="A25" s="255"/>
      <c r="D25" s="594"/>
      <c r="E25" s="591"/>
      <c r="F25" s="587" t="s">
        <v>414</v>
      </c>
      <c r="G25" s="587"/>
      <c r="H25" s="587" t="s">
        <v>415</v>
      </c>
      <c r="I25" s="587"/>
      <c r="J25" s="587" t="s">
        <v>416</v>
      </c>
      <c r="K25" s="587"/>
      <c r="L25" s="588" t="s">
        <v>417</v>
      </c>
      <c r="M25" s="615"/>
    </row>
    <row r="26" spans="1:13" ht="15.75" customHeight="1">
      <c r="A26" s="255"/>
      <c r="D26" s="594"/>
      <c r="E26" s="591"/>
      <c r="F26" s="196" t="s">
        <v>50</v>
      </c>
      <c r="G26" s="196" t="s">
        <v>15</v>
      </c>
      <c r="H26" s="196" t="s">
        <v>50</v>
      </c>
      <c r="I26" s="196" t="s">
        <v>15</v>
      </c>
      <c r="J26" s="196" t="s">
        <v>50</v>
      </c>
      <c r="K26" s="196" t="s">
        <v>15</v>
      </c>
      <c r="L26" s="196" t="s">
        <v>50</v>
      </c>
      <c r="M26" s="248" t="s">
        <v>15</v>
      </c>
    </row>
    <row r="27" spans="1:13" ht="15.75" customHeight="1">
      <c r="A27" s="255"/>
      <c r="D27" s="594"/>
      <c r="E27" s="174" t="s">
        <v>412</v>
      </c>
      <c r="F27" s="251">
        <v>3919.5130000000004</v>
      </c>
      <c r="G27" s="178">
        <f>IFERROR(F27/$B$9,"")</f>
        <v>0.21467590727587074</v>
      </c>
      <c r="H27" s="251">
        <v>0</v>
      </c>
      <c r="I27" s="178">
        <f>IFERROR(H27/$B$9,"")</f>
        <v>0</v>
      </c>
      <c r="J27" s="251">
        <v>974.8370000000001</v>
      </c>
      <c r="K27" s="178">
        <f>IFERROR(J27/$B$9,"")</f>
        <v>5.3392862179839184E-2</v>
      </c>
      <c r="L27" s="251">
        <v>0</v>
      </c>
      <c r="M27" s="252">
        <f>IFERROR(L27/$B$9,"")</f>
        <v>0</v>
      </c>
    </row>
    <row r="28" spans="1:13" ht="15.75" customHeight="1" thickBot="1">
      <c r="A28" s="256"/>
      <c r="B28" s="257"/>
      <c r="C28" s="257"/>
      <c r="D28" s="603"/>
      <c r="E28" s="258" t="s">
        <v>413</v>
      </c>
      <c r="F28" s="259">
        <v>10050.147089999993</v>
      </c>
      <c r="G28" s="260">
        <f>IFERROR(F28/$B$10,"")</f>
        <v>0.44113800339965836</v>
      </c>
      <c r="H28" s="259">
        <v>2190.4281100000026</v>
      </c>
      <c r="I28" s="260">
        <f>IFERROR(H28/$B$10,"")</f>
        <v>9.6145964271244222E-2</v>
      </c>
      <c r="J28" s="259">
        <v>1689.3357000000103</v>
      </c>
      <c r="K28" s="260">
        <f>IFERROR(J28/$B$10,"")</f>
        <v>7.4151171231243082E-2</v>
      </c>
      <c r="L28" s="259">
        <v>0</v>
      </c>
      <c r="M28" s="261">
        <f>IFERROR(L28/$B$10,"")</f>
        <v>0</v>
      </c>
    </row>
    <row r="29" spans="1:13" ht="15.75" customHeight="1">
      <c r="A29" s="597" t="s">
        <v>421</v>
      </c>
      <c r="B29" s="598"/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9"/>
    </row>
    <row r="30" spans="1:13" ht="15.75" customHeight="1">
      <c r="A30" s="60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  <c r="M30" s="601"/>
    </row>
    <row r="31" spans="1:13" ht="15.75" customHeight="1">
      <c r="A31" s="246" t="s">
        <v>407</v>
      </c>
      <c r="B31" s="173">
        <v>48655452</v>
      </c>
      <c r="M31" s="247"/>
    </row>
    <row r="32" spans="1:13" ht="15.75" customHeight="1">
      <c r="A32" s="602" t="s">
        <v>105</v>
      </c>
      <c r="B32" s="592" t="s">
        <v>47</v>
      </c>
      <c r="C32" s="592"/>
      <c r="D32" s="593"/>
      <c r="E32" s="591" t="s">
        <v>105</v>
      </c>
      <c r="F32" s="595">
        <v>1</v>
      </c>
      <c r="G32" s="595"/>
      <c r="H32" s="595">
        <v>2</v>
      </c>
      <c r="I32" s="595"/>
      <c r="J32" s="595">
        <v>3</v>
      </c>
      <c r="K32" s="595"/>
      <c r="L32" s="595">
        <v>4</v>
      </c>
      <c r="M32" s="604"/>
    </row>
    <row r="33" spans="1:13" ht="15.75" customHeight="1">
      <c r="A33" s="602"/>
      <c r="B33" s="592"/>
      <c r="C33" s="592"/>
      <c r="D33" s="594"/>
      <c r="E33" s="591"/>
      <c r="F33" s="587" t="s">
        <v>408</v>
      </c>
      <c r="G33" s="587"/>
      <c r="H33" s="587" t="s">
        <v>409</v>
      </c>
      <c r="I33" s="587"/>
      <c r="J33" s="587" t="s">
        <v>410</v>
      </c>
      <c r="K33" s="587"/>
      <c r="L33" s="587" t="s">
        <v>419</v>
      </c>
      <c r="M33" s="605"/>
    </row>
    <row r="34" spans="1:13" ht="15.75" customHeight="1">
      <c r="A34" s="602"/>
      <c r="B34" s="196" t="s">
        <v>50</v>
      </c>
      <c r="C34" s="196" t="s">
        <v>15</v>
      </c>
      <c r="D34" s="594"/>
      <c r="E34" s="591"/>
      <c r="F34" s="196" t="s">
        <v>50</v>
      </c>
      <c r="G34" s="196" t="s">
        <v>15</v>
      </c>
      <c r="H34" s="196" t="s">
        <v>50</v>
      </c>
      <c r="I34" s="196" t="s">
        <v>15</v>
      </c>
      <c r="J34" s="196" t="s">
        <v>50</v>
      </c>
      <c r="K34" s="196" t="s">
        <v>15</v>
      </c>
      <c r="L34" s="196" t="s">
        <v>50</v>
      </c>
      <c r="M34" s="248" t="s">
        <v>15</v>
      </c>
    </row>
    <row r="35" spans="1:13" ht="15.75" customHeight="1">
      <c r="A35" s="249" t="s">
        <v>412</v>
      </c>
      <c r="B35" s="250">
        <v>9800.9250000000029</v>
      </c>
      <c r="C35" s="176">
        <f>B35/$B$5</f>
        <v>1.2917542219835663E-4</v>
      </c>
      <c r="D35" s="594"/>
      <c r="E35" s="174" t="s">
        <v>412</v>
      </c>
      <c r="F35" s="251">
        <v>705.35199999999998</v>
      </c>
      <c r="G35" s="178">
        <f>IFERROR(F35/$B$9,"")</f>
        <v>3.8632881316849818E-2</v>
      </c>
      <c r="H35" s="251">
        <v>1195.5910000000001</v>
      </c>
      <c r="I35" s="178">
        <f>IFERROR(H35/$B$9,"")</f>
        <v>6.5483794199908407E-2</v>
      </c>
      <c r="J35" s="251">
        <v>1614.134</v>
      </c>
      <c r="K35" s="178">
        <f>IFERROR(J35/$B$9,"")</f>
        <v>8.8407840697257628E-2</v>
      </c>
      <c r="L35" s="251">
        <v>4035.8779999999997</v>
      </c>
      <c r="M35" s="252">
        <f>IFERROR(L35/$B$9,"")</f>
        <v>0.22104934243226812</v>
      </c>
    </row>
    <row r="36" spans="1:13" ht="15.75" customHeight="1" thickBot="1">
      <c r="A36" s="253" t="s">
        <v>413</v>
      </c>
      <c r="B36" s="254">
        <v>15896.425820000022</v>
      </c>
      <c r="C36" s="176">
        <f>B36/$B$5</f>
        <v>2.0951364455328042E-4</v>
      </c>
      <c r="D36" s="594"/>
      <c r="E36" s="179" t="s">
        <v>413</v>
      </c>
      <c r="F36" s="259">
        <v>446.58150000000035</v>
      </c>
      <c r="G36" s="178">
        <f>IFERROR(F36/$B$10,"")</f>
        <v>1.9602108257823003E-2</v>
      </c>
      <c r="H36" s="251">
        <v>793.69283000000019</v>
      </c>
      <c r="I36" s="178">
        <f>IFERROR(H36/$B$10,"")</f>
        <v>3.4838104079810514E-2</v>
      </c>
      <c r="J36" s="251">
        <v>666.6480400000014</v>
      </c>
      <c r="K36" s="178">
        <f>IFERROR(J36/$B$10,"")</f>
        <v>2.9261639924505464E-2</v>
      </c>
      <c r="L36" s="251">
        <v>1637.1258600000046</v>
      </c>
      <c r="M36" s="252">
        <f>IFERROR(L36/$B$10,"")</f>
        <v>7.1859488893744258E-2</v>
      </c>
    </row>
    <row r="37" spans="1:13" ht="15.75" customHeight="1">
      <c r="A37" s="255"/>
      <c r="D37" s="594"/>
      <c r="E37" s="591" t="s">
        <v>105</v>
      </c>
      <c r="F37" s="595">
        <v>5</v>
      </c>
      <c r="G37" s="595"/>
      <c r="H37" s="595">
        <v>6</v>
      </c>
      <c r="I37" s="595"/>
      <c r="J37" s="595">
        <v>7</v>
      </c>
      <c r="K37" s="595"/>
      <c r="L37" s="596">
        <v>8</v>
      </c>
      <c r="M37" s="614"/>
    </row>
    <row r="38" spans="1:13" ht="15.75" customHeight="1">
      <c r="A38" s="255"/>
      <c r="D38" s="594"/>
      <c r="E38" s="591"/>
      <c r="F38" s="587" t="s">
        <v>414</v>
      </c>
      <c r="G38" s="587"/>
      <c r="H38" s="587" t="s">
        <v>415</v>
      </c>
      <c r="I38" s="587"/>
      <c r="J38" s="587" t="s">
        <v>416</v>
      </c>
      <c r="K38" s="587"/>
      <c r="L38" s="588" t="s">
        <v>417</v>
      </c>
      <c r="M38" s="615"/>
    </row>
    <row r="39" spans="1:13" ht="15.75" customHeight="1">
      <c r="A39" s="255"/>
      <c r="D39" s="594"/>
      <c r="E39" s="591"/>
      <c r="F39" s="196" t="s">
        <v>50</v>
      </c>
      <c r="G39" s="196" t="s">
        <v>15</v>
      </c>
      <c r="H39" s="196" t="s">
        <v>50</v>
      </c>
      <c r="I39" s="196" t="s">
        <v>15</v>
      </c>
      <c r="J39" s="196" t="s">
        <v>50</v>
      </c>
      <c r="K39" s="196" t="s">
        <v>15</v>
      </c>
      <c r="L39" s="196" t="s">
        <v>50</v>
      </c>
      <c r="M39" s="248" t="s">
        <v>15</v>
      </c>
    </row>
    <row r="40" spans="1:13" ht="15.75" customHeight="1">
      <c r="A40" s="255"/>
      <c r="D40" s="594"/>
      <c r="E40" s="174" t="s">
        <v>412</v>
      </c>
      <c r="F40" s="251">
        <v>1269.0300000000002</v>
      </c>
      <c r="G40" s="178">
        <f>IFERROR(F40/$B$9,"")</f>
        <v>6.9506126554574069E-2</v>
      </c>
      <c r="H40" s="251">
        <v>361.74299999999999</v>
      </c>
      <c r="I40" s="178">
        <f>IFERROR(H40/$B$9,"")</f>
        <v>1.9813049918623898E-2</v>
      </c>
      <c r="J40" s="251">
        <v>619.197</v>
      </c>
      <c r="K40" s="178">
        <f>IFERROR(J40/$B$9,"")</f>
        <v>3.3914080080228677E-2</v>
      </c>
      <c r="L40" s="251">
        <v>0</v>
      </c>
      <c r="M40" s="252">
        <f>IFERROR(L40/$B$9,"")</f>
        <v>0</v>
      </c>
    </row>
    <row r="41" spans="1:13" ht="15.75" customHeight="1" thickBot="1">
      <c r="A41" s="256"/>
      <c r="B41" s="257"/>
      <c r="C41" s="257"/>
      <c r="D41" s="603"/>
      <c r="E41" s="258" t="s">
        <v>413</v>
      </c>
      <c r="F41" s="259">
        <v>6394.8248599999997</v>
      </c>
      <c r="G41" s="260">
        <f>IFERROR(F41/$B$10,"")</f>
        <v>0.28069243619706086</v>
      </c>
      <c r="H41" s="259">
        <v>5540.5327300000126</v>
      </c>
      <c r="I41" s="260">
        <f>IFERROR(H41/$B$10,"")</f>
        <v>0.24319440545448431</v>
      </c>
      <c r="J41" s="259">
        <v>417.01999999999981</v>
      </c>
      <c r="K41" s="260">
        <f>IFERROR(J41/$B$10,"")</f>
        <v>1.8304545050964578E-2</v>
      </c>
      <c r="L41" s="259">
        <v>0</v>
      </c>
      <c r="M41" s="261">
        <f>IFERROR(L41/$B$10,"")</f>
        <v>0</v>
      </c>
    </row>
    <row r="42" spans="1:13" ht="15.75" customHeight="1">
      <c r="A42" s="597" t="s">
        <v>422</v>
      </c>
      <c r="B42" s="598"/>
      <c r="C42" s="598"/>
      <c r="D42" s="598"/>
      <c r="E42" s="598"/>
      <c r="F42" s="598"/>
      <c r="G42" s="598"/>
      <c r="H42" s="598"/>
      <c r="I42" s="598"/>
      <c r="J42" s="598"/>
      <c r="K42" s="598"/>
      <c r="L42" s="598"/>
      <c r="M42" s="599"/>
    </row>
    <row r="43" spans="1:13" ht="15.75" customHeight="1">
      <c r="A43" s="600"/>
      <c r="B43" s="590"/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601"/>
    </row>
    <row r="44" spans="1:13" ht="15.75" customHeight="1">
      <c r="A44" s="246" t="s">
        <v>407</v>
      </c>
      <c r="B44" s="173">
        <v>46287577</v>
      </c>
      <c r="M44" s="247"/>
    </row>
    <row r="45" spans="1:13" ht="15.75" customHeight="1">
      <c r="A45" s="602" t="s">
        <v>105</v>
      </c>
      <c r="B45" s="592" t="s">
        <v>47</v>
      </c>
      <c r="C45" s="592"/>
      <c r="D45" s="593"/>
      <c r="E45" s="591" t="s">
        <v>105</v>
      </c>
      <c r="F45" s="595">
        <v>1</v>
      </c>
      <c r="G45" s="595"/>
      <c r="H45" s="595">
        <v>2</v>
      </c>
      <c r="I45" s="595"/>
      <c r="J45" s="595">
        <v>3</v>
      </c>
      <c r="K45" s="595"/>
      <c r="L45" s="595">
        <v>4</v>
      </c>
      <c r="M45" s="604"/>
    </row>
    <row r="46" spans="1:13" ht="15.75" customHeight="1">
      <c r="A46" s="602"/>
      <c r="B46" s="592"/>
      <c r="C46" s="592"/>
      <c r="D46" s="594"/>
      <c r="E46" s="591"/>
      <c r="F46" s="587" t="s">
        <v>408</v>
      </c>
      <c r="G46" s="587"/>
      <c r="H46" s="587" t="s">
        <v>409</v>
      </c>
      <c r="I46" s="587"/>
      <c r="J46" s="587" t="s">
        <v>410</v>
      </c>
      <c r="K46" s="587"/>
      <c r="L46" s="587" t="s">
        <v>419</v>
      </c>
      <c r="M46" s="605"/>
    </row>
    <row r="47" spans="1:13" ht="15.75" customHeight="1">
      <c r="A47" s="602"/>
      <c r="B47" s="196" t="s">
        <v>50</v>
      </c>
      <c r="C47" s="196" t="s">
        <v>15</v>
      </c>
      <c r="D47" s="594"/>
      <c r="E47" s="591"/>
      <c r="F47" s="196" t="s">
        <v>50</v>
      </c>
      <c r="G47" s="196" t="s">
        <v>15</v>
      </c>
      <c r="H47" s="196" t="s">
        <v>50</v>
      </c>
      <c r="I47" s="196" t="s">
        <v>15</v>
      </c>
      <c r="J47" s="196" t="s">
        <v>50</v>
      </c>
      <c r="K47" s="196" t="s">
        <v>15</v>
      </c>
      <c r="L47" s="196" t="s">
        <v>50</v>
      </c>
      <c r="M47" s="248" t="s">
        <v>15</v>
      </c>
    </row>
    <row r="48" spans="1:13" ht="15.75" customHeight="1">
      <c r="A48" s="249" t="s">
        <v>412</v>
      </c>
      <c r="B48" s="250">
        <v>9587.904999999997</v>
      </c>
      <c r="C48" s="176">
        <v>2.07137759662814E-4</v>
      </c>
      <c r="D48" s="594"/>
      <c r="E48" s="174" t="s">
        <v>412</v>
      </c>
      <c r="F48" s="251">
        <v>0</v>
      </c>
      <c r="G48" s="178">
        <v>0</v>
      </c>
      <c r="H48" s="251">
        <v>834.86200000000008</v>
      </c>
      <c r="I48" s="178">
        <v>4.5726282142742734E-2</v>
      </c>
      <c r="J48" s="251">
        <v>2231.3200000000002</v>
      </c>
      <c r="K48" s="178">
        <v>0.12221177616270081</v>
      </c>
      <c r="L48" s="251">
        <v>4146.4030000000002</v>
      </c>
      <c r="M48" s="252">
        <v>0.22710291456014875</v>
      </c>
    </row>
    <row r="49" spans="1:13" ht="15.75" customHeight="1">
      <c r="A49" s="253" t="s">
        <v>413</v>
      </c>
      <c r="B49" s="254">
        <v>14733.35162000003</v>
      </c>
      <c r="C49" s="176">
        <v>3.1830034265997612E-4</v>
      </c>
      <c r="D49" s="594"/>
      <c r="E49" s="179" t="s">
        <v>413</v>
      </c>
      <c r="F49" s="251">
        <v>0</v>
      </c>
      <c r="G49" s="178">
        <v>0</v>
      </c>
      <c r="H49" s="251">
        <v>0</v>
      </c>
      <c r="I49" s="178">
        <v>0</v>
      </c>
      <c r="J49" s="251">
        <v>1459.6556299999991</v>
      </c>
      <c r="K49" s="178">
        <v>6.4069666294731861E-2</v>
      </c>
      <c r="L49" s="251">
        <v>2414.4136500000041</v>
      </c>
      <c r="M49" s="252">
        <v>0.10597751529444373</v>
      </c>
    </row>
    <row r="50" spans="1:13" ht="15.75" customHeight="1">
      <c r="A50" s="255"/>
      <c r="D50" s="594"/>
      <c r="E50" s="591" t="s">
        <v>105</v>
      </c>
      <c r="F50" s="595">
        <v>5</v>
      </c>
      <c r="G50" s="595"/>
      <c r="H50" s="595">
        <v>6</v>
      </c>
      <c r="I50" s="595"/>
      <c r="J50" s="595">
        <v>7</v>
      </c>
      <c r="K50" s="595"/>
      <c r="L50" s="596">
        <v>8</v>
      </c>
      <c r="M50" s="614"/>
    </row>
    <row r="51" spans="1:13" ht="15.75" customHeight="1">
      <c r="A51" s="255"/>
      <c r="D51" s="594"/>
      <c r="E51" s="591"/>
      <c r="F51" s="587" t="s">
        <v>414</v>
      </c>
      <c r="G51" s="587"/>
      <c r="H51" s="587" t="s">
        <v>415</v>
      </c>
      <c r="I51" s="587"/>
      <c r="J51" s="587" t="s">
        <v>416</v>
      </c>
      <c r="K51" s="587"/>
      <c r="L51" s="588" t="s">
        <v>417</v>
      </c>
      <c r="M51" s="615"/>
    </row>
    <row r="52" spans="1:13" ht="15.75" customHeight="1">
      <c r="A52" s="255"/>
      <c r="D52" s="594"/>
      <c r="E52" s="591"/>
      <c r="F52" s="196" t="s">
        <v>50</v>
      </c>
      <c r="G52" s="196" t="s">
        <v>15</v>
      </c>
      <c r="H52" s="196" t="s">
        <v>50</v>
      </c>
      <c r="I52" s="196" t="s">
        <v>15</v>
      </c>
      <c r="J52" s="196" t="s">
        <v>50</v>
      </c>
      <c r="K52" s="196" t="s">
        <v>15</v>
      </c>
      <c r="L52" s="196" t="s">
        <v>50</v>
      </c>
      <c r="M52" s="248" t="s">
        <v>15</v>
      </c>
    </row>
    <row r="53" spans="1:13" ht="15.75" customHeight="1">
      <c r="A53" s="255"/>
      <c r="D53" s="594"/>
      <c r="E53" s="174" t="s">
        <v>412</v>
      </c>
      <c r="F53" s="251">
        <v>825.84</v>
      </c>
      <c r="G53" s="178">
        <v>4.523213758053745E-2</v>
      </c>
      <c r="H53" s="251">
        <v>1291.5520000000001</v>
      </c>
      <c r="I53" s="178">
        <v>7.0739680514891878E-2</v>
      </c>
      <c r="J53" s="251">
        <v>257.928</v>
      </c>
      <c r="K53" s="178">
        <v>1.4126991647138506E-2</v>
      </c>
      <c r="L53" s="251">
        <v>0</v>
      </c>
      <c r="M53" s="252">
        <v>0</v>
      </c>
    </row>
    <row r="54" spans="1:13" ht="15.75" customHeight="1" thickBot="1">
      <c r="A54" s="256"/>
      <c r="B54" s="257"/>
      <c r="C54" s="257"/>
      <c r="D54" s="603"/>
      <c r="E54" s="258" t="s">
        <v>413</v>
      </c>
      <c r="F54" s="259">
        <v>5870.1435299999976</v>
      </c>
      <c r="G54" s="260">
        <v>0.25766223850298126</v>
      </c>
      <c r="H54" s="259">
        <v>4989.1388100000286</v>
      </c>
      <c r="I54" s="260">
        <v>0.21899169371531671</v>
      </c>
      <c r="J54" s="259">
        <v>0</v>
      </c>
      <c r="K54" s="260">
        <v>0</v>
      </c>
      <c r="L54" s="259">
        <v>0</v>
      </c>
      <c r="M54" s="261">
        <v>0</v>
      </c>
    </row>
    <row r="55" spans="1:13" ht="15.75" customHeight="1">
      <c r="A55" s="597" t="s">
        <v>423</v>
      </c>
      <c r="B55" s="598"/>
      <c r="C55" s="598"/>
      <c r="D55" s="598"/>
      <c r="E55" s="598"/>
      <c r="F55" s="598"/>
      <c r="G55" s="598"/>
      <c r="H55" s="598"/>
      <c r="I55" s="598"/>
      <c r="J55" s="598"/>
      <c r="K55" s="598"/>
      <c r="L55" s="598"/>
      <c r="M55" s="599"/>
    </row>
    <row r="56" spans="1:13" ht="15.75" customHeight="1">
      <c r="A56" s="600"/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601"/>
    </row>
    <row r="57" spans="1:13" ht="15.75" customHeight="1">
      <c r="A57" s="246" t="s">
        <v>407</v>
      </c>
      <c r="B57" s="173">
        <v>48362935</v>
      </c>
      <c r="M57" s="247"/>
    </row>
    <row r="58" spans="1:13" ht="15.75" customHeight="1">
      <c r="A58" s="602" t="s">
        <v>105</v>
      </c>
      <c r="B58" s="592" t="s">
        <v>47</v>
      </c>
      <c r="C58" s="592"/>
      <c r="D58" s="593"/>
      <c r="E58" s="591" t="s">
        <v>105</v>
      </c>
      <c r="F58" s="595">
        <v>1</v>
      </c>
      <c r="G58" s="595"/>
      <c r="H58" s="595">
        <v>2</v>
      </c>
      <c r="I58" s="595"/>
      <c r="J58" s="595">
        <v>3</v>
      </c>
      <c r="K58" s="595"/>
      <c r="L58" s="595">
        <v>4</v>
      </c>
      <c r="M58" s="604"/>
    </row>
    <row r="59" spans="1:13" ht="15.75" customHeight="1">
      <c r="A59" s="602"/>
      <c r="B59" s="592"/>
      <c r="C59" s="592"/>
      <c r="D59" s="594"/>
      <c r="E59" s="591"/>
      <c r="F59" s="587" t="s">
        <v>408</v>
      </c>
      <c r="G59" s="587"/>
      <c r="H59" s="587" t="s">
        <v>409</v>
      </c>
      <c r="I59" s="587"/>
      <c r="J59" s="587" t="s">
        <v>410</v>
      </c>
      <c r="K59" s="587"/>
      <c r="L59" s="587" t="s">
        <v>419</v>
      </c>
      <c r="M59" s="605"/>
    </row>
    <row r="60" spans="1:13" ht="15.75" customHeight="1">
      <c r="A60" s="602"/>
      <c r="B60" s="196" t="s">
        <v>50</v>
      </c>
      <c r="C60" s="196" t="s">
        <v>15</v>
      </c>
      <c r="D60" s="594"/>
      <c r="E60" s="591"/>
      <c r="F60" s="196" t="s">
        <v>50</v>
      </c>
      <c r="G60" s="196" t="s">
        <v>15</v>
      </c>
      <c r="H60" s="196" t="s">
        <v>50</v>
      </c>
      <c r="I60" s="196" t="s">
        <v>15</v>
      </c>
      <c r="J60" s="196" t="s">
        <v>50</v>
      </c>
      <c r="K60" s="196" t="s">
        <v>15</v>
      </c>
      <c r="L60" s="196" t="s">
        <v>50</v>
      </c>
      <c r="M60" s="248" t="s">
        <v>15</v>
      </c>
    </row>
    <row r="61" spans="1:13" ht="15.75" customHeight="1">
      <c r="A61" s="249" t="s">
        <v>412</v>
      </c>
      <c r="B61" s="250">
        <v>10199.575000000004</v>
      </c>
      <c r="C61" s="176">
        <f>B61/$B$57</f>
        <v>2.1089652644116832E-4</v>
      </c>
      <c r="D61" s="594"/>
      <c r="E61" s="174" t="s">
        <v>412</v>
      </c>
      <c r="F61" s="251">
        <v>0</v>
      </c>
      <c r="G61" s="178">
        <f>IFERROR(F61/$B$9,"")</f>
        <v>0</v>
      </c>
      <c r="H61" s="251">
        <v>277.08100000000002</v>
      </c>
      <c r="I61" s="178">
        <f>IFERROR(H61/$B$9,"")</f>
        <v>1.5176021884327349E-2</v>
      </c>
      <c r="J61" s="251">
        <v>1993.0930000000003</v>
      </c>
      <c r="K61" s="178">
        <f>IFERROR(J61/$B$9,"")</f>
        <v>0.10916382929720786</v>
      </c>
      <c r="L61" s="251">
        <v>5007.6209999999992</v>
      </c>
      <c r="M61" s="252">
        <f>IFERROR(L61/$B$9,"")</f>
        <v>0.27427274293227322</v>
      </c>
    </row>
    <row r="62" spans="1:13" ht="15.75" customHeight="1">
      <c r="A62" s="253" t="s">
        <v>413</v>
      </c>
      <c r="B62" s="254">
        <v>38331.075293114794</v>
      </c>
      <c r="C62" s="176">
        <f>B62/$B$57</f>
        <v>7.9257132126316966E-4</v>
      </c>
      <c r="D62" s="594"/>
      <c r="E62" s="179" t="s">
        <v>413</v>
      </c>
      <c r="F62" s="251">
        <v>0</v>
      </c>
      <c r="G62" s="178">
        <f>IFERROR(F62/$B$62,"")</f>
        <v>0</v>
      </c>
      <c r="H62" s="251">
        <v>1230.5148299999994</v>
      </c>
      <c r="I62" s="178">
        <f>IFERROR(H62/$B$62,"")</f>
        <v>3.210227786698773E-2</v>
      </c>
      <c r="J62" s="251">
        <v>1139.0088600000024</v>
      </c>
      <c r="K62" s="178">
        <f>IFERROR(J62/$B$62,"")</f>
        <v>2.9715024984039426E-2</v>
      </c>
      <c r="L62" s="251">
        <v>2998.8652431147748</v>
      </c>
      <c r="M62" s="252">
        <f>IFERROR(L62/$B$62,"")</f>
        <v>7.8235875727009532E-2</v>
      </c>
    </row>
    <row r="63" spans="1:13" ht="15.75" customHeight="1">
      <c r="A63" s="255"/>
      <c r="D63" s="594"/>
      <c r="E63" s="591" t="s">
        <v>105</v>
      </c>
      <c r="F63" s="606">
        <v>5</v>
      </c>
      <c r="G63" s="607"/>
      <c r="H63" s="606">
        <v>6</v>
      </c>
      <c r="I63" s="607"/>
      <c r="J63" s="606">
        <v>7</v>
      </c>
      <c r="K63" s="607"/>
      <c r="L63" s="608">
        <v>8</v>
      </c>
      <c r="M63" s="609"/>
    </row>
    <row r="64" spans="1:13" ht="15.75" customHeight="1">
      <c r="A64" s="255"/>
      <c r="D64" s="594"/>
      <c r="E64" s="591"/>
      <c r="F64" s="610" t="s">
        <v>414</v>
      </c>
      <c r="G64" s="611"/>
      <c r="H64" s="610" t="s">
        <v>415</v>
      </c>
      <c r="I64" s="611"/>
      <c r="J64" s="610" t="s">
        <v>416</v>
      </c>
      <c r="K64" s="611"/>
      <c r="L64" s="612" t="s">
        <v>417</v>
      </c>
      <c r="M64" s="613"/>
    </row>
    <row r="65" spans="1:13" ht="15.75" customHeight="1">
      <c r="A65" s="255"/>
      <c r="D65" s="594"/>
      <c r="E65" s="591"/>
      <c r="F65" s="196" t="s">
        <v>50</v>
      </c>
      <c r="G65" s="196" t="s">
        <v>15</v>
      </c>
      <c r="H65" s="196" t="s">
        <v>50</v>
      </c>
      <c r="I65" s="196" t="s">
        <v>15</v>
      </c>
      <c r="J65" s="196" t="s">
        <v>50</v>
      </c>
      <c r="K65" s="196" t="s">
        <v>15</v>
      </c>
      <c r="L65" s="196" t="s">
        <v>50</v>
      </c>
      <c r="M65" s="248" t="s">
        <v>15</v>
      </c>
    </row>
    <row r="66" spans="1:13" ht="15.75" customHeight="1">
      <c r="A66" s="255"/>
      <c r="D66" s="594"/>
      <c r="E66" s="174" t="s">
        <v>412</v>
      </c>
      <c r="F66" s="251">
        <v>1790.1419999999998</v>
      </c>
      <c r="G66" s="178">
        <f>IFERROR(F66/$B$9,"")</f>
        <v>9.8047986574516216E-2</v>
      </c>
      <c r="H66" s="251">
        <v>1131.6379999999999</v>
      </c>
      <c r="I66" s="178">
        <f>IFERROR(H66/$B$9,"")</f>
        <v>6.1981020182316472E-2</v>
      </c>
      <c r="J66" s="251">
        <v>0</v>
      </c>
      <c r="K66" s="178">
        <f>IFERROR(J66/$B$9,"")</f>
        <v>0</v>
      </c>
      <c r="L66" s="251">
        <v>0</v>
      </c>
      <c r="M66" s="252">
        <f>IFERROR(L66/$B$9,"")</f>
        <v>0</v>
      </c>
    </row>
    <row r="67" spans="1:13" ht="15.75" customHeight="1" thickBot="1">
      <c r="A67" s="256"/>
      <c r="B67" s="257"/>
      <c r="C67" s="257"/>
      <c r="D67" s="603"/>
      <c r="E67" s="258" t="s">
        <v>413</v>
      </c>
      <c r="F67" s="259">
        <v>27345.851710000003</v>
      </c>
      <c r="G67" s="260">
        <f>IFERROR(F67/$B$62,"")</f>
        <v>0.71341206842981497</v>
      </c>
      <c r="H67" s="259">
        <v>5616.8346500000025</v>
      </c>
      <c r="I67" s="260">
        <f>IFERROR(H67/$B$62,"")</f>
        <v>0.14653475299214797</v>
      </c>
      <c r="J67" s="259">
        <v>0</v>
      </c>
      <c r="K67" s="260">
        <f>IFERROR(J67/$B$62,"")</f>
        <v>0</v>
      </c>
      <c r="L67" s="259">
        <v>0</v>
      </c>
      <c r="M67" s="261">
        <f>IFERROR(L67/$B$62,"")</f>
        <v>0</v>
      </c>
    </row>
    <row r="68" spans="1:13" ht="15.75" customHeight="1">
      <c r="A68" s="597" t="s">
        <v>424</v>
      </c>
      <c r="B68" s="598"/>
      <c r="C68" s="598"/>
      <c r="D68" s="598"/>
      <c r="E68" s="598"/>
      <c r="F68" s="598"/>
      <c r="G68" s="598"/>
      <c r="H68" s="598"/>
      <c r="I68" s="598"/>
      <c r="J68" s="598"/>
      <c r="K68" s="598"/>
      <c r="L68" s="598"/>
      <c r="M68" s="599"/>
    </row>
    <row r="69" spans="1:13" ht="15.75" customHeight="1">
      <c r="A69" s="600"/>
      <c r="B69" s="590"/>
      <c r="C69" s="590"/>
      <c r="D69" s="590"/>
      <c r="E69" s="590"/>
      <c r="F69" s="590"/>
      <c r="G69" s="590"/>
      <c r="H69" s="590"/>
      <c r="I69" s="590"/>
      <c r="J69" s="590"/>
      <c r="K69" s="590"/>
      <c r="L69" s="590"/>
      <c r="M69" s="601"/>
    </row>
    <row r="70" spans="1:13" ht="15.75" customHeight="1">
      <c r="A70" s="246" t="s">
        <v>407</v>
      </c>
      <c r="B70" s="173">
        <v>50470102</v>
      </c>
      <c r="M70" s="247"/>
    </row>
    <row r="71" spans="1:13" ht="15.75" customHeight="1">
      <c r="A71" s="602" t="s">
        <v>105</v>
      </c>
      <c r="B71" s="592" t="s">
        <v>47</v>
      </c>
      <c r="C71" s="592"/>
      <c r="D71" s="593"/>
      <c r="E71" s="591" t="s">
        <v>105</v>
      </c>
      <c r="F71" s="595">
        <v>1</v>
      </c>
      <c r="G71" s="595"/>
      <c r="H71" s="595">
        <v>2</v>
      </c>
      <c r="I71" s="595"/>
      <c r="J71" s="595">
        <v>3</v>
      </c>
      <c r="K71" s="595"/>
      <c r="L71" s="595">
        <v>4</v>
      </c>
      <c r="M71" s="604"/>
    </row>
    <row r="72" spans="1:13" ht="15.75" customHeight="1">
      <c r="A72" s="602"/>
      <c r="B72" s="592"/>
      <c r="C72" s="592"/>
      <c r="D72" s="594"/>
      <c r="E72" s="591"/>
      <c r="F72" s="587" t="s">
        <v>408</v>
      </c>
      <c r="G72" s="587"/>
      <c r="H72" s="587" t="s">
        <v>409</v>
      </c>
      <c r="I72" s="587"/>
      <c r="J72" s="587" t="s">
        <v>410</v>
      </c>
      <c r="K72" s="587"/>
      <c r="L72" s="587" t="s">
        <v>419</v>
      </c>
      <c r="M72" s="605"/>
    </row>
    <row r="73" spans="1:13" ht="15.75" customHeight="1">
      <c r="A73" s="602"/>
      <c r="B73" s="196" t="s">
        <v>50</v>
      </c>
      <c r="C73" s="196" t="s">
        <v>15</v>
      </c>
      <c r="D73" s="594"/>
      <c r="E73" s="591"/>
      <c r="F73" s="196" t="s">
        <v>50</v>
      </c>
      <c r="G73" s="196" t="s">
        <v>15</v>
      </c>
      <c r="H73" s="196" t="s">
        <v>50</v>
      </c>
      <c r="I73" s="196" t="s">
        <v>15</v>
      </c>
      <c r="J73" s="196" t="s">
        <v>50</v>
      </c>
      <c r="K73" s="196" t="s">
        <v>15</v>
      </c>
      <c r="L73" s="196" t="s">
        <v>50</v>
      </c>
      <c r="M73" s="248" t="s">
        <v>15</v>
      </c>
    </row>
    <row r="74" spans="1:13" ht="15.75" customHeight="1">
      <c r="A74" s="249" t="s">
        <v>412</v>
      </c>
      <c r="B74" s="250">
        <v>11260.655999999997</v>
      </c>
      <c r="C74" s="176">
        <f>B74/$B$70</f>
        <v>2.2311538027008538E-4</v>
      </c>
      <c r="D74" s="594"/>
      <c r="E74" s="174" t="s">
        <v>412</v>
      </c>
      <c r="F74" s="251">
        <v>0</v>
      </c>
      <c r="G74" s="178">
        <f>IFERROR(F74/$B$74,"")</f>
        <v>0</v>
      </c>
      <c r="H74" s="251">
        <v>766.85</v>
      </c>
      <c r="I74" s="178">
        <f>IFERROR(H74/$B$74,"")</f>
        <v>6.809994018110492E-2</v>
      </c>
      <c r="J74" s="251">
        <v>2647.3230000000008</v>
      </c>
      <c r="K74" s="178">
        <f>IFERROR(J74/$B$74,"")</f>
        <v>0.23509491809358188</v>
      </c>
      <c r="L74" s="251">
        <v>4766.7250000000004</v>
      </c>
      <c r="M74" s="252">
        <f>IFERROR(L74/$B$74,"")</f>
        <v>0.42330793161606228</v>
      </c>
    </row>
    <row r="75" spans="1:13" ht="15.75" customHeight="1">
      <c r="A75" s="253" t="s">
        <v>413</v>
      </c>
      <c r="B75" s="254">
        <v>30667.696349999991</v>
      </c>
      <c r="C75" s="176">
        <f>B75/$B$70</f>
        <v>6.0764086329764084E-4</v>
      </c>
      <c r="D75" s="594"/>
      <c r="E75" s="179" t="s">
        <v>413</v>
      </c>
      <c r="F75" s="251">
        <v>0</v>
      </c>
      <c r="G75" s="178">
        <f>IFERROR(F75/$B$75,"")</f>
        <v>0</v>
      </c>
      <c r="H75" s="251">
        <v>264.93571999999978</v>
      </c>
      <c r="I75" s="178">
        <f>IFERROR(H75/$B$75,"")</f>
        <v>8.6389181951059667E-3</v>
      </c>
      <c r="J75" s="251">
        <v>1098.7587799999997</v>
      </c>
      <c r="K75" s="178">
        <f>IFERROR(J75/$B$75,"")</f>
        <v>3.5827887672430274E-2</v>
      </c>
      <c r="L75" s="251">
        <v>2446.1784400000056</v>
      </c>
      <c r="M75" s="252">
        <f>IFERROR(L75/$B$75,"")</f>
        <v>7.9764010054182183E-2</v>
      </c>
    </row>
    <row r="76" spans="1:13" ht="15.75" customHeight="1">
      <c r="A76" s="255"/>
      <c r="D76" s="594"/>
      <c r="E76" s="591" t="s">
        <v>105</v>
      </c>
      <c r="F76" s="606">
        <v>5</v>
      </c>
      <c r="G76" s="607"/>
      <c r="H76" s="606">
        <v>6</v>
      </c>
      <c r="I76" s="607"/>
      <c r="J76" s="606">
        <v>7</v>
      </c>
      <c r="K76" s="607"/>
      <c r="L76" s="608">
        <v>8</v>
      </c>
      <c r="M76" s="609"/>
    </row>
    <row r="77" spans="1:13" ht="15.75" customHeight="1">
      <c r="A77" s="255"/>
      <c r="D77" s="594"/>
      <c r="E77" s="591"/>
      <c r="F77" s="610" t="s">
        <v>414</v>
      </c>
      <c r="G77" s="611"/>
      <c r="H77" s="610" t="s">
        <v>415</v>
      </c>
      <c r="I77" s="611"/>
      <c r="J77" s="610" t="s">
        <v>416</v>
      </c>
      <c r="K77" s="611"/>
      <c r="L77" s="612" t="s">
        <v>417</v>
      </c>
      <c r="M77" s="613"/>
    </row>
    <row r="78" spans="1:13" ht="15.75" customHeight="1">
      <c r="A78" s="255"/>
      <c r="D78" s="594"/>
      <c r="E78" s="591"/>
      <c r="F78" s="196" t="s">
        <v>50</v>
      </c>
      <c r="G78" s="196" t="s">
        <v>15</v>
      </c>
      <c r="H78" s="196" t="s">
        <v>50</v>
      </c>
      <c r="I78" s="196" t="s">
        <v>15</v>
      </c>
      <c r="J78" s="196" t="s">
        <v>50</v>
      </c>
      <c r="K78" s="196" t="s">
        <v>15</v>
      </c>
      <c r="L78" s="196" t="s">
        <v>50</v>
      </c>
      <c r="M78" s="248" t="s">
        <v>15</v>
      </c>
    </row>
    <row r="79" spans="1:13" ht="15.75" customHeight="1">
      <c r="A79" s="255"/>
      <c r="D79" s="594"/>
      <c r="E79" s="174" t="s">
        <v>412</v>
      </c>
      <c r="F79" s="251">
        <v>2196.7870000000003</v>
      </c>
      <c r="G79" s="178">
        <f>IFERROR(F79/$B$74,"")</f>
        <v>0.1950851708816965</v>
      </c>
      <c r="H79" s="251">
        <v>882.97099999999989</v>
      </c>
      <c r="I79" s="178">
        <f>IFERROR(H79/$B$74,"")</f>
        <v>7.8412039227554783E-2</v>
      </c>
      <c r="J79" s="251">
        <v>0</v>
      </c>
      <c r="K79" s="178">
        <f>IFERROR(J79/$B$74,"")</f>
        <v>0</v>
      </c>
      <c r="L79" s="251">
        <v>0</v>
      </c>
      <c r="M79" s="252">
        <f>IFERROR(L79/$B$74,"")</f>
        <v>0</v>
      </c>
    </row>
    <row r="80" spans="1:13" ht="15.75" customHeight="1" thickBot="1">
      <c r="A80" s="256"/>
      <c r="B80" s="257"/>
      <c r="C80" s="257"/>
      <c r="D80" s="603"/>
      <c r="E80" s="258" t="s">
        <v>413</v>
      </c>
      <c r="F80" s="259">
        <v>21773.092659999995</v>
      </c>
      <c r="G80" s="260">
        <f>IFERROR(F80/$B$75,"")</f>
        <v>0.70996831361283519</v>
      </c>
      <c r="H80" s="259">
        <v>5084.7307499999924</v>
      </c>
      <c r="I80" s="260">
        <f>IFERROR(H80/$B$75,"")</f>
        <v>0.16580087046544642</v>
      </c>
      <c r="J80" s="259">
        <v>0</v>
      </c>
      <c r="K80" s="260">
        <f>IFERROR(J80/$B$75,"")</f>
        <v>0</v>
      </c>
      <c r="L80" s="259">
        <v>0</v>
      </c>
      <c r="M80" s="261">
        <f>IFERROR(L80/$B$75,"")</f>
        <v>0</v>
      </c>
    </row>
    <row r="81" spans="1:13" ht="15.75" customHeight="1">
      <c r="A81" s="597" t="s">
        <v>425</v>
      </c>
      <c r="B81" s="598"/>
      <c r="C81" s="598"/>
      <c r="D81" s="598"/>
      <c r="E81" s="598"/>
      <c r="F81" s="598"/>
      <c r="G81" s="598"/>
      <c r="H81" s="598"/>
      <c r="I81" s="598"/>
      <c r="J81" s="598"/>
      <c r="K81" s="598"/>
      <c r="L81" s="598"/>
      <c r="M81" s="599"/>
    </row>
    <row r="82" spans="1:13" ht="15.75" customHeight="1">
      <c r="A82" s="600"/>
      <c r="B82" s="590"/>
      <c r="C82" s="590"/>
      <c r="D82" s="590"/>
      <c r="E82" s="590"/>
      <c r="F82" s="590"/>
      <c r="G82" s="590"/>
      <c r="H82" s="590"/>
      <c r="I82" s="590"/>
      <c r="J82" s="590"/>
      <c r="K82" s="590"/>
      <c r="L82" s="590"/>
      <c r="M82" s="601"/>
    </row>
    <row r="83" spans="1:13" ht="15.75" customHeight="1">
      <c r="A83" s="246" t="s">
        <v>407</v>
      </c>
      <c r="B83" s="173">
        <v>52767858</v>
      </c>
      <c r="M83" s="247"/>
    </row>
    <row r="84" spans="1:13" ht="15.75" customHeight="1">
      <c r="A84" s="602" t="s">
        <v>105</v>
      </c>
      <c r="B84" s="592" t="s">
        <v>47</v>
      </c>
      <c r="C84" s="592"/>
      <c r="D84" s="593"/>
      <c r="E84" s="591" t="s">
        <v>105</v>
      </c>
      <c r="F84" s="595">
        <v>1</v>
      </c>
      <c r="G84" s="595"/>
      <c r="H84" s="595">
        <v>2</v>
      </c>
      <c r="I84" s="595"/>
      <c r="J84" s="595">
        <v>3</v>
      </c>
      <c r="K84" s="595"/>
      <c r="L84" s="595">
        <v>4</v>
      </c>
      <c r="M84" s="604"/>
    </row>
    <row r="85" spans="1:13" ht="15.75" customHeight="1">
      <c r="A85" s="602"/>
      <c r="B85" s="592"/>
      <c r="C85" s="592"/>
      <c r="D85" s="594"/>
      <c r="E85" s="591"/>
      <c r="F85" s="587" t="s">
        <v>408</v>
      </c>
      <c r="G85" s="587"/>
      <c r="H85" s="587" t="s">
        <v>409</v>
      </c>
      <c r="I85" s="587"/>
      <c r="J85" s="587" t="s">
        <v>410</v>
      </c>
      <c r="K85" s="587"/>
      <c r="L85" s="587" t="s">
        <v>419</v>
      </c>
      <c r="M85" s="605"/>
    </row>
    <row r="86" spans="1:13" ht="15.75" customHeight="1">
      <c r="A86" s="602"/>
      <c r="B86" s="196" t="s">
        <v>50</v>
      </c>
      <c r="C86" s="196" t="s">
        <v>15</v>
      </c>
      <c r="D86" s="594"/>
      <c r="E86" s="591"/>
      <c r="F86" s="196" t="s">
        <v>50</v>
      </c>
      <c r="G86" s="196" t="s">
        <v>15</v>
      </c>
      <c r="H86" s="196" t="s">
        <v>50</v>
      </c>
      <c r="I86" s="196" t="s">
        <v>15</v>
      </c>
      <c r="J86" s="196" t="s">
        <v>50</v>
      </c>
      <c r="K86" s="196" t="s">
        <v>15</v>
      </c>
      <c r="L86" s="196" t="s">
        <v>50</v>
      </c>
      <c r="M86" s="248" t="s">
        <v>15</v>
      </c>
    </row>
    <row r="87" spans="1:13" ht="15.75" customHeight="1">
      <c r="A87" s="249" t="s">
        <v>412</v>
      </c>
      <c r="B87" s="250">
        <v>11250.800999999999</v>
      </c>
      <c r="C87" s="176">
        <f>B87/$B$83</f>
        <v>2.1321314577521793E-4</v>
      </c>
      <c r="D87" s="594"/>
      <c r="E87" s="174" t="s">
        <v>412</v>
      </c>
      <c r="F87" s="251">
        <v>0</v>
      </c>
      <c r="G87" s="178">
        <f>IFERROR(F87/$B$87,"")</f>
        <v>0</v>
      </c>
      <c r="H87" s="251">
        <v>318.62400000000002</v>
      </c>
      <c r="I87" s="178">
        <f>IFERROR(H87/$B$87,"")</f>
        <v>2.8320116941007136E-2</v>
      </c>
      <c r="J87" s="251">
        <v>3141.2160000000003</v>
      </c>
      <c r="K87" s="178">
        <f>IFERROR(J87/$B$87,"")</f>
        <v>0.27919932100834427</v>
      </c>
      <c r="L87" s="251">
        <v>5274.1350000000002</v>
      </c>
      <c r="M87" s="252">
        <f>IFERROR(L87/$B$87,"")</f>
        <v>0.46877862296204514</v>
      </c>
    </row>
    <row r="88" spans="1:13" ht="15.75" customHeight="1">
      <c r="A88" s="253" t="s">
        <v>413</v>
      </c>
      <c r="B88" s="254">
        <v>29022.845779999985</v>
      </c>
      <c r="C88" s="176">
        <f>B88/$B$83</f>
        <v>5.5000992801337487E-4</v>
      </c>
      <c r="D88" s="594"/>
      <c r="E88" s="179" t="s">
        <v>413</v>
      </c>
      <c r="F88" s="251">
        <v>0</v>
      </c>
      <c r="G88" s="178">
        <f>IFERROR(F88/$B$88,"")</f>
        <v>0</v>
      </c>
      <c r="H88" s="251">
        <v>952.74906999999962</v>
      </c>
      <c r="I88" s="178">
        <f>IFERROR(H88/$B$88,"")</f>
        <v>3.2827555134395239E-2</v>
      </c>
      <c r="J88" s="251">
        <v>1550.483820000004</v>
      </c>
      <c r="K88" s="178">
        <f>IFERROR(J88/$B$88,"")</f>
        <v>5.3422873544277397E-2</v>
      </c>
      <c r="L88" s="251">
        <v>2058.8515699999925</v>
      </c>
      <c r="M88" s="252">
        <f>IFERROR(L88/$B$88,"")</f>
        <v>7.0938997009685853E-2</v>
      </c>
    </row>
    <row r="89" spans="1:13" ht="15.75" customHeight="1">
      <c r="A89" s="255"/>
      <c r="D89" s="594"/>
      <c r="E89" s="591" t="s">
        <v>105</v>
      </c>
      <c r="F89" s="606">
        <v>5</v>
      </c>
      <c r="G89" s="607"/>
      <c r="H89" s="606">
        <v>6</v>
      </c>
      <c r="I89" s="607"/>
      <c r="J89" s="606">
        <v>7</v>
      </c>
      <c r="K89" s="607"/>
      <c r="L89" s="608">
        <v>8</v>
      </c>
      <c r="M89" s="609"/>
    </row>
    <row r="90" spans="1:13" ht="15.75" customHeight="1">
      <c r="A90" s="255"/>
      <c r="D90" s="594"/>
      <c r="E90" s="591"/>
      <c r="F90" s="610" t="s">
        <v>414</v>
      </c>
      <c r="G90" s="611"/>
      <c r="H90" s="610" t="s">
        <v>415</v>
      </c>
      <c r="I90" s="611"/>
      <c r="J90" s="610" t="s">
        <v>416</v>
      </c>
      <c r="K90" s="611"/>
      <c r="L90" s="612" t="s">
        <v>417</v>
      </c>
      <c r="M90" s="613"/>
    </row>
    <row r="91" spans="1:13" ht="15.75" customHeight="1">
      <c r="A91" s="255"/>
      <c r="D91" s="594"/>
      <c r="E91" s="591"/>
      <c r="F91" s="196" t="s">
        <v>50</v>
      </c>
      <c r="G91" s="196" t="s">
        <v>15</v>
      </c>
      <c r="H91" s="196" t="s">
        <v>50</v>
      </c>
      <c r="I91" s="196" t="s">
        <v>15</v>
      </c>
      <c r="J91" s="196" t="s">
        <v>50</v>
      </c>
      <c r="K91" s="196" t="s">
        <v>15</v>
      </c>
      <c r="L91" s="196" t="s">
        <v>50</v>
      </c>
      <c r="M91" s="248" t="s">
        <v>15</v>
      </c>
    </row>
    <row r="92" spans="1:13" ht="15.75" customHeight="1">
      <c r="A92" s="255"/>
      <c r="D92" s="594"/>
      <c r="E92" s="174" t="s">
        <v>412</v>
      </c>
      <c r="F92" s="251">
        <v>2015.4880000000001</v>
      </c>
      <c r="G92" s="178">
        <f>IFERROR(F92/$B$87,"")</f>
        <v>0.17914173399742828</v>
      </c>
      <c r="H92" s="251">
        <v>501.33799999999997</v>
      </c>
      <c r="I92" s="178">
        <f>IFERROR(H92/$B$87,"")</f>
        <v>4.4560205091175288E-2</v>
      </c>
      <c r="J92" s="251">
        <v>0</v>
      </c>
      <c r="K92" s="178">
        <f>IFERROR(J92/$B$87,"")</f>
        <v>0</v>
      </c>
      <c r="L92" s="251">
        <v>0</v>
      </c>
      <c r="M92" s="252">
        <f>IFERROR(L92/$B$87,"")</f>
        <v>0</v>
      </c>
    </row>
    <row r="93" spans="1:13" ht="15.75" customHeight="1" thickBot="1">
      <c r="A93" s="256"/>
      <c r="B93" s="257"/>
      <c r="C93" s="257"/>
      <c r="D93" s="603"/>
      <c r="E93" s="258" t="s">
        <v>413</v>
      </c>
      <c r="F93" s="259">
        <v>18726.078090000003</v>
      </c>
      <c r="G93" s="260">
        <f>IFERROR(F93/$B$88,"")</f>
        <v>0.64521853687085307</v>
      </c>
      <c r="H93" s="259">
        <v>5734.6832299999887</v>
      </c>
      <c r="I93" s="260">
        <f>IFERROR(H93/$B$88,"")</f>
        <v>0.19759203744078854</v>
      </c>
      <c r="J93" s="259">
        <v>0</v>
      </c>
      <c r="K93" s="260">
        <f>IFERROR(J93/$B$88,"")</f>
        <v>0</v>
      </c>
      <c r="L93" s="259">
        <v>0</v>
      </c>
      <c r="M93" s="261">
        <f>IFERROR(L93/$B$88,"")</f>
        <v>0</v>
      </c>
    </row>
    <row r="94" spans="1:13" ht="15.75" customHeight="1">
      <c r="A94" s="597" t="s">
        <v>426</v>
      </c>
      <c r="B94" s="598"/>
      <c r="C94" s="598"/>
      <c r="D94" s="598"/>
      <c r="E94" s="598"/>
      <c r="F94" s="598"/>
      <c r="G94" s="598"/>
      <c r="H94" s="598"/>
      <c r="I94" s="598"/>
      <c r="J94" s="598"/>
      <c r="K94" s="598"/>
      <c r="L94" s="598"/>
      <c r="M94" s="599"/>
    </row>
    <row r="95" spans="1:13" ht="15.75" customHeight="1">
      <c r="A95" s="600"/>
      <c r="B95" s="590"/>
      <c r="C95" s="590"/>
      <c r="D95" s="590"/>
      <c r="E95" s="590"/>
      <c r="F95" s="590"/>
      <c r="G95" s="590"/>
      <c r="H95" s="590"/>
      <c r="I95" s="590"/>
      <c r="J95" s="590"/>
      <c r="K95" s="590"/>
      <c r="L95" s="590"/>
      <c r="M95" s="601"/>
    </row>
    <row r="96" spans="1:13" ht="15.75" customHeight="1">
      <c r="A96" s="246" t="s">
        <v>407</v>
      </c>
      <c r="B96" s="173">
        <v>47691357</v>
      </c>
      <c r="M96" s="247"/>
    </row>
    <row r="97" spans="1:13" ht="15.75" customHeight="1">
      <c r="A97" s="602" t="s">
        <v>105</v>
      </c>
      <c r="B97" s="592" t="s">
        <v>47</v>
      </c>
      <c r="C97" s="592"/>
      <c r="D97" s="593"/>
      <c r="E97" s="591" t="s">
        <v>105</v>
      </c>
      <c r="F97" s="595">
        <v>1</v>
      </c>
      <c r="G97" s="595"/>
      <c r="H97" s="595">
        <v>2</v>
      </c>
      <c r="I97" s="595"/>
      <c r="J97" s="595">
        <v>3</v>
      </c>
      <c r="K97" s="595"/>
      <c r="L97" s="595">
        <v>4</v>
      </c>
      <c r="M97" s="604"/>
    </row>
    <row r="98" spans="1:13" ht="15.75" customHeight="1">
      <c r="A98" s="602"/>
      <c r="B98" s="592"/>
      <c r="C98" s="592"/>
      <c r="D98" s="594"/>
      <c r="E98" s="591"/>
      <c r="F98" s="587" t="s">
        <v>408</v>
      </c>
      <c r="G98" s="587"/>
      <c r="H98" s="587" t="s">
        <v>409</v>
      </c>
      <c r="I98" s="587"/>
      <c r="J98" s="587" t="s">
        <v>410</v>
      </c>
      <c r="K98" s="587"/>
      <c r="L98" s="587" t="s">
        <v>419</v>
      </c>
      <c r="M98" s="605"/>
    </row>
    <row r="99" spans="1:13" ht="15.75" customHeight="1">
      <c r="A99" s="602"/>
      <c r="B99" s="196" t="s">
        <v>50</v>
      </c>
      <c r="C99" s="196" t="s">
        <v>15</v>
      </c>
      <c r="D99" s="594"/>
      <c r="E99" s="591"/>
      <c r="F99" s="196" t="s">
        <v>50</v>
      </c>
      <c r="G99" s="196" t="s">
        <v>15</v>
      </c>
      <c r="H99" s="196" t="s">
        <v>50</v>
      </c>
      <c r="I99" s="196" t="s">
        <v>15</v>
      </c>
      <c r="J99" s="196" t="s">
        <v>50</v>
      </c>
      <c r="K99" s="196" t="s">
        <v>15</v>
      </c>
      <c r="L99" s="196" t="s">
        <v>50</v>
      </c>
      <c r="M99" s="248" t="s">
        <v>15</v>
      </c>
    </row>
    <row r="100" spans="1:13" ht="15.75" customHeight="1">
      <c r="A100" s="249" t="s">
        <v>412</v>
      </c>
      <c r="B100" s="250">
        <v>10039.797000000002</v>
      </c>
      <c r="C100" s="176">
        <f>B100/B96</f>
        <v>2.1051606898080092E-4</v>
      </c>
      <c r="D100" s="594"/>
      <c r="E100" s="174" t="s">
        <v>412</v>
      </c>
      <c r="F100" s="251">
        <v>0</v>
      </c>
      <c r="G100" s="178">
        <f>IFERROR(F100/B100,"")</f>
        <v>0</v>
      </c>
      <c r="H100" s="251">
        <v>271.83799999999997</v>
      </c>
      <c r="I100" s="178">
        <f>IFERROR(H100/B100,"")</f>
        <v>2.7076045461875364E-2</v>
      </c>
      <c r="J100" s="251">
        <v>4273.6259999999993</v>
      </c>
      <c r="K100" s="178">
        <f>IFERROR(J100/B100,"")</f>
        <v>0.42566856680468723</v>
      </c>
      <c r="L100" s="251">
        <v>2693.489</v>
      </c>
      <c r="M100" s="252">
        <f>IFERROR(L100/B100,"")</f>
        <v>0.26828122122389519</v>
      </c>
    </row>
    <row r="101" spans="1:13" ht="15.75" customHeight="1">
      <c r="A101" s="253" t="s">
        <v>413</v>
      </c>
      <c r="B101" s="254">
        <v>24074.689549999996</v>
      </c>
      <c r="C101" s="176">
        <f>B101/B96</f>
        <v>5.0480194031803278E-4</v>
      </c>
      <c r="D101" s="594"/>
      <c r="E101" s="179" t="s">
        <v>413</v>
      </c>
      <c r="F101" s="251">
        <v>0</v>
      </c>
      <c r="G101" s="178">
        <f>IFERROR(F101/B101,"")</f>
        <v>0</v>
      </c>
      <c r="H101" s="251">
        <v>286.94316000000009</v>
      </c>
      <c r="I101" s="178">
        <f>IFERROR(H101/B101,"")</f>
        <v>1.191887269840205E-2</v>
      </c>
      <c r="J101" s="251">
        <v>1513.2548000000006</v>
      </c>
      <c r="K101" s="178">
        <f>IFERROR(J101/B101,"")</f>
        <v>6.2856669318919672E-2</v>
      </c>
      <c r="L101" s="251">
        <v>697.97637999999438</v>
      </c>
      <c r="M101" s="252">
        <f>IFERROR(L101/B101,"")</f>
        <v>2.8992123804977354E-2</v>
      </c>
    </row>
    <row r="102" spans="1:13" ht="15.75" customHeight="1">
      <c r="A102" s="255"/>
      <c r="D102" s="594"/>
      <c r="E102" s="591" t="s">
        <v>105</v>
      </c>
      <c r="F102" s="606">
        <v>5</v>
      </c>
      <c r="G102" s="607"/>
      <c r="H102" s="606">
        <v>6</v>
      </c>
      <c r="I102" s="607"/>
      <c r="J102" s="606">
        <v>7</v>
      </c>
      <c r="K102" s="607"/>
      <c r="L102" s="608">
        <v>8</v>
      </c>
      <c r="M102" s="609"/>
    </row>
    <row r="103" spans="1:13" ht="15.75" customHeight="1">
      <c r="A103" s="255"/>
      <c r="D103" s="594"/>
      <c r="E103" s="591"/>
      <c r="F103" s="610" t="s">
        <v>414</v>
      </c>
      <c r="G103" s="611"/>
      <c r="H103" s="610" t="s">
        <v>415</v>
      </c>
      <c r="I103" s="611"/>
      <c r="J103" s="610" t="s">
        <v>416</v>
      </c>
      <c r="K103" s="611"/>
      <c r="L103" s="612" t="s">
        <v>417</v>
      </c>
      <c r="M103" s="613"/>
    </row>
    <row r="104" spans="1:13" ht="15.75" customHeight="1">
      <c r="A104" s="255"/>
      <c r="D104" s="594"/>
      <c r="E104" s="591"/>
      <c r="F104" s="196" t="s">
        <v>50</v>
      </c>
      <c r="G104" s="196" t="s">
        <v>15</v>
      </c>
      <c r="H104" s="196" t="s">
        <v>50</v>
      </c>
      <c r="I104" s="196" t="s">
        <v>15</v>
      </c>
      <c r="J104" s="196" t="s">
        <v>50</v>
      </c>
      <c r="K104" s="196" t="s">
        <v>15</v>
      </c>
      <c r="L104" s="196" t="s">
        <v>50</v>
      </c>
      <c r="M104" s="248" t="s">
        <v>15</v>
      </c>
    </row>
    <row r="105" spans="1:13" ht="15.75" customHeight="1">
      <c r="A105" s="255"/>
      <c r="D105" s="594"/>
      <c r="E105" s="174" t="s">
        <v>412</v>
      </c>
      <c r="F105" s="251">
        <v>2055.0280000000002</v>
      </c>
      <c r="G105" s="178">
        <f>IFERROR(F105/B100,"")</f>
        <v>0.20468820236106366</v>
      </c>
      <c r="H105" s="251">
        <v>745.81600000000014</v>
      </c>
      <c r="I105" s="178">
        <f>IFERROR(H105/B100,"")</f>
        <v>7.4285964148478295E-2</v>
      </c>
      <c r="J105" s="251">
        <v>0</v>
      </c>
      <c r="K105" s="178">
        <f>IFERROR(J105/B100,"")</f>
        <v>0</v>
      </c>
      <c r="L105" s="251">
        <v>0</v>
      </c>
      <c r="M105" s="252">
        <f>IFERROR(L105/B100,"")</f>
        <v>0</v>
      </c>
    </row>
    <row r="106" spans="1:13" ht="15.75" customHeight="1" thickBot="1">
      <c r="A106" s="256"/>
      <c r="B106" s="257"/>
      <c r="C106" s="257"/>
      <c r="D106" s="603"/>
      <c r="E106" s="258" t="s">
        <v>413</v>
      </c>
      <c r="F106" s="259">
        <v>16573.329590000001</v>
      </c>
      <c r="G106" s="260">
        <f>IFERROR(F106/B101,"")</f>
        <v>0.68841301382430509</v>
      </c>
      <c r="H106" s="259">
        <v>5003.1856200000038</v>
      </c>
      <c r="I106" s="260">
        <f>IFERROR(H106/B101,"")</f>
        <v>0.20781932035339598</v>
      </c>
      <c r="J106" s="259">
        <v>0</v>
      </c>
      <c r="K106" s="260">
        <f>IFERROR(J106/B101,"")</f>
        <v>0</v>
      </c>
      <c r="L106" s="259">
        <v>0</v>
      </c>
      <c r="M106" s="261">
        <f>IFERROR(L106/B101,"")</f>
        <v>0</v>
      </c>
    </row>
    <row r="107" spans="1:13" ht="15.75" customHeight="1">
      <c r="A107" s="597" t="s">
        <v>427</v>
      </c>
      <c r="B107" s="598"/>
      <c r="C107" s="598"/>
      <c r="D107" s="598"/>
      <c r="E107" s="598"/>
      <c r="F107" s="598"/>
      <c r="G107" s="598"/>
      <c r="H107" s="598"/>
      <c r="I107" s="598"/>
      <c r="J107" s="598"/>
      <c r="K107" s="598"/>
      <c r="L107" s="598"/>
      <c r="M107" s="599"/>
    </row>
    <row r="108" spans="1:13" ht="15.75" customHeight="1">
      <c r="A108" s="600"/>
      <c r="B108" s="590"/>
      <c r="C108" s="590"/>
      <c r="D108" s="590"/>
      <c r="E108" s="590"/>
      <c r="F108" s="590"/>
      <c r="G108" s="590"/>
      <c r="H108" s="590"/>
      <c r="I108" s="590"/>
      <c r="J108" s="590"/>
      <c r="K108" s="590"/>
      <c r="L108" s="590"/>
      <c r="M108" s="601"/>
    </row>
    <row r="109" spans="1:13" ht="15.75" customHeight="1">
      <c r="A109" s="246" t="s">
        <v>407</v>
      </c>
      <c r="B109" s="297">
        <v>50444409</v>
      </c>
      <c r="M109" s="247"/>
    </row>
    <row r="110" spans="1:13" ht="15.75" customHeight="1">
      <c r="A110" s="602" t="s">
        <v>105</v>
      </c>
      <c r="B110" s="592" t="s">
        <v>47</v>
      </c>
      <c r="C110" s="592"/>
      <c r="D110" s="593"/>
      <c r="E110" s="591" t="s">
        <v>105</v>
      </c>
      <c r="F110" s="595">
        <v>1</v>
      </c>
      <c r="G110" s="595"/>
      <c r="H110" s="595">
        <v>2</v>
      </c>
      <c r="I110" s="595"/>
      <c r="J110" s="595">
        <v>3</v>
      </c>
      <c r="K110" s="595"/>
      <c r="L110" s="595">
        <v>4</v>
      </c>
      <c r="M110" s="604"/>
    </row>
    <row r="111" spans="1:13" ht="15.75" customHeight="1">
      <c r="A111" s="602"/>
      <c r="B111" s="592"/>
      <c r="C111" s="592"/>
      <c r="D111" s="594"/>
      <c r="E111" s="591"/>
      <c r="F111" s="587" t="s">
        <v>408</v>
      </c>
      <c r="G111" s="587"/>
      <c r="H111" s="587" t="s">
        <v>409</v>
      </c>
      <c r="I111" s="587"/>
      <c r="J111" s="587" t="s">
        <v>410</v>
      </c>
      <c r="K111" s="587"/>
      <c r="L111" s="587" t="s">
        <v>419</v>
      </c>
      <c r="M111" s="605"/>
    </row>
    <row r="112" spans="1:13" ht="15.75" customHeight="1">
      <c r="A112" s="602"/>
      <c r="B112" s="196" t="s">
        <v>50</v>
      </c>
      <c r="C112" s="196" t="s">
        <v>15</v>
      </c>
      <c r="D112" s="594"/>
      <c r="E112" s="591"/>
      <c r="F112" s="196" t="s">
        <v>50</v>
      </c>
      <c r="G112" s="196" t="s">
        <v>15</v>
      </c>
      <c r="H112" s="196" t="s">
        <v>50</v>
      </c>
      <c r="I112" s="196" t="s">
        <v>15</v>
      </c>
      <c r="J112" s="196" t="s">
        <v>50</v>
      </c>
      <c r="K112" s="196" t="s">
        <v>15</v>
      </c>
      <c r="L112" s="196" t="s">
        <v>50</v>
      </c>
      <c r="M112" s="248" t="s">
        <v>15</v>
      </c>
    </row>
    <row r="113" spans="1:13" ht="15.75" customHeight="1">
      <c r="A113" s="249" t="s">
        <v>412</v>
      </c>
      <c r="B113" s="250">
        <v>10637.800000000001</v>
      </c>
      <c r="C113" s="176">
        <f>B113/B109</f>
        <v>2.1088164597190544E-4</v>
      </c>
      <c r="D113" s="594"/>
      <c r="E113" s="174" t="s">
        <v>412</v>
      </c>
      <c r="F113" s="251">
        <v>0</v>
      </c>
      <c r="G113" s="178">
        <f>IFERROR(F113/B113,"")</f>
        <v>0</v>
      </c>
      <c r="H113" s="251">
        <v>136.82900000000001</v>
      </c>
      <c r="I113" s="178">
        <f>IFERROR(H113/B113,"")</f>
        <v>1.2862527966308823E-2</v>
      </c>
      <c r="J113" s="251">
        <v>3185.3060000000005</v>
      </c>
      <c r="K113" s="178">
        <f>IFERROR(J113/B113,"")</f>
        <v>0.29943277745398489</v>
      </c>
      <c r="L113" s="251">
        <v>4151.8950000000004</v>
      </c>
      <c r="M113" s="252">
        <f>IFERROR(L113/B113,"")</f>
        <v>0.39029639587132681</v>
      </c>
    </row>
    <row r="114" spans="1:13" ht="15.75" customHeight="1">
      <c r="A114" s="253" t="s">
        <v>413</v>
      </c>
      <c r="B114" s="254">
        <v>22192.718089999984</v>
      </c>
      <c r="C114" s="176">
        <f>B114/B109</f>
        <v>4.3994405980650865E-4</v>
      </c>
      <c r="D114" s="594"/>
      <c r="E114" s="179" t="s">
        <v>413</v>
      </c>
      <c r="F114" s="251">
        <v>0</v>
      </c>
      <c r="G114" s="178">
        <f>IFERROR(F114/B114,"")</f>
        <v>0</v>
      </c>
      <c r="H114" s="251">
        <v>431.16616000000005</v>
      </c>
      <c r="I114" s="178">
        <f>IFERROR(H114/B114,"")</f>
        <v>1.942827184355949E-2</v>
      </c>
      <c r="J114" s="251">
        <v>1784.5664799999979</v>
      </c>
      <c r="K114" s="178">
        <f>IFERROR(J114/B114,"")</f>
        <v>8.0412253819604082E-2</v>
      </c>
      <c r="L114" s="251">
        <v>2934.7442599999968</v>
      </c>
      <c r="M114" s="252">
        <f>IFERROR(L114/B114,"")</f>
        <v>0.13223906364684501</v>
      </c>
    </row>
    <row r="115" spans="1:13" ht="15.75" customHeight="1">
      <c r="A115" s="255"/>
      <c r="D115" s="594"/>
      <c r="E115" s="591" t="s">
        <v>105</v>
      </c>
      <c r="F115" s="606">
        <v>5</v>
      </c>
      <c r="G115" s="607"/>
      <c r="H115" s="606">
        <v>6</v>
      </c>
      <c r="I115" s="607"/>
      <c r="J115" s="606">
        <v>7</v>
      </c>
      <c r="K115" s="607"/>
      <c r="L115" s="608">
        <v>8</v>
      </c>
      <c r="M115" s="609"/>
    </row>
    <row r="116" spans="1:13" ht="15.75" customHeight="1">
      <c r="A116" s="255"/>
      <c r="D116" s="594"/>
      <c r="E116" s="591"/>
      <c r="F116" s="610" t="s">
        <v>414</v>
      </c>
      <c r="G116" s="611"/>
      <c r="H116" s="610" t="s">
        <v>415</v>
      </c>
      <c r="I116" s="611"/>
      <c r="J116" s="610" t="s">
        <v>416</v>
      </c>
      <c r="K116" s="611"/>
      <c r="L116" s="612" t="s">
        <v>417</v>
      </c>
      <c r="M116" s="613"/>
    </row>
    <row r="117" spans="1:13" ht="15.75" customHeight="1">
      <c r="A117" s="255"/>
      <c r="D117" s="594"/>
      <c r="E117" s="591"/>
      <c r="F117" s="196" t="s">
        <v>50</v>
      </c>
      <c r="G117" s="196" t="s">
        <v>15</v>
      </c>
      <c r="H117" s="196" t="s">
        <v>50</v>
      </c>
      <c r="I117" s="196" t="s">
        <v>15</v>
      </c>
      <c r="J117" s="196" t="s">
        <v>50</v>
      </c>
      <c r="K117" s="196" t="s">
        <v>15</v>
      </c>
      <c r="L117" s="196" t="s">
        <v>50</v>
      </c>
      <c r="M117" s="248" t="s">
        <v>15</v>
      </c>
    </row>
    <row r="118" spans="1:13" ht="15.75" customHeight="1">
      <c r="A118" s="255"/>
      <c r="D118" s="594"/>
      <c r="E118" s="174" t="s">
        <v>412</v>
      </c>
      <c r="F118" s="251">
        <v>2466.5980000000004</v>
      </c>
      <c r="G118" s="178">
        <f>IFERROR(F118/B113,"")</f>
        <v>0.23187106356577489</v>
      </c>
      <c r="H118" s="251">
        <v>697.17200000000003</v>
      </c>
      <c r="I118" s="178">
        <f>IFERROR(H118/B113,"")</f>
        <v>6.5537235142604663E-2</v>
      </c>
      <c r="J118" s="251">
        <v>0</v>
      </c>
      <c r="K118" s="178">
        <f>IFERROR(J118/B113,"")</f>
        <v>0</v>
      </c>
      <c r="L118" s="251">
        <v>0</v>
      </c>
      <c r="M118" s="252">
        <f>IFERROR(L118/B113,"")</f>
        <v>0</v>
      </c>
    </row>
    <row r="119" spans="1:13" ht="15.75" customHeight="1" thickBot="1">
      <c r="A119" s="256"/>
      <c r="B119" s="257"/>
      <c r="C119" s="257"/>
      <c r="D119" s="603"/>
      <c r="E119" s="258" t="s">
        <v>413</v>
      </c>
      <c r="F119" s="259">
        <v>10862.057839999987</v>
      </c>
      <c r="G119" s="260">
        <f>IFERROR(F119/B114,"")</f>
        <v>0.48944242863583343</v>
      </c>
      <c r="H119" s="259">
        <v>6180.1833500000057</v>
      </c>
      <c r="I119" s="260">
        <f>IFERROR(H119/B114,"")</f>
        <v>0.27847798205415814</v>
      </c>
      <c r="J119" s="259">
        <v>0</v>
      </c>
      <c r="K119" s="260">
        <f>IFERROR(J119/B114,"")</f>
        <v>0</v>
      </c>
      <c r="L119" s="259">
        <v>0</v>
      </c>
      <c r="M119" s="261">
        <f>IFERROR(L119/B114,"")</f>
        <v>0</v>
      </c>
    </row>
    <row r="120" spans="1:13" ht="15.75" customHeight="1">
      <c r="A120" s="597" t="s">
        <v>428</v>
      </c>
      <c r="B120" s="598"/>
      <c r="C120" s="598"/>
      <c r="D120" s="598"/>
      <c r="E120" s="598"/>
      <c r="F120" s="598"/>
      <c r="G120" s="598"/>
      <c r="H120" s="598"/>
      <c r="I120" s="598"/>
      <c r="J120" s="598"/>
      <c r="K120" s="598"/>
      <c r="L120" s="598"/>
      <c r="M120" s="599"/>
    </row>
    <row r="121" spans="1:13" ht="15.75" customHeight="1">
      <c r="A121" s="600"/>
      <c r="B121" s="590"/>
      <c r="C121" s="590"/>
      <c r="D121" s="590"/>
      <c r="E121" s="590"/>
      <c r="F121" s="590"/>
      <c r="G121" s="590"/>
      <c r="H121" s="590"/>
      <c r="I121" s="590"/>
      <c r="J121" s="590"/>
      <c r="K121" s="590"/>
      <c r="L121" s="590"/>
      <c r="M121" s="601"/>
    </row>
    <row r="122" spans="1:13" ht="15.75" customHeight="1">
      <c r="A122" s="246" t="s">
        <v>407</v>
      </c>
      <c r="B122" s="297">
        <v>50896038</v>
      </c>
      <c r="M122" s="247"/>
    </row>
    <row r="123" spans="1:13" ht="15.75" customHeight="1">
      <c r="A123" s="602" t="s">
        <v>105</v>
      </c>
      <c r="B123" s="592" t="s">
        <v>47</v>
      </c>
      <c r="C123" s="592"/>
      <c r="D123" s="593"/>
      <c r="E123" s="591" t="s">
        <v>105</v>
      </c>
      <c r="F123" s="595">
        <v>1</v>
      </c>
      <c r="G123" s="595"/>
      <c r="H123" s="595">
        <v>2</v>
      </c>
      <c r="I123" s="595"/>
      <c r="J123" s="595">
        <v>3</v>
      </c>
      <c r="K123" s="595"/>
      <c r="L123" s="595">
        <v>4</v>
      </c>
      <c r="M123" s="604"/>
    </row>
    <row r="124" spans="1:13" ht="15.75" customHeight="1">
      <c r="A124" s="602"/>
      <c r="B124" s="592"/>
      <c r="C124" s="592"/>
      <c r="D124" s="594"/>
      <c r="E124" s="591"/>
      <c r="F124" s="587" t="s">
        <v>408</v>
      </c>
      <c r="G124" s="587"/>
      <c r="H124" s="587" t="s">
        <v>409</v>
      </c>
      <c r="I124" s="587"/>
      <c r="J124" s="587" t="s">
        <v>410</v>
      </c>
      <c r="K124" s="587"/>
      <c r="L124" s="587" t="s">
        <v>419</v>
      </c>
      <c r="M124" s="605"/>
    </row>
    <row r="125" spans="1:13" ht="15.75" customHeight="1">
      <c r="A125" s="602"/>
      <c r="B125" s="196" t="s">
        <v>50</v>
      </c>
      <c r="C125" s="196" t="s">
        <v>15</v>
      </c>
      <c r="D125" s="594"/>
      <c r="E125" s="591"/>
      <c r="F125" s="196" t="s">
        <v>50</v>
      </c>
      <c r="G125" s="196" t="s">
        <v>15</v>
      </c>
      <c r="H125" s="196" t="s">
        <v>50</v>
      </c>
      <c r="I125" s="196" t="s">
        <v>15</v>
      </c>
      <c r="J125" s="196" t="s">
        <v>50</v>
      </c>
      <c r="K125" s="196" t="s">
        <v>15</v>
      </c>
      <c r="L125" s="196" t="s">
        <v>50</v>
      </c>
      <c r="M125" s="248" t="s">
        <v>15</v>
      </c>
    </row>
    <row r="126" spans="1:13" ht="15.75" customHeight="1">
      <c r="A126" s="249" t="s">
        <v>412</v>
      </c>
      <c r="B126" s="250">
        <v>125923.71199999998</v>
      </c>
      <c r="C126" s="176">
        <f>B126/B122</f>
        <v>2.4741358453088231E-3</v>
      </c>
      <c r="D126" s="594"/>
      <c r="E126" s="174" t="s">
        <v>412</v>
      </c>
      <c r="F126" s="251">
        <v>0</v>
      </c>
      <c r="G126" s="178">
        <f>IFERROR(F126/B126,"")</f>
        <v>0</v>
      </c>
      <c r="H126" s="251">
        <v>413.55200000000002</v>
      </c>
      <c r="I126" s="178">
        <f>IFERROR(H126/B126,"")</f>
        <v>3.2841471509353222E-3</v>
      </c>
      <c r="J126" s="251">
        <v>2539.8149999999996</v>
      </c>
      <c r="K126" s="178">
        <f>IFERROR(J126/B126,"")</f>
        <v>2.0169473720723859E-2</v>
      </c>
      <c r="L126" s="251">
        <v>3379.052000000001</v>
      </c>
      <c r="M126" s="252">
        <f>IFERROR(L126/B126,"")</f>
        <v>2.683412001069347E-2</v>
      </c>
    </row>
    <row r="127" spans="1:13" ht="15.75" customHeight="1">
      <c r="A127" s="253" t="s">
        <v>413</v>
      </c>
      <c r="B127" s="254">
        <v>119028.51714747345</v>
      </c>
      <c r="C127" s="176">
        <f>B127/B122</f>
        <v>2.3386597822697606E-3</v>
      </c>
      <c r="D127" s="594"/>
      <c r="E127" s="179" t="s">
        <v>413</v>
      </c>
      <c r="F127" s="251">
        <v>0</v>
      </c>
      <c r="G127" s="178">
        <f>IFERROR(F127/B127,"")</f>
        <v>0</v>
      </c>
      <c r="H127" s="251">
        <v>1857.0376799999999</v>
      </c>
      <c r="I127" s="178">
        <f>IFERROR(H127/B127,"")</f>
        <v>1.5601619884915268E-2</v>
      </c>
      <c r="J127" s="251">
        <v>916.46043999999961</v>
      </c>
      <c r="K127" s="178">
        <f>IFERROR(J127/B127,"")</f>
        <v>7.6995031271752069E-3</v>
      </c>
      <c r="L127" s="251">
        <v>2305.2656700000025</v>
      </c>
      <c r="M127" s="252">
        <f>IFERROR(L127/B127,"")</f>
        <v>1.936733923303299E-2</v>
      </c>
    </row>
    <row r="128" spans="1:13" ht="15.75" customHeight="1">
      <c r="A128" s="255"/>
      <c r="D128" s="594"/>
      <c r="E128" s="591" t="s">
        <v>105</v>
      </c>
      <c r="F128" s="606">
        <v>5</v>
      </c>
      <c r="G128" s="607"/>
      <c r="H128" s="606">
        <v>6</v>
      </c>
      <c r="I128" s="607"/>
      <c r="J128" s="606">
        <v>7</v>
      </c>
      <c r="K128" s="607"/>
      <c r="L128" s="608">
        <v>8</v>
      </c>
      <c r="M128" s="609"/>
    </row>
    <row r="129" spans="1:13" ht="15.75" customHeight="1">
      <c r="A129" s="255"/>
      <c r="D129" s="594"/>
      <c r="E129" s="591"/>
      <c r="F129" s="610" t="s">
        <v>414</v>
      </c>
      <c r="G129" s="611"/>
      <c r="H129" s="610" t="s">
        <v>415</v>
      </c>
      <c r="I129" s="611"/>
      <c r="J129" s="610" t="s">
        <v>416</v>
      </c>
      <c r="K129" s="611"/>
      <c r="L129" s="612" t="s">
        <v>417</v>
      </c>
      <c r="M129" s="613"/>
    </row>
    <row r="130" spans="1:13" ht="15.75" customHeight="1">
      <c r="A130" s="255"/>
      <c r="D130" s="594"/>
      <c r="E130" s="591"/>
      <c r="F130" s="196" t="s">
        <v>50</v>
      </c>
      <c r="G130" s="196" t="s">
        <v>15</v>
      </c>
      <c r="H130" s="196" t="s">
        <v>50</v>
      </c>
      <c r="I130" s="196" t="s">
        <v>15</v>
      </c>
      <c r="J130" s="196" t="s">
        <v>50</v>
      </c>
      <c r="K130" s="196" t="s">
        <v>15</v>
      </c>
      <c r="L130" s="196" t="s">
        <v>50</v>
      </c>
      <c r="M130" s="248" t="s">
        <v>15</v>
      </c>
    </row>
    <row r="131" spans="1:13" ht="15.75" customHeight="1">
      <c r="A131" s="255"/>
      <c r="D131" s="594"/>
      <c r="E131" s="174" t="s">
        <v>412</v>
      </c>
      <c r="F131" s="251">
        <v>1678.1869999999997</v>
      </c>
      <c r="G131" s="178">
        <f>IFERROR(F131/B126,"")</f>
        <v>1.332701342222186E-2</v>
      </c>
      <c r="H131" s="251">
        <v>737.43200000000002</v>
      </c>
      <c r="I131" s="178">
        <f>IFERROR(H131/B126,"")</f>
        <v>5.8561806056034952E-3</v>
      </c>
      <c r="J131" s="251">
        <v>0</v>
      </c>
      <c r="K131" s="178">
        <f>IFERROR(J131/B126,"")</f>
        <v>0</v>
      </c>
      <c r="L131" s="251">
        <v>0</v>
      </c>
      <c r="M131" s="252">
        <f>IFERROR(L131/B126,"")</f>
        <v>0</v>
      </c>
    </row>
    <row r="132" spans="1:13" ht="15.75" customHeight="1" thickBot="1">
      <c r="A132" s="256"/>
      <c r="B132" s="257"/>
      <c r="C132" s="257"/>
      <c r="D132" s="603"/>
      <c r="E132" s="258" t="s">
        <v>413</v>
      </c>
      <c r="F132" s="259">
        <v>8281.5108900000032</v>
      </c>
      <c r="G132" s="260">
        <f>IFERROR(F132/B127,"")</f>
        <v>6.9575855336745998E-2</v>
      </c>
      <c r="H132" s="259">
        <v>5034.3212100000064</v>
      </c>
      <c r="I132" s="260">
        <f>IFERROR(H132/B127,"")</f>
        <v>4.229508466246458E-2</v>
      </c>
      <c r="J132" s="259">
        <v>935.0999999999998</v>
      </c>
      <c r="K132" s="260">
        <f>IFERROR(J132/B127,"")</f>
        <v>7.856100558166523E-3</v>
      </c>
      <c r="L132" s="259">
        <v>0</v>
      </c>
      <c r="M132" s="261">
        <f>IFERROR(L132/B127,"")</f>
        <v>0</v>
      </c>
    </row>
    <row r="133" spans="1:13" ht="15.75" customHeight="1">
      <c r="A133" s="597" t="s">
        <v>429</v>
      </c>
      <c r="B133" s="598"/>
      <c r="C133" s="598"/>
      <c r="D133" s="598"/>
      <c r="E133" s="598"/>
      <c r="F133" s="598"/>
      <c r="G133" s="598"/>
      <c r="H133" s="598"/>
      <c r="I133" s="598"/>
      <c r="J133" s="598"/>
      <c r="K133" s="598"/>
      <c r="L133" s="598"/>
      <c r="M133" s="599"/>
    </row>
    <row r="134" spans="1:13" ht="15.75" customHeight="1">
      <c r="A134" s="600"/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601"/>
    </row>
    <row r="135" spans="1:13" ht="15.75" customHeight="1">
      <c r="A135" s="246" t="s">
        <v>407</v>
      </c>
      <c r="B135" s="297">
        <v>51190043</v>
      </c>
      <c r="M135" s="247"/>
    </row>
    <row r="136" spans="1:13" ht="15.75" customHeight="1">
      <c r="A136" s="602" t="s">
        <v>105</v>
      </c>
      <c r="B136" s="592" t="s">
        <v>47</v>
      </c>
      <c r="C136" s="592"/>
      <c r="D136" s="593"/>
      <c r="E136" s="591" t="s">
        <v>105</v>
      </c>
      <c r="F136" s="595">
        <v>1</v>
      </c>
      <c r="G136" s="595"/>
      <c r="H136" s="595">
        <v>2</v>
      </c>
      <c r="I136" s="595"/>
      <c r="J136" s="595">
        <v>3</v>
      </c>
      <c r="K136" s="595"/>
      <c r="L136" s="595">
        <v>4</v>
      </c>
      <c r="M136" s="604"/>
    </row>
    <row r="137" spans="1:13" ht="15.75" customHeight="1">
      <c r="A137" s="602"/>
      <c r="B137" s="592"/>
      <c r="C137" s="592"/>
      <c r="D137" s="594"/>
      <c r="E137" s="591"/>
      <c r="F137" s="587" t="s">
        <v>408</v>
      </c>
      <c r="G137" s="587"/>
      <c r="H137" s="587" t="s">
        <v>409</v>
      </c>
      <c r="I137" s="587"/>
      <c r="J137" s="587" t="s">
        <v>410</v>
      </c>
      <c r="K137" s="587"/>
      <c r="L137" s="587" t="s">
        <v>419</v>
      </c>
      <c r="M137" s="605"/>
    </row>
    <row r="138" spans="1:13" ht="15.75" customHeight="1">
      <c r="A138" s="602"/>
      <c r="B138" s="196" t="s">
        <v>50</v>
      </c>
      <c r="C138" s="196" t="s">
        <v>15</v>
      </c>
      <c r="D138" s="594"/>
      <c r="E138" s="591"/>
      <c r="F138" s="196" t="s">
        <v>50</v>
      </c>
      <c r="G138" s="196" t="s">
        <v>15</v>
      </c>
      <c r="H138" s="196" t="s">
        <v>50</v>
      </c>
      <c r="I138" s="196" t="s">
        <v>15</v>
      </c>
      <c r="J138" s="196" t="s">
        <v>50</v>
      </c>
      <c r="K138" s="196" t="s">
        <v>15</v>
      </c>
      <c r="L138" s="196" t="s">
        <v>50</v>
      </c>
      <c r="M138" s="248" t="s">
        <v>15</v>
      </c>
    </row>
    <row r="139" spans="1:13" ht="15.75" customHeight="1">
      <c r="A139" s="249" t="s">
        <v>412</v>
      </c>
      <c r="B139" s="250">
        <v>126488</v>
      </c>
      <c r="C139" s="176">
        <f>B139/B135</f>
        <v>2.4709492820703433E-3</v>
      </c>
      <c r="D139" s="594"/>
      <c r="E139" s="174" t="s">
        <v>412</v>
      </c>
      <c r="F139" s="251">
        <v>0</v>
      </c>
      <c r="G139" s="178">
        <f>IFERROR(F139/B139,"")</f>
        <v>0</v>
      </c>
      <c r="H139" s="251">
        <v>134.22499999999999</v>
      </c>
      <c r="I139" s="178">
        <f>IFERROR(H139/B139,"")</f>
        <v>1.0611678578205047E-3</v>
      </c>
      <c r="J139" s="251">
        <v>4376.1360000000004</v>
      </c>
      <c r="K139" s="178">
        <f>IFERROR(J139/B139,"")</f>
        <v>3.4597242426159004E-2</v>
      </c>
      <c r="L139" s="251">
        <v>2683.2860000000001</v>
      </c>
      <c r="M139" s="252">
        <f>IFERROR(L139/B139,"")</f>
        <v>2.1213759408007085E-2</v>
      </c>
    </row>
    <row r="140" spans="1:13" ht="15.75" customHeight="1">
      <c r="A140" s="253" t="s">
        <v>413</v>
      </c>
      <c r="B140" s="254">
        <v>115508.24525041386</v>
      </c>
      <c r="C140" s="176">
        <f>B140/B135</f>
        <v>2.2564592346682316E-3</v>
      </c>
      <c r="D140" s="594"/>
      <c r="E140" s="179" t="s">
        <v>413</v>
      </c>
      <c r="F140" s="251">
        <v>0</v>
      </c>
      <c r="G140" s="178">
        <f>IFERROR(F140/B140,"")</f>
        <v>0</v>
      </c>
      <c r="H140" s="251">
        <v>1567.3288099999995</v>
      </c>
      <c r="I140" s="178">
        <f>IFERROR(H140/B140,"")</f>
        <v>1.3568977752212748E-2</v>
      </c>
      <c r="J140" s="251">
        <v>0</v>
      </c>
      <c r="K140" s="178">
        <f>IFERROR(J140/B140,"")</f>
        <v>0</v>
      </c>
      <c r="L140" s="251">
        <v>3126.5364695081889</v>
      </c>
      <c r="M140" s="252">
        <f>IFERROR(L140/B140,"")</f>
        <v>2.7067647532261221E-2</v>
      </c>
    </row>
    <row r="141" spans="1:13" ht="15.75" customHeight="1">
      <c r="A141" s="255"/>
      <c r="D141" s="594"/>
      <c r="E141" s="591" t="s">
        <v>105</v>
      </c>
      <c r="F141" s="606">
        <v>5</v>
      </c>
      <c r="G141" s="607"/>
      <c r="H141" s="606">
        <v>6</v>
      </c>
      <c r="I141" s="607"/>
      <c r="J141" s="606">
        <v>7</v>
      </c>
      <c r="K141" s="607"/>
      <c r="L141" s="608">
        <v>8</v>
      </c>
      <c r="M141" s="609"/>
    </row>
    <row r="142" spans="1:13" ht="15.75" customHeight="1">
      <c r="A142" s="255"/>
      <c r="D142" s="594"/>
      <c r="E142" s="591"/>
      <c r="F142" s="610" t="s">
        <v>414</v>
      </c>
      <c r="G142" s="611"/>
      <c r="H142" s="610" t="s">
        <v>415</v>
      </c>
      <c r="I142" s="611"/>
      <c r="J142" s="610" t="s">
        <v>416</v>
      </c>
      <c r="K142" s="611"/>
      <c r="L142" s="612" t="s">
        <v>417</v>
      </c>
      <c r="M142" s="613"/>
    </row>
    <row r="143" spans="1:13" ht="15.75" customHeight="1">
      <c r="A143" s="255"/>
      <c r="D143" s="594"/>
      <c r="E143" s="591"/>
      <c r="F143" s="196" t="s">
        <v>50</v>
      </c>
      <c r="G143" s="196" t="s">
        <v>15</v>
      </c>
      <c r="H143" s="196" t="s">
        <v>50</v>
      </c>
      <c r="I143" s="196" t="s">
        <v>15</v>
      </c>
      <c r="J143" s="196" t="s">
        <v>50</v>
      </c>
      <c r="K143" s="196" t="s">
        <v>15</v>
      </c>
      <c r="L143" s="196" t="s">
        <v>50</v>
      </c>
      <c r="M143" s="248" t="s">
        <v>15</v>
      </c>
    </row>
    <row r="144" spans="1:13" ht="15.75" customHeight="1">
      <c r="A144" s="255"/>
      <c r="D144" s="594"/>
      <c r="E144" s="174" t="s">
        <v>412</v>
      </c>
      <c r="F144" s="251">
        <v>1998.4399999999998</v>
      </c>
      <c r="G144" s="178">
        <f>IFERROR(F144/B139,"")</f>
        <v>1.5799443425463282E-2</v>
      </c>
      <c r="H144" s="251">
        <v>929.51</v>
      </c>
      <c r="I144" s="178">
        <f>IFERROR(H144/B139,"")</f>
        <v>7.3486022389475684E-3</v>
      </c>
      <c r="J144" s="251">
        <v>0</v>
      </c>
      <c r="K144" s="178">
        <f>IFERROR(J144/B139,"")</f>
        <v>0</v>
      </c>
      <c r="L144" s="251">
        <v>0</v>
      </c>
      <c r="M144" s="252">
        <f>IFERROR(L144/B139,"")</f>
        <v>0</v>
      </c>
    </row>
    <row r="145" spans="1:13" ht="15.75" customHeight="1" thickBot="1">
      <c r="A145" s="256"/>
      <c r="B145" s="257"/>
      <c r="C145" s="257"/>
      <c r="D145" s="603"/>
      <c r="E145" s="258" t="s">
        <v>413</v>
      </c>
      <c r="F145" s="259">
        <v>9727.9645499999788</v>
      </c>
      <c r="G145" s="260">
        <f>IFERROR(F145/B140,"")</f>
        <v>8.421878913414732E-2</v>
      </c>
      <c r="H145" s="259">
        <v>5044.1673599999995</v>
      </c>
      <c r="I145" s="260">
        <f>IFERROR(H145/B140,"")</f>
        <v>4.3669327233433378E-2</v>
      </c>
      <c r="J145" s="259">
        <v>1022.6864000000024</v>
      </c>
      <c r="K145" s="260">
        <f>IFERROR(J145/B140,"")</f>
        <v>8.8537956557377291E-3</v>
      </c>
      <c r="L145" s="259">
        <v>0</v>
      </c>
      <c r="M145" s="261">
        <f>IFERROR(L145/B140,"")</f>
        <v>0</v>
      </c>
    </row>
    <row r="146" spans="1:13" ht="15.75" customHeight="1">
      <c r="A146" s="597" t="s">
        <v>430</v>
      </c>
      <c r="B146" s="598"/>
      <c r="C146" s="598"/>
      <c r="D146" s="598"/>
      <c r="E146" s="598"/>
      <c r="F146" s="598"/>
      <c r="G146" s="598"/>
      <c r="H146" s="598"/>
      <c r="I146" s="598"/>
      <c r="J146" s="598"/>
      <c r="K146" s="598"/>
      <c r="L146" s="598"/>
      <c r="M146" s="599"/>
    </row>
    <row r="147" spans="1:13" ht="15.75" customHeight="1">
      <c r="A147" s="600"/>
      <c r="B147" s="590"/>
      <c r="C147" s="590"/>
      <c r="D147" s="590"/>
      <c r="E147" s="590"/>
      <c r="F147" s="590"/>
      <c r="G147" s="590"/>
      <c r="H147" s="590"/>
      <c r="I147" s="590"/>
      <c r="J147" s="590"/>
      <c r="K147" s="590"/>
      <c r="L147" s="590"/>
      <c r="M147" s="601"/>
    </row>
    <row r="148" spans="1:13" ht="15.75" customHeight="1">
      <c r="A148" s="246" t="s">
        <v>407</v>
      </c>
      <c r="B148" s="297">
        <v>49497330</v>
      </c>
      <c r="M148" s="247"/>
    </row>
    <row r="149" spans="1:13" ht="15.75" customHeight="1">
      <c r="A149" s="602" t="s">
        <v>105</v>
      </c>
      <c r="B149" s="592" t="s">
        <v>47</v>
      </c>
      <c r="C149" s="592"/>
      <c r="D149" s="593"/>
      <c r="E149" s="591" t="s">
        <v>105</v>
      </c>
      <c r="F149" s="595">
        <v>1</v>
      </c>
      <c r="G149" s="595"/>
      <c r="H149" s="595">
        <v>2</v>
      </c>
      <c r="I149" s="595"/>
      <c r="J149" s="595">
        <v>3</v>
      </c>
      <c r="K149" s="595"/>
      <c r="L149" s="595">
        <v>4</v>
      </c>
      <c r="M149" s="604"/>
    </row>
    <row r="150" spans="1:13" ht="15.75" customHeight="1">
      <c r="A150" s="602"/>
      <c r="B150" s="592"/>
      <c r="C150" s="592"/>
      <c r="D150" s="594"/>
      <c r="E150" s="591"/>
      <c r="F150" s="587" t="s">
        <v>408</v>
      </c>
      <c r="G150" s="587"/>
      <c r="H150" s="587" t="s">
        <v>409</v>
      </c>
      <c r="I150" s="587"/>
      <c r="J150" s="587" t="s">
        <v>410</v>
      </c>
      <c r="K150" s="587"/>
      <c r="L150" s="587" t="s">
        <v>419</v>
      </c>
      <c r="M150" s="605"/>
    </row>
    <row r="151" spans="1:13" ht="15.75" customHeight="1">
      <c r="A151" s="602"/>
      <c r="B151" s="196" t="s">
        <v>50</v>
      </c>
      <c r="C151" s="196" t="s">
        <v>15</v>
      </c>
      <c r="D151" s="594"/>
      <c r="E151" s="591"/>
      <c r="F151" s="196" t="s">
        <v>50</v>
      </c>
      <c r="G151" s="196" t="s">
        <v>15</v>
      </c>
      <c r="H151" s="196" t="s">
        <v>50</v>
      </c>
      <c r="I151" s="196" t="s">
        <v>15</v>
      </c>
      <c r="J151" s="196" t="s">
        <v>50</v>
      </c>
      <c r="K151" s="196" t="s">
        <v>15</v>
      </c>
      <c r="L151" s="196" t="s">
        <v>50</v>
      </c>
      <c r="M151" s="248" t="s">
        <v>15</v>
      </c>
    </row>
    <row r="152" spans="1:13" ht="15.75" customHeight="1">
      <c r="A152" s="249" t="s">
        <v>412</v>
      </c>
      <c r="B152" s="250">
        <v>121653.17465</v>
      </c>
      <c r="C152" s="176">
        <f>B152/B148</f>
        <v>2.4577724626762697E-3</v>
      </c>
      <c r="D152" s="594"/>
      <c r="E152" s="174" t="s">
        <v>412</v>
      </c>
      <c r="F152" s="251">
        <v>0</v>
      </c>
      <c r="G152" s="178">
        <f>IFERROR(F152/B152,"")</f>
        <v>0</v>
      </c>
      <c r="H152" s="251">
        <v>278.36500000000001</v>
      </c>
      <c r="I152" s="178">
        <f>IFERROR(H152/B152,"")</f>
        <v>2.2881852512346254E-3</v>
      </c>
      <c r="J152" s="251">
        <v>1647.2909999999999</v>
      </c>
      <c r="K152" s="178">
        <f>IFERROR(J152/B152,"")</f>
        <v>1.3540879674856886E-2</v>
      </c>
      <c r="L152" s="251">
        <v>4182.6130000000003</v>
      </c>
      <c r="M152" s="252">
        <f>IFERROR(L152/B152,"")</f>
        <v>3.4381453768333702E-2</v>
      </c>
    </row>
    <row r="153" spans="1:13" ht="15.75" customHeight="1">
      <c r="A153" s="253" t="s">
        <v>413</v>
      </c>
      <c r="B153" s="254">
        <v>118133.70914207518</v>
      </c>
      <c r="C153" s="176">
        <f>B153/B148</f>
        <v>2.3866683140701768E-3</v>
      </c>
      <c r="D153" s="594"/>
      <c r="E153" s="179" t="s">
        <v>413</v>
      </c>
      <c r="F153" s="251">
        <v>0</v>
      </c>
      <c r="G153" s="178">
        <f>IFERROR(F153/B153,"")</f>
        <v>0</v>
      </c>
      <c r="H153" s="251">
        <v>439.30235999999979</v>
      </c>
      <c r="I153" s="178">
        <f>IFERROR(H153/B153,"")</f>
        <v>3.7186876056830363E-3</v>
      </c>
      <c r="J153" s="251">
        <v>403.64119999999946</v>
      </c>
      <c r="K153" s="178">
        <f>IFERROR(J153/B153,"")</f>
        <v>3.4168164441070298E-3</v>
      </c>
      <c r="L153" s="251">
        <v>2938.0159700000004</v>
      </c>
      <c r="M153" s="252">
        <f>IFERROR(L153/B153,"")</f>
        <v>2.4870259228604714E-2</v>
      </c>
    </row>
    <row r="154" spans="1:13" ht="15.75" customHeight="1">
      <c r="A154" s="255"/>
      <c r="D154" s="594"/>
      <c r="E154" s="591" t="s">
        <v>105</v>
      </c>
      <c r="F154" s="606">
        <v>5</v>
      </c>
      <c r="G154" s="607"/>
      <c r="H154" s="606">
        <v>6</v>
      </c>
      <c r="I154" s="607"/>
      <c r="J154" s="606">
        <v>7</v>
      </c>
      <c r="K154" s="607"/>
      <c r="L154" s="608">
        <v>8</v>
      </c>
      <c r="M154" s="609"/>
    </row>
    <row r="155" spans="1:13" ht="15.75" customHeight="1">
      <c r="A155" s="255"/>
      <c r="D155" s="594"/>
      <c r="E155" s="591"/>
      <c r="F155" s="610" t="s">
        <v>414</v>
      </c>
      <c r="G155" s="611"/>
      <c r="H155" s="610" t="s">
        <v>415</v>
      </c>
      <c r="I155" s="611"/>
      <c r="J155" s="610" t="s">
        <v>416</v>
      </c>
      <c r="K155" s="611"/>
      <c r="L155" s="612" t="s">
        <v>417</v>
      </c>
      <c r="M155" s="613"/>
    </row>
    <row r="156" spans="1:13" ht="15.75" customHeight="1">
      <c r="A156" s="255"/>
      <c r="D156" s="594"/>
      <c r="E156" s="591"/>
      <c r="F156" s="196" t="s">
        <v>50</v>
      </c>
      <c r="G156" s="196" t="s">
        <v>15</v>
      </c>
      <c r="H156" s="196" t="s">
        <v>50</v>
      </c>
      <c r="I156" s="196" t="s">
        <v>15</v>
      </c>
      <c r="J156" s="196" t="s">
        <v>50</v>
      </c>
      <c r="K156" s="196" t="s">
        <v>15</v>
      </c>
      <c r="L156" s="196" t="s">
        <v>50</v>
      </c>
      <c r="M156" s="248" t="s">
        <v>15</v>
      </c>
    </row>
    <row r="157" spans="1:13" ht="15.75" customHeight="1">
      <c r="A157" s="255"/>
      <c r="D157" s="594"/>
      <c r="E157" s="174" t="s">
        <v>412</v>
      </c>
      <c r="F157" s="251">
        <v>2506.0449999999996</v>
      </c>
      <c r="G157" s="178">
        <f>IFERROR(F157/B152,"")</f>
        <v>2.0599914529234192E-2</v>
      </c>
      <c r="H157" s="251">
        <v>1135.7530000000002</v>
      </c>
      <c r="I157" s="178">
        <f>IFERROR(H157/B152,"")</f>
        <v>9.3359914631705836E-3</v>
      </c>
      <c r="J157" s="251">
        <v>290.55100000000004</v>
      </c>
      <c r="K157" s="178">
        <f>IFERROR(J157/B152,"")</f>
        <v>2.3883552635262039E-3</v>
      </c>
      <c r="L157" s="251">
        <v>0</v>
      </c>
      <c r="M157" s="252">
        <f>IFERROR(L157/B152,"")</f>
        <v>0</v>
      </c>
    </row>
    <row r="158" spans="1:13" ht="15.75" customHeight="1" thickBot="1">
      <c r="A158" s="256"/>
      <c r="B158" s="257"/>
      <c r="C158" s="257"/>
      <c r="D158" s="603"/>
      <c r="E158" s="258" t="s">
        <v>413</v>
      </c>
      <c r="F158" s="259">
        <v>7689.4863200000027</v>
      </c>
      <c r="G158" s="260">
        <f>IFERROR(F158/B153,"")</f>
        <v>6.5091381417239108E-2</v>
      </c>
      <c r="H158" s="259">
        <v>5591.6998200000153</v>
      </c>
      <c r="I158" s="260">
        <f>IFERROR(H158/B153,"")</f>
        <v>4.7333651509029302E-2</v>
      </c>
      <c r="J158" s="259">
        <v>1252.1805999999999</v>
      </c>
      <c r="K158" s="260">
        <f>IFERROR(J158/B153,"")</f>
        <v>1.0599689191965073E-2</v>
      </c>
      <c r="L158" s="259">
        <v>0</v>
      </c>
      <c r="M158" s="261">
        <f>IFERROR(L158/B153,"")</f>
        <v>0</v>
      </c>
    </row>
    <row r="159" spans="1:13" ht="15.75" customHeight="1">
      <c r="A159" s="597" t="s">
        <v>431</v>
      </c>
      <c r="B159" s="598"/>
      <c r="C159" s="598"/>
      <c r="D159" s="598"/>
      <c r="E159" s="598"/>
      <c r="F159" s="598"/>
      <c r="G159" s="598"/>
      <c r="H159" s="598"/>
      <c r="I159" s="598"/>
      <c r="J159" s="598"/>
      <c r="K159" s="598"/>
      <c r="L159" s="598"/>
      <c r="M159" s="599"/>
    </row>
    <row r="160" spans="1:13" ht="15.75" customHeight="1">
      <c r="A160" s="600"/>
      <c r="B160" s="590"/>
      <c r="C160" s="590"/>
      <c r="D160" s="590"/>
      <c r="E160" s="590"/>
      <c r="F160" s="590"/>
      <c r="G160" s="590"/>
      <c r="H160" s="590"/>
      <c r="I160" s="590"/>
      <c r="J160" s="590"/>
      <c r="K160" s="590"/>
      <c r="L160" s="590"/>
      <c r="M160" s="601"/>
    </row>
    <row r="161" spans="1:13" ht="15.75" customHeight="1">
      <c r="A161" s="246" t="s">
        <v>407</v>
      </c>
      <c r="B161" s="297">
        <v>52649495</v>
      </c>
      <c r="M161" s="247"/>
    </row>
    <row r="162" spans="1:13" ht="15.75" customHeight="1">
      <c r="A162" s="602" t="s">
        <v>105</v>
      </c>
      <c r="B162" s="592" t="s">
        <v>47</v>
      </c>
      <c r="C162" s="592"/>
      <c r="D162" s="593"/>
      <c r="E162" s="591" t="s">
        <v>105</v>
      </c>
      <c r="F162" s="595">
        <v>1</v>
      </c>
      <c r="G162" s="595"/>
      <c r="H162" s="595">
        <v>2</v>
      </c>
      <c r="I162" s="595"/>
      <c r="J162" s="595">
        <v>3</v>
      </c>
      <c r="K162" s="595"/>
      <c r="L162" s="595">
        <v>4</v>
      </c>
      <c r="M162" s="604"/>
    </row>
    <row r="163" spans="1:13" ht="15.75" customHeight="1">
      <c r="A163" s="602"/>
      <c r="B163" s="592"/>
      <c r="C163" s="592"/>
      <c r="D163" s="594"/>
      <c r="E163" s="591"/>
      <c r="F163" s="587" t="s">
        <v>408</v>
      </c>
      <c r="G163" s="587"/>
      <c r="H163" s="587" t="s">
        <v>409</v>
      </c>
      <c r="I163" s="587"/>
      <c r="J163" s="587" t="s">
        <v>410</v>
      </c>
      <c r="K163" s="587"/>
      <c r="L163" s="587" t="s">
        <v>419</v>
      </c>
      <c r="M163" s="605"/>
    </row>
    <row r="164" spans="1:13" ht="15.75" customHeight="1">
      <c r="A164" s="602"/>
      <c r="B164" s="196" t="s">
        <v>50</v>
      </c>
      <c r="C164" s="196" t="s">
        <v>15</v>
      </c>
      <c r="D164" s="594"/>
      <c r="E164" s="591"/>
      <c r="F164" s="196" t="s">
        <v>50</v>
      </c>
      <c r="G164" s="196" t="s">
        <v>15</v>
      </c>
      <c r="H164" s="196" t="s">
        <v>50</v>
      </c>
      <c r="I164" s="196" t="s">
        <v>15</v>
      </c>
      <c r="J164" s="196" t="s">
        <v>50</v>
      </c>
      <c r="K164" s="196" t="s">
        <v>15</v>
      </c>
      <c r="L164" s="196" t="s">
        <v>50</v>
      </c>
      <c r="M164" s="248" t="s">
        <v>15</v>
      </c>
    </row>
    <row r="165" spans="1:13" ht="15.75" customHeight="1">
      <c r="A165" s="249" t="s">
        <v>412</v>
      </c>
      <c r="B165" s="250">
        <v>129274</v>
      </c>
      <c r="C165" s="176">
        <f>B165/B161</f>
        <v>2.4553701797139743E-3</v>
      </c>
      <c r="D165" s="594"/>
      <c r="E165" s="174" t="s">
        <v>412</v>
      </c>
      <c r="F165" s="251">
        <v>0</v>
      </c>
      <c r="G165" s="178">
        <f>IFERROR(F165/B165,"")</f>
        <v>0</v>
      </c>
      <c r="H165" s="251">
        <v>308.69000000000005</v>
      </c>
      <c r="I165" s="178">
        <f>IFERROR(H165/B165,"")</f>
        <v>2.3878738184012257E-3</v>
      </c>
      <c r="J165" s="251">
        <v>721.21400000000006</v>
      </c>
      <c r="K165" s="178">
        <f>IFERROR(J165/B165,"")</f>
        <v>5.5789563253245047E-3</v>
      </c>
      <c r="L165" s="251">
        <v>4567.991</v>
      </c>
      <c r="M165" s="252">
        <f>IFERROR(L165/B165,"")</f>
        <v>3.5335728762164086E-2</v>
      </c>
    </row>
    <row r="166" spans="1:13" ht="15.75" customHeight="1">
      <c r="A166" s="253" t="s">
        <v>413</v>
      </c>
      <c r="B166" s="254">
        <v>118981.92926777399</v>
      </c>
      <c r="C166" s="176">
        <f>B166/B161</f>
        <v>2.2598873791244149E-3</v>
      </c>
      <c r="D166" s="594"/>
      <c r="E166" s="179" t="s">
        <v>413</v>
      </c>
      <c r="F166" s="251">
        <v>0</v>
      </c>
      <c r="G166" s="178">
        <f>IFERROR(F166/B166,"")</f>
        <v>0</v>
      </c>
      <c r="H166" s="251">
        <v>0</v>
      </c>
      <c r="I166" s="178">
        <f>IFERROR(H166/B166,"")</f>
        <v>0</v>
      </c>
      <c r="J166" s="251">
        <v>638.26473999999939</v>
      </c>
      <c r="K166" s="178">
        <f>IFERROR(J166/B166,"")</f>
        <v>5.3643838516314263E-3</v>
      </c>
      <c r="L166" s="251">
        <v>4112.5036300000047</v>
      </c>
      <c r="M166" s="252">
        <f>IFERROR(L166/B166,"")</f>
        <v>3.4564102761728104E-2</v>
      </c>
    </row>
    <row r="167" spans="1:13" ht="15.75" customHeight="1">
      <c r="A167" s="255"/>
      <c r="D167" s="594"/>
      <c r="E167" s="591" t="s">
        <v>105</v>
      </c>
      <c r="F167" s="606">
        <v>5</v>
      </c>
      <c r="G167" s="607"/>
      <c r="H167" s="606">
        <v>6</v>
      </c>
      <c r="I167" s="607"/>
      <c r="J167" s="606">
        <v>7</v>
      </c>
      <c r="K167" s="607"/>
      <c r="L167" s="608">
        <v>8</v>
      </c>
      <c r="M167" s="609"/>
    </row>
    <row r="168" spans="1:13" ht="15.75" customHeight="1">
      <c r="A168" s="255"/>
      <c r="D168" s="594"/>
      <c r="E168" s="591"/>
      <c r="F168" s="610" t="s">
        <v>414</v>
      </c>
      <c r="G168" s="611"/>
      <c r="H168" s="610" t="s">
        <v>415</v>
      </c>
      <c r="I168" s="611"/>
      <c r="J168" s="610" t="s">
        <v>416</v>
      </c>
      <c r="K168" s="611"/>
      <c r="L168" s="612" t="s">
        <v>417</v>
      </c>
      <c r="M168" s="613"/>
    </row>
    <row r="169" spans="1:13" ht="15.75" customHeight="1">
      <c r="A169" s="255"/>
      <c r="D169" s="594"/>
      <c r="E169" s="591"/>
      <c r="F169" s="196" t="s">
        <v>50</v>
      </c>
      <c r="G169" s="196" t="s">
        <v>15</v>
      </c>
      <c r="H169" s="196" t="s">
        <v>50</v>
      </c>
      <c r="I169" s="196" t="s">
        <v>15</v>
      </c>
      <c r="J169" s="196" t="s">
        <v>50</v>
      </c>
      <c r="K169" s="196" t="s">
        <v>15</v>
      </c>
      <c r="L169" s="196" t="s">
        <v>50</v>
      </c>
      <c r="M169" s="248" t="s">
        <v>15</v>
      </c>
    </row>
    <row r="170" spans="1:13" ht="15.75" customHeight="1">
      <c r="A170" s="255"/>
      <c r="D170" s="594"/>
      <c r="E170" s="174" t="s">
        <v>412</v>
      </c>
      <c r="F170" s="251">
        <v>2919.8290000000006</v>
      </c>
      <c r="G170" s="178">
        <f>IFERROR(F170/B165,"")</f>
        <v>2.2586359206027511E-2</v>
      </c>
      <c r="H170" s="251">
        <v>1754.818</v>
      </c>
      <c r="I170" s="178">
        <f>IFERROR(H170/B165,"")</f>
        <v>1.3574407846898834E-2</v>
      </c>
      <c r="J170" s="251">
        <v>504.61500000000001</v>
      </c>
      <c r="K170" s="178">
        <f>IFERROR(J170/B165,"")</f>
        <v>3.9034531305598961E-3</v>
      </c>
      <c r="L170" s="251">
        <v>0</v>
      </c>
      <c r="M170" s="252">
        <f>IFERROR(L170/B165,"")</f>
        <v>0</v>
      </c>
    </row>
    <row r="171" spans="1:13" ht="15.75" customHeight="1" thickBot="1">
      <c r="A171" s="256"/>
      <c r="B171" s="257"/>
      <c r="C171" s="257"/>
      <c r="D171" s="603"/>
      <c r="E171" s="258" t="s">
        <v>413</v>
      </c>
      <c r="F171" s="259">
        <v>7286.3094799999935</v>
      </c>
      <c r="G171" s="260">
        <f>IFERROR(F171/B166,"")</f>
        <v>6.1238790838580526E-2</v>
      </c>
      <c r="H171" s="259">
        <v>3621.9585500000039</v>
      </c>
      <c r="I171" s="260">
        <f>IFERROR(H171/B166,"")</f>
        <v>3.0441249123206175E-2</v>
      </c>
      <c r="J171" s="259">
        <v>1091.537080000001</v>
      </c>
      <c r="K171" s="260">
        <f>IFERROR(J171/B166,"")</f>
        <v>9.1739736169805207E-3</v>
      </c>
      <c r="L171" s="259">
        <v>0</v>
      </c>
      <c r="M171" s="261">
        <f>IFERROR(L171/B166,"")</f>
        <v>0</v>
      </c>
    </row>
    <row r="172" spans="1:13" ht="15.75" customHeight="1">
      <c r="A172" s="597" t="s">
        <v>432</v>
      </c>
      <c r="B172" s="598"/>
      <c r="C172" s="598"/>
      <c r="D172" s="598"/>
      <c r="E172" s="598"/>
      <c r="F172" s="598"/>
      <c r="G172" s="598"/>
      <c r="H172" s="598"/>
      <c r="I172" s="598"/>
      <c r="J172" s="598"/>
      <c r="K172" s="598"/>
      <c r="L172" s="598"/>
      <c r="M172" s="599"/>
    </row>
    <row r="173" spans="1:13" ht="15.75" customHeight="1" thickBot="1">
      <c r="A173" s="600"/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601"/>
    </row>
    <row r="174" spans="1:13" ht="15.75" customHeight="1">
      <c r="A174" s="392" t="s">
        <v>407</v>
      </c>
      <c r="B174" s="393">
        <v>49899447</v>
      </c>
      <c r="C174" s="394"/>
      <c r="D174" s="395"/>
      <c r="E174" s="616" t="s">
        <v>433</v>
      </c>
      <c r="F174" s="616"/>
      <c r="G174" s="616"/>
      <c r="H174" s="616"/>
      <c r="I174" s="616"/>
      <c r="J174" s="616"/>
      <c r="K174" s="616"/>
      <c r="L174" s="616"/>
      <c r="M174" s="617"/>
    </row>
    <row r="175" spans="1:13" ht="15.75" customHeight="1">
      <c r="A175" s="602" t="s">
        <v>105</v>
      </c>
      <c r="B175" s="592" t="s">
        <v>47</v>
      </c>
      <c r="C175" s="592"/>
      <c r="D175" s="594"/>
      <c r="E175" s="591" t="s">
        <v>105</v>
      </c>
      <c r="F175" s="595">
        <v>1</v>
      </c>
      <c r="G175" s="595"/>
      <c r="H175" s="595">
        <v>2</v>
      </c>
      <c r="I175" s="595"/>
      <c r="J175" s="595">
        <v>3</v>
      </c>
      <c r="K175" s="595"/>
      <c r="L175" s="595">
        <v>4</v>
      </c>
      <c r="M175" s="604"/>
    </row>
    <row r="176" spans="1:13" ht="15.75" customHeight="1">
      <c r="A176" s="602"/>
      <c r="B176" s="592"/>
      <c r="C176" s="592"/>
      <c r="D176" s="594"/>
      <c r="E176" s="591"/>
      <c r="F176" s="587" t="s">
        <v>408</v>
      </c>
      <c r="G176" s="587"/>
      <c r="H176" s="587" t="s">
        <v>409</v>
      </c>
      <c r="I176" s="587"/>
      <c r="J176" s="587" t="s">
        <v>410</v>
      </c>
      <c r="K176" s="587"/>
      <c r="L176" s="587" t="s">
        <v>419</v>
      </c>
      <c r="M176" s="605"/>
    </row>
    <row r="177" spans="1:13" ht="15.75" customHeight="1">
      <c r="A177" s="602"/>
      <c r="B177" s="196" t="s">
        <v>50</v>
      </c>
      <c r="C177" s="196" t="s">
        <v>15</v>
      </c>
      <c r="D177" s="594"/>
      <c r="E177" s="591"/>
      <c r="F177" s="196" t="s">
        <v>50</v>
      </c>
      <c r="G177" s="196" t="s">
        <v>15</v>
      </c>
      <c r="H177" s="196" t="s">
        <v>50</v>
      </c>
      <c r="I177" s="196" t="s">
        <v>15</v>
      </c>
      <c r="J177" s="196" t="s">
        <v>50</v>
      </c>
      <c r="K177" s="196" t="s">
        <v>15</v>
      </c>
      <c r="L177" s="196" t="s">
        <v>50</v>
      </c>
      <c r="M177" s="248" t="s">
        <v>15</v>
      </c>
    </row>
    <row r="178" spans="1:13" ht="15.75" customHeight="1">
      <c r="A178" s="249" t="s">
        <v>412</v>
      </c>
      <c r="B178" s="250">
        <v>122397.80100000001</v>
      </c>
      <c r="C178" s="176">
        <f>B178/B174</f>
        <v>2.4528889268051407E-3</v>
      </c>
      <c r="D178" s="594"/>
      <c r="E178" s="174" t="s">
        <v>412</v>
      </c>
      <c r="F178" s="251">
        <f>'報廢20大－原因別分析'!AB8</f>
        <v>0</v>
      </c>
      <c r="G178" s="178">
        <f>'報廢20大－原因別分析'!AB9</f>
        <v>0</v>
      </c>
      <c r="H178" s="251">
        <f>'報廢20大－原因別分析'!AC8</f>
        <v>0</v>
      </c>
      <c r="I178" s="178">
        <f>'報廢20大－原因別分析'!AC9</f>
        <v>0</v>
      </c>
      <c r="J178" s="251">
        <f ca="1">'報廢20大－原因別分析'!AD8</f>
        <v>1561.2310000000002</v>
      </c>
      <c r="K178" s="178">
        <f>'報廢20大－原因別分析'!AD9</f>
        <v>0.1</v>
      </c>
      <c r="L178" s="251">
        <f ca="1">'報廢20大－原因別分析'!AE8</f>
        <v>8450.4590000000007</v>
      </c>
      <c r="M178" s="252">
        <f>'報廢20大－原因別分析'!AE9</f>
        <v>0.55000000000000004</v>
      </c>
    </row>
    <row r="179" spans="1:13" ht="15.75" customHeight="1">
      <c r="A179" s="253" t="s">
        <v>413</v>
      </c>
      <c r="B179" s="254">
        <v>110502.30436585688</v>
      </c>
      <c r="C179" s="176">
        <f>B179/B174</f>
        <v>2.2144995788401598E-3</v>
      </c>
      <c r="D179" s="594"/>
      <c r="E179" s="179" t="s">
        <v>413</v>
      </c>
      <c r="F179" s="251">
        <f>'超用20大－原因別分析'!AB8</f>
        <v>0</v>
      </c>
      <c r="G179" s="178">
        <f>'超用20大－原因別分析'!AB8</f>
        <v>0</v>
      </c>
      <c r="H179" s="251">
        <f>'超用20大－原因別分析'!AC8</f>
        <v>0</v>
      </c>
      <c r="I179" s="178">
        <f>'超用20大－原因別分析'!AC9</f>
        <v>0</v>
      </c>
      <c r="J179" s="251">
        <f ca="1">'超用20大－原因別分析'!AD8</f>
        <v>1469.4198399999916</v>
      </c>
      <c r="K179" s="178">
        <f ca="1">'超用20大－原因別分析'!AD9</f>
        <v>0.05</v>
      </c>
      <c r="L179" s="251">
        <f ca="1">'超用20大－原因別分析'!AE8</f>
        <v>14105.827395081944</v>
      </c>
      <c r="M179" s="252">
        <f ca="1">'超用20大－原因別分析'!AE9</f>
        <v>0.45</v>
      </c>
    </row>
    <row r="180" spans="1:13" ht="15.75" customHeight="1">
      <c r="A180" s="255"/>
      <c r="D180" s="594"/>
      <c r="E180" s="591" t="s">
        <v>105</v>
      </c>
      <c r="F180" s="606">
        <v>5</v>
      </c>
      <c r="G180" s="607"/>
      <c r="H180" s="606">
        <v>6</v>
      </c>
      <c r="I180" s="607"/>
      <c r="J180" s="606">
        <v>7</v>
      </c>
      <c r="K180" s="607"/>
      <c r="L180" s="608">
        <v>8</v>
      </c>
      <c r="M180" s="609"/>
    </row>
    <row r="181" spans="1:13" ht="15.75" customHeight="1">
      <c r="A181" s="255"/>
      <c r="D181" s="594"/>
      <c r="E181" s="591"/>
      <c r="F181" s="610" t="s">
        <v>414</v>
      </c>
      <c r="G181" s="611"/>
      <c r="H181" s="610" t="s">
        <v>415</v>
      </c>
      <c r="I181" s="611"/>
      <c r="J181" s="610" t="s">
        <v>416</v>
      </c>
      <c r="K181" s="611"/>
      <c r="L181" s="612" t="s">
        <v>417</v>
      </c>
      <c r="M181" s="613"/>
    </row>
    <row r="182" spans="1:13" ht="15.75" customHeight="1">
      <c r="A182" s="255"/>
      <c r="D182" s="594"/>
      <c r="E182" s="591"/>
      <c r="F182" s="196" t="s">
        <v>50</v>
      </c>
      <c r="G182" s="196" t="s">
        <v>15</v>
      </c>
      <c r="H182" s="196" t="s">
        <v>50</v>
      </c>
      <c r="I182" s="196" t="s">
        <v>15</v>
      </c>
      <c r="J182" s="196" t="s">
        <v>50</v>
      </c>
      <c r="K182" s="196" t="s">
        <v>15</v>
      </c>
      <c r="L182" s="196" t="s">
        <v>50</v>
      </c>
      <c r="M182" s="248" t="s">
        <v>15</v>
      </c>
    </row>
    <row r="183" spans="1:13" ht="15.75" customHeight="1">
      <c r="A183" s="255"/>
      <c r="D183" s="594"/>
      <c r="E183" s="174" t="s">
        <v>412</v>
      </c>
      <c r="F183" s="251">
        <f ca="1">'報廢20大－原因別分析'!AF8</f>
        <v>5031.1379999999999</v>
      </c>
      <c r="G183" s="178">
        <f>'報廢20大－原因別分析'!AF9</f>
        <v>0.3</v>
      </c>
      <c r="H183" s="251">
        <f ca="1">'報廢20大－原因別分析'!AG8</f>
        <v>765.08999999999992</v>
      </c>
      <c r="I183" s="178">
        <f>'報廢20大－原因別分析'!AG9</f>
        <v>0.05</v>
      </c>
      <c r="J183" s="251">
        <f ca="1">'報廢20大－原因別分析'!AH8</f>
        <v>0</v>
      </c>
      <c r="K183" s="178">
        <f>'報廢20大－原因別分析'!AH9</f>
        <v>0</v>
      </c>
      <c r="L183" s="251">
        <f ca="1">'報廢20大－原因別分析'!AI8</f>
        <v>0</v>
      </c>
      <c r="M183" s="252">
        <f>'報廢20大－原因別分析'!AI9</f>
        <v>0</v>
      </c>
    </row>
    <row r="184" spans="1:13" ht="15.75" customHeight="1" thickBot="1">
      <c r="A184" s="256"/>
      <c r="B184" s="257"/>
      <c r="C184" s="257"/>
      <c r="D184" s="603"/>
      <c r="E184" s="258" t="s">
        <v>413</v>
      </c>
      <c r="F184" s="259">
        <f ca="1">'超用20大－原因別分析'!AF8</f>
        <v>13582.200909999989</v>
      </c>
      <c r="G184" s="260">
        <f ca="1">'超用20大－原因別分析'!AF9</f>
        <v>0.3</v>
      </c>
      <c r="H184" s="259">
        <f ca="1">'超用20大－原因別分析'!AG8</f>
        <v>6241.1418200000462</v>
      </c>
      <c r="I184" s="260">
        <f ca="1">'超用20大－原因別分析'!AG9</f>
        <v>0.15</v>
      </c>
      <c r="J184" s="259">
        <f ca="1">'超用20大－原因別分析'!AH8</f>
        <v>1468.1520000000035</v>
      </c>
      <c r="K184" s="260">
        <f ca="1">'超用20大－原因別分析'!AH9</f>
        <v>0.05</v>
      </c>
      <c r="L184" s="259">
        <f ca="1">'超用20大－原因別分析'!AI8</f>
        <v>0</v>
      </c>
      <c r="M184" s="261">
        <f ca="1">'超用20大－原因別分析'!AI9</f>
        <v>0</v>
      </c>
    </row>
  </sheetData>
  <mergeCells count="310"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E174:M174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topLeftCell="A10" zoomScale="115" zoomScaleNormal="60" zoomScaleSheetLayoutView="115" workbookViewId="0">
      <selection activeCell="K22" sqref="K22"/>
    </sheetView>
  </sheetViews>
  <sheetFormatPr defaultColWidth="12.5703125" defaultRowHeight="15.75" customHeight="1"/>
  <cols>
    <col min="1" max="1" width="5.42578125" style="115" customWidth="1"/>
    <col min="2" max="2" width="11.42578125" style="163" customWidth="1"/>
    <col min="3" max="3" width="4" style="149" customWidth="1"/>
    <col min="4" max="17" width="9.5703125" style="115" customWidth="1"/>
    <col min="18" max="16384" width="12.5703125" style="115"/>
  </cols>
  <sheetData>
    <row r="1" spans="1:17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7" ht="15.75" customHeight="1">
      <c r="A3" s="521" t="s">
        <v>434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7" s="116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7" ht="15.75" customHeight="1">
      <c r="A5" s="442" t="s">
        <v>435</v>
      </c>
      <c r="B5" s="647">
        <v>1</v>
      </c>
      <c r="C5" s="647"/>
      <c r="D5" s="647">
        <v>2</v>
      </c>
      <c r="E5" s="647"/>
      <c r="F5" s="647">
        <v>3</v>
      </c>
      <c r="G5" s="647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32">
        <v>8</v>
      </c>
      <c r="Q5" s="532"/>
    </row>
    <row r="6" spans="1:17" ht="15.75" customHeight="1">
      <c r="A6" s="442"/>
      <c r="B6" s="648" t="s">
        <v>408</v>
      </c>
      <c r="C6" s="648"/>
      <c r="D6" s="648" t="s">
        <v>436</v>
      </c>
      <c r="E6" s="648"/>
      <c r="F6" s="648" t="s">
        <v>410</v>
      </c>
      <c r="G6" s="648"/>
      <c r="H6" s="442" t="s">
        <v>419</v>
      </c>
      <c r="I6" s="442"/>
      <c r="J6" s="442" t="s">
        <v>414</v>
      </c>
      <c r="K6" s="442"/>
      <c r="L6" s="442" t="s">
        <v>415</v>
      </c>
      <c r="M6" s="442"/>
      <c r="N6" s="442" t="s">
        <v>416</v>
      </c>
      <c r="O6" s="442"/>
      <c r="P6" s="646" t="s">
        <v>437</v>
      </c>
      <c r="Q6" s="442"/>
    </row>
    <row r="8" spans="1:17" s="122" customFormat="1" ht="15.75" customHeight="1">
      <c r="A8" s="637" t="s">
        <v>435</v>
      </c>
      <c r="B8" s="638"/>
      <c r="C8" s="382" t="s">
        <v>52</v>
      </c>
      <c r="D8" s="639" t="s">
        <v>53</v>
      </c>
      <c r="E8" s="640"/>
      <c r="F8" s="641"/>
      <c r="G8" s="380" t="s">
        <v>62</v>
      </c>
      <c r="H8" s="381"/>
      <c r="I8" s="382"/>
      <c r="J8" s="158" t="s">
        <v>63</v>
      </c>
      <c r="K8" s="158" t="s">
        <v>27</v>
      </c>
      <c r="L8" s="158" t="s">
        <v>64</v>
      </c>
      <c r="M8" s="158" t="s">
        <v>50</v>
      </c>
      <c r="N8" s="305" t="s">
        <v>438</v>
      </c>
      <c r="O8" s="642" t="s">
        <v>58</v>
      </c>
      <c r="P8" s="643"/>
    </row>
    <row r="9" spans="1:17" ht="15.75" customHeight="1">
      <c r="A9" s="567">
        <v>1</v>
      </c>
      <c r="B9" s="624" t="s">
        <v>439</v>
      </c>
      <c r="C9" s="159">
        <v>1</v>
      </c>
      <c r="D9" s="397">
        <v>0</v>
      </c>
      <c r="E9" s="627"/>
      <c r="F9" s="628"/>
      <c r="G9" s="397">
        <v>0</v>
      </c>
      <c r="H9" s="627"/>
      <c r="I9" s="628"/>
      <c r="J9" s="4">
        <v>0</v>
      </c>
      <c r="K9" s="14">
        <v>0</v>
      </c>
      <c r="L9" s="4">
        <v>0</v>
      </c>
      <c r="M9" s="16">
        <v>0</v>
      </c>
      <c r="N9" s="160"/>
      <c r="O9" s="635"/>
      <c r="P9" s="636"/>
    </row>
    <row r="10" spans="1:17" ht="15.75" customHeight="1">
      <c r="A10" s="574"/>
      <c r="B10" s="625"/>
      <c r="C10" s="159">
        <v>2</v>
      </c>
      <c r="D10" s="397">
        <v>0</v>
      </c>
      <c r="E10" s="627"/>
      <c r="F10" s="628"/>
      <c r="G10" s="397">
        <v>0</v>
      </c>
      <c r="H10" s="627"/>
      <c r="I10" s="628"/>
      <c r="J10" s="4">
        <v>0</v>
      </c>
      <c r="K10" s="14">
        <v>0</v>
      </c>
      <c r="L10" s="4">
        <v>0</v>
      </c>
      <c r="M10" s="16">
        <v>0</v>
      </c>
      <c r="N10" s="160"/>
      <c r="O10" s="635"/>
      <c r="P10" s="636"/>
    </row>
    <row r="11" spans="1:17" ht="15.75" customHeight="1">
      <c r="A11" s="574"/>
      <c r="B11" s="625"/>
      <c r="C11" s="159">
        <v>3</v>
      </c>
      <c r="D11" s="397">
        <v>0</v>
      </c>
      <c r="E11" s="627"/>
      <c r="F11" s="628"/>
      <c r="G11" s="397">
        <v>0</v>
      </c>
      <c r="H11" s="627"/>
      <c r="I11" s="628"/>
      <c r="J11" s="4">
        <v>0</v>
      </c>
      <c r="K11" s="14">
        <v>0</v>
      </c>
      <c r="L11" s="4">
        <v>0</v>
      </c>
      <c r="M11" s="16">
        <v>0</v>
      </c>
      <c r="N11" s="160"/>
      <c r="O11" s="635"/>
      <c r="P11" s="636"/>
    </row>
    <row r="12" spans="1:17" ht="15.75" customHeight="1">
      <c r="A12" s="574"/>
      <c r="B12" s="625"/>
      <c r="C12" s="159">
        <v>4</v>
      </c>
      <c r="D12" s="397">
        <v>0</v>
      </c>
      <c r="E12" s="627"/>
      <c r="F12" s="628"/>
      <c r="G12" s="397">
        <v>0</v>
      </c>
      <c r="H12" s="627"/>
      <c r="I12" s="628"/>
      <c r="J12" s="4">
        <v>0</v>
      </c>
      <c r="K12" s="14">
        <v>0</v>
      </c>
      <c r="L12" s="4">
        <v>0</v>
      </c>
      <c r="M12" s="16">
        <v>0</v>
      </c>
      <c r="N12" s="160"/>
      <c r="O12" s="635"/>
      <c r="P12" s="636"/>
    </row>
    <row r="13" spans="1:17" ht="15.75" customHeight="1" thickBot="1">
      <c r="A13" s="574"/>
      <c r="B13" s="625"/>
      <c r="C13" s="161">
        <v>5</v>
      </c>
      <c r="D13" s="632">
        <v>0</v>
      </c>
      <c r="E13" s="633"/>
      <c r="F13" s="634"/>
      <c r="G13" s="632">
        <v>0</v>
      </c>
      <c r="H13" s="633"/>
      <c r="I13" s="634"/>
      <c r="J13" s="4">
        <v>0</v>
      </c>
      <c r="K13" s="14">
        <v>0</v>
      </c>
      <c r="L13" s="4">
        <v>0</v>
      </c>
      <c r="M13" s="16">
        <v>0</v>
      </c>
      <c r="N13" s="162"/>
      <c r="O13" s="644"/>
      <c r="P13" s="645"/>
    </row>
    <row r="14" spans="1:17" ht="15.75" customHeight="1" thickTop="1" thickBot="1">
      <c r="A14" s="568"/>
      <c r="B14" s="626"/>
      <c r="C14" s="618"/>
      <c r="D14" s="619"/>
      <c r="E14" s="619"/>
      <c r="F14" s="619"/>
      <c r="G14" s="619"/>
      <c r="H14" s="619"/>
      <c r="I14" s="620"/>
      <c r="J14" s="303" t="s">
        <v>73</v>
      </c>
      <c r="K14" s="228">
        <v>0</v>
      </c>
      <c r="L14" s="303" t="s">
        <v>74</v>
      </c>
      <c r="M14" s="230">
        <v>0</v>
      </c>
      <c r="N14" s="621"/>
      <c r="O14" s="622"/>
      <c r="P14" s="623"/>
    </row>
    <row r="15" spans="1:17" ht="15.75" customHeight="1" thickTop="1"/>
    <row r="16" spans="1:17" ht="15.75" customHeight="1">
      <c r="A16" s="637" t="s">
        <v>435</v>
      </c>
      <c r="B16" s="638"/>
      <c r="C16" s="382" t="s">
        <v>52</v>
      </c>
      <c r="D16" s="639" t="s">
        <v>53</v>
      </c>
      <c r="E16" s="640"/>
      <c r="F16" s="641"/>
      <c r="G16" s="380" t="s">
        <v>62</v>
      </c>
      <c r="H16" s="381"/>
      <c r="I16" s="382"/>
      <c r="J16" s="158" t="s">
        <v>63</v>
      </c>
      <c r="K16" s="158" t="s">
        <v>27</v>
      </c>
      <c r="L16" s="158" t="s">
        <v>64</v>
      </c>
      <c r="M16" s="158" t="s">
        <v>50</v>
      </c>
      <c r="N16" s="305" t="s">
        <v>438</v>
      </c>
      <c r="O16" s="642" t="s">
        <v>58</v>
      </c>
      <c r="P16" s="643"/>
    </row>
    <row r="17" spans="1:16" ht="15.75" customHeight="1">
      <c r="A17" s="567">
        <v>2</v>
      </c>
      <c r="B17" s="624" t="s">
        <v>440</v>
      </c>
      <c r="C17" s="159">
        <v>1</v>
      </c>
      <c r="D17" s="397" t="s">
        <v>332</v>
      </c>
      <c r="E17" s="627"/>
      <c r="F17" s="628"/>
      <c r="G17" s="397" t="s">
        <v>441</v>
      </c>
      <c r="H17" s="627"/>
      <c r="I17" s="628"/>
      <c r="J17" s="306">
        <v>394.38</v>
      </c>
      <c r="K17" s="14">
        <v>4.7961630695443645E-2</v>
      </c>
      <c r="L17" s="4">
        <v>0.4</v>
      </c>
      <c r="M17" s="288">
        <v>157.75200000000001</v>
      </c>
      <c r="N17" s="160"/>
      <c r="O17" s="635" t="s">
        <v>442</v>
      </c>
      <c r="P17" s="636"/>
    </row>
    <row r="18" spans="1:16" ht="15.75" customHeight="1">
      <c r="A18" s="574"/>
      <c r="B18" s="625"/>
      <c r="C18" s="159">
        <v>2</v>
      </c>
      <c r="D18" s="397" t="s">
        <v>241</v>
      </c>
      <c r="E18" s="627"/>
      <c r="F18" s="628"/>
      <c r="G18" s="397" t="s">
        <v>443</v>
      </c>
      <c r="H18" s="627"/>
      <c r="I18" s="628"/>
      <c r="J18" s="306">
        <v>410.47</v>
      </c>
      <c r="K18" s="14">
        <v>6.7598017124831003E-2</v>
      </c>
      <c r="L18" s="4">
        <v>0.3</v>
      </c>
      <c r="M18" s="288">
        <v>123.14100000000001</v>
      </c>
      <c r="N18" s="160"/>
      <c r="O18" s="635" t="s">
        <v>442</v>
      </c>
      <c r="P18" s="636"/>
    </row>
    <row r="19" spans="1:16" ht="15.75" customHeight="1">
      <c r="A19" s="574"/>
      <c r="B19" s="625"/>
      <c r="C19" s="159">
        <v>3</v>
      </c>
      <c r="D19" s="397">
        <v>0</v>
      </c>
      <c r="E19" s="627"/>
      <c r="F19" s="628"/>
      <c r="G19" s="397">
        <v>0</v>
      </c>
      <c r="H19" s="627"/>
      <c r="I19" s="628"/>
      <c r="J19" s="306">
        <v>0</v>
      </c>
      <c r="K19" s="14">
        <v>0</v>
      </c>
      <c r="L19" s="4">
        <v>0</v>
      </c>
      <c r="M19" s="288">
        <v>0</v>
      </c>
      <c r="N19" s="160"/>
      <c r="O19" s="635"/>
      <c r="P19" s="636"/>
    </row>
    <row r="20" spans="1:16" ht="15.75" customHeight="1">
      <c r="A20" s="574"/>
      <c r="B20" s="625"/>
      <c r="C20" s="159">
        <v>4</v>
      </c>
      <c r="D20" s="397">
        <v>0</v>
      </c>
      <c r="E20" s="627"/>
      <c r="F20" s="628"/>
      <c r="G20" s="397">
        <v>0</v>
      </c>
      <c r="H20" s="627"/>
      <c r="I20" s="628"/>
      <c r="J20" s="306">
        <v>0</v>
      </c>
      <c r="K20" s="14">
        <v>0</v>
      </c>
      <c r="L20" s="4">
        <v>0</v>
      </c>
      <c r="M20" s="288">
        <v>0</v>
      </c>
      <c r="N20" s="160"/>
      <c r="O20" s="635"/>
      <c r="P20" s="636"/>
    </row>
    <row r="21" spans="1:16" ht="15.75" customHeight="1" thickBot="1">
      <c r="A21" s="574"/>
      <c r="B21" s="625"/>
      <c r="C21" s="161">
        <v>5</v>
      </c>
      <c r="D21" s="397">
        <v>0</v>
      </c>
      <c r="E21" s="627"/>
      <c r="F21" s="628"/>
      <c r="G21" s="397">
        <v>0</v>
      </c>
      <c r="H21" s="627"/>
      <c r="I21" s="628"/>
      <c r="J21" s="306">
        <v>0</v>
      </c>
      <c r="K21" s="14">
        <v>0</v>
      </c>
      <c r="L21" s="4">
        <v>0</v>
      </c>
      <c r="M21" s="288">
        <v>0</v>
      </c>
      <c r="N21" s="162"/>
      <c r="O21" s="644"/>
      <c r="P21" s="645"/>
    </row>
    <row r="22" spans="1:16" ht="15.75" customHeight="1" thickTop="1" thickBot="1">
      <c r="A22" s="568"/>
      <c r="B22" s="626"/>
      <c r="C22" s="629"/>
      <c r="D22" s="630"/>
      <c r="E22" s="630"/>
      <c r="F22" s="630"/>
      <c r="G22" s="630"/>
      <c r="H22" s="630"/>
      <c r="I22" s="631"/>
      <c r="J22" s="303" t="s">
        <v>73</v>
      </c>
      <c r="K22" s="228">
        <v>2.220708683827715E-3</v>
      </c>
      <c r="L22" s="303" t="s">
        <v>74</v>
      </c>
      <c r="M22" s="230">
        <v>280.89300000000003</v>
      </c>
      <c r="N22" s="621"/>
      <c r="O22" s="622"/>
      <c r="P22" s="623"/>
    </row>
    <row r="23" spans="1:16" ht="15.75" customHeight="1" thickTop="1"/>
    <row r="24" spans="1:16" ht="15.75" customHeight="1">
      <c r="A24" s="637" t="s">
        <v>435</v>
      </c>
      <c r="B24" s="638"/>
      <c r="C24" s="382" t="s">
        <v>52</v>
      </c>
      <c r="D24" s="639" t="s">
        <v>53</v>
      </c>
      <c r="E24" s="640"/>
      <c r="F24" s="641"/>
      <c r="G24" s="380" t="s">
        <v>62</v>
      </c>
      <c r="H24" s="381"/>
      <c r="I24" s="382"/>
      <c r="J24" s="158" t="s">
        <v>63</v>
      </c>
      <c r="K24" s="158" t="s">
        <v>27</v>
      </c>
      <c r="L24" s="158" t="s">
        <v>64</v>
      </c>
      <c r="M24" s="158" t="s">
        <v>50</v>
      </c>
      <c r="N24" s="305" t="s">
        <v>438</v>
      </c>
      <c r="O24" s="642" t="s">
        <v>58</v>
      </c>
      <c r="P24" s="643"/>
    </row>
    <row r="25" spans="1:16" ht="15.75" customHeight="1">
      <c r="A25" s="567">
        <v>3</v>
      </c>
      <c r="B25" s="624" t="s">
        <v>444</v>
      </c>
      <c r="C25" s="159">
        <v>1</v>
      </c>
      <c r="D25" s="397" t="s">
        <v>331</v>
      </c>
      <c r="E25" s="627"/>
      <c r="F25" s="628"/>
      <c r="G25" s="397" t="s">
        <v>445</v>
      </c>
      <c r="H25" s="627"/>
      <c r="I25" s="628"/>
      <c r="J25" s="306">
        <v>127.48</v>
      </c>
      <c r="K25" s="14">
        <v>8.5009229573496554E-3</v>
      </c>
      <c r="L25" s="4">
        <v>1.4</v>
      </c>
      <c r="M25" s="288">
        <v>178.47200000000001</v>
      </c>
      <c r="N25" s="160"/>
      <c r="O25" s="635" t="s">
        <v>446</v>
      </c>
      <c r="P25" s="636"/>
    </row>
    <row r="26" spans="1:16" ht="15.75" customHeight="1">
      <c r="A26" s="574"/>
      <c r="B26" s="625"/>
      <c r="C26" s="159">
        <v>2</v>
      </c>
      <c r="D26" s="397" t="s">
        <v>281</v>
      </c>
      <c r="E26" s="627"/>
      <c r="F26" s="628"/>
      <c r="G26" s="397" t="s">
        <v>447</v>
      </c>
      <c r="H26" s="627"/>
      <c r="I26" s="628"/>
      <c r="J26" s="306">
        <v>846.44</v>
      </c>
      <c r="K26" s="14">
        <v>3.3118065904951158E-2</v>
      </c>
      <c r="L26" s="4">
        <v>0.2</v>
      </c>
      <c r="M26" s="288">
        <v>169.28800000000001</v>
      </c>
      <c r="N26" s="160"/>
      <c r="O26" s="635" t="s">
        <v>446</v>
      </c>
      <c r="P26" s="636"/>
    </row>
    <row r="27" spans="1:16" ht="15.75" customHeight="1">
      <c r="A27" s="574"/>
      <c r="B27" s="625"/>
      <c r="C27" s="159">
        <v>3</v>
      </c>
      <c r="D27" s="397" t="s">
        <v>293</v>
      </c>
      <c r="E27" s="627"/>
      <c r="F27" s="628"/>
      <c r="G27" s="397" t="s">
        <v>448</v>
      </c>
      <c r="H27" s="627"/>
      <c r="I27" s="628"/>
      <c r="J27" s="306">
        <v>418.41</v>
      </c>
      <c r="K27" s="14">
        <v>2.2980581408709642E-2</v>
      </c>
      <c r="L27" s="4">
        <v>0.4</v>
      </c>
      <c r="M27" s="288">
        <v>167.36400000000003</v>
      </c>
      <c r="N27" s="160"/>
      <c r="O27" s="635" t="s">
        <v>446</v>
      </c>
      <c r="P27" s="636"/>
    </row>
    <row r="28" spans="1:16" ht="15.75" customHeight="1">
      <c r="A28" s="574"/>
      <c r="B28" s="625"/>
      <c r="C28" s="159">
        <v>4</v>
      </c>
      <c r="D28" s="397" t="s">
        <v>293</v>
      </c>
      <c r="E28" s="627"/>
      <c r="F28" s="628"/>
      <c r="G28" s="397" t="s">
        <v>449</v>
      </c>
      <c r="H28" s="627"/>
      <c r="I28" s="628"/>
      <c r="J28" s="306">
        <v>354.37</v>
      </c>
      <c r="K28" s="14">
        <v>2.1055956203611097E-2</v>
      </c>
      <c r="L28" s="4">
        <v>0.4</v>
      </c>
      <c r="M28" s="288">
        <v>141.74800000000002</v>
      </c>
      <c r="N28" s="160"/>
      <c r="O28" s="635" t="s">
        <v>446</v>
      </c>
      <c r="P28" s="636"/>
    </row>
    <row r="29" spans="1:16" ht="15.75" customHeight="1" thickBot="1">
      <c r="A29" s="574"/>
      <c r="B29" s="625"/>
      <c r="C29" s="161">
        <v>5</v>
      </c>
      <c r="D29" s="632" t="s">
        <v>232</v>
      </c>
      <c r="E29" s="633"/>
      <c r="F29" s="634"/>
      <c r="G29" s="632" t="s">
        <v>450</v>
      </c>
      <c r="H29" s="633"/>
      <c r="I29" s="634"/>
      <c r="J29" s="306">
        <v>199.98</v>
      </c>
      <c r="K29" s="14">
        <v>2.8973509933774837E-2</v>
      </c>
      <c r="L29" s="4">
        <v>0.70000000000000007</v>
      </c>
      <c r="M29" s="288">
        <v>139.98600000000002</v>
      </c>
      <c r="N29" s="162"/>
      <c r="O29" s="635" t="s">
        <v>451</v>
      </c>
      <c r="P29" s="636"/>
    </row>
    <row r="30" spans="1:16" ht="15.75" customHeight="1" thickTop="1" thickBot="1">
      <c r="A30" s="568"/>
      <c r="B30" s="626"/>
      <c r="C30" s="618"/>
      <c r="D30" s="619"/>
      <c r="E30" s="619"/>
      <c r="F30" s="619"/>
      <c r="G30" s="619"/>
      <c r="H30" s="619"/>
      <c r="I30" s="620"/>
      <c r="J30" s="303" t="s">
        <v>73</v>
      </c>
      <c r="K30" s="228">
        <v>6.2998703434317882E-3</v>
      </c>
      <c r="L30" s="303" t="s">
        <v>74</v>
      </c>
      <c r="M30" s="230">
        <v>796.85800000000006</v>
      </c>
      <c r="N30" s="621"/>
      <c r="O30" s="622"/>
      <c r="P30" s="623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T20" sqref="T20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7" s="115" customFormat="1" ht="15.75" customHeight="1">
      <c r="A3" s="521" t="s">
        <v>434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7" s="116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7" s="115" customFormat="1" ht="15.75" customHeight="1">
      <c r="A5" s="442" t="s">
        <v>435</v>
      </c>
      <c r="B5" s="532">
        <v>1</v>
      </c>
      <c r="C5" s="532"/>
      <c r="D5" s="532">
        <v>2</v>
      </c>
      <c r="E5" s="532"/>
      <c r="F5" s="532">
        <v>3</v>
      </c>
      <c r="G5" s="532"/>
      <c r="H5" s="647">
        <v>4</v>
      </c>
      <c r="I5" s="647"/>
      <c r="J5" s="647">
        <v>5</v>
      </c>
      <c r="K5" s="647"/>
      <c r="L5" s="647">
        <v>6</v>
      </c>
      <c r="M5" s="647"/>
      <c r="N5" s="647">
        <v>7</v>
      </c>
      <c r="O5" s="647"/>
      <c r="P5" s="532">
        <v>8</v>
      </c>
      <c r="Q5" s="532"/>
    </row>
    <row r="6" spans="1:17" s="115" customFormat="1" ht="15.75" customHeight="1">
      <c r="A6" s="442"/>
      <c r="B6" s="442" t="s">
        <v>408</v>
      </c>
      <c r="C6" s="442"/>
      <c r="D6" s="442" t="s">
        <v>436</v>
      </c>
      <c r="E6" s="442"/>
      <c r="F6" s="442" t="s">
        <v>410</v>
      </c>
      <c r="G6" s="442"/>
      <c r="H6" s="648" t="s">
        <v>419</v>
      </c>
      <c r="I6" s="648"/>
      <c r="J6" s="648" t="s">
        <v>414</v>
      </c>
      <c r="K6" s="648"/>
      <c r="L6" s="648" t="s">
        <v>415</v>
      </c>
      <c r="M6" s="648"/>
      <c r="N6" s="648" t="s">
        <v>416</v>
      </c>
      <c r="O6" s="648"/>
      <c r="P6" s="646" t="s">
        <v>437</v>
      </c>
      <c r="Q6" s="442"/>
    </row>
    <row r="7" spans="1:17" s="115" customFormat="1" ht="15.75" customHeight="1">
      <c r="B7" s="163"/>
      <c r="C7" s="149"/>
    </row>
    <row r="8" spans="1:17" s="105" customFormat="1" ht="15.75" customHeight="1">
      <c r="A8" s="649" t="s">
        <v>435</v>
      </c>
      <c r="B8" s="650"/>
      <c r="C8" s="112" t="s">
        <v>52</v>
      </c>
      <c r="D8" s="651" t="s">
        <v>53</v>
      </c>
      <c r="E8" s="652"/>
      <c r="F8" s="653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305" t="s">
        <v>438</v>
      </c>
      <c r="O8" s="654" t="s">
        <v>58</v>
      </c>
      <c r="P8" s="655"/>
    </row>
    <row r="9" spans="1:17" ht="15.75" customHeight="1">
      <c r="A9" s="650">
        <v>4</v>
      </c>
      <c r="B9" s="657" t="s">
        <v>419</v>
      </c>
      <c r="C9" s="107">
        <v>1</v>
      </c>
      <c r="D9" s="397" t="s">
        <v>277</v>
      </c>
      <c r="E9" s="627"/>
      <c r="F9" s="628"/>
      <c r="G9" s="397" t="s">
        <v>452</v>
      </c>
      <c r="H9" s="627"/>
      <c r="I9" s="628"/>
      <c r="J9" s="306">
        <v>432.07</v>
      </c>
      <c r="K9" s="14">
        <v>6.558452205279554E-3</v>
      </c>
      <c r="L9" s="4">
        <v>0.4</v>
      </c>
      <c r="M9" s="288">
        <v>172.828</v>
      </c>
      <c r="N9" s="4"/>
      <c r="O9" s="635" t="s">
        <v>453</v>
      </c>
      <c r="P9" s="663"/>
    </row>
    <row r="10" spans="1:17" ht="15.75" customHeight="1">
      <c r="A10" s="650"/>
      <c r="B10" s="657"/>
      <c r="C10" s="107">
        <v>2</v>
      </c>
      <c r="D10" s="397" t="s">
        <v>331</v>
      </c>
      <c r="E10" s="627"/>
      <c r="F10" s="628"/>
      <c r="G10" s="397" t="s">
        <v>445</v>
      </c>
      <c r="H10" s="627"/>
      <c r="I10" s="628"/>
      <c r="J10" s="306">
        <v>127.48</v>
      </c>
      <c r="K10" s="14">
        <v>9.0125690674764114E-3</v>
      </c>
      <c r="L10" s="4">
        <v>1.3</v>
      </c>
      <c r="M10" s="288">
        <v>165.72400000000002</v>
      </c>
      <c r="N10" s="4"/>
      <c r="O10" s="635" t="s">
        <v>453</v>
      </c>
      <c r="P10" s="663"/>
    </row>
    <row r="11" spans="1:17" ht="15.75" customHeight="1">
      <c r="A11" s="650"/>
      <c r="B11" s="657"/>
      <c r="C11" s="107">
        <v>3</v>
      </c>
      <c r="D11" s="397" t="s">
        <v>289</v>
      </c>
      <c r="E11" s="627"/>
      <c r="F11" s="628"/>
      <c r="G11" s="397" t="s">
        <v>454</v>
      </c>
      <c r="H11" s="627"/>
      <c r="I11" s="628"/>
      <c r="J11" s="306">
        <v>78.73</v>
      </c>
      <c r="K11" s="14">
        <v>5.1345245430273155E-3</v>
      </c>
      <c r="L11" s="4">
        <v>2</v>
      </c>
      <c r="M11" s="288">
        <v>157.46</v>
      </c>
      <c r="N11" s="4"/>
      <c r="O11" s="635" t="s">
        <v>453</v>
      </c>
      <c r="P11" s="663"/>
    </row>
    <row r="12" spans="1:17" ht="15.75" customHeight="1">
      <c r="A12" s="650"/>
      <c r="B12" s="657"/>
      <c r="C12" s="107">
        <v>4</v>
      </c>
      <c r="D12" s="397" t="s">
        <v>455</v>
      </c>
      <c r="E12" s="627"/>
      <c r="F12" s="628"/>
      <c r="G12" s="397" t="s">
        <v>456</v>
      </c>
      <c r="H12" s="627"/>
      <c r="I12" s="628"/>
      <c r="J12" s="306">
        <v>111.17</v>
      </c>
      <c r="K12" s="14">
        <v>4.0562662069564964E-3</v>
      </c>
      <c r="L12" s="4">
        <v>1.4</v>
      </c>
      <c r="M12" s="288">
        <v>155.63800000000001</v>
      </c>
      <c r="N12" s="4"/>
      <c r="O12" s="635" t="s">
        <v>453</v>
      </c>
      <c r="P12" s="663"/>
    </row>
    <row r="13" spans="1:17" ht="15.75" customHeight="1" thickBot="1">
      <c r="A13" s="650"/>
      <c r="B13" s="657"/>
      <c r="C13" s="108">
        <v>5</v>
      </c>
      <c r="D13" s="397" t="s">
        <v>305</v>
      </c>
      <c r="E13" s="627"/>
      <c r="F13" s="628"/>
      <c r="G13" s="397" t="s">
        <v>457</v>
      </c>
      <c r="H13" s="627"/>
      <c r="I13" s="628"/>
      <c r="J13" s="306">
        <v>118.83</v>
      </c>
      <c r="K13" s="14">
        <v>2.3240431199385025E-2</v>
      </c>
      <c r="L13" s="4">
        <v>1.3</v>
      </c>
      <c r="M13" s="288">
        <v>154.47900000000001</v>
      </c>
      <c r="N13" s="27"/>
      <c r="O13" s="635" t="s">
        <v>453</v>
      </c>
      <c r="P13" s="663"/>
    </row>
    <row r="14" spans="1:17" ht="15.75" customHeight="1" thickTop="1" thickBot="1">
      <c r="A14" s="650"/>
      <c r="B14" s="657"/>
      <c r="C14" s="665"/>
      <c r="D14" s="665"/>
      <c r="E14" s="665"/>
      <c r="F14" s="665"/>
      <c r="G14" s="665"/>
      <c r="H14" s="665"/>
      <c r="I14" s="665"/>
      <c r="J14" s="229" t="s">
        <v>73</v>
      </c>
      <c r="K14" s="228">
        <v>6.3731658339130992E-3</v>
      </c>
      <c r="L14" s="229" t="s">
        <v>74</v>
      </c>
      <c r="M14" s="230">
        <v>806.12900000000013</v>
      </c>
      <c r="N14" s="664"/>
      <c r="O14" s="664"/>
      <c r="P14" s="664"/>
    </row>
    <row r="15" spans="1:17" ht="15.75" customHeight="1" thickTop="1"/>
    <row r="16" spans="1:17" ht="15.75" customHeight="1">
      <c r="A16" s="649" t="s">
        <v>435</v>
      </c>
      <c r="B16" s="650"/>
      <c r="C16" s="112" t="s">
        <v>52</v>
      </c>
      <c r="D16" s="651" t="s">
        <v>53</v>
      </c>
      <c r="E16" s="652"/>
      <c r="F16" s="653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305" t="s">
        <v>438</v>
      </c>
      <c r="O16" s="654" t="s">
        <v>58</v>
      </c>
      <c r="P16" s="655"/>
    </row>
    <row r="17" spans="1:16" ht="15.75" customHeight="1">
      <c r="A17" s="650">
        <v>5</v>
      </c>
      <c r="B17" s="656" t="s">
        <v>458</v>
      </c>
      <c r="C17" s="107">
        <v>1</v>
      </c>
      <c r="D17" s="397" t="s">
        <v>297</v>
      </c>
      <c r="E17" s="627"/>
      <c r="F17" s="628"/>
      <c r="G17" s="397" t="s">
        <v>459</v>
      </c>
      <c r="H17" s="627"/>
      <c r="I17" s="628"/>
      <c r="J17" s="306">
        <v>300.93</v>
      </c>
      <c r="K17" s="14">
        <v>1.6759776536312852E-2</v>
      </c>
      <c r="L17" s="4">
        <v>0.60000000000000009</v>
      </c>
      <c r="M17" s="288">
        <v>180.55800000000002</v>
      </c>
      <c r="N17" s="4"/>
      <c r="O17" s="635" t="s">
        <v>460</v>
      </c>
      <c r="P17" s="663"/>
    </row>
    <row r="18" spans="1:16" ht="15.75" customHeight="1">
      <c r="A18" s="650"/>
      <c r="B18" s="657"/>
      <c r="C18" s="107">
        <v>2</v>
      </c>
      <c r="D18" s="397" t="s">
        <v>314</v>
      </c>
      <c r="E18" s="627"/>
      <c r="F18" s="628"/>
      <c r="G18" s="397" t="s">
        <v>461</v>
      </c>
      <c r="H18" s="627"/>
      <c r="I18" s="628"/>
      <c r="J18" s="306">
        <v>290.60000000000002</v>
      </c>
      <c r="K18" s="14">
        <v>1.0139245640124375E-2</v>
      </c>
      <c r="L18" s="4">
        <v>0.60000000000000009</v>
      </c>
      <c r="M18" s="288">
        <v>174.36000000000004</v>
      </c>
      <c r="N18" s="4"/>
      <c r="O18" s="635" t="s">
        <v>462</v>
      </c>
      <c r="P18" s="636"/>
    </row>
    <row r="19" spans="1:16" ht="15.75" customHeight="1">
      <c r="A19" s="650"/>
      <c r="B19" s="657"/>
      <c r="C19" s="107">
        <v>3</v>
      </c>
      <c r="D19" s="397" t="s">
        <v>277</v>
      </c>
      <c r="E19" s="627"/>
      <c r="F19" s="628"/>
      <c r="G19" s="397" t="s">
        <v>452</v>
      </c>
      <c r="H19" s="627"/>
      <c r="I19" s="628"/>
      <c r="J19" s="306">
        <v>432.07</v>
      </c>
      <c r="K19" s="14">
        <v>6.2073246430788334E-3</v>
      </c>
      <c r="L19" s="4">
        <v>0.4</v>
      </c>
      <c r="M19" s="288">
        <v>172.828</v>
      </c>
      <c r="N19" s="4"/>
      <c r="O19" s="635" t="s">
        <v>462</v>
      </c>
      <c r="P19" s="636"/>
    </row>
    <row r="20" spans="1:16" ht="15.75" customHeight="1">
      <c r="A20" s="650"/>
      <c r="B20" s="657"/>
      <c r="C20" s="107">
        <v>4</v>
      </c>
      <c r="D20" s="397" t="s">
        <v>305</v>
      </c>
      <c r="E20" s="627"/>
      <c r="F20" s="628"/>
      <c r="G20" s="397" t="s">
        <v>463</v>
      </c>
      <c r="H20" s="627"/>
      <c r="I20" s="628"/>
      <c r="J20" s="306">
        <v>281.72000000000003</v>
      </c>
      <c r="K20" s="14">
        <v>1.5086748805632388E-2</v>
      </c>
      <c r="L20" s="4">
        <v>0.60000000000000009</v>
      </c>
      <c r="M20" s="288">
        <v>169.03200000000004</v>
      </c>
      <c r="N20" s="4"/>
      <c r="O20" s="635" t="s">
        <v>460</v>
      </c>
      <c r="P20" s="663"/>
    </row>
    <row r="21" spans="1:16" ht="15.75" customHeight="1" thickBot="1">
      <c r="A21" s="650"/>
      <c r="B21" s="657"/>
      <c r="C21" s="108">
        <v>5</v>
      </c>
      <c r="D21" s="397" t="s">
        <v>306</v>
      </c>
      <c r="E21" s="627"/>
      <c r="F21" s="628"/>
      <c r="G21" s="397" t="s">
        <v>464</v>
      </c>
      <c r="H21" s="627"/>
      <c r="I21" s="628"/>
      <c r="J21" s="306">
        <v>420.33</v>
      </c>
      <c r="K21" s="14">
        <v>4.9711054495743491E-3</v>
      </c>
      <c r="L21" s="4">
        <v>0.4</v>
      </c>
      <c r="M21" s="288">
        <v>168.13200000000001</v>
      </c>
      <c r="N21" s="4"/>
      <c r="O21" s="635" t="s">
        <v>462</v>
      </c>
      <c r="P21" s="663"/>
    </row>
    <row r="22" spans="1:16" ht="15.75" customHeight="1" thickTop="1" thickBot="1">
      <c r="A22" s="650"/>
      <c r="B22" s="657"/>
      <c r="C22" s="658"/>
      <c r="D22" s="658"/>
      <c r="E22" s="658"/>
      <c r="F22" s="658"/>
      <c r="G22" s="658"/>
      <c r="H22" s="658"/>
      <c r="I22" s="659"/>
      <c r="J22" s="114" t="s">
        <v>73</v>
      </c>
      <c r="K22" s="228">
        <v>6.8378818544051617E-3</v>
      </c>
      <c r="L22" s="114" t="s">
        <v>74</v>
      </c>
      <c r="M22" s="230">
        <v>864.91000000000008</v>
      </c>
      <c r="N22" s="660"/>
      <c r="O22" s="661"/>
      <c r="P22" s="662"/>
    </row>
    <row r="23" spans="1:16" ht="15.75" customHeight="1" thickTop="1"/>
    <row r="24" spans="1:16" ht="15.75" customHeight="1">
      <c r="A24" s="649" t="s">
        <v>435</v>
      </c>
      <c r="B24" s="650"/>
      <c r="C24" s="112" t="s">
        <v>52</v>
      </c>
      <c r="D24" s="651" t="s">
        <v>53</v>
      </c>
      <c r="E24" s="652"/>
      <c r="F24" s="653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305" t="s">
        <v>438</v>
      </c>
      <c r="O24" s="654" t="s">
        <v>58</v>
      </c>
      <c r="P24" s="655"/>
    </row>
    <row r="25" spans="1:16" ht="15.75" customHeight="1">
      <c r="A25" s="650">
        <v>6</v>
      </c>
      <c r="B25" s="656" t="s">
        <v>465</v>
      </c>
      <c r="C25" s="107">
        <v>1</v>
      </c>
      <c r="D25" s="397" t="s">
        <v>318</v>
      </c>
      <c r="E25" s="627"/>
      <c r="F25" s="628"/>
      <c r="G25" s="397" t="s">
        <v>466</v>
      </c>
      <c r="H25" s="627"/>
      <c r="I25" s="628"/>
      <c r="J25" s="306">
        <v>13.45</v>
      </c>
      <c r="K25" s="14">
        <v>5.5467511885895406E-3</v>
      </c>
      <c r="L25" s="4">
        <v>14</v>
      </c>
      <c r="M25" s="288">
        <v>188.29999999999998</v>
      </c>
      <c r="N25" s="4"/>
      <c r="O25" s="635" t="s">
        <v>467</v>
      </c>
      <c r="P25" s="663"/>
    </row>
    <row r="26" spans="1:16" ht="15.75" customHeight="1">
      <c r="A26" s="650"/>
      <c r="B26" s="657"/>
      <c r="C26" s="107">
        <v>2</v>
      </c>
      <c r="D26" s="397" t="s">
        <v>282</v>
      </c>
      <c r="E26" s="627"/>
      <c r="F26" s="628"/>
      <c r="G26" s="397" t="s">
        <v>468</v>
      </c>
      <c r="H26" s="627"/>
      <c r="I26" s="628"/>
      <c r="J26" s="306">
        <v>930.36</v>
      </c>
      <c r="K26" s="14">
        <v>1.8055430170623814E-2</v>
      </c>
      <c r="L26" s="4">
        <v>0.2</v>
      </c>
      <c r="M26" s="288">
        <v>186.072</v>
      </c>
      <c r="N26" s="4"/>
      <c r="O26" s="635" t="s">
        <v>467</v>
      </c>
      <c r="P26" s="663"/>
    </row>
    <row r="27" spans="1:16" ht="15.75" customHeight="1">
      <c r="A27" s="650"/>
      <c r="B27" s="657"/>
      <c r="C27" s="107">
        <v>3</v>
      </c>
      <c r="D27" s="397" t="s">
        <v>455</v>
      </c>
      <c r="E27" s="627"/>
      <c r="F27" s="628"/>
      <c r="G27" s="397" t="s">
        <v>469</v>
      </c>
      <c r="H27" s="627"/>
      <c r="I27" s="628"/>
      <c r="J27" s="306">
        <v>510.06</v>
      </c>
      <c r="K27" s="14">
        <v>3.549623739883572E-3</v>
      </c>
      <c r="L27" s="4">
        <v>0.3</v>
      </c>
      <c r="M27" s="288">
        <v>153.018</v>
      </c>
      <c r="N27" s="4"/>
      <c r="O27" s="635" t="s">
        <v>467</v>
      </c>
      <c r="P27" s="663"/>
    </row>
    <row r="28" spans="1:16" ht="15.75" customHeight="1">
      <c r="A28" s="650"/>
      <c r="B28" s="657"/>
      <c r="C28" s="107">
        <v>4</v>
      </c>
      <c r="D28" s="397" t="s">
        <v>331</v>
      </c>
      <c r="E28" s="627"/>
      <c r="F28" s="628"/>
      <c r="G28" s="397" t="s">
        <v>470</v>
      </c>
      <c r="H28" s="627"/>
      <c r="I28" s="628"/>
      <c r="J28" s="306">
        <v>758.19</v>
      </c>
      <c r="K28" s="14">
        <v>9.8794704603833248E-3</v>
      </c>
      <c r="L28" s="4">
        <v>0.2</v>
      </c>
      <c r="M28" s="288">
        <v>151.63800000000001</v>
      </c>
      <c r="N28" s="4"/>
      <c r="O28" s="635" t="s">
        <v>467</v>
      </c>
      <c r="P28" s="663"/>
    </row>
    <row r="29" spans="1:16" ht="15.75" customHeight="1" thickBot="1">
      <c r="A29" s="650"/>
      <c r="B29" s="657"/>
      <c r="C29" s="108">
        <v>5</v>
      </c>
      <c r="D29" s="397">
        <v>0</v>
      </c>
      <c r="E29" s="627"/>
      <c r="F29" s="628"/>
      <c r="G29" s="397">
        <v>0</v>
      </c>
      <c r="H29" s="627"/>
      <c r="I29" s="628"/>
      <c r="J29" s="306">
        <v>0</v>
      </c>
      <c r="K29" s="14">
        <v>0</v>
      </c>
      <c r="L29" s="4">
        <v>0</v>
      </c>
      <c r="M29" s="288">
        <v>0</v>
      </c>
      <c r="N29" s="4"/>
      <c r="O29" s="635"/>
      <c r="P29" s="663"/>
    </row>
    <row r="30" spans="1:16" ht="15.75" customHeight="1" thickTop="1" thickBot="1">
      <c r="A30" s="650"/>
      <c r="B30" s="657"/>
      <c r="C30" s="658"/>
      <c r="D30" s="658"/>
      <c r="E30" s="658"/>
      <c r="F30" s="658"/>
      <c r="G30" s="658"/>
      <c r="H30" s="658"/>
      <c r="I30" s="659"/>
      <c r="J30" s="114" t="s">
        <v>73</v>
      </c>
      <c r="K30" s="228">
        <v>5.3683195243817601E-3</v>
      </c>
      <c r="L30" s="114" t="s">
        <v>74</v>
      </c>
      <c r="M30" s="230">
        <v>679.02800000000002</v>
      </c>
      <c r="N30" s="660"/>
      <c r="O30" s="661"/>
      <c r="P30" s="662"/>
    </row>
    <row r="31" spans="1:16" ht="15.75" customHeight="1" thickTop="1"/>
    <row r="32" spans="1:16" ht="15.75" customHeight="1">
      <c r="A32" s="649" t="s">
        <v>435</v>
      </c>
      <c r="B32" s="650"/>
      <c r="C32" s="112" t="s">
        <v>52</v>
      </c>
      <c r="D32" s="651" t="s">
        <v>53</v>
      </c>
      <c r="E32" s="652"/>
      <c r="F32" s="653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54" t="s">
        <v>58</v>
      </c>
      <c r="P32" s="655"/>
    </row>
    <row r="33" spans="1:16" ht="15.75" customHeight="1">
      <c r="A33" s="650">
        <v>7</v>
      </c>
      <c r="B33" s="656" t="s">
        <v>471</v>
      </c>
      <c r="C33" s="107">
        <v>1</v>
      </c>
      <c r="D33" s="397" t="s">
        <v>229</v>
      </c>
      <c r="E33" s="627"/>
      <c r="F33" s="628"/>
      <c r="G33" s="397" t="s">
        <v>472</v>
      </c>
      <c r="H33" s="627"/>
      <c r="I33" s="628"/>
      <c r="J33" s="4">
        <v>1682.05</v>
      </c>
      <c r="K33" s="14">
        <v>2.2301516503122214E-2</v>
      </c>
      <c r="L33" s="4">
        <v>0.1</v>
      </c>
      <c r="M33" s="288">
        <v>168.20500000000001</v>
      </c>
      <c r="N33" s="4"/>
      <c r="O33" s="635" t="s">
        <v>473</v>
      </c>
      <c r="P33" s="663"/>
    </row>
    <row r="34" spans="1:16" ht="15.75" customHeight="1">
      <c r="A34" s="650"/>
      <c r="B34" s="657"/>
      <c r="C34" s="107">
        <v>2</v>
      </c>
      <c r="D34" s="397">
        <v>0</v>
      </c>
      <c r="E34" s="627"/>
      <c r="F34" s="628"/>
      <c r="G34" s="397">
        <v>0</v>
      </c>
      <c r="H34" s="627"/>
      <c r="I34" s="628"/>
      <c r="J34" s="4">
        <v>0</v>
      </c>
      <c r="K34" s="14">
        <v>0</v>
      </c>
      <c r="L34" s="4">
        <v>0</v>
      </c>
      <c r="M34" s="288">
        <v>0</v>
      </c>
      <c r="N34" s="4"/>
      <c r="O34" s="635"/>
      <c r="P34" s="663"/>
    </row>
    <row r="35" spans="1:16" ht="15.75" customHeight="1">
      <c r="A35" s="650"/>
      <c r="B35" s="657"/>
      <c r="C35" s="107">
        <v>3</v>
      </c>
      <c r="D35" s="397">
        <v>0</v>
      </c>
      <c r="E35" s="627"/>
      <c r="F35" s="628"/>
      <c r="G35" s="397">
        <v>0</v>
      </c>
      <c r="H35" s="627"/>
      <c r="I35" s="628"/>
      <c r="J35" s="4">
        <v>0</v>
      </c>
      <c r="K35" s="14">
        <v>0</v>
      </c>
      <c r="L35" s="4">
        <v>0</v>
      </c>
      <c r="M35" s="288">
        <v>0</v>
      </c>
      <c r="N35" s="4"/>
      <c r="O35" s="635"/>
      <c r="P35" s="663"/>
    </row>
    <row r="36" spans="1:16" ht="15.75" customHeight="1">
      <c r="A36" s="650"/>
      <c r="B36" s="657"/>
      <c r="C36" s="107">
        <v>4</v>
      </c>
      <c r="D36" s="397">
        <v>0</v>
      </c>
      <c r="E36" s="627"/>
      <c r="F36" s="628"/>
      <c r="G36" s="397">
        <v>0</v>
      </c>
      <c r="H36" s="627"/>
      <c r="I36" s="628"/>
      <c r="J36" s="4">
        <v>0</v>
      </c>
      <c r="K36" s="14">
        <v>0</v>
      </c>
      <c r="L36" s="4">
        <v>0</v>
      </c>
      <c r="M36" s="288">
        <v>0</v>
      </c>
      <c r="N36" s="4"/>
      <c r="O36" s="635"/>
      <c r="P36" s="663"/>
    </row>
    <row r="37" spans="1:16" ht="15.75" customHeight="1" thickBot="1">
      <c r="A37" s="650"/>
      <c r="B37" s="657"/>
      <c r="C37" s="108">
        <v>5</v>
      </c>
      <c r="D37" s="397">
        <v>0</v>
      </c>
      <c r="E37" s="627"/>
      <c r="F37" s="628"/>
      <c r="G37" s="397">
        <v>0</v>
      </c>
      <c r="H37" s="627"/>
      <c r="I37" s="628"/>
      <c r="J37" s="4">
        <v>0</v>
      </c>
      <c r="K37" s="14">
        <v>0</v>
      </c>
      <c r="L37" s="4">
        <v>0</v>
      </c>
      <c r="M37" s="288">
        <v>0</v>
      </c>
      <c r="N37" s="4"/>
      <c r="O37" s="635"/>
      <c r="P37" s="663"/>
    </row>
    <row r="38" spans="1:16" ht="15.75" customHeight="1" thickTop="1" thickBot="1">
      <c r="A38" s="650"/>
      <c r="B38" s="657"/>
      <c r="C38" s="658"/>
      <c r="D38" s="658"/>
      <c r="E38" s="658"/>
      <c r="F38" s="658"/>
      <c r="G38" s="658"/>
      <c r="H38" s="658"/>
      <c r="I38" s="659"/>
      <c r="J38" s="114" t="s">
        <v>73</v>
      </c>
      <c r="K38" s="228">
        <v>1.3298099424451332E-3</v>
      </c>
      <c r="L38" s="114" t="s">
        <v>74</v>
      </c>
      <c r="M38" s="230">
        <v>168.20500000000001</v>
      </c>
      <c r="N38" s="660"/>
      <c r="O38" s="661"/>
      <c r="P38" s="662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70" customWidth="1"/>
    <col min="2" max="2" width="11.42578125" style="308" customWidth="1"/>
    <col min="3" max="3" width="4" style="309" customWidth="1"/>
    <col min="4" max="17" width="9.5703125" style="170" customWidth="1"/>
    <col min="18" max="16384" width="12.5703125" style="170"/>
  </cols>
  <sheetData>
    <row r="1" spans="1:23" ht="15.75" customHeight="1">
      <c r="A1" s="589" t="s">
        <v>337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</row>
    <row r="2" spans="1:23" s="171" customFormat="1" ht="15.75" customHeight="1">
      <c r="A2" s="589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170"/>
      <c r="S2" s="170"/>
      <c r="T2" s="170"/>
      <c r="U2" s="170"/>
      <c r="V2" s="170"/>
      <c r="W2" s="170"/>
    </row>
    <row r="3" spans="1:23" ht="15.75" customHeight="1">
      <c r="A3" s="590" t="s">
        <v>474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23" s="171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R4" s="170"/>
      <c r="S4" s="170"/>
      <c r="T4" s="170"/>
      <c r="U4" s="170"/>
      <c r="V4" s="170"/>
      <c r="W4" s="170"/>
    </row>
    <row r="5" spans="1:23" ht="15.75" customHeight="1">
      <c r="A5" s="592" t="s">
        <v>435</v>
      </c>
      <c r="B5" s="667">
        <v>1</v>
      </c>
      <c r="C5" s="667"/>
      <c r="D5" s="667">
        <v>2</v>
      </c>
      <c r="E5" s="667"/>
      <c r="F5" s="667">
        <v>3</v>
      </c>
      <c r="G5" s="667"/>
      <c r="H5" s="595">
        <v>4</v>
      </c>
      <c r="I5" s="595"/>
      <c r="J5" s="595">
        <v>5</v>
      </c>
      <c r="K5" s="595"/>
      <c r="L5" s="595">
        <v>6</v>
      </c>
      <c r="M5" s="595"/>
      <c r="N5" s="595">
        <v>7</v>
      </c>
      <c r="O5" s="595"/>
      <c r="P5" s="595">
        <v>8</v>
      </c>
      <c r="Q5" s="595"/>
    </row>
    <row r="6" spans="1:23" ht="15.75" customHeight="1">
      <c r="A6" s="592"/>
      <c r="B6" s="668" t="s">
        <v>408</v>
      </c>
      <c r="C6" s="668"/>
      <c r="D6" s="668" t="s">
        <v>436</v>
      </c>
      <c r="E6" s="668"/>
      <c r="F6" s="668" t="s">
        <v>410</v>
      </c>
      <c r="G6" s="668"/>
      <c r="H6" s="666" t="s">
        <v>475</v>
      </c>
      <c r="I6" s="592"/>
      <c r="J6" s="592" t="s">
        <v>414</v>
      </c>
      <c r="K6" s="592"/>
      <c r="L6" s="592" t="s">
        <v>415</v>
      </c>
      <c r="M6" s="592"/>
      <c r="N6" s="592" t="s">
        <v>416</v>
      </c>
      <c r="O6" s="592"/>
      <c r="P6" s="666" t="s">
        <v>437</v>
      </c>
      <c r="Q6" s="592"/>
    </row>
    <row r="8" spans="1:23" s="307" customFormat="1" ht="15.75" customHeight="1">
      <c r="A8" s="637" t="s">
        <v>435</v>
      </c>
      <c r="B8" s="638"/>
      <c r="C8" s="382" t="s">
        <v>52</v>
      </c>
      <c r="D8" s="639" t="s">
        <v>53</v>
      </c>
      <c r="E8" s="640"/>
      <c r="F8" s="641"/>
      <c r="G8" s="380" t="s">
        <v>62</v>
      </c>
      <c r="H8" s="381"/>
      <c r="I8" s="382"/>
      <c r="J8" s="158" t="s">
        <v>63</v>
      </c>
      <c r="K8" s="305" t="s">
        <v>31</v>
      </c>
      <c r="L8" s="158" t="s">
        <v>64</v>
      </c>
      <c r="M8" s="158" t="s">
        <v>50</v>
      </c>
      <c r="N8" s="305" t="s">
        <v>438</v>
      </c>
      <c r="O8" s="642" t="s">
        <v>58</v>
      </c>
      <c r="P8" s="643"/>
      <c r="R8" s="170"/>
      <c r="S8" s="170"/>
      <c r="T8" s="170"/>
      <c r="U8" s="170"/>
      <c r="V8" s="170"/>
      <c r="W8" s="170"/>
    </row>
    <row r="9" spans="1:23" ht="15.75" customHeight="1">
      <c r="A9" s="567">
        <v>1</v>
      </c>
      <c r="B9" s="624" t="s">
        <v>439</v>
      </c>
      <c r="C9" s="159">
        <v>1</v>
      </c>
      <c r="D9" s="397">
        <v>0</v>
      </c>
      <c r="E9" s="627"/>
      <c r="F9" s="628"/>
      <c r="G9" s="397">
        <v>0</v>
      </c>
      <c r="H9" s="627"/>
      <c r="I9" s="628"/>
      <c r="J9" s="4">
        <v>0</v>
      </c>
      <c r="K9" s="14">
        <v>0</v>
      </c>
      <c r="L9" s="306">
        <v>0</v>
      </c>
      <c r="M9" s="16">
        <v>0</v>
      </c>
      <c r="N9" s="160"/>
      <c r="O9" s="635"/>
      <c r="P9" s="636"/>
    </row>
    <row r="10" spans="1:23" ht="15.75" customHeight="1">
      <c r="A10" s="574"/>
      <c r="B10" s="625"/>
      <c r="C10" s="159">
        <v>2</v>
      </c>
      <c r="D10" s="397">
        <v>0</v>
      </c>
      <c r="E10" s="627"/>
      <c r="F10" s="628"/>
      <c r="G10" s="397">
        <v>0</v>
      </c>
      <c r="H10" s="627"/>
      <c r="I10" s="628"/>
      <c r="J10" s="4">
        <v>0</v>
      </c>
      <c r="K10" s="14">
        <v>0</v>
      </c>
      <c r="L10" s="306">
        <v>0</v>
      </c>
      <c r="M10" s="16">
        <v>0</v>
      </c>
      <c r="N10" s="160"/>
      <c r="O10" s="635"/>
      <c r="P10" s="636"/>
    </row>
    <row r="11" spans="1:23" ht="15.75" customHeight="1">
      <c r="A11" s="574"/>
      <c r="B11" s="625"/>
      <c r="C11" s="159">
        <v>3</v>
      </c>
      <c r="D11" s="397">
        <v>0</v>
      </c>
      <c r="E11" s="627"/>
      <c r="F11" s="628"/>
      <c r="G11" s="397">
        <v>0</v>
      </c>
      <c r="H11" s="627"/>
      <c r="I11" s="628"/>
      <c r="J11" s="4">
        <v>0</v>
      </c>
      <c r="K11" s="14">
        <v>0</v>
      </c>
      <c r="L11" s="306">
        <v>0</v>
      </c>
      <c r="M11" s="16">
        <v>0</v>
      </c>
      <c r="N11" s="160"/>
      <c r="O11" s="635"/>
      <c r="P11" s="636"/>
    </row>
    <row r="12" spans="1:23" ht="15.75" customHeight="1">
      <c r="A12" s="574"/>
      <c r="B12" s="625"/>
      <c r="C12" s="159">
        <v>4</v>
      </c>
      <c r="D12" s="397">
        <v>0</v>
      </c>
      <c r="E12" s="627"/>
      <c r="F12" s="628"/>
      <c r="G12" s="397">
        <v>0</v>
      </c>
      <c r="H12" s="627"/>
      <c r="I12" s="628"/>
      <c r="J12" s="4">
        <v>0</v>
      </c>
      <c r="K12" s="14">
        <v>0</v>
      </c>
      <c r="L12" s="306">
        <v>0</v>
      </c>
      <c r="M12" s="16">
        <v>0</v>
      </c>
      <c r="N12" s="160"/>
      <c r="O12" s="635"/>
      <c r="P12" s="636"/>
    </row>
    <row r="13" spans="1:23" ht="15.75" customHeight="1" thickBot="1">
      <c r="A13" s="574"/>
      <c r="B13" s="625"/>
      <c r="C13" s="161">
        <v>5</v>
      </c>
      <c r="D13" s="632">
        <v>0</v>
      </c>
      <c r="E13" s="633"/>
      <c r="F13" s="634"/>
      <c r="G13" s="632">
        <v>0</v>
      </c>
      <c r="H13" s="633"/>
      <c r="I13" s="634"/>
      <c r="J13" s="4">
        <v>0</v>
      </c>
      <c r="K13" s="14">
        <v>0</v>
      </c>
      <c r="L13" s="306">
        <v>0</v>
      </c>
      <c r="M13" s="16">
        <v>0</v>
      </c>
      <c r="N13" s="162"/>
      <c r="O13" s="644"/>
      <c r="P13" s="645"/>
    </row>
    <row r="14" spans="1:23" ht="15.75" customHeight="1" thickTop="1" thickBot="1">
      <c r="A14" s="568"/>
      <c r="B14" s="626"/>
      <c r="C14" s="618"/>
      <c r="D14" s="619"/>
      <c r="E14" s="619"/>
      <c r="F14" s="619"/>
      <c r="G14" s="619"/>
      <c r="H14" s="619"/>
      <c r="I14" s="620"/>
      <c r="J14" s="303" t="s">
        <v>73</v>
      </c>
      <c r="K14" s="228">
        <v>0</v>
      </c>
      <c r="L14" s="303" t="s">
        <v>74</v>
      </c>
      <c r="M14" s="230">
        <v>0</v>
      </c>
      <c r="N14" s="621"/>
      <c r="O14" s="622"/>
      <c r="P14" s="623"/>
    </row>
    <row r="15" spans="1:23" ht="15.75" customHeight="1" thickTop="1">
      <c r="A15" s="115"/>
      <c r="B15" s="163"/>
      <c r="C15" s="149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37" t="s">
        <v>435</v>
      </c>
      <c r="B16" s="638"/>
      <c r="C16" s="382" t="s">
        <v>52</v>
      </c>
      <c r="D16" s="639" t="s">
        <v>53</v>
      </c>
      <c r="E16" s="640"/>
      <c r="F16" s="641"/>
      <c r="G16" s="380" t="s">
        <v>62</v>
      </c>
      <c r="H16" s="381"/>
      <c r="I16" s="382"/>
      <c r="J16" s="158" t="s">
        <v>63</v>
      </c>
      <c r="K16" s="305" t="s">
        <v>31</v>
      </c>
      <c r="L16" s="158" t="s">
        <v>64</v>
      </c>
      <c r="M16" s="158" t="s">
        <v>50</v>
      </c>
      <c r="N16" s="305" t="s">
        <v>438</v>
      </c>
      <c r="O16" s="642" t="s">
        <v>58</v>
      </c>
      <c r="P16" s="643"/>
    </row>
    <row r="17" spans="1:16" ht="15.75" customHeight="1">
      <c r="A17" s="567">
        <v>2</v>
      </c>
      <c r="B17" s="624" t="s">
        <v>440</v>
      </c>
      <c r="C17" s="159">
        <v>1</v>
      </c>
      <c r="D17" s="397">
        <v>0</v>
      </c>
      <c r="E17" s="627"/>
      <c r="F17" s="628"/>
      <c r="G17" s="397">
        <v>0</v>
      </c>
      <c r="H17" s="627"/>
      <c r="I17" s="628"/>
      <c r="J17" s="306">
        <v>0</v>
      </c>
      <c r="K17" s="14">
        <v>0</v>
      </c>
      <c r="L17" s="306">
        <v>0</v>
      </c>
      <c r="M17" s="288">
        <v>0</v>
      </c>
      <c r="N17" s="160"/>
      <c r="O17" s="635"/>
      <c r="P17" s="636"/>
    </row>
    <row r="18" spans="1:16" ht="15.75" customHeight="1">
      <c r="A18" s="574"/>
      <c r="B18" s="625"/>
      <c r="C18" s="159">
        <v>2</v>
      </c>
      <c r="D18" s="397">
        <v>0</v>
      </c>
      <c r="E18" s="627"/>
      <c r="F18" s="628"/>
      <c r="G18" s="397">
        <v>0</v>
      </c>
      <c r="H18" s="627"/>
      <c r="I18" s="628"/>
      <c r="J18" s="306">
        <v>0</v>
      </c>
      <c r="K18" s="14">
        <v>0</v>
      </c>
      <c r="L18" s="306">
        <v>0</v>
      </c>
      <c r="M18" s="288">
        <v>0</v>
      </c>
      <c r="N18" s="160"/>
      <c r="O18" s="635"/>
      <c r="P18" s="636"/>
    </row>
    <row r="19" spans="1:16" ht="15.75" customHeight="1">
      <c r="A19" s="574"/>
      <c r="B19" s="625"/>
      <c r="C19" s="159">
        <v>3</v>
      </c>
      <c r="D19" s="397">
        <v>0</v>
      </c>
      <c r="E19" s="627"/>
      <c r="F19" s="628"/>
      <c r="G19" s="397">
        <v>0</v>
      </c>
      <c r="H19" s="627"/>
      <c r="I19" s="628"/>
      <c r="J19" s="306">
        <v>0</v>
      </c>
      <c r="K19" s="14">
        <v>0</v>
      </c>
      <c r="L19" s="306">
        <v>0</v>
      </c>
      <c r="M19" s="288">
        <v>0</v>
      </c>
      <c r="N19" s="160"/>
      <c r="O19" s="635"/>
      <c r="P19" s="636"/>
    </row>
    <row r="20" spans="1:16" ht="15.75" customHeight="1">
      <c r="A20" s="574"/>
      <c r="B20" s="625"/>
      <c r="C20" s="159">
        <v>4</v>
      </c>
      <c r="D20" s="397">
        <v>0</v>
      </c>
      <c r="E20" s="627"/>
      <c r="F20" s="628"/>
      <c r="G20" s="397">
        <v>0</v>
      </c>
      <c r="H20" s="627"/>
      <c r="I20" s="628"/>
      <c r="J20" s="306">
        <v>0</v>
      </c>
      <c r="K20" s="14">
        <v>0</v>
      </c>
      <c r="L20" s="306">
        <v>0</v>
      </c>
      <c r="M20" s="288">
        <v>0</v>
      </c>
      <c r="N20" s="160"/>
      <c r="O20" s="635"/>
      <c r="P20" s="636"/>
    </row>
    <row r="21" spans="1:16" ht="15.75" customHeight="1" thickBot="1">
      <c r="A21" s="574"/>
      <c r="B21" s="625"/>
      <c r="C21" s="161">
        <v>5</v>
      </c>
      <c r="D21" s="397">
        <v>0</v>
      </c>
      <c r="E21" s="627"/>
      <c r="F21" s="628"/>
      <c r="G21" s="397">
        <v>0</v>
      </c>
      <c r="H21" s="627"/>
      <c r="I21" s="628"/>
      <c r="J21" s="306">
        <v>0</v>
      </c>
      <c r="K21" s="14">
        <v>0</v>
      </c>
      <c r="L21" s="306">
        <v>0</v>
      </c>
      <c r="M21" s="288">
        <v>0</v>
      </c>
      <c r="N21" s="162"/>
      <c r="O21" s="644"/>
      <c r="P21" s="645"/>
    </row>
    <row r="22" spans="1:16" ht="15.75" customHeight="1" thickTop="1" thickBot="1">
      <c r="A22" s="568"/>
      <c r="B22" s="626"/>
      <c r="C22" s="629"/>
      <c r="D22" s="630"/>
      <c r="E22" s="630"/>
      <c r="F22" s="630"/>
      <c r="G22" s="630"/>
      <c r="H22" s="630"/>
      <c r="I22" s="631"/>
      <c r="J22" s="303" t="s">
        <v>73</v>
      </c>
      <c r="K22" s="228">
        <v>0</v>
      </c>
      <c r="L22" s="303" t="s">
        <v>74</v>
      </c>
      <c r="M22" s="230">
        <v>0</v>
      </c>
      <c r="N22" s="621"/>
      <c r="O22" s="622"/>
      <c r="P22" s="623"/>
    </row>
    <row r="23" spans="1:16" ht="15.75" customHeight="1" thickTop="1">
      <c r="A23" s="115"/>
      <c r="B23" s="163"/>
      <c r="C23" s="149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37" t="s">
        <v>435</v>
      </c>
      <c r="B24" s="638"/>
      <c r="C24" s="382" t="s">
        <v>52</v>
      </c>
      <c r="D24" s="639" t="s">
        <v>53</v>
      </c>
      <c r="E24" s="640"/>
      <c r="F24" s="641"/>
      <c r="G24" s="380" t="s">
        <v>62</v>
      </c>
      <c r="H24" s="381"/>
      <c r="I24" s="382"/>
      <c r="J24" s="158" t="s">
        <v>63</v>
      </c>
      <c r="K24" s="305" t="s">
        <v>31</v>
      </c>
      <c r="L24" s="158" t="s">
        <v>64</v>
      </c>
      <c r="M24" s="158" t="s">
        <v>50</v>
      </c>
      <c r="N24" s="305" t="s">
        <v>438</v>
      </c>
      <c r="O24" s="642" t="s">
        <v>58</v>
      </c>
      <c r="P24" s="643"/>
    </row>
    <row r="25" spans="1:16" ht="15.75" customHeight="1">
      <c r="A25" s="567">
        <v>3</v>
      </c>
      <c r="B25" s="624" t="s">
        <v>444</v>
      </c>
      <c r="C25" s="159">
        <v>1</v>
      </c>
      <c r="D25" s="397" t="s">
        <v>314</v>
      </c>
      <c r="E25" s="627"/>
      <c r="F25" s="628"/>
      <c r="G25" s="397" t="s">
        <v>476</v>
      </c>
      <c r="H25" s="627"/>
      <c r="I25" s="628"/>
      <c r="J25" s="306">
        <v>86.37</v>
      </c>
      <c r="K25" s="14">
        <v>2.3532916294310497E-2</v>
      </c>
      <c r="L25" s="306">
        <v>1.9750000000000085</v>
      </c>
      <c r="M25" s="288">
        <v>170.58075000000076</v>
      </c>
      <c r="N25" s="160"/>
      <c r="O25" s="635" t="s">
        <v>451</v>
      </c>
      <c r="P25" s="636"/>
    </row>
    <row r="26" spans="1:16" ht="15.75" customHeight="1">
      <c r="A26" s="574"/>
      <c r="B26" s="625"/>
      <c r="C26" s="159">
        <v>2</v>
      </c>
      <c r="D26" s="397" t="s">
        <v>293</v>
      </c>
      <c r="E26" s="627"/>
      <c r="F26" s="628"/>
      <c r="G26" s="397" t="s">
        <v>448</v>
      </c>
      <c r="H26" s="627"/>
      <c r="I26" s="628"/>
      <c r="J26" s="306">
        <v>418.41</v>
      </c>
      <c r="K26" s="14">
        <v>2.2635872687579023E-2</v>
      </c>
      <c r="L26" s="306">
        <v>0.39400000000000046</v>
      </c>
      <c r="M26" s="288">
        <v>164.85354000000018</v>
      </c>
      <c r="N26" s="160"/>
      <c r="O26" s="635" t="s">
        <v>451</v>
      </c>
      <c r="P26" s="636"/>
    </row>
    <row r="27" spans="1:16" ht="15.75" customHeight="1">
      <c r="A27" s="574"/>
      <c r="B27" s="625"/>
      <c r="C27" s="159">
        <v>3</v>
      </c>
      <c r="D27" s="397">
        <v>0</v>
      </c>
      <c r="E27" s="627"/>
      <c r="F27" s="628"/>
      <c r="G27" s="397">
        <v>0</v>
      </c>
      <c r="H27" s="627"/>
      <c r="I27" s="628"/>
      <c r="J27" s="306">
        <v>0</v>
      </c>
      <c r="K27" s="14">
        <v>0</v>
      </c>
      <c r="L27" s="306">
        <v>0</v>
      </c>
      <c r="M27" s="288">
        <v>0</v>
      </c>
      <c r="N27" s="160"/>
      <c r="O27" s="635"/>
      <c r="P27" s="636"/>
    </row>
    <row r="28" spans="1:16" ht="15.75" customHeight="1">
      <c r="A28" s="574"/>
      <c r="B28" s="625"/>
      <c r="C28" s="159">
        <v>4</v>
      </c>
      <c r="D28" s="397">
        <v>0</v>
      </c>
      <c r="E28" s="627"/>
      <c r="F28" s="628"/>
      <c r="G28" s="397">
        <v>0</v>
      </c>
      <c r="H28" s="627"/>
      <c r="I28" s="628"/>
      <c r="J28" s="306">
        <v>0</v>
      </c>
      <c r="K28" s="14">
        <v>0</v>
      </c>
      <c r="L28" s="306">
        <v>0</v>
      </c>
      <c r="M28" s="288">
        <v>0</v>
      </c>
      <c r="N28" s="160"/>
      <c r="O28" s="635"/>
      <c r="P28" s="636"/>
    </row>
    <row r="29" spans="1:16" ht="15.75" customHeight="1" thickBot="1">
      <c r="A29" s="574"/>
      <c r="B29" s="625"/>
      <c r="C29" s="161">
        <v>5</v>
      </c>
      <c r="D29" s="632">
        <v>0</v>
      </c>
      <c r="E29" s="633"/>
      <c r="F29" s="634"/>
      <c r="G29" s="632">
        <v>0</v>
      </c>
      <c r="H29" s="633"/>
      <c r="I29" s="634"/>
      <c r="J29" s="306">
        <v>0</v>
      </c>
      <c r="K29" s="14">
        <v>0</v>
      </c>
      <c r="L29" s="306">
        <v>0</v>
      </c>
      <c r="M29" s="288">
        <v>0</v>
      </c>
      <c r="N29" s="162"/>
      <c r="O29" s="644"/>
      <c r="P29" s="645"/>
    </row>
    <row r="30" spans="1:16" ht="15.75" customHeight="1" thickTop="1" thickBot="1">
      <c r="A30" s="568"/>
      <c r="B30" s="626"/>
      <c r="C30" s="618"/>
      <c r="D30" s="619"/>
      <c r="E30" s="619"/>
      <c r="F30" s="619"/>
      <c r="G30" s="619"/>
      <c r="H30" s="619"/>
      <c r="I30" s="620"/>
      <c r="J30" s="303" t="s">
        <v>73</v>
      </c>
      <c r="K30" s="228">
        <v>2.9039856788820803E-3</v>
      </c>
      <c r="L30" s="303" t="s">
        <v>74</v>
      </c>
      <c r="M30" s="230">
        <v>335.43429000000094</v>
      </c>
      <c r="N30" s="621"/>
      <c r="O30" s="622"/>
      <c r="P30" s="623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T27" sqref="T27"/>
    </sheetView>
  </sheetViews>
  <sheetFormatPr defaultColWidth="12.5703125" defaultRowHeight="15.75" customHeight="1"/>
  <cols>
    <col min="1" max="1" width="5.42578125" style="311" customWidth="1"/>
    <col min="2" max="2" width="11.42578125" style="312" customWidth="1"/>
    <col min="3" max="3" width="4" style="313" customWidth="1"/>
    <col min="4" max="17" width="9.5703125" style="311" customWidth="1"/>
    <col min="18" max="16384" width="12.5703125" style="311"/>
  </cols>
  <sheetData>
    <row r="1" spans="1:23" s="170" customFormat="1" ht="15.75" customHeight="1">
      <c r="A1" s="589" t="s">
        <v>337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</row>
    <row r="2" spans="1:23" s="171" customFormat="1" ht="15.75" customHeight="1">
      <c r="A2" s="589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</row>
    <row r="3" spans="1:23" s="170" customFormat="1" ht="15.75" customHeight="1">
      <c r="A3" s="590" t="s">
        <v>474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23" s="171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</row>
    <row r="5" spans="1:23" s="170" customFormat="1" ht="15.75" customHeight="1">
      <c r="A5" s="592" t="s">
        <v>435</v>
      </c>
      <c r="B5" s="595">
        <v>1</v>
      </c>
      <c r="C5" s="595"/>
      <c r="D5" s="595">
        <v>2</v>
      </c>
      <c r="E5" s="595"/>
      <c r="F5" s="595">
        <v>3</v>
      </c>
      <c r="G5" s="595"/>
      <c r="H5" s="667">
        <v>4</v>
      </c>
      <c r="I5" s="667"/>
      <c r="J5" s="667">
        <v>5</v>
      </c>
      <c r="K5" s="667"/>
      <c r="L5" s="667">
        <v>6</v>
      </c>
      <c r="M5" s="667"/>
      <c r="N5" s="667">
        <v>7</v>
      </c>
      <c r="O5" s="667"/>
      <c r="P5" s="595">
        <v>8</v>
      </c>
      <c r="Q5" s="595"/>
    </row>
    <row r="6" spans="1:23" s="170" customFormat="1" ht="15.75" customHeight="1">
      <c r="A6" s="592"/>
      <c r="B6" s="592" t="s">
        <v>408</v>
      </c>
      <c r="C6" s="592"/>
      <c r="D6" s="592" t="s">
        <v>436</v>
      </c>
      <c r="E6" s="592"/>
      <c r="F6" s="592" t="s">
        <v>410</v>
      </c>
      <c r="G6" s="592"/>
      <c r="H6" s="669" t="s">
        <v>475</v>
      </c>
      <c r="I6" s="668"/>
      <c r="J6" s="668" t="s">
        <v>414</v>
      </c>
      <c r="K6" s="668"/>
      <c r="L6" s="668" t="s">
        <v>415</v>
      </c>
      <c r="M6" s="668"/>
      <c r="N6" s="668" t="s">
        <v>416</v>
      </c>
      <c r="O6" s="668"/>
      <c r="P6" s="666" t="s">
        <v>437</v>
      </c>
      <c r="Q6" s="592"/>
    </row>
    <row r="7" spans="1:23" s="170" customFormat="1" ht="15.75" customHeight="1">
      <c r="B7" s="308"/>
      <c r="C7" s="309"/>
    </row>
    <row r="8" spans="1:23" s="310" customFormat="1" ht="15.75" customHeight="1">
      <c r="A8" s="649" t="s">
        <v>435</v>
      </c>
      <c r="B8" s="650"/>
      <c r="C8" s="112" t="s">
        <v>52</v>
      </c>
      <c r="D8" s="651" t="s">
        <v>53</v>
      </c>
      <c r="E8" s="652"/>
      <c r="F8" s="653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305" t="s">
        <v>438</v>
      </c>
      <c r="O8" s="654" t="s">
        <v>58</v>
      </c>
      <c r="P8" s="655"/>
      <c r="R8" s="170"/>
      <c r="S8" s="170"/>
      <c r="T8" s="170"/>
      <c r="U8" s="170"/>
      <c r="V8" s="170"/>
      <c r="W8" s="170"/>
    </row>
    <row r="9" spans="1:23" ht="15.75" customHeight="1">
      <c r="A9" s="650">
        <v>4</v>
      </c>
      <c r="B9" s="657" t="s">
        <v>419</v>
      </c>
      <c r="C9" s="107">
        <v>1</v>
      </c>
      <c r="D9" s="397" t="s">
        <v>291</v>
      </c>
      <c r="E9" s="627"/>
      <c r="F9" s="628"/>
      <c r="G9" s="397" t="s">
        <v>477</v>
      </c>
      <c r="H9" s="627"/>
      <c r="I9" s="628"/>
      <c r="J9" s="306">
        <v>78.849999999999994</v>
      </c>
      <c r="K9" s="14">
        <v>5.278268157420796E-3</v>
      </c>
      <c r="L9" s="306">
        <v>2.3680000000000065</v>
      </c>
      <c r="M9" s="288">
        <v>186.71680000000049</v>
      </c>
      <c r="N9" s="4"/>
      <c r="O9" s="635" t="s">
        <v>478</v>
      </c>
      <c r="P9" s="663"/>
      <c r="R9" s="170"/>
      <c r="S9" s="170"/>
      <c r="T9" s="170"/>
      <c r="U9" s="170"/>
      <c r="V9" s="170"/>
      <c r="W9" s="170"/>
    </row>
    <row r="10" spans="1:23" ht="15.75" customHeight="1">
      <c r="A10" s="650"/>
      <c r="B10" s="657"/>
      <c r="C10" s="107">
        <v>2</v>
      </c>
      <c r="D10" s="397" t="s">
        <v>277</v>
      </c>
      <c r="E10" s="627"/>
      <c r="F10" s="628"/>
      <c r="G10" s="397" t="s">
        <v>452</v>
      </c>
      <c r="H10" s="627"/>
      <c r="I10" s="628"/>
      <c r="J10" s="306">
        <v>432.07</v>
      </c>
      <c r="K10" s="14">
        <v>7.1942446043164786E-3</v>
      </c>
      <c r="L10" s="306">
        <v>0.41999999999999604</v>
      </c>
      <c r="M10" s="288">
        <v>181.46939999999827</v>
      </c>
      <c r="N10" s="4"/>
      <c r="O10" s="635" t="s">
        <v>478</v>
      </c>
      <c r="P10" s="663"/>
      <c r="R10" s="170"/>
      <c r="S10" s="170"/>
      <c r="T10" s="170"/>
      <c r="U10" s="170"/>
      <c r="V10" s="170"/>
      <c r="W10" s="170"/>
    </row>
    <row r="11" spans="1:23" ht="15.75" customHeight="1">
      <c r="A11" s="650"/>
      <c r="B11" s="657"/>
      <c r="C11" s="107">
        <v>3</v>
      </c>
      <c r="D11" s="397" t="s">
        <v>315</v>
      </c>
      <c r="E11" s="627"/>
      <c r="F11" s="628"/>
      <c r="G11" s="397" t="s">
        <v>479</v>
      </c>
      <c r="H11" s="627"/>
      <c r="I11" s="628"/>
      <c r="J11" s="306">
        <v>81.97</v>
      </c>
      <c r="K11" s="14">
        <v>5.3565111930871665E-3</v>
      </c>
      <c r="L11" s="306">
        <v>2.1200000000000387</v>
      </c>
      <c r="M11" s="288">
        <v>173.77640000000321</v>
      </c>
      <c r="N11" s="4"/>
      <c r="O11" s="635" t="s">
        <v>478</v>
      </c>
      <c r="P11" s="663"/>
      <c r="R11" s="170"/>
      <c r="S11" s="170"/>
      <c r="T11" s="170"/>
      <c r="U11" s="170"/>
      <c r="V11" s="170"/>
      <c r="W11" s="170"/>
    </row>
    <row r="12" spans="1:23" ht="15.75" customHeight="1">
      <c r="A12" s="650"/>
      <c r="B12" s="657"/>
      <c r="C12" s="107">
        <v>4</v>
      </c>
      <c r="D12" s="397" t="s">
        <v>331</v>
      </c>
      <c r="E12" s="627"/>
      <c r="F12" s="628"/>
      <c r="G12" s="397" t="s">
        <v>445</v>
      </c>
      <c r="H12" s="627"/>
      <c r="I12" s="628"/>
      <c r="J12" s="306">
        <v>127.48</v>
      </c>
      <c r="K12" s="14">
        <v>9.4077355573581427E-3</v>
      </c>
      <c r="L12" s="306">
        <v>1.3570000000000106</v>
      </c>
      <c r="M12" s="288">
        <v>172.99036000000135</v>
      </c>
      <c r="N12" s="4"/>
      <c r="O12" s="635" t="s">
        <v>478</v>
      </c>
      <c r="P12" s="663"/>
      <c r="R12" s="170"/>
      <c r="S12" s="170"/>
      <c r="T12" s="170"/>
      <c r="U12" s="170"/>
      <c r="V12" s="170"/>
      <c r="W12" s="170"/>
    </row>
    <row r="13" spans="1:23" ht="15.75" customHeight="1" thickBot="1">
      <c r="A13" s="650"/>
      <c r="B13" s="657"/>
      <c r="C13" s="108">
        <v>5</v>
      </c>
      <c r="D13" s="397" t="s">
        <v>273</v>
      </c>
      <c r="E13" s="627"/>
      <c r="F13" s="628"/>
      <c r="G13" s="397" t="s">
        <v>480</v>
      </c>
      <c r="H13" s="627"/>
      <c r="I13" s="628"/>
      <c r="J13" s="306">
        <v>278.82</v>
      </c>
      <c r="K13" s="14">
        <v>6.0606060606060606E-3</v>
      </c>
      <c r="L13" s="306">
        <v>0.6</v>
      </c>
      <c r="M13" s="288">
        <v>167.29199999999997</v>
      </c>
      <c r="N13" s="4"/>
      <c r="O13" s="635" t="s">
        <v>481</v>
      </c>
      <c r="P13" s="663"/>
      <c r="R13" s="170"/>
      <c r="S13" s="170"/>
      <c r="T13" s="170"/>
      <c r="U13" s="170"/>
      <c r="V13" s="170"/>
      <c r="W13" s="170"/>
    </row>
    <row r="14" spans="1:23" ht="15.75" customHeight="1" thickTop="1" thickBot="1">
      <c r="A14" s="650"/>
      <c r="B14" s="657"/>
      <c r="C14" s="665"/>
      <c r="D14" s="665"/>
      <c r="E14" s="665"/>
      <c r="F14" s="665"/>
      <c r="G14" s="665"/>
      <c r="H14" s="665"/>
      <c r="I14" s="665"/>
      <c r="J14" s="229" t="s">
        <v>73</v>
      </c>
      <c r="K14" s="228">
        <v>7.63793924916232E-3</v>
      </c>
      <c r="L14" s="229" t="s">
        <v>74</v>
      </c>
      <c r="M14" s="230">
        <v>882.24496000000318</v>
      </c>
      <c r="N14" s="664"/>
      <c r="O14" s="664"/>
      <c r="P14" s="664"/>
      <c r="R14" s="170"/>
      <c r="S14" s="170"/>
      <c r="T14" s="170"/>
      <c r="U14" s="170"/>
      <c r="V14" s="170"/>
      <c r="W14" s="170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70"/>
      <c r="S15" s="170"/>
      <c r="T15" s="170"/>
      <c r="U15" s="170"/>
      <c r="V15" s="170"/>
      <c r="W15" s="170"/>
    </row>
    <row r="16" spans="1:23" ht="15.75" customHeight="1">
      <c r="A16" s="649" t="s">
        <v>435</v>
      </c>
      <c r="B16" s="650"/>
      <c r="C16" s="112" t="s">
        <v>52</v>
      </c>
      <c r="D16" s="651" t="s">
        <v>53</v>
      </c>
      <c r="E16" s="652"/>
      <c r="F16" s="653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305" t="s">
        <v>438</v>
      </c>
      <c r="O16" s="654" t="s">
        <v>58</v>
      </c>
      <c r="P16" s="655"/>
      <c r="R16" s="170"/>
      <c r="S16" s="170"/>
      <c r="T16" s="170"/>
      <c r="U16" s="170"/>
      <c r="V16" s="170"/>
      <c r="W16" s="170"/>
    </row>
    <row r="17" spans="1:23" ht="15.75" customHeight="1">
      <c r="A17" s="650">
        <v>5</v>
      </c>
      <c r="B17" s="656" t="s">
        <v>458</v>
      </c>
      <c r="C17" s="107">
        <v>1</v>
      </c>
      <c r="D17" s="397" t="s">
        <v>314</v>
      </c>
      <c r="E17" s="627"/>
      <c r="F17" s="628"/>
      <c r="G17" s="397" t="s">
        <v>461</v>
      </c>
      <c r="H17" s="627"/>
      <c r="I17" s="628"/>
      <c r="J17" s="306">
        <v>290.60000000000002</v>
      </c>
      <c r="K17" s="14">
        <v>3.9272678112748399E-2</v>
      </c>
      <c r="L17" s="306">
        <v>2.3239999999999994</v>
      </c>
      <c r="M17" s="288">
        <v>675.35439999999994</v>
      </c>
      <c r="N17" s="4"/>
      <c r="O17" s="635" t="s">
        <v>482</v>
      </c>
      <c r="P17" s="663"/>
      <c r="R17" s="170"/>
      <c r="S17" s="170"/>
      <c r="T17" s="170"/>
      <c r="U17" s="170"/>
      <c r="V17" s="170"/>
      <c r="W17" s="170"/>
    </row>
    <row r="18" spans="1:23" ht="15.75" customHeight="1">
      <c r="A18" s="650"/>
      <c r="B18" s="657"/>
      <c r="C18" s="107">
        <v>2</v>
      </c>
      <c r="D18" s="397" t="s">
        <v>455</v>
      </c>
      <c r="E18" s="627"/>
      <c r="F18" s="628"/>
      <c r="G18" s="397" t="s">
        <v>469</v>
      </c>
      <c r="H18" s="627"/>
      <c r="I18" s="628"/>
      <c r="J18" s="306">
        <v>510.06</v>
      </c>
      <c r="K18" s="14">
        <v>6.8161090577449329E-3</v>
      </c>
      <c r="L18" s="306">
        <v>0.56800000000000073</v>
      </c>
      <c r="M18" s="288">
        <v>289.71408000000037</v>
      </c>
      <c r="N18" s="4"/>
      <c r="O18" s="635" t="s">
        <v>483</v>
      </c>
      <c r="P18" s="636"/>
      <c r="R18" s="170"/>
      <c r="S18" s="170"/>
      <c r="T18" s="170"/>
      <c r="U18" s="170"/>
      <c r="V18" s="170"/>
      <c r="W18" s="170"/>
    </row>
    <row r="19" spans="1:23" ht="15.75" customHeight="1">
      <c r="A19" s="650"/>
      <c r="B19" s="657"/>
      <c r="C19" s="107">
        <v>3</v>
      </c>
      <c r="D19" s="397" t="s">
        <v>288</v>
      </c>
      <c r="E19" s="627"/>
      <c r="F19" s="628"/>
      <c r="G19" s="397" t="s">
        <v>484</v>
      </c>
      <c r="H19" s="627"/>
      <c r="I19" s="628"/>
      <c r="J19" s="306">
        <v>581.91999999999996</v>
      </c>
      <c r="K19" s="14">
        <v>1.8977283350472173E-2</v>
      </c>
      <c r="L19" s="306">
        <v>0.40600000000000164</v>
      </c>
      <c r="M19" s="288">
        <v>236.25952000000092</v>
      </c>
      <c r="N19" s="4"/>
      <c r="O19" s="635" t="s">
        <v>483</v>
      </c>
      <c r="P19" s="636"/>
      <c r="R19" s="170"/>
      <c r="S19" s="170"/>
      <c r="T19" s="170"/>
      <c r="U19" s="170"/>
      <c r="V19" s="170"/>
      <c r="W19" s="170"/>
    </row>
    <row r="20" spans="1:23" ht="15.75" customHeight="1">
      <c r="A20" s="650"/>
      <c r="B20" s="657"/>
      <c r="C20" s="107">
        <v>4</v>
      </c>
      <c r="D20" s="397" t="s">
        <v>336</v>
      </c>
      <c r="E20" s="627"/>
      <c r="F20" s="628"/>
      <c r="G20" s="397" t="s">
        <v>485</v>
      </c>
      <c r="H20" s="627"/>
      <c r="I20" s="628"/>
      <c r="J20" s="306">
        <v>448.48</v>
      </c>
      <c r="K20" s="14">
        <v>1.2437810945273561E-2</v>
      </c>
      <c r="L20" s="306">
        <v>0.49999999999999717</v>
      </c>
      <c r="M20" s="288">
        <v>224.23999999999873</v>
      </c>
      <c r="N20" s="4"/>
      <c r="O20" s="635" t="s">
        <v>482</v>
      </c>
      <c r="P20" s="663"/>
      <c r="R20" s="170"/>
      <c r="S20" s="170"/>
      <c r="T20" s="170"/>
      <c r="U20" s="170"/>
      <c r="V20" s="170"/>
      <c r="W20" s="170"/>
    </row>
    <row r="21" spans="1:23" ht="15.75" customHeight="1" thickBot="1">
      <c r="A21" s="650"/>
      <c r="B21" s="657"/>
      <c r="C21" s="108">
        <v>5</v>
      </c>
      <c r="D21" s="397" t="s">
        <v>230</v>
      </c>
      <c r="E21" s="627"/>
      <c r="F21" s="628"/>
      <c r="G21" s="397" t="s">
        <v>486</v>
      </c>
      <c r="H21" s="627"/>
      <c r="I21" s="628"/>
      <c r="J21" s="306">
        <v>919.94</v>
      </c>
      <c r="K21" s="14">
        <v>5.1051051051051066E-2</v>
      </c>
      <c r="L21" s="306">
        <v>0.23800000000000007</v>
      </c>
      <c r="M21" s="288">
        <v>218.94572000000005</v>
      </c>
      <c r="N21" s="4"/>
      <c r="O21" s="635" t="s">
        <v>483</v>
      </c>
      <c r="P21" s="663"/>
      <c r="R21" s="170"/>
      <c r="S21" s="170"/>
      <c r="T21" s="170"/>
      <c r="U21" s="170"/>
      <c r="V21" s="170"/>
      <c r="W21" s="170"/>
    </row>
    <row r="22" spans="1:23" ht="15.75" customHeight="1" thickTop="1" thickBot="1">
      <c r="A22" s="650"/>
      <c r="B22" s="657"/>
      <c r="C22" s="658"/>
      <c r="D22" s="658"/>
      <c r="E22" s="658"/>
      <c r="F22" s="658"/>
      <c r="G22" s="658"/>
      <c r="H22" s="658"/>
      <c r="I22" s="659"/>
      <c r="J22" s="114" t="s">
        <v>73</v>
      </c>
      <c r="K22" s="228">
        <v>1.4237197668744844E-2</v>
      </c>
      <c r="L22" s="114" t="s">
        <v>74</v>
      </c>
      <c r="M22" s="230">
        <v>1644.5137199999999</v>
      </c>
      <c r="N22" s="660"/>
      <c r="O22" s="661"/>
      <c r="P22" s="662"/>
      <c r="R22" s="170"/>
      <c r="S22" s="170"/>
      <c r="T22" s="170"/>
      <c r="U22" s="170"/>
      <c r="V22" s="170"/>
      <c r="W22" s="170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70"/>
      <c r="S23" s="170"/>
      <c r="T23" s="170"/>
      <c r="U23" s="170"/>
      <c r="V23" s="170"/>
      <c r="W23" s="170"/>
    </row>
    <row r="24" spans="1:23" ht="15.75" customHeight="1">
      <c r="A24" s="649" t="s">
        <v>435</v>
      </c>
      <c r="B24" s="650"/>
      <c r="C24" s="112" t="s">
        <v>52</v>
      </c>
      <c r="D24" s="651" t="s">
        <v>53</v>
      </c>
      <c r="E24" s="652"/>
      <c r="F24" s="653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305" t="s">
        <v>438</v>
      </c>
      <c r="O24" s="654" t="s">
        <v>58</v>
      </c>
      <c r="P24" s="655"/>
      <c r="R24" s="170"/>
      <c r="S24" s="170"/>
      <c r="T24" s="170"/>
      <c r="U24" s="170"/>
      <c r="V24" s="170"/>
      <c r="W24" s="170"/>
    </row>
    <row r="25" spans="1:23" ht="15.75" customHeight="1">
      <c r="A25" s="650">
        <v>6</v>
      </c>
      <c r="B25" s="656" t="s">
        <v>465</v>
      </c>
      <c r="C25" s="107">
        <v>1</v>
      </c>
      <c r="D25" s="397" t="s">
        <v>455</v>
      </c>
      <c r="E25" s="627"/>
      <c r="F25" s="628"/>
      <c r="G25" s="397" t="s">
        <v>469</v>
      </c>
      <c r="H25" s="627"/>
      <c r="I25" s="628"/>
      <c r="J25" s="306">
        <v>510.06</v>
      </c>
      <c r="K25" s="14">
        <v>8.1871992034076267E-3</v>
      </c>
      <c r="L25" s="306">
        <v>0.59199999999999875</v>
      </c>
      <c r="M25" s="288">
        <v>301.95551999999935</v>
      </c>
      <c r="N25" s="4"/>
      <c r="O25" s="635" t="s">
        <v>487</v>
      </c>
      <c r="P25" s="663"/>
      <c r="R25" s="170"/>
      <c r="S25" s="170"/>
      <c r="T25" s="170"/>
      <c r="U25" s="170"/>
      <c r="V25" s="170"/>
      <c r="W25" s="170"/>
    </row>
    <row r="26" spans="1:23" ht="15.75" customHeight="1">
      <c r="A26" s="650"/>
      <c r="B26" s="657"/>
      <c r="C26" s="107">
        <v>2</v>
      </c>
      <c r="D26" s="397" t="s">
        <v>282</v>
      </c>
      <c r="E26" s="627"/>
      <c r="F26" s="628"/>
      <c r="G26" s="397" t="s">
        <v>468</v>
      </c>
      <c r="H26" s="627"/>
      <c r="I26" s="628"/>
      <c r="J26" s="306">
        <v>930.36</v>
      </c>
      <c r="K26" s="14">
        <v>2.7119560320749601E-2</v>
      </c>
      <c r="L26" s="306">
        <v>0.30099999999999982</v>
      </c>
      <c r="M26" s="288">
        <v>280.03835999999984</v>
      </c>
      <c r="N26" s="4"/>
      <c r="O26" s="635" t="s">
        <v>488</v>
      </c>
      <c r="P26" s="663"/>
      <c r="R26" s="170"/>
      <c r="S26" s="170"/>
      <c r="T26" s="170"/>
      <c r="U26" s="170"/>
      <c r="V26" s="170"/>
      <c r="W26" s="170"/>
    </row>
    <row r="27" spans="1:23" ht="15.75" customHeight="1">
      <c r="A27" s="650"/>
      <c r="B27" s="657"/>
      <c r="C27" s="107">
        <v>3</v>
      </c>
      <c r="D27" s="397" t="s">
        <v>331</v>
      </c>
      <c r="E27" s="627"/>
      <c r="F27" s="628"/>
      <c r="G27" s="397" t="s">
        <v>470</v>
      </c>
      <c r="H27" s="627"/>
      <c r="I27" s="628"/>
      <c r="J27" s="306">
        <v>758.19</v>
      </c>
      <c r="K27" s="14">
        <v>1.376488095238089E-2</v>
      </c>
      <c r="L27" s="306">
        <v>0.29599999999999865</v>
      </c>
      <c r="M27" s="288">
        <v>224.424239999999</v>
      </c>
      <c r="N27" s="4"/>
      <c r="O27" s="635" t="s">
        <v>488</v>
      </c>
      <c r="P27" s="663"/>
      <c r="R27" s="170"/>
      <c r="S27" s="170"/>
      <c r="T27" s="170"/>
      <c r="U27" s="170"/>
      <c r="V27" s="170"/>
      <c r="W27" s="170"/>
    </row>
    <row r="28" spans="1:23" ht="15.75" customHeight="1">
      <c r="A28" s="650"/>
      <c r="B28" s="657"/>
      <c r="C28" s="107">
        <v>4</v>
      </c>
      <c r="D28" s="397" t="s">
        <v>489</v>
      </c>
      <c r="E28" s="627"/>
      <c r="F28" s="628"/>
      <c r="G28" s="397" t="s">
        <v>490</v>
      </c>
      <c r="H28" s="627"/>
      <c r="I28" s="628"/>
      <c r="J28" s="306">
        <v>444.88</v>
      </c>
      <c r="K28" s="14">
        <v>1.6964206412647564E-2</v>
      </c>
      <c r="L28" s="306">
        <v>0.3819999999999979</v>
      </c>
      <c r="M28" s="288">
        <v>169.94415999999907</v>
      </c>
      <c r="N28" s="4"/>
      <c r="O28" s="635" t="s">
        <v>491</v>
      </c>
      <c r="P28" s="663"/>
      <c r="R28" s="170"/>
      <c r="S28" s="170"/>
      <c r="T28" s="170"/>
      <c r="U28" s="170"/>
      <c r="V28" s="170"/>
      <c r="W28" s="170"/>
    </row>
    <row r="29" spans="1:23" ht="15.75" customHeight="1" thickBot="1">
      <c r="A29" s="650"/>
      <c r="B29" s="657"/>
      <c r="C29" s="108">
        <v>5</v>
      </c>
      <c r="D29" s="397">
        <v>0</v>
      </c>
      <c r="E29" s="627"/>
      <c r="F29" s="628"/>
      <c r="G29" s="397">
        <v>0</v>
      </c>
      <c r="H29" s="627"/>
      <c r="I29" s="628"/>
      <c r="J29" s="306">
        <v>0</v>
      </c>
      <c r="K29" s="14">
        <v>0</v>
      </c>
      <c r="L29" s="306">
        <v>0</v>
      </c>
      <c r="M29" s="288">
        <v>0</v>
      </c>
      <c r="N29" s="4"/>
      <c r="O29" s="635"/>
      <c r="P29" s="663"/>
      <c r="R29" s="170"/>
      <c r="S29" s="170"/>
      <c r="T29" s="170"/>
      <c r="U29" s="170"/>
      <c r="V29" s="170"/>
      <c r="W29" s="170"/>
    </row>
    <row r="30" spans="1:23" ht="15.75" customHeight="1" thickTop="1" thickBot="1">
      <c r="A30" s="650"/>
      <c r="B30" s="657"/>
      <c r="C30" s="658"/>
      <c r="D30" s="658"/>
      <c r="E30" s="658"/>
      <c r="F30" s="658"/>
      <c r="G30" s="658"/>
      <c r="H30" s="658"/>
      <c r="I30" s="659"/>
      <c r="J30" s="114" t="s">
        <v>73</v>
      </c>
      <c r="K30" s="228">
        <v>8.4527496533542829E-3</v>
      </c>
      <c r="L30" s="114" t="s">
        <v>74</v>
      </c>
      <c r="M30" s="230">
        <v>976.36227999999733</v>
      </c>
      <c r="N30" s="660"/>
      <c r="O30" s="661"/>
      <c r="P30" s="662"/>
      <c r="R30" s="170"/>
      <c r="S30" s="170"/>
      <c r="T30" s="170"/>
      <c r="U30" s="170"/>
      <c r="V30" s="170"/>
      <c r="W30" s="170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70"/>
      <c r="S31" s="170"/>
      <c r="T31" s="170"/>
      <c r="U31" s="170"/>
      <c r="V31" s="170"/>
      <c r="W31" s="170"/>
    </row>
    <row r="32" spans="1:23" ht="15.75" customHeight="1">
      <c r="A32" s="649" t="s">
        <v>435</v>
      </c>
      <c r="B32" s="650"/>
      <c r="C32" s="112" t="s">
        <v>52</v>
      </c>
      <c r="D32" s="651" t="s">
        <v>53</v>
      </c>
      <c r="E32" s="652"/>
      <c r="F32" s="653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54" t="s">
        <v>58</v>
      </c>
      <c r="P32" s="655"/>
      <c r="R32" s="170"/>
      <c r="S32" s="170"/>
      <c r="T32" s="170"/>
      <c r="U32" s="170"/>
      <c r="V32" s="170"/>
      <c r="W32" s="170"/>
    </row>
    <row r="33" spans="1:23" ht="15.75" customHeight="1">
      <c r="A33" s="650">
        <v>7</v>
      </c>
      <c r="B33" s="656" t="s">
        <v>471</v>
      </c>
      <c r="C33" s="107">
        <v>1</v>
      </c>
      <c r="D33" s="397" t="s">
        <v>229</v>
      </c>
      <c r="E33" s="627"/>
      <c r="F33" s="628"/>
      <c r="G33" s="397" t="s">
        <v>472</v>
      </c>
      <c r="H33" s="627"/>
      <c r="I33" s="628"/>
      <c r="J33" s="306">
        <v>1682.05</v>
      </c>
      <c r="K33" s="14">
        <v>3.8062283737024256E-2</v>
      </c>
      <c r="L33" s="306">
        <v>0.17600000000000016</v>
      </c>
      <c r="M33" s="288">
        <v>296.04080000000027</v>
      </c>
      <c r="N33" s="4"/>
      <c r="O33" s="635" t="s">
        <v>473</v>
      </c>
      <c r="P33" s="663"/>
      <c r="R33" s="170"/>
      <c r="S33" s="170"/>
      <c r="T33" s="170"/>
      <c r="U33" s="170"/>
      <c r="V33" s="170"/>
      <c r="W33" s="170"/>
    </row>
    <row r="34" spans="1:23" ht="15.75" customHeight="1">
      <c r="A34" s="650"/>
      <c r="B34" s="657"/>
      <c r="C34" s="107">
        <v>2</v>
      </c>
      <c r="D34" s="397" t="s">
        <v>242</v>
      </c>
      <c r="E34" s="627"/>
      <c r="F34" s="628"/>
      <c r="G34" s="397" t="s">
        <v>492</v>
      </c>
      <c r="H34" s="627"/>
      <c r="I34" s="628"/>
      <c r="J34" s="306">
        <v>1223.46</v>
      </c>
      <c r="K34" s="14">
        <v>0.2987012987012988</v>
      </c>
      <c r="L34" s="306">
        <v>0.18400000000000005</v>
      </c>
      <c r="M34" s="288">
        <v>225.11664000000007</v>
      </c>
      <c r="N34" s="4"/>
      <c r="O34" s="635" t="s">
        <v>473</v>
      </c>
      <c r="P34" s="663"/>
      <c r="R34" s="170"/>
      <c r="S34" s="170"/>
      <c r="T34" s="170"/>
      <c r="U34" s="170"/>
      <c r="V34" s="170"/>
      <c r="W34" s="170"/>
    </row>
    <row r="35" spans="1:23" ht="15.75" customHeight="1">
      <c r="A35" s="650"/>
      <c r="B35" s="657"/>
      <c r="C35" s="107">
        <v>3</v>
      </c>
      <c r="D35" s="397" t="s">
        <v>225</v>
      </c>
      <c r="E35" s="627"/>
      <c r="F35" s="628"/>
      <c r="G35" s="397" t="s">
        <v>493</v>
      </c>
      <c r="H35" s="627"/>
      <c r="I35" s="628"/>
      <c r="J35" s="306">
        <v>1760</v>
      </c>
      <c r="K35" s="14">
        <v>4.3643263757115788E-2</v>
      </c>
      <c r="L35" s="306">
        <v>9.2000000000000082E-2</v>
      </c>
      <c r="M35" s="288">
        <v>161.92000000000013</v>
      </c>
      <c r="N35" s="4"/>
      <c r="O35" s="635" t="s">
        <v>473</v>
      </c>
      <c r="P35" s="663"/>
      <c r="R35" s="170"/>
      <c r="S35" s="170"/>
      <c r="T35" s="170"/>
      <c r="U35" s="170"/>
      <c r="V35" s="170"/>
      <c r="W35" s="170"/>
    </row>
    <row r="36" spans="1:23" ht="15.75" customHeight="1">
      <c r="A36" s="650"/>
      <c r="B36" s="657"/>
      <c r="C36" s="107">
        <v>4</v>
      </c>
      <c r="D36" s="397" t="s">
        <v>317</v>
      </c>
      <c r="E36" s="627"/>
      <c r="F36" s="628"/>
      <c r="G36" s="397" t="s">
        <v>494</v>
      </c>
      <c r="H36" s="627"/>
      <c r="I36" s="628"/>
      <c r="J36" s="306">
        <v>2900</v>
      </c>
      <c r="K36" s="14">
        <v>1.044989775051125</v>
      </c>
      <c r="L36" s="306">
        <v>5.1100000000000007E-2</v>
      </c>
      <c r="M36" s="288">
        <v>148.19000000000003</v>
      </c>
      <c r="N36" s="4"/>
      <c r="O36" s="635" t="s">
        <v>495</v>
      </c>
      <c r="P36" s="663"/>
      <c r="R36" s="170"/>
      <c r="S36" s="170"/>
      <c r="T36" s="170"/>
      <c r="U36" s="170"/>
      <c r="V36" s="170"/>
      <c r="W36" s="170"/>
    </row>
    <row r="37" spans="1:23" ht="15.75" customHeight="1" thickBot="1">
      <c r="A37" s="650"/>
      <c r="B37" s="657"/>
      <c r="C37" s="108">
        <v>5</v>
      </c>
      <c r="D37" s="397">
        <v>0</v>
      </c>
      <c r="E37" s="627"/>
      <c r="F37" s="628"/>
      <c r="G37" s="397">
        <v>0</v>
      </c>
      <c r="H37" s="627"/>
      <c r="I37" s="628"/>
      <c r="J37" s="306">
        <v>0</v>
      </c>
      <c r="K37" s="14">
        <v>0</v>
      </c>
      <c r="L37" s="306">
        <v>0</v>
      </c>
      <c r="M37" s="288">
        <v>0</v>
      </c>
      <c r="N37" s="4"/>
      <c r="O37" s="635"/>
      <c r="P37" s="663"/>
      <c r="R37" s="170"/>
      <c r="S37" s="170"/>
      <c r="T37" s="170"/>
      <c r="U37" s="170"/>
      <c r="V37" s="170"/>
      <c r="W37" s="170"/>
    </row>
    <row r="38" spans="1:23" ht="15.75" customHeight="1" thickTop="1" thickBot="1">
      <c r="A38" s="650"/>
      <c r="B38" s="657"/>
      <c r="C38" s="658"/>
      <c r="D38" s="658"/>
      <c r="E38" s="658"/>
      <c r="F38" s="658"/>
      <c r="G38" s="658"/>
      <c r="H38" s="658"/>
      <c r="I38" s="659"/>
      <c r="J38" s="114" t="s">
        <v>73</v>
      </c>
      <c r="K38" s="228">
        <v>7.196606945226035E-3</v>
      </c>
      <c r="L38" s="114" t="s">
        <v>74</v>
      </c>
      <c r="M38" s="230">
        <v>831.26744000000053</v>
      </c>
      <c r="N38" s="660"/>
      <c r="O38" s="661"/>
      <c r="P38" s="662"/>
      <c r="R38" s="170"/>
      <c r="S38" s="170"/>
      <c r="T38" s="170"/>
      <c r="U38" s="170"/>
      <c r="V38" s="170"/>
      <c r="W38" s="170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15" customWidth="1"/>
    <col min="2" max="2" width="7.85546875" style="164" customWidth="1"/>
    <col min="3" max="3" width="4" style="149" customWidth="1"/>
    <col min="4" max="17" width="8.5703125" style="115" customWidth="1"/>
    <col min="18" max="16384" width="12.5703125" style="115"/>
  </cols>
  <sheetData>
    <row r="1" spans="1:17" ht="15.75" customHeight="1">
      <c r="A1" s="424" t="s">
        <v>337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s="116" customFormat="1" ht="15.75" customHeight="1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7" ht="15.75" customHeight="1">
      <c r="A3" s="521" t="s">
        <v>496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</row>
    <row r="4" spans="1:17" s="116" customFormat="1" ht="15.7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  <c r="N4" s="675"/>
      <c r="O4" s="675"/>
      <c r="P4" s="675"/>
      <c r="Q4" s="675"/>
    </row>
    <row r="5" spans="1:17" ht="15.75" customHeight="1">
      <c r="A5" s="442" t="s">
        <v>435</v>
      </c>
      <c r="B5" s="532">
        <v>1</v>
      </c>
      <c r="C5" s="532"/>
      <c r="D5" s="532">
        <v>2</v>
      </c>
      <c r="E5" s="532"/>
      <c r="F5" s="532">
        <v>3</v>
      </c>
      <c r="G5" s="532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647">
        <v>8</v>
      </c>
      <c r="Q5" s="647"/>
    </row>
    <row r="6" spans="1:17" ht="15.75" customHeight="1">
      <c r="A6" s="442"/>
      <c r="B6" s="442" t="s">
        <v>408</v>
      </c>
      <c r="C6" s="442"/>
      <c r="D6" s="442" t="s">
        <v>436</v>
      </c>
      <c r="E6" s="442"/>
      <c r="F6" s="442" t="s">
        <v>410</v>
      </c>
      <c r="G6" s="442"/>
      <c r="H6" s="442" t="s">
        <v>419</v>
      </c>
      <c r="I6" s="442"/>
      <c r="J6" s="442" t="s">
        <v>414</v>
      </c>
      <c r="K6" s="442"/>
      <c r="L6" s="442" t="s">
        <v>415</v>
      </c>
      <c r="M6" s="442"/>
      <c r="N6" s="442" t="s">
        <v>416</v>
      </c>
      <c r="O6" s="442"/>
      <c r="P6" s="648" t="s">
        <v>437</v>
      </c>
      <c r="Q6" s="648"/>
    </row>
    <row r="8" spans="1:17" s="122" customFormat="1" ht="15.75" customHeight="1">
      <c r="A8" s="151" t="s">
        <v>435</v>
      </c>
      <c r="B8" s="167" t="s">
        <v>93</v>
      </c>
      <c r="C8" s="673" t="s">
        <v>53</v>
      </c>
      <c r="D8" s="673"/>
      <c r="E8" s="673"/>
      <c r="F8" s="673" t="s">
        <v>62</v>
      </c>
      <c r="G8" s="673"/>
      <c r="H8" s="673"/>
      <c r="I8" s="167" t="s">
        <v>63</v>
      </c>
      <c r="J8" s="168" t="s">
        <v>94</v>
      </c>
      <c r="K8" s="167" t="s">
        <v>95</v>
      </c>
      <c r="L8" s="167" t="s">
        <v>10</v>
      </c>
      <c r="M8" s="676" t="s">
        <v>96</v>
      </c>
      <c r="N8" s="677"/>
      <c r="O8" s="677"/>
      <c r="P8" s="677"/>
      <c r="Q8" s="677"/>
    </row>
    <row r="9" spans="1:17" ht="15.75" customHeight="1">
      <c r="A9" s="673" t="s">
        <v>48</v>
      </c>
      <c r="B9" s="145">
        <v>1</v>
      </c>
      <c r="C9" s="562"/>
      <c r="D9" s="550"/>
      <c r="E9" s="550"/>
      <c r="F9" s="562"/>
      <c r="G9" s="550"/>
      <c r="H9" s="550"/>
      <c r="I9" s="152"/>
      <c r="J9" s="134"/>
      <c r="K9" s="134"/>
      <c r="L9" s="166">
        <f>K9-J9</f>
        <v>0</v>
      </c>
      <c r="M9" s="562"/>
      <c r="N9" s="562"/>
      <c r="O9" s="562"/>
      <c r="P9" s="562"/>
      <c r="Q9" s="562"/>
    </row>
    <row r="10" spans="1:17" ht="15.75" customHeight="1">
      <c r="A10" s="674"/>
      <c r="B10" s="145">
        <v>2</v>
      </c>
      <c r="C10" s="562"/>
      <c r="D10" s="550"/>
      <c r="E10" s="550"/>
      <c r="F10" s="562"/>
      <c r="G10" s="550"/>
      <c r="H10" s="550"/>
      <c r="I10" s="152"/>
      <c r="J10" s="134"/>
      <c r="K10" s="134"/>
      <c r="L10" s="166">
        <f>K10-J10</f>
        <v>0</v>
      </c>
      <c r="M10" s="562"/>
      <c r="N10" s="562"/>
      <c r="O10" s="562"/>
      <c r="P10" s="562"/>
      <c r="Q10" s="562"/>
    </row>
    <row r="11" spans="1:17" ht="15.75" customHeight="1">
      <c r="A11" s="674"/>
      <c r="B11" s="145">
        <v>3</v>
      </c>
      <c r="C11" s="562"/>
      <c r="D11" s="550"/>
      <c r="E11" s="550"/>
      <c r="F11" s="562"/>
      <c r="G11" s="550"/>
      <c r="H11" s="550"/>
      <c r="I11" s="152"/>
      <c r="J11" s="134"/>
      <c r="K11" s="134"/>
      <c r="L11" s="166">
        <f>K11-J11</f>
        <v>0</v>
      </c>
      <c r="M11" s="562"/>
      <c r="N11" s="562"/>
      <c r="O11" s="562"/>
      <c r="P11" s="562"/>
      <c r="Q11" s="562"/>
    </row>
    <row r="12" spans="1:17" ht="15.75" customHeight="1">
      <c r="A12" s="674"/>
      <c r="B12" s="145">
        <v>4</v>
      </c>
      <c r="C12" s="562"/>
      <c r="D12" s="550"/>
      <c r="E12" s="550"/>
      <c r="F12" s="562"/>
      <c r="G12" s="550"/>
      <c r="H12" s="550"/>
      <c r="I12" s="152"/>
      <c r="J12" s="134"/>
      <c r="K12" s="134"/>
      <c r="L12" s="166">
        <f>K12-J12</f>
        <v>0</v>
      </c>
      <c r="M12" s="562"/>
      <c r="N12" s="562"/>
      <c r="O12" s="562"/>
      <c r="P12" s="562"/>
      <c r="Q12" s="562"/>
    </row>
    <row r="13" spans="1:17" ht="15.75" customHeight="1">
      <c r="A13" s="674"/>
      <c r="B13" s="145">
        <v>5</v>
      </c>
      <c r="C13" s="562"/>
      <c r="D13" s="550"/>
      <c r="E13" s="550"/>
      <c r="F13" s="562"/>
      <c r="G13" s="550"/>
      <c r="H13" s="550"/>
      <c r="I13" s="152"/>
      <c r="J13" s="134"/>
      <c r="K13" s="134"/>
      <c r="L13" s="166">
        <f>K13-J13</f>
        <v>0</v>
      </c>
      <c r="M13" s="562"/>
      <c r="N13" s="562"/>
      <c r="O13" s="562"/>
      <c r="P13" s="562"/>
      <c r="Q13" s="562"/>
    </row>
    <row r="14" spans="1:17" ht="15.75" customHeight="1">
      <c r="A14" s="671"/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1"/>
      <c r="N14" s="671"/>
      <c r="O14" s="672"/>
    </row>
    <row r="15" spans="1:17" s="122" customFormat="1" ht="15.75" customHeight="1">
      <c r="A15" s="151" t="s">
        <v>435</v>
      </c>
      <c r="B15" s="151" t="s">
        <v>93</v>
      </c>
      <c r="C15" s="670" t="s">
        <v>53</v>
      </c>
      <c r="D15" s="670"/>
      <c r="E15" s="670"/>
      <c r="F15" s="670" t="s">
        <v>62</v>
      </c>
      <c r="G15" s="670"/>
      <c r="H15" s="670"/>
      <c r="I15" s="151" t="s">
        <v>63</v>
      </c>
      <c r="J15" s="165" t="s">
        <v>94</v>
      </c>
      <c r="K15" s="151" t="s">
        <v>95</v>
      </c>
      <c r="L15" s="151" t="s">
        <v>10</v>
      </c>
      <c r="M15" s="670" t="s">
        <v>96</v>
      </c>
      <c r="N15" s="670"/>
      <c r="O15" s="670"/>
      <c r="P15" s="670"/>
      <c r="Q15" s="670"/>
    </row>
    <row r="16" spans="1:17" ht="15.75" customHeight="1">
      <c r="A16" s="670" t="s">
        <v>497</v>
      </c>
      <c r="B16" s="145">
        <v>1</v>
      </c>
      <c r="C16" s="562"/>
      <c r="D16" s="550"/>
      <c r="E16" s="550"/>
      <c r="F16" s="562"/>
      <c r="G16" s="550"/>
      <c r="H16" s="550"/>
      <c r="I16" s="152"/>
      <c r="J16" s="134"/>
      <c r="K16" s="134"/>
      <c r="L16" s="166">
        <f>K16-J16</f>
        <v>0</v>
      </c>
      <c r="M16" s="562"/>
      <c r="N16" s="562"/>
      <c r="O16" s="562"/>
      <c r="P16" s="562"/>
      <c r="Q16" s="562"/>
    </row>
    <row r="17" spans="1:17" ht="15.75" customHeight="1">
      <c r="A17" s="670"/>
      <c r="B17" s="145">
        <v>2</v>
      </c>
      <c r="C17" s="562"/>
      <c r="D17" s="550"/>
      <c r="E17" s="550"/>
      <c r="F17" s="562"/>
      <c r="G17" s="550"/>
      <c r="H17" s="550"/>
      <c r="I17" s="152"/>
      <c r="J17" s="134"/>
      <c r="K17" s="134"/>
      <c r="L17" s="166">
        <f>K17-J17</f>
        <v>0</v>
      </c>
      <c r="M17" s="562"/>
      <c r="N17" s="562"/>
      <c r="O17" s="562"/>
      <c r="P17" s="562"/>
      <c r="Q17" s="562"/>
    </row>
    <row r="18" spans="1:17" ht="15.75" customHeight="1">
      <c r="A18" s="670"/>
      <c r="B18" s="145">
        <v>3</v>
      </c>
      <c r="C18" s="562"/>
      <c r="D18" s="550"/>
      <c r="E18" s="550"/>
      <c r="F18" s="562"/>
      <c r="G18" s="550"/>
      <c r="H18" s="550"/>
      <c r="I18" s="152"/>
      <c r="J18" s="134"/>
      <c r="K18" s="134"/>
      <c r="L18" s="166">
        <f>K18-J18</f>
        <v>0</v>
      </c>
      <c r="M18" s="562"/>
      <c r="N18" s="562"/>
      <c r="O18" s="562"/>
      <c r="P18" s="562"/>
      <c r="Q18" s="562"/>
    </row>
    <row r="19" spans="1:17" ht="15.75" customHeight="1">
      <c r="A19" s="670"/>
      <c r="B19" s="145">
        <v>4</v>
      </c>
      <c r="C19" s="562"/>
      <c r="D19" s="550"/>
      <c r="E19" s="550"/>
      <c r="F19" s="562"/>
      <c r="G19" s="550"/>
      <c r="H19" s="550"/>
      <c r="I19" s="152"/>
      <c r="J19" s="134"/>
      <c r="K19" s="134"/>
      <c r="L19" s="166">
        <f>K19-J19</f>
        <v>0</v>
      </c>
      <c r="M19" s="562"/>
      <c r="N19" s="562"/>
      <c r="O19" s="562"/>
      <c r="P19" s="562"/>
      <c r="Q19" s="562"/>
    </row>
    <row r="20" spans="1:17" ht="15.75" customHeight="1">
      <c r="A20" s="670"/>
      <c r="B20" s="145">
        <v>5</v>
      </c>
      <c r="C20" s="562"/>
      <c r="D20" s="550"/>
      <c r="E20" s="550"/>
      <c r="F20" s="562"/>
      <c r="G20" s="550"/>
      <c r="H20" s="550"/>
      <c r="I20" s="152"/>
      <c r="J20" s="134"/>
      <c r="K20" s="134"/>
      <c r="L20" s="166">
        <f>K20-J20</f>
        <v>0</v>
      </c>
      <c r="M20" s="562"/>
      <c r="N20" s="562"/>
      <c r="O20" s="562"/>
      <c r="P20" s="562"/>
      <c r="Q20" s="56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70" zoomScaleNormal="70" workbookViewId="0">
      <pane xSplit="4" ySplit="6" topLeftCell="Z7" activePane="bottomRight" state="frozen"/>
      <selection pane="bottomRight" activeCell="U8" sqref="U8"/>
      <selection pane="bottomLeft" activeCell="G39" sqref="G39"/>
      <selection pane="topRight" activeCell="G39" sqref="G39"/>
    </sheetView>
  </sheetViews>
  <sheetFormatPr defaultColWidth="8.85546875" defaultRowHeight="14.25"/>
  <cols>
    <col min="1" max="1" width="8.85546875" style="314"/>
    <col min="2" max="2" width="12.42578125" style="314" customWidth="1"/>
    <col min="3" max="3" width="8.85546875" style="314"/>
    <col min="4" max="4" width="11.5703125" style="314" customWidth="1"/>
    <col min="5" max="5" width="39.28515625" style="314" bestFit="1" customWidth="1"/>
    <col min="6" max="6" width="11.42578125" style="314" bestFit="1" customWidth="1"/>
    <col min="7" max="7" width="14.140625" style="314" customWidth="1"/>
    <col min="8" max="8" width="14" style="314" customWidth="1"/>
    <col min="9" max="9" width="16.85546875" style="314" customWidth="1"/>
    <col min="10" max="10" width="14" style="314" customWidth="1"/>
    <col min="11" max="11" width="11.5703125" style="314" bestFit="1" customWidth="1"/>
    <col min="12" max="12" width="13.42578125" style="314" bestFit="1" customWidth="1"/>
    <col min="13" max="13" width="19.140625" style="314" bestFit="1" customWidth="1"/>
    <col min="14" max="14" width="15.28515625" style="314" bestFit="1" customWidth="1"/>
    <col min="15" max="15" width="12.5703125" style="314" bestFit="1" customWidth="1"/>
    <col min="16" max="16" width="9.7109375" style="314" bestFit="1" customWidth="1"/>
    <col min="17" max="17" width="12.140625" style="314" bestFit="1" customWidth="1"/>
    <col min="18" max="18" width="10.7109375" style="314" customWidth="1"/>
    <col min="19" max="19" width="13.42578125" style="314" bestFit="1" customWidth="1"/>
    <col min="20" max="20" width="12.42578125" style="314" bestFit="1" customWidth="1"/>
    <col min="21" max="21" width="25.28515625" style="314" bestFit="1" customWidth="1"/>
    <col min="22" max="23" width="88.28515625" style="314" customWidth="1"/>
    <col min="24" max="24" width="7.42578125" style="314" bestFit="1" customWidth="1"/>
    <col min="25" max="25" width="69.5703125" style="314" bestFit="1" customWidth="1"/>
    <col min="26" max="26" width="11.42578125" style="314" bestFit="1" customWidth="1"/>
    <col min="27" max="27" width="21.5703125" style="314" customWidth="1"/>
    <col min="28" max="28" width="19.42578125" style="314" bestFit="1" customWidth="1"/>
    <col min="29" max="34" width="14.42578125" style="314" customWidth="1"/>
    <col min="35" max="35" width="11.42578125" style="314" bestFit="1" customWidth="1"/>
    <col min="36" max="16384" width="8.85546875" style="314"/>
  </cols>
  <sheetData>
    <row r="2" spans="2:35" ht="41.1" customHeight="1">
      <c r="B2" s="689" t="s">
        <v>498</v>
      </c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AA2" s="315"/>
      <c r="AB2" s="315"/>
    </row>
    <row r="3" spans="2:35" ht="17.100000000000001" customHeight="1">
      <c r="B3" s="691" t="s">
        <v>499</v>
      </c>
      <c r="C3" s="692"/>
      <c r="D3" s="685" t="s">
        <v>500</v>
      </c>
      <c r="E3" s="685"/>
      <c r="F3" s="685"/>
      <c r="G3" s="685" t="s">
        <v>501</v>
      </c>
      <c r="H3" s="685"/>
      <c r="I3" s="685"/>
      <c r="J3" s="685"/>
      <c r="K3" s="685"/>
      <c r="L3" s="685"/>
      <c r="M3" s="685"/>
      <c r="N3" s="685"/>
      <c r="O3" s="685"/>
      <c r="P3" s="685"/>
      <c r="Q3" s="685"/>
      <c r="R3" s="685"/>
      <c r="S3" s="685"/>
      <c r="T3" s="685" t="s">
        <v>502</v>
      </c>
      <c r="U3" s="697" t="s">
        <v>503</v>
      </c>
      <c r="V3" s="700" t="s">
        <v>504</v>
      </c>
      <c r="W3" s="700" t="s">
        <v>505</v>
      </c>
      <c r="X3" s="703" t="s">
        <v>506</v>
      </c>
      <c r="Y3" s="687" t="s">
        <v>507</v>
      </c>
      <c r="AA3" s="685" t="s">
        <v>508</v>
      </c>
      <c r="AB3" s="685"/>
      <c r="AC3" s="685"/>
      <c r="AD3" s="685"/>
      <c r="AE3" s="685"/>
      <c r="AF3" s="685"/>
      <c r="AG3" s="685"/>
      <c r="AH3" s="685"/>
      <c r="AI3" s="685"/>
    </row>
    <row r="4" spans="2:35" ht="17.100000000000001" customHeight="1">
      <c r="B4" s="693"/>
      <c r="C4" s="694"/>
      <c r="D4" s="686" t="s">
        <v>509</v>
      </c>
      <c r="E4" s="685" t="s">
        <v>510</v>
      </c>
      <c r="F4" s="685"/>
      <c r="G4" s="685" t="s">
        <v>511</v>
      </c>
      <c r="H4" s="685"/>
      <c r="I4" s="685"/>
      <c r="J4" s="685"/>
      <c r="K4" s="685"/>
      <c r="L4" s="685"/>
      <c r="M4" s="685"/>
      <c r="N4" s="685"/>
      <c r="O4" s="685" t="s">
        <v>512</v>
      </c>
      <c r="P4" s="685"/>
      <c r="Q4" s="685"/>
      <c r="R4" s="685"/>
      <c r="S4" s="685"/>
      <c r="T4" s="685"/>
      <c r="U4" s="698"/>
      <c r="V4" s="701"/>
      <c r="W4" s="701"/>
      <c r="X4" s="704"/>
      <c r="Y4" s="687"/>
      <c r="AA4" s="685"/>
      <c r="AB4" s="685"/>
      <c r="AC4" s="685"/>
      <c r="AD4" s="685"/>
      <c r="AE4" s="685"/>
      <c r="AF4" s="685"/>
      <c r="AG4" s="685"/>
      <c r="AH4" s="685"/>
      <c r="AI4" s="685"/>
    </row>
    <row r="5" spans="2:35" ht="17.100000000000001" customHeight="1">
      <c r="B5" s="693"/>
      <c r="C5" s="694"/>
      <c r="D5" s="686"/>
      <c r="E5" s="686" t="s">
        <v>513</v>
      </c>
      <c r="F5" s="687" t="s">
        <v>514</v>
      </c>
      <c r="G5" s="688" t="s">
        <v>515</v>
      </c>
      <c r="H5" s="688"/>
      <c r="I5" s="688"/>
      <c r="J5" s="688"/>
      <c r="K5" s="688"/>
      <c r="L5" s="688"/>
      <c r="M5" s="688"/>
      <c r="N5" s="688"/>
      <c r="O5" s="688" t="s">
        <v>516</v>
      </c>
      <c r="P5" s="688"/>
      <c r="Q5" s="688" t="s">
        <v>517</v>
      </c>
      <c r="R5" s="688"/>
      <c r="S5" s="688"/>
      <c r="T5" s="685"/>
      <c r="U5" s="698"/>
      <c r="V5" s="701"/>
      <c r="W5" s="701"/>
      <c r="X5" s="704"/>
      <c r="Y5" s="687"/>
      <c r="AA5" s="685"/>
      <c r="AB5" s="685"/>
      <c r="AC5" s="685"/>
      <c r="AD5" s="685"/>
      <c r="AE5" s="685"/>
      <c r="AF5" s="685"/>
      <c r="AG5" s="685"/>
      <c r="AH5" s="685"/>
      <c r="AI5" s="685"/>
    </row>
    <row r="6" spans="2:35" ht="38.450000000000003" customHeight="1">
      <c r="B6" s="695"/>
      <c r="C6" s="696"/>
      <c r="D6" s="686"/>
      <c r="E6" s="686"/>
      <c r="F6" s="687"/>
      <c r="G6" s="316" t="s">
        <v>518</v>
      </c>
      <c r="H6" s="316" t="s">
        <v>519</v>
      </c>
      <c r="I6" s="316" t="s">
        <v>520</v>
      </c>
      <c r="J6" s="316" t="s">
        <v>521</v>
      </c>
      <c r="K6" s="316" t="s">
        <v>522</v>
      </c>
      <c r="L6" s="316" t="s">
        <v>523</v>
      </c>
      <c r="M6" s="316" t="s">
        <v>524</v>
      </c>
      <c r="N6" s="316" t="s">
        <v>525</v>
      </c>
      <c r="O6" s="317" t="s">
        <v>526</v>
      </c>
      <c r="P6" s="317" t="s">
        <v>527</v>
      </c>
      <c r="Q6" s="317" t="s">
        <v>526</v>
      </c>
      <c r="R6" s="317" t="s">
        <v>527</v>
      </c>
      <c r="S6" s="316" t="s">
        <v>528</v>
      </c>
      <c r="T6" s="685"/>
      <c r="U6" s="699"/>
      <c r="V6" s="702"/>
      <c r="W6" s="702"/>
      <c r="X6" s="705"/>
      <c r="Y6" s="687"/>
      <c r="AA6" s="203" t="s">
        <v>529</v>
      </c>
      <c r="AB6" s="203" t="s">
        <v>439</v>
      </c>
      <c r="AC6" s="304" t="s">
        <v>530</v>
      </c>
      <c r="AD6" s="304" t="s">
        <v>444</v>
      </c>
      <c r="AE6" s="304" t="s">
        <v>531</v>
      </c>
      <c r="AF6" s="304" t="s">
        <v>532</v>
      </c>
      <c r="AG6" s="304" t="s">
        <v>533</v>
      </c>
      <c r="AH6" s="304" t="s">
        <v>471</v>
      </c>
      <c r="AI6" s="304" t="s">
        <v>534</v>
      </c>
    </row>
    <row r="7" spans="2:35" s="330" customFormat="1" ht="27" customHeight="1">
      <c r="B7" s="678" t="s">
        <v>535</v>
      </c>
      <c r="C7" s="679"/>
      <c r="D7" s="318">
        <v>1</v>
      </c>
      <c r="E7" s="319" t="s">
        <v>464</v>
      </c>
      <c r="F7" s="320">
        <v>1050.825</v>
      </c>
      <c r="G7" s="320">
        <v>516.49499999999989</v>
      </c>
      <c r="H7" s="320">
        <v>521.29999999999995</v>
      </c>
      <c r="I7" s="321">
        <v>1.0093030910270189</v>
      </c>
      <c r="J7" s="320">
        <v>0.3</v>
      </c>
      <c r="K7" s="321">
        <v>5.8083814944965596E-4</v>
      </c>
      <c r="L7" s="320">
        <v>420.33</v>
      </c>
      <c r="M7" s="321">
        <v>1.0098839291764683</v>
      </c>
      <c r="N7" s="322">
        <v>2019.6856500000267</v>
      </c>
      <c r="O7" s="320">
        <v>2.5</v>
      </c>
      <c r="P7" s="321">
        <v>4.8403179120804661E-3</v>
      </c>
      <c r="Q7" s="323">
        <v>5.1050000000000182</v>
      </c>
      <c r="R7" s="321">
        <v>9.8839291764683482E-3</v>
      </c>
      <c r="S7" s="320">
        <v>2145.7846500000078</v>
      </c>
      <c r="T7" s="331" t="s">
        <v>536</v>
      </c>
      <c r="U7" s="324" t="s">
        <v>458</v>
      </c>
      <c r="V7" s="357" t="s">
        <v>537</v>
      </c>
      <c r="W7" s="357" t="s">
        <v>538</v>
      </c>
      <c r="X7" s="325">
        <v>1</v>
      </c>
      <c r="Y7" s="326" t="s">
        <v>306</v>
      </c>
      <c r="Z7" s="327" t="s">
        <v>539</v>
      </c>
      <c r="AA7" s="328">
        <f>SUM(X7:X26)</f>
        <v>20</v>
      </c>
      <c r="AB7" s="329">
        <f t="shared" ref="AB7:AI7" si="0">SUMIF($U$7:$U$26,TRIM(AB6),$X$7:$X$26)</f>
        <v>0</v>
      </c>
      <c r="AC7" s="329">
        <f t="shared" si="0"/>
        <v>0</v>
      </c>
      <c r="AD7" s="329">
        <f t="shared" si="0"/>
        <v>2</v>
      </c>
      <c r="AE7" s="329">
        <f t="shared" si="0"/>
        <v>11</v>
      </c>
      <c r="AF7" s="329">
        <f t="shared" si="0"/>
        <v>6</v>
      </c>
      <c r="AG7" s="329">
        <f t="shared" si="0"/>
        <v>1</v>
      </c>
      <c r="AH7" s="329">
        <f t="shared" si="0"/>
        <v>0</v>
      </c>
      <c r="AI7" s="329">
        <f t="shared" si="0"/>
        <v>0</v>
      </c>
    </row>
    <row r="8" spans="2:35" s="330" customFormat="1" ht="27" customHeight="1">
      <c r="B8" s="680"/>
      <c r="C8" s="681"/>
      <c r="D8" s="318">
        <v>2</v>
      </c>
      <c r="E8" s="319" t="s">
        <v>448</v>
      </c>
      <c r="F8" s="320">
        <v>920.50200000000007</v>
      </c>
      <c r="G8" s="320">
        <v>104.05799999999999</v>
      </c>
      <c r="H8" s="320">
        <v>107.39999999999999</v>
      </c>
      <c r="I8" s="321">
        <v>1.0321167041457648</v>
      </c>
      <c r="J8" s="320">
        <v>0</v>
      </c>
      <c r="K8" s="321">
        <v>0</v>
      </c>
      <c r="L8" s="320">
        <v>418.41</v>
      </c>
      <c r="M8" s="321">
        <v>1.0321167041457648</v>
      </c>
      <c r="N8" s="322">
        <v>1398.3262199999995</v>
      </c>
      <c r="O8" s="320">
        <v>2.2000000000000002</v>
      </c>
      <c r="P8" s="321">
        <v>2.1142055392185131E-2</v>
      </c>
      <c r="Q8" s="323">
        <v>3.3419999999999987</v>
      </c>
      <c r="R8" s="321">
        <v>3.2116704145764854E-2</v>
      </c>
      <c r="S8" s="320">
        <v>1398.3262199999995</v>
      </c>
      <c r="T8" s="331" t="s">
        <v>540</v>
      </c>
      <c r="U8" s="324" t="s">
        <v>419</v>
      </c>
      <c r="V8" s="357"/>
      <c r="W8" s="357"/>
      <c r="X8" s="325">
        <v>1</v>
      </c>
      <c r="Y8" s="326" t="s">
        <v>293</v>
      </c>
      <c r="AA8" s="328"/>
      <c r="AB8" s="332">
        <f>SUMIF($U$7:$U$26,TRIM(AB6),$F$7:$F$26)</f>
        <v>0</v>
      </c>
      <c r="AC8" s="332">
        <f>SUMIF($U$7:$U$26,TRIM(AC6),$F$7:$F$26)</f>
        <v>0</v>
      </c>
      <c r="AD8" s="332">
        <f t="shared" ref="AD8:AI8" ca="1" si="1">SUMIF($U$7:$U$176,TRIM(AD6),$F$7:$F$26)</f>
        <v>1561.2310000000002</v>
      </c>
      <c r="AE8" s="332">
        <f t="shared" ca="1" si="1"/>
        <v>8450.4590000000007</v>
      </c>
      <c r="AF8" s="332">
        <f t="shared" ca="1" si="1"/>
        <v>5031.1379999999999</v>
      </c>
      <c r="AG8" s="332">
        <f t="shared" ca="1" si="1"/>
        <v>765.08999999999992</v>
      </c>
      <c r="AH8" s="332">
        <f t="shared" ca="1" si="1"/>
        <v>0</v>
      </c>
      <c r="AI8" s="332">
        <f t="shared" ca="1" si="1"/>
        <v>0</v>
      </c>
    </row>
    <row r="9" spans="2:35" s="330" customFormat="1" ht="27" customHeight="1">
      <c r="B9" s="680"/>
      <c r="C9" s="681"/>
      <c r="D9" s="318">
        <v>3</v>
      </c>
      <c r="E9" s="319" t="s">
        <v>484</v>
      </c>
      <c r="F9" s="320">
        <v>872.88</v>
      </c>
      <c r="G9" s="320">
        <v>143.01299999999998</v>
      </c>
      <c r="H9" s="320">
        <v>145.30000000000001</v>
      </c>
      <c r="I9" s="321">
        <v>1.0159915532154422</v>
      </c>
      <c r="J9" s="320">
        <v>1.2</v>
      </c>
      <c r="K9" s="321">
        <v>8.3908455874640783E-3</v>
      </c>
      <c r="L9" s="320">
        <v>581.91999999999996</v>
      </c>
      <c r="M9" s="321">
        <v>1.0243823988029062</v>
      </c>
      <c r="N9" s="322">
        <v>1330.85104000002</v>
      </c>
      <c r="O9" s="320">
        <v>1.5</v>
      </c>
      <c r="P9" s="321">
        <v>1.0488556984330098E-2</v>
      </c>
      <c r="Q9" s="323">
        <v>3.4870000000000232</v>
      </c>
      <c r="R9" s="321">
        <v>2.4382398802906196E-2</v>
      </c>
      <c r="S9" s="320">
        <v>2029.1550400000133</v>
      </c>
      <c r="T9" s="318" t="s">
        <v>536</v>
      </c>
      <c r="U9" s="324" t="s">
        <v>458</v>
      </c>
      <c r="V9" s="357" t="s">
        <v>541</v>
      </c>
      <c r="W9" s="357" t="s">
        <v>542</v>
      </c>
      <c r="X9" s="325">
        <v>1</v>
      </c>
      <c r="Y9" s="326" t="s">
        <v>288</v>
      </c>
      <c r="AB9" s="391">
        <f t="shared" ref="AB9:AC9" si="2">AB7/$AA$7</f>
        <v>0</v>
      </c>
      <c r="AC9" s="391">
        <f t="shared" si="2"/>
        <v>0</v>
      </c>
      <c r="AD9" s="391">
        <f>AD7/$AA$7</f>
        <v>0.1</v>
      </c>
      <c r="AE9" s="391">
        <f t="shared" ref="AE9:AI9" si="3">AE7/$AA$7</f>
        <v>0.55000000000000004</v>
      </c>
      <c r="AF9" s="391">
        <f t="shared" si="3"/>
        <v>0.3</v>
      </c>
      <c r="AG9" s="391">
        <f t="shared" si="3"/>
        <v>0.05</v>
      </c>
      <c r="AH9" s="391">
        <f t="shared" si="3"/>
        <v>0</v>
      </c>
      <c r="AI9" s="391">
        <f t="shared" si="3"/>
        <v>0</v>
      </c>
    </row>
    <row r="10" spans="2:35" s="330" customFormat="1" ht="27" customHeight="1">
      <c r="B10" s="680"/>
      <c r="C10" s="681"/>
      <c r="D10" s="318">
        <v>4</v>
      </c>
      <c r="E10" s="319" t="s">
        <v>543</v>
      </c>
      <c r="F10" s="320">
        <v>841.06000000000017</v>
      </c>
      <c r="G10" s="320">
        <v>169.82214754098359</v>
      </c>
      <c r="H10" s="320">
        <v>173.29999999999998</v>
      </c>
      <c r="I10" s="321">
        <v>1.0204793809840207</v>
      </c>
      <c r="J10" s="320">
        <v>0.6</v>
      </c>
      <c r="K10" s="321">
        <v>3.5331080703428302E-3</v>
      </c>
      <c r="L10" s="320">
        <v>382.3</v>
      </c>
      <c r="M10" s="321">
        <v>1.0240124890543636</v>
      </c>
      <c r="N10" s="322">
        <v>1329.5829950819659</v>
      </c>
      <c r="O10" s="320">
        <v>2.2000000000000002</v>
      </c>
      <c r="P10" s="321">
        <v>1.2954729591257047E-2</v>
      </c>
      <c r="Q10" s="323">
        <v>4.077852459016384</v>
      </c>
      <c r="R10" s="321">
        <v>2.4012489054363571E-2</v>
      </c>
      <c r="S10" s="320">
        <v>1558.9629950819638</v>
      </c>
      <c r="T10" s="324" t="s">
        <v>540</v>
      </c>
      <c r="U10" s="324" t="s">
        <v>419</v>
      </c>
      <c r="V10" s="357" t="s">
        <v>544</v>
      </c>
      <c r="W10" s="357" t="s">
        <v>545</v>
      </c>
      <c r="X10" s="325">
        <v>1</v>
      </c>
      <c r="Y10" s="326" t="s">
        <v>235</v>
      </c>
    </row>
    <row r="11" spans="2:35" s="330" customFormat="1" ht="27" customHeight="1">
      <c r="B11" s="680"/>
      <c r="C11" s="681"/>
      <c r="D11" s="318">
        <v>5</v>
      </c>
      <c r="E11" s="319" t="s">
        <v>546</v>
      </c>
      <c r="F11" s="320">
        <v>821.04000000000008</v>
      </c>
      <c r="G11" s="320">
        <v>298.62</v>
      </c>
      <c r="H11" s="320">
        <v>303.2</v>
      </c>
      <c r="I11" s="321">
        <v>1.0153372178688633</v>
      </c>
      <c r="J11" s="320">
        <v>0</v>
      </c>
      <c r="K11" s="321">
        <v>0</v>
      </c>
      <c r="L11" s="320">
        <v>273.68</v>
      </c>
      <c r="M11" s="321">
        <v>1.0153372178688633</v>
      </c>
      <c r="N11" s="322">
        <v>1253.4543999999958</v>
      </c>
      <c r="O11" s="320">
        <v>3</v>
      </c>
      <c r="P11" s="321">
        <v>1.0046212577858147E-2</v>
      </c>
      <c r="Q11" s="323">
        <v>4.5799999999999841</v>
      </c>
      <c r="R11" s="321">
        <v>1.5337217868863384E-2</v>
      </c>
      <c r="S11" s="320">
        <v>1253.4543999999958</v>
      </c>
      <c r="T11" s="324" t="s">
        <v>536</v>
      </c>
      <c r="U11" s="324" t="s">
        <v>458</v>
      </c>
      <c r="V11" s="357" t="s">
        <v>537</v>
      </c>
      <c r="W11" s="357" t="s">
        <v>538</v>
      </c>
      <c r="X11" s="325">
        <v>1</v>
      </c>
      <c r="Y11" s="326" t="s">
        <v>279</v>
      </c>
    </row>
    <row r="12" spans="2:35" s="330" customFormat="1" ht="27" customHeight="1">
      <c r="B12" s="680"/>
      <c r="C12" s="681"/>
      <c r="D12" s="318">
        <v>6</v>
      </c>
      <c r="E12" s="319" t="s">
        <v>445</v>
      </c>
      <c r="F12" s="320">
        <v>815.87200000000007</v>
      </c>
      <c r="G12" s="320">
        <v>1130.0210000000002</v>
      </c>
      <c r="H12" s="320">
        <v>1142.3</v>
      </c>
      <c r="I12" s="321">
        <v>1.010866169743748</v>
      </c>
      <c r="J12" s="320">
        <v>0</v>
      </c>
      <c r="K12" s="321">
        <v>0</v>
      </c>
      <c r="L12" s="320">
        <v>127.48</v>
      </c>
      <c r="M12" s="321">
        <v>1.010866169743748</v>
      </c>
      <c r="N12" s="322">
        <v>1565.3269199999706</v>
      </c>
      <c r="O12" s="320">
        <v>6.4</v>
      </c>
      <c r="P12" s="321">
        <v>5.6636115612010741E-3</v>
      </c>
      <c r="Q12" s="323">
        <v>12.278999999999769</v>
      </c>
      <c r="R12" s="321">
        <v>1.0866169743747919E-2</v>
      </c>
      <c r="S12" s="320">
        <v>1565.3269199999706</v>
      </c>
      <c r="T12" s="324" t="s">
        <v>547</v>
      </c>
      <c r="U12" s="324" t="s">
        <v>548</v>
      </c>
      <c r="V12" s="357" t="s">
        <v>549</v>
      </c>
      <c r="W12" s="357" t="s">
        <v>550</v>
      </c>
      <c r="X12" s="325">
        <v>1</v>
      </c>
      <c r="Y12" s="326" t="s">
        <v>331</v>
      </c>
    </row>
    <row r="13" spans="2:35" s="330" customFormat="1" ht="27" customHeight="1">
      <c r="B13" s="680"/>
      <c r="C13" s="681"/>
      <c r="D13" s="318">
        <v>7</v>
      </c>
      <c r="E13" s="319" t="s">
        <v>459</v>
      </c>
      <c r="F13" s="320">
        <v>812.51099999999997</v>
      </c>
      <c r="G13" s="320">
        <v>266.45000000000005</v>
      </c>
      <c r="H13" s="320">
        <v>271.5</v>
      </c>
      <c r="I13" s="321">
        <v>1.0189528992306247</v>
      </c>
      <c r="J13" s="320">
        <v>0</v>
      </c>
      <c r="K13" s="321">
        <v>0</v>
      </c>
      <c r="L13" s="320">
        <v>300.93</v>
      </c>
      <c r="M13" s="321">
        <v>1.0189528992306247</v>
      </c>
      <c r="N13" s="322">
        <v>1519.6964999999864</v>
      </c>
      <c r="O13" s="320">
        <v>2.6999999999999997</v>
      </c>
      <c r="P13" s="321">
        <v>1.0133233252017261E-2</v>
      </c>
      <c r="Q13" s="323">
        <v>5.0499999999999545</v>
      </c>
      <c r="R13" s="321">
        <v>1.8952899230624709E-2</v>
      </c>
      <c r="S13" s="320">
        <v>1519.6964999999864</v>
      </c>
      <c r="T13" s="318" t="s">
        <v>536</v>
      </c>
      <c r="U13" s="324" t="s">
        <v>458</v>
      </c>
      <c r="V13" s="357" t="s">
        <v>551</v>
      </c>
      <c r="W13" s="357" t="s">
        <v>552</v>
      </c>
      <c r="X13" s="325">
        <v>1</v>
      </c>
      <c r="Y13" s="326" t="s">
        <v>297</v>
      </c>
      <c r="AB13" s="330">
        <v>1</v>
      </c>
      <c r="AC13" s="333" t="s">
        <v>439</v>
      </c>
    </row>
    <row r="14" spans="2:35" s="330" customFormat="1" ht="27" customHeight="1">
      <c r="B14" s="680"/>
      <c r="C14" s="681"/>
      <c r="D14" s="318">
        <v>8</v>
      </c>
      <c r="E14" s="319" t="s">
        <v>553</v>
      </c>
      <c r="F14" s="320">
        <v>806.548</v>
      </c>
      <c r="G14" s="320">
        <v>509.07600000000002</v>
      </c>
      <c r="H14" s="320">
        <v>514.6</v>
      </c>
      <c r="I14" s="321">
        <v>1.0108510320659392</v>
      </c>
      <c r="J14" s="320">
        <v>0</v>
      </c>
      <c r="K14" s="321">
        <v>0</v>
      </c>
      <c r="L14" s="320">
        <v>278.12</v>
      </c>
      <c r="M14" s="321">
        <v>1.0108510320659392</v>
      </c>
      <c r="N14" s="322">
        <v>1536.3348800000003</v>
      </c>
      <c r="O14" s="320">
        <v>2.9000000000000004</v>
      </c>
      <c r="P14" s="321">
        <v>5.6965954002938662E-3</v>
      </c>
      <c r="Q14" s="323">
        <v>5.5240000000000009</v>
      </c>
      <c r="R14" s="321">
        <v>1.0851032065939075E-2</v>
      </c>
      <c r="S14" s="320">
        <v>1536.3348800000003</v>
      </c>
      <c r="T14" s="324" t="s">
        <v>540</v>
      </c>
      <c r="U14" s="324" t="s">
        <v>419</v>
      </c>
      <c r="V14" s="357" t="s">
        <v>554</v>
      </c>
      <c r="W14" s="357" t="s">
        <v>555</v>
      </c>
      <c r="X14" s="325">
        <v>1</v>
      </c>
      <c r="Y14" s="326" t="s">
        <v>298</v>
      </c>
      <c r="AB14" s="330">
        <v>2</v>
      </c>
      <c r="AC14" s="333" t="s">
        <v>556</v>
      </c>
    </row>
    <row r="15" spans="2:35" s="330" customFormat="1" ht="27" customHeight="1">
      <c r="B15" s="680"/>
      <c r="C15" s="681"/>
      <c r="D15" s="318">
        <v>9</v>
      </c>
      <c r="E15" s="319" t="s">
        <v>480</v>
      </c>
      <c r="F15" s="320">
        <v>780.69599999999991</v>
      </c>
      <c r="G15" s="320">
        <v>948.51</v>
      </c>
      <c r="H15" s="320">
        <v>954.4</v>
      </c>
      <c r="I15" s="321">
        <v>1.0062097394861413</v>
      </c>
      <c r="J15" s="320">
        <v>0.5</v>
      </c>
      <c r="K15" s="321">
        <v>5.2714257097974718E-4</v>
      </c>
      <c r="L15" s="320">
        <v>278.82</v>
      </c>
      <c r="M15" s="321">
        <v>1.0067368820571212</v>
      </c>
      <c r="N15" s="322">
        <v>1642.2497999999962</v>
      </c>
      <c r="O15" s="320">
        <v>2.8000000000000003</v>
      </c>
      <c r="P15" s="321">
        <v>2.9519983974865844E-3</v>
      </c>
      <c r="Q15" s="323">
        <v>6.3899999999999864</v>
      </c>
      <c r="R15" s="321">
        <v>6.7368820571211546E-3</v>
      </c>
      <c r="S15" s="320">
        <v>1781.659799999996</v>
      </c>
      <c r="T15" s="324" t="s">
        <v>540</v>
      </c>
      <c r="U15" s="324" t="s">
        <v>419</v>
      </c>
      <c r="V15" s="357" t="s">
        <v>537</v>
      </c>
      <c r="W15" s="357" t="s">
        <v>538</v>
      </c>
      <c r="X15" s="325">
        <v>1</v>
      </c>
      <c r="Y15" s="326" t="s">
        <v>273</v>
      </c>
      <c r="AB15" s="330">
        <v>3</v>
      </c>
      <c r="AC15" s="333" t="s">
        <v>548</v>
      </c>
    </row>
    <row r="16" spans="2:35" s="330" customFormat="1" ht="27" customHeight="1">
      <c r="B16" s="680"/>
      <c r="C16" s="681"/>
      <c r="D16" s="318">
        <v>10</v>
      </c>
      <c r="E16" s="319" t="s">
        <v>469</v>
      </c>
      <c r="F16" s="320">
        <v>765.08999999999992</v>
      </c>
      <c r="G16" s="320">
        <v>600.28700000000003</v>
      </c>
      <c r="H16" s="320">
        <v>605.80000000000007</v>
      </c>
      <c r="I16" s="321">
        <v>1.0091839403485334</v>
      </c>
      <c r="J16" s="320">
        <v>0.2</v>
      </c>
      <c r="K16" s="321">
        <v>3.3317396512001757E-4</v>
      </c>
      <c r="L16" s="320">
        <v>510.06</v>
      </c>
      <c r="M16" s="321">
        <v>1.0095171143136534</v>
      </c>
      <c r="N16" s="322">
        <v>2811.9607800000172</v>
      </c>
      <c r="O16" s="320">
        <v>1.5</v>
      </c>
      <c r="P16" s="321">
        <v>2.4988047384001317E-3</v>
      </c>
      <c r="Q16" s="323">
        <v>5.7130000000000791</v>
      </c>
      <c r="R16" s="321">
        <v>9.5171143136534332E-3</v>
      </c>
      <c r="S16" s="320">
        <v>2913.9727800000405</v>
      </c>
      <c r="T16" s="324" t="s">
        <v>536</v>
      </c>
      <c r="U16" s="324" t="s">
        <v>465</v>
      </c>
      <c r="V16" s="357" t="s">
        <v>557</v>
      </c>
      <c r="W16" s="357" t="s">
        <v>558</v>
      </c>
      <c r="X16" s="325">
        <v>1</v>
      </c>
      <c r="Y16" s="326" t="s">
        <v>455</v>
      </c>
      <c r="AB16" s="330">
        <v>4</v>
      </c>
      <c r="AC16" s="333" t="s">
        <v>559</v>
      </c>
    </row>
    <row r="17" spans="2:29" s="330" customFormat="1" ht="27" customHeight="1">
      <c r="B17" s="680"/>
      <c r="C17" s="681"/>
      <c r="D17" s="318">
        <v>11</v>
      </c>
      <c r="E17" s="319" t="s">
        <v>560</v>
      </c>
      <c r="F17" s="320">
        <v>760.24200000000008</v>
      </c>
      <c r="G17" s="320">
        <v>489.428</v>
      </c>
      <c r="H17" s="320">
        <v>493.6</v>
      </c>
      <c r="I17" s="321">
        <v>1.0085242364556177</v>
      </c>
      <c r="J17" s="320">
        <v>0.9</v>
      </c>
      <c r="K17" s="321">
        <v>1.8388813063412801E-3</v>
      </c>
      <c r="L17" s="320">
        <v>330.54</v>
      </c>
      <c r="M17" s="321">
        <v>1.010363117761959</v>
      </c>
      <c r="N17" s="322">
        <v>1379.0128800000084</v>
      </c>
      <c r="O17" s="320">
        <v>2.2999999999999998</v>
      </c>
      <c r="P17" s="321">
        <v>4.6993633384277153E-3</v>
      </c>
      <c r="Q17" s="323">
        <v>5.0720000000000027</v>
      </c>
      <c r="R17" s="321">
        <v>1.0363117761958864E-2</v>
      </c>
      <c r="S17" s="320">
        <v>1676.498880000001</v>
      </c>
      <c r="T17" s="324" t="s">
        <v>536</v>
      </c>
      <c r="U17" s="324" t="s">
        <v>458</v>
      </c>
      <c r="V17" s="357" t="s">
        <v>537</v>
      </c>
      <c r="W17" s="357" t="s">
        <v>538</v>
      </c>
      <c r="X17" s="325">
        <v>1</v>
      </c>
      <c r="Y17" s="326" t="s">
        <v>291</v>
      </c>
      <c r="AB17" s="330">
        <v>5</v>
      </c>
      <c r="AC17" s="333" t="s">
        <v>458</v>
      </c>
    </row>
    <row r="18" spans="2:29" s="330" customFormat="1" ht="27" customHeight="1">
      <c r="B18" s="680"/>
      <c r="C18" s="681"/>
      <c r="D18" s="318">
        <v>12</v>
      </c>
      <c r="E18" s="319" t="s">
        <v>561</v>
      </c>
      <c r="F18" s="320">
        <v>750.95</v>
      </c>
      <c r="G18" s="320">
        <v>216.58999999999997</v>
      </c>
      <c r="H18" s="320">
        <v>223.30000000000004</v>
      </c>
      <c r="I18" s="321">
        <v>1.0309801929913665</v>
      </c>
      <c r="J18" s="320">
        <v>0</v>
      </c>
      <c r="K18" s="321">
        <v>0</v>
      </c>
      <c r="L18" s="320">
        <v>163.25</v>
      </c>
      <c r="M18" s="321">
        <v>1.0309801929913665</v>
      </c>
      <c r="N18" s="322">
        <v>1095.4075000000105</v>
      </c>
      <c r="O18" s="320">
        <v>4.5999999999999996</v>
      </c>
      <c r="P18" s="321">
        <v>2.1238284315988735E-2</v>
      </c>
      <c r="Q18" s="323">
        <v>6.7100000000000648</v>
      </c>
      <c r="R18" s="321">
        <v>3.0980192991366479E-2</v>
      </c>
      <c r="S18" s="320">
        <v>1095.4075000000105</v>
      </c>
      <c r="T18" s="318" t="s">
        <v>540</v>
      </c>
      <c r="U18" s="324" t="s">
        <v>419</v>
      </c>
      <c r="V18" s="357" t="s">
        <v>562</v>
      </c>
      <c r="W18" s="357" t="s">
        <v>563</v>
      </c>
      <c r="X18" s="325">
        <v>1</v>
      </c>
      <c r="Y18" s="326" t="s">
        <v>335</v>
      </c>
      <c r="AB18" s="330">
        <v>6</v>
      </c>
      <c r="AC18" s="333" t="s">
        <v>465</v>
      </c>
    </row>
    <row r="19" spans="2:29" s="330" customFormat="1" ht="27" customHeight="1">
      <c r="B19" s="680"/>
      <c r="C19" s="681"/>
      <c r="D19" s="318">
        <v>13</v>
      </c>
      <c r="E19" s="319" t="s">
        <v>564</v>
      </c>
      <c r="F19" s="320">
        <v>745.35900000000015</v>
      </c>
      <c r="G19" s="320">
        <v>391.87200000000001</v>
      </c>
      <c r="H19" s="320">
        <v>402.7</v>
      </c>
      <c r="I19" s="321">
        <v>1.0276314715008983</v>
      </c>
      <c r="J19" s="320">
        <v>0</v>
      </c>
      <c r="K19" s="321">
        <v>0</v>
      </c>
      <c r="L19" s="320">
        <v>122.19</v>
      </c>
      <c r="M19" s="321">
        <v>1.0276314715008983</v>
      </c>
      <c r="N19" s="322">
        <v>1323.0733199999968</v>
      </c>
      <c r="O19" s="320">
        <v>6.1</v>
      </c>
      <c r="P19" s="321">
        <v>1.5566307365670421E-2</v>
      </c>
      <c r="Q19" s="323">
        <v>10.827999999999975</v>
      </c>
      <c r="R19" s="321">
        <v>2.7631471500898185E-2</v>
      </c>
      <c r="S19" s="320">
        <v>1323.0733199999968</v>
      </c>
      <c r="T19" s="324" t="s">
        <v>547</v>
      </c>
      <c r="U19" s="324" t="s">
        <v>548</v>
      </c>
      <c r="V19" s="357" t="s">
        <v>565</v>
      </c>
      <c r="W19" s="357" t="s">
        <v>566</v>
      </c>
      <c r="X19" s="325">
        <v>1</v>
      </c>
      <c r="Y19" s="326" t="s">
        <v>322</v>
      </c>
      <c r="AB19" s="330">
        <v>7</v>
      </c>
      <c r="AC19" s="333" t="s">
        <v>567</v>
      </c>
    </row>
    <row r="20" spans="2:29" s="330" customFormat="1" ht="27" customHeight="1">
      <c r="B20" s="680"/>
      <c r="C20" s="681"/>
      <c r="D20" s="318">
        <v>14</v>
      </c>
      <c r="E20" s="319" t="s">
        <v>568</v>
      </c>
      <c r="F20" s="320">
        <v>736.42600000000004</v>
      </c>
      <c r="G20" s="320">
        <v>105.768</v>
      </c>
      <c r="H20" s="320">
        <v>109.89999999999999</v>
      </c>
      <c r="I20" s="321">
        <v>1.0390666364117691</v>
      </c>
      <c r="J20" s="320">
        <v>0</v>
      </c>
      <c r="K20" s="321">
        <v>0</v>
      </c>
      <c r="L20" s="320">
        <v>253.94</v>
      </c>
      <c r="M20" s="321">
        <v>1.0390666364117691</v>
      </c>
      <c r="N20" s="322">
        <v>1049.2800799999977</v>
      </c>
      <c r="O20" s="320">
        <v>2.9000000000000004</v>
      </c>
      <c r="P20" s="321">
        <v>2.7418500869828305E-2</v>
      </c>
      <c r="Q20" s="323">
        <v>4.1319999999999908</v>
      </c>
      <c r="R20" s="321">
        <v>3.9066636411769065E-2</v>
      </c>
      <c r="S20" s="320">
        <v>1049.2800799999977</v>
      </c>
      <c r="T20" s="324" t="s">
        <v>540</v>
      </c>
      <c r="U20" s="324" t="s">
        <v>419</v>
      </c>
      <c r="V20" s="357" t="s">
        <v>569</v>
      </c>
      <c r="W20" s="357" t="s">
        <v>570</v>
      </c>
      <c r="X20" s="325">
        <v>1</v>
      </c>
      <c r="Y20" s="326" t="s">
        <v>260</v>
      </c>
      <c r="AB20" s="330">
        <v>8</v>
      </c>
      <c r="AC20" s="334" t="s">
        <v>571</v>
      </c>
    </row>
    <row r="21" spans="2:29" s="330" customFormat="1" ht="27" customHeight="1">
      <c r="B21" s="680"/>
      <c r="C21" s="681"/>
      <c r="D21" s="318">
        <v>15</v>
      </c>
      <c r="E21" s="319" t="s">
        <v>572</v>
      </c>
      <c r="F21" s="320">
        <v>735.87800000000016</v>
      </c>
      <c r="G21" s="320">
        <v>339.404</v>
      </c>
      <c r="H21" s="320">
        <v>343</v>
      </c>
      <c r="I21" s="321">
        <v>1.0105950430755088</v>
      </c>
      <c r="J21" s="320">
        <v>1.1000000000000001</v>
      </c>
      <c r="K21" s="321">
        <v>3.2409753568019236E-3</v>
      </c>
      <c r="L21" s="320">
        <v>334.49</v>
      </c>
      <c r="M21" s="321">
        <v>1.0138360184323107</v>
      </c>
      <c r="N21" s="322">
        <v>1202.8260400000013</v>
      </c>
      <c r="O21" s="320">
        <v>2.2000000000000002</v>
      </c>
      <c r="P21" s="321">
        <v>6.4819507136038472E-3</v>
      </c>
      <c r="Q21" s="323">
        <v>4.6960000000000264</v>
      </c>
      <c r="R21" s="321">
        <v>1.3836018432310835E-2</v>
      </c>
      <c r="S21" s="320">
        <v>1570.7650400000089</v>
      </c>
      <c r="T21" s="324" t="s">
        <v>540</v>
      </c>
      <c r="U21" s="324" t="s">
        <v>419</v>
      </c>
      <c r="V21" s="357" t="s">
        <v>554</v>
      </c>
      <c r="W21" s="357" t="s">
        <v>555</v>
      </c>
      <c r="X21" s="325">
        <v>1</v>
      </c>
      <c r="Y21" s="326" t="s">
        <v>289</v>
      </c>
      <c r="AC21" s="333"/>
    </row>
    <row r="22" spans="2:29" s="330" customFormat="1" ht="27" customHeight="1">
      <c r="B22" s="680"/>
      <c r="C22" s="681"/>
      <c r="D22" s="318">
        <v>16</v>
      </c>
      <c r="E22" s="319" t="s">
        <v>573</v>
      </c>
      <c r="F22" s="320">
        <v>731.85000000000014</v>
      </c>
      <c r="G22" s="320">
        <v>1227.74</v>
      </c>
      <c r="H22" s="320">
        <v>1234.5999999999999</v>
      </c>
      <c r="I22" s="321">
        <v>1.0055875022398879</v>
      </c>
      <c r="J22" s="320">
        <v>0</v>
      </c>
      <c r="K22" s="321">
        <v>0</v>
      </c>
      <c r="L22" s="320">
        <v>178.5</v>
      </c>
      <c r="M22" s="321">
        <v>1.0055875022398879</v>
      </c>
      <c r="N22" s="322">
        <v>1224.509999999982</v>
      </c>
      <c r="O22" s="320">
        <v>4.1000000000000005</v>
      </c>
      <c r="P22" s="321">
        <v>3.3394692687376808E-3</v>
      </c>
      <c r="Q22" s="323">
        <v>6.8599999999999</v>
      </c>
      <c r="R22" s="321">
        <v>5.5875022398878425E-3</v>
      </c>
      <c r="S22" s="320">
        <v>1224.509999999982</v>
      </c>
      <c r="T22" s="324" t="s">
        <v>540</v>
      </c>
      <c r="U22" s="324" t="s">
        <v>419</v>
      </c>
      <c r="V22" s="357" t="s">
        <v>569</v>
      </c>
      <c r="W22" s="357" t="s">
        <v>570</v>
      </c>
      <c r="X22" s="325">
        <v>1</v>
      </c>
      <c r="Y22" s="326" t="s">
        <v>574</v>
      </c>
      <c r="AC22" s="333"/>
    </row>
    <row r="23" spans="2:29" s="330" customFormat="1" ht="27" customHeight="1">
      <c r="B23" s="680"/>
      <c r="C23" s="681"/>
      <c r="D23" s="318">
        <v>17</v>
      </c>
      <c r="E23" s="319" t="s">
        <v>575</v>
      </c>
      <c r="F23" s="320">
        <v>718.56</v>
      </c>
      <c r="G23" s="320">
        <v>142.19400000000002</v>
      </c>
      <c r="H23" s="320">
        <v>145.80000000000001</v>
      </c>
      <c r="I23" s="321">
        <v>1.0253597198194015</v>
      </c>
      <c r="J23" s="320">
        <v>0</v>
      </c>
      <c r="K23" s="321">
        <v>0</v>
      </c>
      <c r="L23" s="320">
        <v>359.28</v>
      </c>
      <c r="M23" s="321">
        <v>1.0253597198194015</v>
      </c>
      <c r="N23" s="322">
        <v>1295.5636799999979</v>
      </c>
      <c r="O23" s="320">
        <v>2</v>
      </c>
      <c r="P23" s="321">
        <v>1.4065291081198923E-2</v>
      </c>
      <c r="Q23" s="323">
        <v>3.6059999999999945</v>
      </c>
      <c r="R23" s="321">
        <v>2.5359719819401622E-2</v>
      </c>
      <c r="S23" s="320">
        <v>1295.5636799999979</v>
      </c>
      <c r="T23" s="324" t="s">
        <v>540</v>
      </c>
      <c r="U23" s="324" t="s">
        <v>419</v>
      </c>
      <c r="V23" s="357" t="s">
        <v>569</v>
      </c>
      <c r="W23" s="357" t="s">
        <v>570</v>
      </c>
      <c r="X23" s="325">
        <v>1</v>
      </c>
      <c r="Y23" s="326" t="s">
        <v>246</v>
      </c>
      <c r="AB23" s="335">
        <v>1</v>
      </c>
      <c r="AC23" s="333" t="s">
        <v>547</v>
      </c>
    </row>
    <row r="24" spans="2:29" s="330" customFormat="1" ht="27" customHeight="1">
      <c r="B24" s="680"/>
      <c r="C24" s="681"/>
      <c r="D24" s="318">
        <v>18</v>
      </c>
      <c r="E24" s="319" t="s">
        <v>576</v>
      </c>
      <c r="F24" s="320">
        <v>714</v>
      </c>
      <c r="G24" s="320">
        <v>568.20000000000005</v>
      </c>
      <c r="H24" s="320">
        <v>574.79999999999995</v>
      </c>
      <c r="I24" s="321">
        <v>1.0116156282998943</v>
      </c>
      <c r="J24" s="320">
        <v>0</v>
      </c>
      <c r="K24" s="321">
        <v>0</v>
      </c>
      <c r="L24" s="320">
        <v>178.5</v>
      </c>
      <c r="M24" s="321">
        <v>1.0116156282998943</v>
      </c>
      <c r="N24" s="322">
        <v>1178.0999999999838</v>
      </c>
      <c r="O24" s="320">
        <v>4</v>
      </c>
      <c r="P24" s="321">
        <v>7.0397747272087285E-3</v>
      </c>
      <c r="Q24" s="323">
        <v>6.5999999999999091</v>
      </c>
      <c r="R24" s="321">
        <v>1.1615628299894242E-2</v>
      </c>
      <c r="S24" s="320">
        <v>1178.0999999999838</v>
      </c>
      <c r="T24" s="324" t="s">
        <v>540</v>
      </c>
      <c r="U24" s="324" t="s">
        <v>419</v>
      </c>
      <c r="V24" s="357" t="s">
        <v>569</v>
      </c>
      <c r="W24" s="357" t="s">
        <v>570</v>
      </c>
      <c r="X24" s="325">
        <v>1</v>
      </c>
      <c r="Y24" s="326" t="s">
        <v>226</v>
      </c>
      <c r="AB24" s="330">
        <v>2</v>
      </c>
      <c r="AC24" s="333" t="s">
        <v>577</v>
      </c>
    </row>
    <row r="25" spans="2:29" s="330" customFormat="1" ht="27" customHeight="1">
      <c r="B25" s="680"/>
      <c r="C25" s="681"/>
      <c r="D25" s="318">
        <v>19</v>
      </c>
      <c r="E25" s="319" t="s">
        <v>578</v>
      </c>
      <c r="F25" s="320">
        <v>713.98900000000003</v>
      </c>
      <c r="G25" s="320">
        <v>147.78399999999999</v>
      </c>
      <c r="H25" s="320">
        <v>151.79999999999998</v>
      </c>
      <c r="I25" s="321">
        <v>1.027174795647702</v>
      </c>
      <c r="J25" s="320">
        <v>0</v>
      </c>
      <c r="K25" s="321">
        <v>0</v>
      </c>
      <c r="L25" s="320">
        <v>310.43</v>
      </c>
      <c r="M25" s="321">
        <v>1.027174795647702</v>
      </c>
      <c r="N25" s="322">
        <v>1246.6868799999972</v>
      </c>
      <c r="O25" s="320">
        <v>2.2999999999999998</v>
      </c>
      <c r="P25" s="321">
        <v>1.5563254479510636E-2</v>
      </c>
      <c r="Q25" s="323">
        <v>4.0159999999999911</v>
      </c>
      <c r="R25" s="321">
        <v>2.7174795647701994E-2</v>
      </c>
      <c r="S25" s="320">
        <v>1246.6868799999972</v>
      </c>
      <c r="T25" s="324" t="s">
        <v>540</v>
      </c>
      <c r="U25" s="324" t="s">
        <v>419</v>
      </c>
      <c r="V25" s="357" t="s">
        <v>554</v>
      </c>
      <c r="W25" s="357" t="s">
        <v>555</v>
      </c>
      <c r="X25" s="325">
        <v>1</v>
      </c>
      <c r="Y25" s="326" t="s">
        <v>281</v>
      </c>
      <c r="AB25" s="336">
        <v>3</v>
      </c>
      <c r="AC25" s="333" t="s">
        <v>540</v>
      </c>
    </row>
    <row r="26" spans="2:29" s="330" customFormat="1" ht="27" customHeight="1">
      <c r="B26" s="682"/>
      <c r="C26" s="683"/>
      <c r="D26" s="318">
        <v>20</v>
      </c>
      <c r="E26" s="319" t="s">
        <v>579</v>
      </c>
      <c r="F26" s="320">
        <v>713.6400000000001</v>
      </c>
      <c r="G26" s="320">
        <v>264.846</v>
      </c>
      <c r="H26" s="320">
        <v>269.2</v>
      </c>
      <c r="I26" s="321">
        <v>1.016439742340832</v>
      </c>
      <c r="J26" s="320">
        <v>0</v>
      </c>
      <c r="K26" s="321">
        <v>0</v>
      </c>
      <c r="L26" s="320">
        <v>297.35000000000002</v>
      </c>
      <c r="M26" s="321">
        <v>1.016439742340832</v>
      </c>
      <c r="N26" s="322">
        <v>1294.6618999999957</v>
      </c>
      <c r="O26" s="320">
        <v>2.4000000000000004</v>
      </c>
      <c r="P26" s="321">
        <v>9.0618699168573454E-3</v>
      </c>
      <c r="Q26" s="323">
        <v>4.353999999999985</v>
      </c>
      <c r="R26" s="321">
        <v>1.6439742340831974E-2</v>
      </c>
      <c r="S26" s="320">
        <v>1294.6618999999957</v>
      </c>
      <c r="T26" s="324" t="s">
        <v>536</v>
      </c>
      <c r="U26" s="324" t="s">
        <v>458</v>
      </c>
      <c r="V26" s="357" t="s">
        <v>537</v>
      </c>
      <c r="W26" s="357" t="s">
        <v>538</v>
      </c>
      <c r="X26" s="325">
        <v>1</v>
      </c>
      <c r="Y26" s="326" t="s">
        <v>282</v>
      </c>
      <c r="AB26" s="336">
        <v>4</v>
      </c>
      <c r="AC26" s="333" t="s">
        <v>536</v>
      </c>
    </row>
    <row r="27" spans="2:29" ht="29.45" customHeight="1">
      <c r="C27" s="684"/>
      <c r="AB27" s="330"/>
      <c r="AC27" s="333"/>
    </row>
    <row r="28" spans="2:29">
      <c r="C28" s="684"/>
    </row>
    <row r="29" spans="2:29">
      <c r="C29" s="684"/>
    </row>
    <row r="30" spans="2:29">
      <c r="C30" s="684"/>
    </row>
    <row r="31" spans="2:29">
      <c r="C31" s="684"/>
    </row>
    <row r="32" spans="2:29">
      <c r="C32" s="684"/>
    </row>
    <row r="33" spans="3:3">
      <c r="C33" s="684"/>
    </row>
    <row r="34" spans="3:3">
      <c r="C34" s="684"/>
    </row>
    <row r="35" spans="3:3">
      <c r="C35" s="684"/>
    </row>
    <row r="36" spans="3:3">
      <c r="C36" s="684"/>
    </row>
    <row r="67" ht="14.1" customHeight="1"/>
    <row r="77" ht="14.1" customHeight="1"/>
    <row r="87" ht="14.1" customHeight="1"/>
    <row r="112" spans="26:26">
      <c r="Z112" s="337" t="s">
        <v>580</v>
      </c>
    </row>
    <row r="113" spans="26:26">
      <c r="Z113" s="330" t="s">
        <v>581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70" zoomScaleNormal="70" workbookViewId="0">
      <pane xSplit="4" ySplit="6" topLeftCell="W7" activePane="bottomRight" state="frozen"/>
      <selection pane="bottomRight" activeCell="AD8" sqref="AD8"/>
      <selection pane="bottomLeft" activeCell="G39" sqref="G39"/>
      <selection pane="topRight" activeCell="G39" sqref="G39"/>
    </sheetView>
  </sheetViews>
  <sheetFormatPr defaultColWidth="8.85546875" defaultRowHeight="14.25"/>
  <cols>
    <col min="1" max="1" width="8.85546875" style="314"/>
    <col min="2" max="2" width="12.42578125" style="314" customWidth="1"/>
    <col min="3" max="3" width="8.85546875" style="314"/>
    <col min="4" max="4" width="11.5703125" style="314" customWidth="1"/>
    <col min="5" max="5" width="39.28515625" style="314" bestFit="1" customWidth="1"/>
    <col min="6" max="6" width="13.42578125" style="314" bestFit="1" customWidth="1"/>
    <col min="7" max="7" width="14.140625" style="314" customWidth="1"/>
    <col min="8" max="8" width="14" style="314" customWidth="1"/>
    <col min="9" max="9" width="16.85546875" style="314" customWidth="1"/>
    <col min="10" max="10" width="14" style="314" customWidth="1"/>
    <col min="11" max="11" width="11.7109375" style="314" bestFit="1" customWidth="1"/>
    <col min="12" max="12" width="13.42578125" style="314" bestFit="1" customWidth="1"/>
    <col min="13" max="13" width="19.28515625" style="314" bestFit="1" customWidth="1"/>
    <col min="14" max="14" width="15.42578125" style="314" bestFit="1" customWidth="1"/>
    <col min="15" max="15" width="12.7109375" style="314" bestFit="1" customWidth="1"/>
    <col min="16" max="16" width="9.85546875" style="314" bestFit="1" customWidth="1"/>
    <col min="17" max="17" width="12.28515625" style="314" bestFit="1" customWidth="1"/>
    <col min="18" max="18" width="10.7109375" style="314" customWidth="1"/>
    <col min="19" max="19" width="10.7109375" style="314" bestFit="1" customWidth="1"/>
    <col min="20" max="20" width="12.42578125" style="314" bestFit="1" customWidth="1"/>
    <col min="21" max="21" width="25.28515625" style="314" bestFit="1" customWidth="1"/>
    <col min="22" max="23" width="88.28515625" style="314" customWidth="1"/>
    <col min="24" max="24" width="7.42578125" style="314" bestFit="1" customWidth="1"/>
    <col min="25" max="25" width="69.5703125" style="314" bestFit="1" customWidth="1"/>
    <col min="26" max="26" width="11.42578125" style="314" bestFit="1" customWidth="1"/>
    <col min="27" max="27" width="21.5703125" style="314" customWidth="1"/>
    <col min="28" max="28" width="19.42578125" style="314" bestFit="1" customWidth="1"/>
    <col min="29" max="34" width="14.42578125" style="314" customWidth="1"/>
    <col min="35" max="35" width="11.42578125" style="314" bestFit="1" customWidth="1"/>
    <col min="36" max="16384" width="8.85546875" style="314"/>
  </cols>
  <sheetData>
    <row r="2" spans="2:35" ht="41.1" customHeight="1">
      <c r="B2" s="689" t="s">
        <v>582</v>
      </c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AA2" s="315"/>
      <c r="AB2" s="315"/>
    </row>
    <row r="3" spans="2:35" ht="17.100000000000001" customHeight="1">
      <c r="B3" s="691" t="s">
        <v>499</v>
      </c>
      <c r="C3" s="692"/>
      <c r="D3" s="685" t="s">
        <v>500</v>
      </c>
      <c r="E3" s="685"/>
      <c r="F3" s="685"/>
      <c r="G3" s="685" t="s">
        <v>501</v>
      </c>
      <c r="H3" s="685"/>
      <c r="I3" s="685"/>
      <c r="J3" s="685"/>
      <c r="K3" s="685"/>
      <c r="L3" s="685"/>
      <c r="M3" s="685"/>
      <c r="N3" s="685"/>
      <c r="O3" s="685"/>
      <c r="P3" s="685"/>
      <c r="Q3" s="685"/>
      <c r="R3" s="685"/>
      <c r="S3" s="685"/>
      <c r="T3" s="685" t="s">
        <v>502</v>
      </c>
      <c r="U3" s="697" t="s">
        <v>503</v>
      </c>
      <c r="V3" s="706" t="s">
        <v>583</v>
      </c>
      <c r="W3" s="706" t="s">
        <v>505</v>
      </c>
      <c r="X3" s="703" t="s">
        <v>506</v>
      </c>
      <c r="Y3" s="687" t="s">
        <v>507</v>
      </c>
      <c r="AA3" s="685" t="s">
        <v>508</v>
      </c>
      <c r="AB3" s="685"/>
      <c r="AC3" s="685"/>
      <c r="AD3" s="685"/>
      <c r="AE3" s="685"/>
      <c r="AF3" s="685"/>
      <c r="AG3" s="685"/>
      <c r="AH3" s="685"/>
      <c r="AI3" s="685"/>
    </row>
    <row r="4" spans="2:35" ht="17.100000000000001" customHeight="1">
      <c r="B4" s="693"/>
      <c r="C4" s="694"/>
      <c r="D4" s="686" t="s">
        <v>509</v>
      </c>
      <c r="E4" s="685" t="s">
        <v>510</v>
      </c>
      <c r="F4" s="685"/>
      <c r="G4" s="685" t="s">
        <v>511</v>
      </c>
      <c r="H4" s="685"/>
      <c r="I4" s="685"/>
      <c r="J4" s="685"/>
      <c r="K4" s="685"/>
      <c r="L4" s="685"/>
      <c r="M4" s="685"/>
      <c r="N4" s="685"/>
      <c r="O4" s="685" t="s">
        <v>512</v>
      </c>
      <c r="P4" s="685"/>
      <c r="Q4" s="685"/>
      <c r="R4" s="685"/>
      <c r="S4" s="685"/>
      <c r="T4" s="685"/>
      <c r="U4" s="698"/>
      <c r="V4" s="704"/>
      <c r="W4" s="707"/>
      <c r="X4" s="704"/>
      <c r="Y4" s="687"/>
      <c r="AA4" s="685"/>
      <c r="AB4" s="685"/>
      <c r="AC4" s="685"/>
      <c r="AD4" s="685"/>
      <c r="AE4" s="685"/>
      <c r="AF4" s="685"/>
      <c r="AG4" s="685"/>
      <c r="AH4" s="685"/>
      <c r="AI4" s="685"/>
    </row>
    <row r="5" spans="2:35" ht="17.100000000000001" customHeight="1">
      <c r="B5" s="693"/>
      <c r="C5" s="694"/>
      <c r="D5" s="686"/>
      <c r="E5" s="686" t="s">
        <v>513</v>
      </c>
      <c r="F5" s="687" t="s">
        <v>584</v>
      </c>
      <c r="G5" s="688" t="s">
        <v>515</v>
      </c>
      <c r="H5" s="688"/>
      <c r="I5" s="688"/>
      <c r="J5" s="688"/>
      <c r="K5" s="688"/>
      <c r="L5" s="688"/>
      <c r="M5" s="688"/>
      <c r="N5" s="688"/>
      <c r="O5" s="688" t="s">
        <v>516</v>
      </c>
      <c r="P5" s="688"/>
      <c r="Q5" s="688" t="s">
        <v>517</v>
      </c>
      <c r="R5" s="688"/>
      <c r="S5" s="688"/>
      <c r="T5" s="685"/>
      <c r="U5" s="698"/>
      <c r="V5" s="704"/>
      <c r="W5" s="707"/>
      <c r="X5" s="704"/>
      <c r="Y5" s="687"/>
      <c r="AA5" s="685"/>
      <c r="AB5" s="685"/>
      <c r="AC5" s="685"/>
      <c r="AD5" s="685"/>
      <c r="AE5" s="685"/>
      <c r="AF5" s="685"/>
      <c r="AG5" s="685"/>
      <c r="AH5" s="685"/>
      <c r="AI5" s="685"/>
    </row>
    <row r="6" spans="2:35" ht="38.450000000000003" customHeight="1">
      <c r="B6" s="695"/>
      <c r="C6" s="696"/>
      <c r="D6" s="686"/>
      <c r="E6" s="686"/>
      <c r="F6" s="687"/>
      <c r="G6" s="316" t="s">
        <v>518</v>
      </c>
      <c r="H6" s="316" t="s">
        <v>519</v>
      </c>
      <c r="I6" s="316" t="s">
        <v>520</v>
      </c>
      <c r="J6" s="316" t="s">
        <v>521</v>
      </c>
      <c r="K6" s="316" t="s">
        <v>522</v>
      </c>
      <c r="L6" s="316" t="s">
        <v>523</v>
      </c>
      <c r="M6" s="316" t="s">
        <v>524</v>
      </c>
      <c r="N6" s="316" t="s">
        <v>525</v>
      </c>
      <c r="O6" s="317" t="s">
        <v>526</v>
      </c>
      <c r="P6" s="317" t="s">
        <v>527</v>
      </c>
      <c r="Q6" s="317" t="s">
        <v>526</v>
      </c>
      <c r="R6" s="317" t="s">
        <v>527</v>
      </c>
      <c r="S6" s="316" t="s">
        <v>528</v>
      </c>
      <c r="T6" s="685"/>
      <c r="U6" s="699"/>
      <c r="V6" s="705"/>
      <c r="W6" s="708"/>
      <c r="X6" s="705"/>
      <c r="Y6" s="687"/>
      <c r="AA6" s="203" t="s">
        <v>529</v>
      </c>
      <c r="AB6" s="203" t="s">
        <v>439</v>
      </c>
      <c r="AC6" s="304" t="s">
        <v>530</v>
      </c>
      <c r="AD6" s="304" t="s">
        <v>444</v>
      </c>
      <c r="AE6" s="304" t="s">
        <v>531</v>
      </c>
      <c r="AF6" s="304" t="s">
        <v>532</v>
      </c>
      <c r="AG6" s="304" t="s">
        <v>533</v>
      </c>
      <c r="AH6" s="304" t="s">
        <v>471</v>
      </c>
      <c r="AI6" s="304" t="s">
        <v>534</v>
      </c>
    </row>
    <row r="7" spans="2:35" s="330" customFormat="1" ht="27" customHeight="1">
      <c r="B7" s="678" t="s">
        <v>535</v>
      </c>
      <c r="C7" s="679"/>
      <c r="D7" s="318">
        <v>1</v>
      </c>
      <c r="E7" s="319" t="s">
        <v>461</v>
      </c>
      <c r="F7" s="320">
        <v>4640.3007999999727</v>
      </c>
      <c r="G7" s="320">
        <v>399.93200000000007</v>
      </c>
      <c r="H7" s="320">
        <v>409.09999999999997</v>
      </c>
      <c r="I7" s="321">
        <v>1.0229238970625003</v>
      </c>
      <c r="J7" s="320">
        <v>6.8000000000000007</v>
      </c>
      <c r="K7" s="321">
        <v>1.7002890491383534E-2</v>
      </c>
      <c r="L7" s="320">
        <v>290.60000000000002</v>
      </c>
      <c r="M7" s="321">
        <v>1.039926787553884</v>
      </c>
      <c r="N7" s="322">
        <v>2664.2207999999691</v>
      </c>
      <c r="O7" s="320">
        <v>1.3</v>
      </c>
      <c r="P7" s="321">
        <v>3.2505525939409696E-3</v>
      </c>
      <c r="Q7" s="320">
        <v>377.78000000000003</v>
      </c>
      <c r="R7" s="323">
        <v>15.967999999999904</v>
      </c>
      <c r="S7" s="321">
        <v>3.9926787553883916E-2</v>
      </c>
      <c r="T7" s="324" t="s">
        <v>536</v>
      </c>
      <c r="U7" s="324" t="s">
        <v>458</v>
      </c>
      <c r="V7" s="357" t="s">
        <v>585</v>
      </c>
      <c r="W7" s="357" t="s">
        <v>586</v>
      </c>
      <c r="X7" s="325">
        <v>1</v>
      </c>
      <c r="Y7" s="326" t="s">
        <v>314</v>
      </c>
      <c r="Z7" s="327" t="s">
        <v>539</v>
      </c>
      <c r="AA7" s="328">
        <f>SUM(X7:X26)</f>
        <v>20</v>
      </c>
      <c r="AB7" s="329">
        <f>SUMIF($U$7:$U$26,TRIM(AB6),$X$7:$X$26)</f>
        <v>0</v>
      </c>
      <c r="AC7" s="329">
        <f>SUMIF($U$7:$U$26,TRIM(AC6),$X$7:$X$26)</f>
        <v>0</v>
      </c>
      <c r="AD7" s="329">
        <f t="shared" ref="AD7:AI7" ca="1" si="0">SUMIF($U$7:$U$9710,TRIM(AD6),$X$7:$X$26)</f>
        <v>1</v>
      </c>
      <c r="AE7" s="329">
        <f t="shared" ca="1" si="0"/>
        <v>9</v>
      </c>
      <c r="AF7" s="329">
        <f t="shared" ca="1" si="0"/>
        <v>6</v>
      </c>
      <c r="AG7" s="329">
        <f t="shared" ca="1" si="0"/>
        <v>3</v>
      </c>
      <c r="AH7" s="329">
        <f t="shared" ca="1" si="0"/>
        <v>1</v>
      </c>
      <c r="AI7" s="329">
        <f t="shared" ca="1" si="0"/>
        <v>0</v>
      </c>
    </row>
    <row r="8" spans="2:35" s="330" customFormat="1" ht="27" customHeight="1">
      <c r="B8" s="680"/>
      <c r="C8" s="681"/>
      <c r="D8" s="318">
        <v>2</v>
      </c>
      <c r="E8" s="319" t="s">
        <v>469</v>
      </c>
      <c r="F8" s="320">
        <v>2913.9727800000405</v>
      </c>
      <c r="G8" s="320">
        <v>600.28700000000003</v>
      </c>
      <c r="H8" s="320">
        <v>605.80000000000007</v>
      </c>
      <c r="I8" s="321">
        <v>1.0091839403485334</v>
      </c>
      <c r="J8" s="320">
        <v>0.2</v>
      </c>
      <c r="K8" s="321">
        <v>3.3317396512001757E-4</v>
      </c>
      <c r="L8" s="320">
        <v>510.06</v>
      </c>
      <c r="M8" s="321">
        <v>1.0095171143136534</v>
      </c>
      <c r="N8" s="322">
        <v>2811.9607800000172</v>
      </c>
      <c r="O8" s="320">
        <v>1.5</v>
      </c>
      <c r="P8" s="321">
        <v>2.4988047384001317E-3</v>
      </c>
      <c r="Q8" s="320">
        <v>765.08999999999992</v>
      </c>
      <c r="R8" s="323">
        <v>5.7130000000000791</v>
      </c>
      <c r="S8" s="321">
        <v>9.5171143136534332E-3</v>
      </c>
      <c r="T8" s="331" t="s">
        <v>536</v>
      </c>
      <c r="U8" s="324" t="s">
        <v>465</v>
      </c>
      <c r="V8" s="357" t="s">
        <v>587</v>
      </c>
      <c r="W8" s="358" t="s">
        <v>588</v>
      </c>
      <c r="X8" s="325">
        <v>1</v>
      </c>
      <c r="Y8" s="326" t="s">
        <v>455</v>
      </c>
      <c r="AA8" s="328"/>
      <c r="AB8" s="332">
        <f>SUMIF($U$7:$U$26,TRIM(AB6),$F$7:$F$26)</f>
        <v>0</v>
      </c>
      <c r="AC8" s="332">
        <f>SUMIF($U$7:$U$26,TRIM(AC6),$F$7:$F$26)</f>
        <v>0</v>
      </c>
      <c r="AD8" s="332">
        <f t="shared" ref="AD8:AI8" ca="1" si="1">SUMIF($U$7:$U$176,TRIM(AD6),$F$7:$F$26)</f>
        <v>1469.4198399999916</v>
      </c>
      <c r="AE8" s="332">
        <f t="shared" ca="1" si="1"/>
        <v>14105.827395081944</v>
      </c>
      <c r="AF8" s="332">
        <f t="shared" ca="1" si="1"/>
        <v>13582.200909999989</v>
      </c>
      <c r="AG8" s="332">
        <f t="shared" ca="1" si="1"/>
        <v>6241.1418200000462</v>
      </c>
      <c r="AH8" s="332">
        <f t="shared" ca="1" si="1"/>
        <v>1468.1520000000035</v>
      </c>
      <c r="AI8" s="332">
        <f t="shared" ca="1" si="1"/>
        <v>0</v>
      </c>
    </row>
    <row r="9" spans="2:35" s="330" customFormat="1" ht="27" customHeight="1">
      <c r="B9" s="680"/>
      <c r="C9" s="681"/>
      <c r="D9" s="318">
        <v>3</v>
      </c>
      <c r="E9" s="319" t="s">
        <v>464</v>
      </c>
      <c r="F9" s="320">
        <v>2145.7846500000078</v>
      </c>
      <c r="G9" s="320">
        <v>516.49499999999989</v>
      </c>
      <c r="H9" s="320">
        <v>521.29999999999995</v>
      </c>
      <c r="I9" s="321">
        <v>1.0093030910270189</v>
      </c>
      <c r="J9" s="320">
        <v>0.3</v>
      </c>
      <c r="K9" s="321">
        <v>5.8083814944965596E-4</v>
      </c>
      <c r="L9" s="320">
        <v>420.33</v>
      </c>
      <c r="M9" s="321">
        <v>1.0098839291764683</v>
      </c>
      <c r="N9" s="322">
        <v>2019.6856500000267</v>
      </c>
      <c r="O9" s="320">
        <v>2.5</v>
      </c>
      <c r="P9" s="321">
        <v>4.8403179120804661E-3</v>
      </c>
      <c r="Q9" s="320">
        <v>1050.825</v>
      </c>
      <c r="R9" s="323">
        <v>5.1050000000000182</v>
      </c>
      <c r="S9" s="321">
        <v>9.8839291764683482E-3</v>
      </c>
      <c r="T9" s="318" t="s">
        <v>536</v>
      </c>
      <c r="U9" s="324" t="s">
        <v>458</v>
      </c>
      <c r="V9" s="357" t="s">
        <v>585</v>
      </c>
      <c r="W9" s="357" t="s">
        <v>555</v>
      </c>
      <c r="X9" s="325">
        <v>1</v>
      </c>
      <c r="Y9" s="326" t="s">
        <v>306</v>
      </c>
      <c r="AB9" s="391">
        <f>AB7/$AA$7</f>
        <v>0</v>
      </c>
      <c r="AC9" s="391">
        <f t="shared" ref="AC9:AI9" si="2">AC7/$AA$7</f>
        <v>0</v>
      </c>
      <c r="AD9" s="391">
        <f t="shared" ca="1" si="2"/>
        <v>0.05</v>
      </c>
      <c r="AE9" s="391">
        <f t="shared" ca="1" si="2"/>
        <v>0.45</v>
      </c>
      <c r="AF9" s="391">
        <f t="shared" ca="1" si="2"/>
        <v>0.3</v>
      </c>
      <c r="AG9" s="391">
        <f t="shared" ca="1" si="2"/>
        <v>0.15</v>
      </c>
      <c r="AH9" s="391">
        <f t="shared" ca="1" si="2"/>
        <v>0.05</v>
      </c>
      <c r="AI9" s="391">
        <f t="shared" ca="1" si="2"/>
        <v>0</v>
      </c>
    </row>
    <row r="10" spans="2:35" s="330" customFormat="1" ht="27" customHeight="1">
      <c r="B10" s="680"/>
      <c r="C10" s="681"/>
      <c r="D10" s="318">
        <v>4</v>
      </c>
      <c r="E10" s="319" t="s">
        <v>484</v>
      </c>
      <c r="F10" s="320">
        <v>2029.1550400000133</v>
      </c>
      <c r="G10" s="320">
        <v>143.01299999999998</v>
      </c>
      <c r="H10" s="320">
        <v>145.30000000000001</v>
      </c>
      <c r="I10" s="321">
        <v>1.0159915532154422</v>
      </c>
      <c r="J10" s="320">
        <v>1.2</v>
      </c>
      <c r="K10" s="321">
        <v>8.3908455874640783E-3</v>
      </c>
      <c r="L10" s="320">
        <v>581.91999999999996</v>
      </c>
      <c r="M10" s="321">
        <v>1.0243823988029062</v>
      </c>
      <c r="N10" s="322">
        <v>1330.85104000002</v>
      </c>
      <c r="O10" s="320">
        <v>1.5</v>
      </c>
      <c r="P10" s="321">
        <v>1.0488556984330098E-2</v>
      </c>
      <c r="Q10" s="320">
        <v>872.88</v>
      </c>
      <c r="R10" s="323">
        <v>3.4870000000000232</v>
      </c>
      <c r="S10" s="321">
        <v>2.4382398802906196E-2</v>
      </c>
      <c r="T10" s="324" t="s">
        <v>536</v>
      </c>
      <c r="U10" s="324" t="s">
        <v>458</v>
      </c>
      <c r="V10" s="357" t="s">
        <v>585</v>
      </c>
      <c r="W10" s="357" t="s">
        <v>555</v>
      </c>
      <c r="X10" s="325">
        <v>1</v>
      </c>
      <c r="Y10" s="326" t="s">
        <v>288</v>
      </c>
    </row>
    <row r="11" spans="2:35" s="330" customFormat="1" ht="27" customHeight="1">
      <c r="B11" s="680"/>
      <c r="C11" s="681"/>
      <c r="D11" s="318">
        <v>5</v>
      </c>
      <c r="E11" s="319" t="s">
        <v>480</v>
      </c>
      <c r="F11" s="320">
        <v>1781.659799999996</v>
      </c>
      <c r="G11" s="320">
        <v>948.51</v>
      </c>
      <c r="H11" s="320">
        <v>954.4</v>
      </c>
      <c r="I11" s="321">
        <v>1.0062097394861413</v>
      </c>
      <c r="J11" s="320">
        <v>0.5</v>
      </c>
      <c r="K11" s="321">
        <v>5.2714257097974718E-4</v>
      </c>
      <c r="L11" s="320">
        <v>278.82</v>
      </c>
      <c r="M11" s="321">
        <v>1.0067368820571212</v>
      </c>
      <c r="N11" s="322">
        <v>1642.2497999999962</v>
      </c>
      <c r="O11" s="320">
        <v>2.8000000000000003</v>
      </c>
      <c r="P11" s="321">
        <v>2.9519983974865844E-3</v>
      </c>
      <c r="Q11" s="320">
        <v>780.69599999999991</v>
      </c>
      <c r="R11" s="323">
        <v>6.3899999999999864</v>
      </c>
      <c r="S11" s="321">
        <v>6.7368820571211546E-3</v>
      </c>
      <c r="T11" s="324" t="s">
        <v>540</v>
      </c>
      <c r="U11" s="324" t="s">
        <v>419</v>
      </c>
      <c r="V11" s="357" t="s">
        <v>589</v>
      </c>
      <c r="W11" s="357" t="s">
        <v>590</v>
      </c>
      <c r="X11" s="325">
        <v>1</v>
      </c>
      <c r="Y11" s="326" t="s">
        <v>273</v>
      </c>
    </row>
    <row r="12" spans="2:35" s="330" customFormat="1" ht="27" customHeight="1">
      <c r="B12" s="680"/>
      <c r="C12" s="681"/>
      <c r="D12" s="318">
        <v>6</v>
      </c>
      <c r="E12" s="319" t="s">
        <v>490</v>
      </c>
      <c r="F12" s="320">
        <v>1687.874720000005</v>
      </c>
      <c r="G12" s="320">
        <v>171.30600000000001</v>
      </c>
      <c r="H12" s="320">
        <v>175.10000000000002</v>
      </c>
      <c r="I12" s="321">
        <v>1.0221475021306903</v>
      </c>
      <c r="J12" s="320">
        <v>0</v>
      </c>
      <c r="K12" s="321">
        <v>0</v>
      </c>
      <c r="L12" s="320">
        <v>444.88</v>
      </c>
      <c r="M12" s="321">
        <v>1.0221475021306903</v>
      </c>
      <c r="N12" s="322">
        <v>1687.874720000005</v>
      </c>
      <c r="O12" s="320">
        <v>1.4</v>
      </c>
      <c r="P12" s="321">
        <v>8.1725100113247632E-3</v>
      </c>
      <c r="Q12" s="320">
        <v>622.83199999999999</v>
      </c>
      <c r="R12" s="323">
        <v>3.7940000000000111</v>
      </c>
      <c r="S12" s="321">
        <v>2.2147502130690173E-2</v>
      </c>
      <c r="T12" s="324" t="s">
        <v>536</v>
      </c>
      <c r="U12" s="324" t="s">
        <v>465</v>
      </c>
      <c r="V12" s="357" t="s">
        <v>587</v>
      </c>
      <c r="W12" s="358" t="s">
        <v>588</v>
      </c>
      <c r="X12" s="325">
        <v>1</v>
      </c>
      <c r="Y12" s="326" t="s">
        <v>489</v>
      </c>
    </row>
    <row r="13" spans="2:35" s="330" customFormat="1" ht="27" customHeight="1">
      <c r="B13" s="680"/>
      <c r="C13" s="681"/>
      <c r="D13" s="318">
        <v>7</v>
      </c>
      <c r="E13" s="319" t="s">
        <v>560</v>
      </c>
      <c r="F13" s="320">
        <v>1676.498880000001</v>
      </c>
      <c r="G13" s="320">
        <v>489.428</v>
      </c>
      <c r="H13" s="320">
        <v>493.6</v>
      </c>
      <c r="I13" s="321">
        <v>1.0085242364556177</v>
      </c>
      <c r="J13" s="320">
        <v>0.9</v>
      </c>
      <c r="K13" s="321">
        <v>1.8388813063412801E-3</v>
      </c>
      <c r="L13" s="320">
        <v>330.54</v>
      </c>
      <c r="M13" s="321">
        <v>1.010363117761959</v>
      </c>
      <c r="N13" s="322">
        <v>1379.0128800000084</v>
      </c>
      <c r="O13" s="320">
        <v>2.2999999999999998</v>
      </c>
      <c r="P13" s="321">
        <v>4.6993633384277153E-3</v>
      </c>
      <c r="Q13" s="320">
        <v>760.24200000000008</v>
      </c>
      <c r="R13" s="323">
        <v>5.0720000000000027</v>
      </c>
      <c r="S13" s="321">
        <v>1.0363117761958864E-2</v>
      </c>
      <c r="T13" s="318" t="s">
        <v>536</v>
      </c>
      <c r="U13" s="324" t="s">
        <v>458</v>
      </c>
      <c r="V13" s="357" t="s">
        <v>585</v>
      </c>
      <c r="W13" s="357" t="s">
        <v>555</v>
      </c>
      <c r="X13" s="325">
        <v>1</v>
      </c>
      <c r="Y13" s="326" t="s">
        <v>291</v>
      </c>
      <c r="AB13" s="330">
        <v>1</v>
      </c>
      <c r="AC13" s="333" t="s">
        <v>439</v>
      </c>
    </row>
    <row r="14" spans="2:35" s="330" customFormat="1" ht="27" customHeight="1">
      <c r="B14" s="680"/>
      <c r="C14" s="681"/>
      <c r="D14" s="318">
        <v>8</v>
      </c>
      <c r="E14" s="319" t="s">
        <v>468</v>
      </c>
      <c r="F14" s="320">
        <v>1639.2943200000004</v>
      </c>
      <c r="G14" s="320">
        <v>78.738</v>
      </c>
      <c r="H14" s="320">
        <v>80.5</v>
      </c>
      <c r="I14" s="321">
        <v>1.0223780131575606</v>
      </c>
      <c r="J14" s="320">
        <v>0</v>
      </c>
      <c r="K14" s="321">
        <v>0</v>
      </c>
      <c r="L14" s="320">
        <v>930.36</v>
      </c>
      <c r="M14" s="321">
        <v>1.0223780131575606</v>
      </c>
      <c r="N14" s="322">
        <v>1639.2943200000004</v>
      </c>
      <c r="O14" s="320">
        <v>0.6</v>
      </c>
      <c r="P14" s="321">
        <v>7.6202087937209473E-3</v>
      </c>
      <c r="Q14" s="320">
        <v>558.21600000000001</v>
      </c>
      <c r="R14" s="323">
        <v>1.7620000000000005</v>
      </c>
      <c r="S14" s="321">
        <v>2.2378013157560522E-2</v>
      </c>
      <c r="T14" s="324" t="s">
        <v>536</v>
      </c>
      <c r="U14" s="324" t="s">
        <v>465</v>
      </c>
      <c r="V14" s="357" t="s">
        <v>591</v>
      </c>
      <c r="W14" s="357" t="s">
        <v>538</v>
      </c>
      <c r="X14" s="325">
        <v>1</v>
      </c>
      <c r="Y14" s="326" t="s">
        <v>282</v>
      </c>
      <c r="AB14" s="330">
        <v>2</v>
      </c>
      <c r="AC14" s="333" t="s">
        <v>556</v>
      </c>
    </row>
    <row r="15" spans="2:35" s="330" customFormat="1" ht="27" customHeight="1">
      <c r="B15" s="680"/>
      <c r="C15" s="681"/>
      <c r="D15" s="318">
        <v>9</v>
      </c>
      <c r="E15" s="319" t="s">
        <v>485</v>
      </c>
      <c r="F15" s="320">
        <v>1614.5280000000103</v>
      </c>
      <c r="G15" s="320">
        <v>390</v>
      </c>
      <c r="H15" s="320">
        <v>389.8</v>
      </c>
      <c r="I15" s="321">
        <v>0.99948717948717947</v>
      </c>
      <c r="J15" s="320">
        <v>3.8000000000000003</v>
      </c>
      <c r="K15" s="321">
        <v>9.743589743589744E-3</v>
      </c>
      <c r="L15" s="320">
        <v>448.48</v>
      </c>
      <c r="M15" s="321">
        <v>1.0092307692307694</v>
      </c>
      <c r="N15" s="322">
        <v>-89.69599999999491</v>
      </c>
      <c r="O15" s="320">
        <v>0.9</v>
      </c>
      <c r="P15" s="321">
        <v>2.3076923076923079E-3</v>
      </c>
      <c r="Q15" s="320">
        <v>403.63200000000006</v>
      </c>
      <c r="R15" s="323">
        <v>3.6000000000000227</v>
      </c>
      <c r="S15" s="321">
        <v>9.2307692307692889E-3</v>
      </c>
      <c r="T15" s="324" t="s">
        <v>540</v>
      </c>
      <c r="U15" s="324" t="s">
        <v>419</v>
      </c>
      <c r="V15" s="357" t="s">
        <v>541</v>
      </c>
      <c r="W15" s="357" t="s">
        <v>542</v>
      </c>
      <c r="X15" s="325">
        <v>1</v>
      </c>
      <c r="Y15" s="326" t="s">
        <v>336</v>
      </c>
      <c r="AB15" s="330">
        <v>3</v>
      </c>
      <c r="AC15" s="333" t="s">
        <v>548</v>
      </c>
    </row>
    <row r="16" spans="2:35" s="330" customFormat="1" ht="27" customHeight="1">
      <c r="B16" s="680"/>
      <c r="C16" s="681"/>
      <c r="D16" s="318">
        <v>10</v>
      </c>
      <c r="E16" s="319" t="s">
        <v>572</v>
      </c>
      <c r="F16" s="320">
        <v>1570.7650400000089</v>
      </c>
      <c r="G16" s="320">
        <v>339.404</v>
      </c>
      <c r="H16" s="320">
        <v>343</v>
      </c>
      <c r="I16" s="321">
        <v>1.0105950430755088</v>
      </c>
      <c r="J16" s="320">
        <v>1.1000000000000001</v>
      </c>
      <c r="K16" s="321">
        <v>3.2409753568019236E-3</v>
      </c>
      <c r="L16" s="320">
        <v>334.49</v>
      </c>
      <c r="M16" s="321">
        <v>1.0138360184323107</v>
      </c>
      <c r="N16" s="322">
        <v>1202.8260400000013</v>
      </c>
      <c r="O16" s="320">
        <v>2.2000000000000002</v>
      </c>
      <c r="P16" s="321">
        <v>6.4819507136038472E-3</v>
      </c>
      <c r="Q16" s="320">
        <v>735.87800000000016</v>
      </c>
      <c r="R16" s="323">
        <v>4.6960000000000264</v>
      </c>
      <c r="S16" s="321">
        <v>1.3836018432310835E-2</v>
      </c>
      <c r="T16" s="324" t="s">
        <v>536</v>
      </c>
      <c r="U16" s="324" t="s">
        <v>458</v>
      </c>
      <c r="V16" s="357" t="s">
        <v>592</v>
      </c>
      <c r="W16" s="358" t="s">
        <v>538</v>
      </c>
      <c r="X16" s="325">
        <v>1</v>
      </c>
      <c r="Y16" s="326" t="s">
        <v>289</v>
      </c>
      <c r="AB16" s="330">
        <v>4</v>
      </c>
      <c r="AC16" s="333" t="s">
        <v>559</v>
      </c>
    </row>
    <row r="17" spans="2:29" s="330" customFormat="1" ht="27" customHeight="1">
      <c r="B17" s="680"/>
      <c r="C17" s="681"/>
      <c r="D17" s="318">
        <v>11</v>
      </c>
      <c r="E17" s="319" t="s">
        <v>445</v>
      </c>
      <c r="F17" s="320">
        <v>1565.3269199999706</v>
      </c>
      <c r="G17" s="320">
        <v>1130.0210000000002</v>
      </c>
      <c r="H17" s="320">
        <v>1142.3</v>
      </c>
      <c r="I17" s="321">
        <v>1.010866169743748</v>
      </c>
      <c r="J17" s="320">
        <v>0</v>
      </c>
      <c r="K17" s="321">
        <v>0</v>
      </c>
      <c r="L17" s="320">
        <v>127.48</v>
      </c>
      <c r="M17" s="321">
        <v>1.010866169743748</v>
      </c>
      <c r="N17" s="322">
        <v>1565.3269199999706</v>
      </c>
      <c r="O17" s="320">
        <v>6.4</v>
      </c>
      <c r="P17" s="321">
        <v>5.6636115612010741E-3</v>
      </c>
      <c r="Q17" s="320">
        <v>815.87200000000007</v>
      </c>
      <c r="R17" s="323">
        <v>12.278999999999769</v>
      </c>
      <c r="S17" s="321">
        <v>1.0866169743747919E-2</v>
      </c>
      <c r="T17" s="324" t="s">
        <v>540</v>
      </c>
      <c r="U17" s="324" t="s">
        <v>419</v>
      </c>
      <c r="V17" s="357" t="s">
        <v>593</v>
      </c>
      <c r="W17" s="357" t="s">
        <v>594</v>
      </c>
      <c r="X17" s="325">
        <v>1</v>
      </c>
      <c r="Y17" s="326" t="s">
        <v>331</v>
      </c>
      <c r="AB17" s="330">
        <v>5</v>
      </c>
      <c r="AC17" s="333" t="s">
        <v>458</v>
      </c>
    </row>
    <row r="18" spans="2:29" s="330" customFormat="1" ht="27" customHeight="1">
      <c r="B18" s="680"/>
      <c r="C18" s="681"/>
      <c r="D18" s="318">
        <v>12</v>
      </c>
      <c r="E18" s="319" t="s">
        <v>543</v>
      </c>
      <c r="F18" s="320">
        <v>1558.9629950819638</v>
      </c>
      <c r="G18" s="320">
        <v>169.82214754098359</v>
      </c>
      <c r="H18" s="320">
        <v>173.29999999999998</v>
      </c>
      <c r="I18" s="321">
        <v>1.0204793809840207</v>
      </c>
      <c r="J18" s="320">
        <v>0.6</v>
      </c>
      <c r="K18" s="321">
        <v>3.5331080703428302E-3</v>
      </c>
      <c r="L18" s="320">
        <v>382.3</v>
      </c>
      <c r="M18" s="321">
        <v>1.0240124890543636</v>
      </c>
      <c r="N18" s="322">
        <v>1329.5829950819659</v>
      </c>
      <c r="O18" s="320">
        <v>2.2000000000000002</v>
      </c>
      <c r="P18" s="321">
        <v>1.2954729591257047E-2</v>
      </c>
      <c r="Q18" s="320">
        <v>841.06000000000017</v>
      </c>
      <c r="R18" s="323">
        <v>4.077852459016384</v>
      </c>
      <c r="S18" s="321">
        <v>2.4012489054363571E-2</v>
      </c>
      <c r="T18" s="318" t="s">
        <v>540</v>
      </c>
      <c r="U18" s="324" t="s">
        <v>419</v>
      </c>
      <c r="V18" s="357" t="s">
        <v>544</v>
      </c>
      <c r="W18" s="357" t="s">
        <v>545</v>
      </c>
      <c r="X18" s="325">
        <v>1</v>
      </c>
      <c r="Y18" s="326" t="s">
        <v>235</v>
      </c>
      <c r="AB18" s="330">
        <v>6</v>
      </c>
      <c r="AC18" s="333" t="s">
        <v>465</v>
      </c>
    </row>
    <row r="19" spans="2:29" s="330" customFormat="1" ht="27" customHeight="1">
      <c r="B19" s="680"/>
      <c r="C19" s="681"/>
      <c r="D19" s="318">
        <v>13</v>
      </c>
      <c r="E19" s="319" t="s">
        <v>452</v>
      </c>
      <c r="F19" s="320">
        <v>1555.4520000000343</v>
      </c>
      <c r="G19" s="320">
        <v>430.2</v>
      </c>
      <c r="H19" s="320">
        <v>431.80000000000007</v>
      </c>
      <c r="I19" s="321">
        <v>1.0037192003719202</v>
      </c>
      <c r="J19" s="320">
        <v>1.9999999999999998</v>
      </c>
      <c r="K19" s="321">
        <v>4.6490004649000459E-3</v>
      </c>
      <c r="L19" s="320">
        <v>432.07</v>
      </c>
      <c r="M19" s="321">
        <v>1.0083682008368202</v>
      </c>
      <c r="N19" s="322">
        <v>691.31200000003435</v>
      </c>
      <c r="O19" s="320">
        <v>1.5000000000000002</v>
      </c>
      <c r="P19" s="321">
        <v>3.4867503486750353E-3</v>
      </c>
      <c r="Q19" s="320">
        <v>648.1049999999999</v>
      </c>
      <c r="R19" s="323">
        <v>3.6000000000000796</v>
      </c>
      <c r="S19" s="321">
        <v>8.3682008368202686E-3</v>
      </c>
      <c r="T19" s="324" t="s">
        <v>540</v>
      </c>
      <c r="U19" s="324" t="s">
        <v>419</v>
      </c>
      <c r="V19" s="324" t="s">
        <v>541</v>
      </c>
      <c r="W19" s="324" t="s">
        <v>538</v>
      </c>
      <c r="X19" s="325">
        <v>1</v>
      </c>
      <c r="Y19" s="326" t="s">
        <v>277</v>
      </c>
      <c r="AB19" s="330">
        <v>7</v>
      </c>
      <c r="AC19" s="333" t="s">
        <v>567</v>
      </c>
    </row>
    <row r="20" spans="2:29" s="330" customFormat="1" ht="27" customHeight="1">
      <c r="B20" s="680"/>
      <c r="C20" s="681"/>
      <c r="D20" s="318">
        <v>14</v>
      </c>
      <c r="E20" s="319" t="s">
        <v>553</v>
      </c>
      <c r="F20" s="320">
        <v>1536.3348800000003</v>
      </c>
      <c r="G20" s="320">
        <v>509.07600000000002</v>
      </c>
      <c r="H20" s="320">
        <v>514.6</v>
      </c>
      <c r="I20" s="321">
        <v>1.0108510320659392</v>
      </c>
      <c r="J20" s="320">
        <v>0</v>
      </c>
      <c r="K20" s="321">
        <v>0</v>
      </c>
      <c r="L20" s="320">
        <v>278.12</v>
      </c>
      <c r="M20" s="321">
        <v>1.0108510320659392</v>
      </c>
      <c r="N20" s="322">
        <v>1536.3348800000003</v>
      </c>
      <c r="O20" s="320">
        <v>2.9000000000000004</v>
      </c>
      <c r="P20" s="321">
        <v>5.6965954002938662E-3</v>
      </c>
      <c r="Q20" s="320">
        <v>806.548</v>
      </c>
      <c r="R20" s="323">
        <v>5.5240000000000009</v>
      </c>
      <c r="S20" s="321">
        <v>1.0851032065939075E-2</v>
      </c>
      <c r="T20" s="324" t="s">
        <v>540</v>
      </c>
      <c r="U20" s="324" t="s">
        <v>419</v>
      </c>
      <c r="V20" s="357" t="s">
        <v>592</v>
      </c>
      <c r="W20" s="357" t="s">
        <v>595</v>
      </c>
      <c r="X20" s="325">
        <v>1</v>
      </c>
      <c r="Y20" s="326" t="s">
        <v>298</v>
      </c>
      <c r="AB20" s="330">
        <v>8</v>
      </c>
      <c r="AC20" s="334" t="s">
        <v>571</v>
      </c>
    </row>
    <row r="21" spans="2:29" s="330" customFormat="1" ht="27" customHeight="1">
      <c r="B21" s="680"/>
      <c r="C21" s="681"/>
      <c r="D21" s="318">
        <v>15</v>
      </c>
      <c r="E21" s="319" t="s">
        <v>477</v>
      </c>
      <c r="F21" s="320">
        <v>1524.3281999999904</v>
      </c>
      <c r="G21" s="320">
        <v>2936.5680000000002</v>
      </c>
      <c r="H21" s="320">
        <v>2955.9</v>
      </c>
      <c r="I21" s="321">
        <v>1.0065831950767017</v>
      </c>
      <c r="J21" s="320">
        <v>0</v>
      </c>
      <c r="K21" s="321">
        <v>0</v>
      </c>
      <c r="L21" s="320">
        <v>78.849999999999994</v>
      </c>
      <c r="M21" s="321">
        <v>1.0065831950767017</v>
      </c>
      <c r="N21" s="322">
        <v>1524.3281999999904</v>
      </c>
      <c r="O21" s="320">
        <v>7.0000000000000009</v>
      </c>
      <c r="P21" s="321">
        <v>2.3837350267386964E-3</v>
      </c>
      <c r="Q21" s="320">
        <v>551.95000000000005</v>
      </c>
      <c r="R21" s="323">
        <v>19.33199999999988</v>
      </c>
      <c r="S21" s="321">
        <v>6.5831950767017413E-3</v>
      </c>
      <c r="T21" s="318" t="s">
        <v>540</v>
      </c>
      <c r="U21" s="324" t="s">
        <v>419</v>
      </c>
      <c r="V21" s="357" t="s">
        <v>593</v>
      </c>
      <c r="W21" s="358" t="s">
        <v>594</v>
      </c>
      <c r="X21" s="325">
        <v>1</v>
      </c>
      <c r="Y21" s="326" t="s">
        <v>291</v>
      </c>
      <c r="AC21" s="333"/>
    </row>
    <row r="22" spans="2:29" s="330" customFormat="1" ht="27" customHeight="1">
      <c r="B22" s="680"/>
      <c r="C22" s="681"/>
      <c r="D22" s="318">
        <v>16</v>
      </c>
      <c r="E22" s="319" t="s">
        <v>459</v>
      </c>
      <c r="F22" s="320">
        <v>1519.6964999999864</v>
      </c>
      <c r="G22" s="320">
        <v>266.45000000000005</v>
      </c>
      <c r="H22" s="320">
        <v>271.5</v>
      </c>
      <c r="I22" s="321">
        <v>1.0189528992306247</v>
      </c>
      <c r="J22" s="320">
        <v>0</v>
      </c>
      <c r="K22" s="321">
        <v>0</v>
      </c>
      <c r="L22" s="320">
        <v>300.93</v>
      </c>
      <c r="M22" s="321">
        <v>1.0189528992306247</v>
      </c>
      <c r="N22" s="322">
        <v>1519.6964999999864</v>
      </c>
      <c r="O22" s="320">
        <v>2.6999999999999997</v>
      </c>
      <c r="P22" s="321">
        <v>1.0133233252017261E-2</v>
      </c>
      <c r="Q22" s="320">
        <v>812.51099999999997</v>
      </c>
      <c r="R22" s="323">
        <v>5.0499999999999545</v>
      </c>
      <c r="S22" s="321">
        <v>1.8952899230624709E-2</v>
      </c>
      <c r="T22" s="324" t="s">
        <v>536</v>
      </c>
      <c r="U22" s="324" t="s">
        <v>458</v>
      </c>
      <c r="V22" s="357" t="s">
        <v>592</v>
      </c>
      <c r="W22" s="357" t="s">
        <v>595</v>
      </c>
      <c r="X22" s="325">
        <v>1</v>
      </c>
      <c r="Y22" s="326" t="s">
        <v>297</v>
      </c>
      <c r="AC22" s="333"/>
    </row>
    <row r="23" spans="2:29" s="330" customFormat="1" ht="27" customHeight="1">
      <c r="B23" s="680"/>
      <c r="C23" s="681"/>
      <c r="D23" s="318">
        <v>17</v>
      </c>
      <c r="E23" s="319" t="s">
        <v>596</v>
      </c>
      <c r="F23" s="320">
        <v>1503.2575999999885</v>
      </c>
      <c r="G23" s="320">
        <v>489.84</v>
      </c>
      <c r="H23" s="320">
        <v>493.19999999999993</v>
      </c>
      <c r="I23" s="321">
        <v>1.006859382655561</v>
      </c>
      <c r="J23" s="320">
        <v>0.8</v>
      </c>
      <c r="K23" s="321">
        <v>1.6331863465621429E-3</v>
      </c>
      <c r="L23" s="320">
        <v>361.36</v>
      </c>
      <c r="M23" s="321">
        <v>1.0084925690021231</v>
      </c>
      <c r="N23" s="322">
        <v>1214.1695999999845</v>
      </c>
      <c r="O23" s="320">
        <v>1.8</v>
      </c>
      <c r="P23" s="321">
        <v>3.6746692797648213E-3</v>
      </c>
      <c r="Q23" s="320">
        <v>650.44800000000009</v>
      </c>
      <c r="R23" s="323">
        <v>4.1599999999999682</v>
      </c>
      <c r="S23" s="321">
        <v>8.4925690021230779E-3</v>
      </c>
      <c r="T23" s="324" t="s">
        <v>540</v>
      </c>
      <c r="U23" s="324" t="s">
        <v>419</v>
      </c>
      <c r="V23" s="357" t="s">
        <v>597</v>
      </c>
      <c r="W23" s="357" t="s">
        <v>598</v>
      </c>
      <c r="X23" s="325">
        <v>1</v>
      </c>
      <c r="Y23" s="326" t="s">
        <v>322</v>
      </c>
      <c r="AB23" s="335">
        <v>1</v>
      </c>
      <c r="AC23" s="333" t="s">
        <v>547</v>
      </c>
    </row>
    <row r="24" spans="2:29" s="330" customFormat="1" ht="27" customHeight="1">
      <c r="B24" s="680"/>
      <c r="C24" s="681"/>
      <c r="D24" s="318">
        <v>18</v>
      </c>
      <c r="E24" s="319" t="s">
        <v>447</v>
      </c>
      <c r="F24" s="320">
        <v>1469.4198399999916</v>
      </c>
      <c r="G24" s="320">
        <v>45.864000000000004</v>
      </c>
      <c r="H24" s="320">
        <v>47.599999999999994</v>
      </c>
      <c r="I24" s="321">
        <v>1.0378510378510377</v>
      </c>
      <c r="J24" s="320">
        <v>0</v>
      </c>
      <c r="K24" s="321">
        <v>0</v>
      </c>
      <c r="L24" s="320">
        <v>846.44</v>
      </c>
      <c r="M24" s="321">
        <v>1.0378510378510377</v>
      </c>
      <c r="N24" s="322">
        <v>1469.4198399999916</v>
      </c>
      <c r="O24" s="320">
        <v>0.30000000000000004</v>
      </c>
      <c r="P24" s="321">
        <v>6.5410779696493983E-3</v>
      </c>
      <c r="Q24" s="320">
        <v>253.93200000000002</v>
      </c>
      <c r="R24" s="323">
        <v>1.73599999999999</v>
      </c>
      <c r="S24" s="321">
        <v>3.7851037851037626E-2</v>
      </c>
      <c r="T24" s="324" t="s">
        <v>547</v>
      </c>
      <c r="U24" s="324" t="s">
        <v>548</v>
      </c>
      <c r="V24" s="357" t="s">
        <v>599</v>
      </c>
      <c r="W24" s="357" t="s">
        <v>600</v>
      </c>
      <c r="X24" s="325">
        <v>1</v>
      </c>
      <c r="Y24" s="326" t="s">
        <v>281</v>
      </c>
      <c r="AB24" s="330">
        <v>2</v>
      </c>
      <c r="AC24" s="333" t="s">
        <v>577</v>
      </c>
    </row>
    <row r="25" spans="2:29" s="330" customFormat="1" ht="27" customHeight="1">
      <c r="B25" s="680"/>
      <c r="C25" s="681"/>
      <c r="D25" s="318">
        <v>19</v>
      </c>
      <c r="E25" s="319" t="s">
        <v>492</v>
      </c>
      <c r="F25" s="320">
        <v>1468.1520000000035</v>
      </c>
      <c r="G25" s="320">
        <v>8.1999999999999993</v>
      </c>
      <c r="H25" s="320">
        <v>9.0000000000000018</v>
      </c>
      <c r="I25" s="321">
        <v>1.0975609756097564</v>
      </c>
      <c r="J25" s="320">
        <v>0.4</v>
      </c>
      <c r="K25" s="321">
        <v>4.8780487804878057E-2</v>
      </c>
      <c r="L25" s="320">
        <v>1223.46</v>
      </c>
      <c r="M25" s="321">
        <v>1.1463414634146345</v>
      </c>
      <c r="N25" s="322">
        <v>978.7680000000031</v>
      </c>
      <c r="O25" s="320">
        <v>0.5</v>
      </c>
      <c r="P25" s="321">
        <v>6.0975609756097567E-2</v>
      </c>
      <c r="Q25" s="320">
        <v>611.73</v>
      </c>
      <c r="R25" s="323">
        <v>1.2000000000000028</v>
      </c>
      <c r="S25" s="321">
        <v>0.1463414634146345</v>
      </c>
      <c r="T25" s="324" t="s">
        <v>536</v>
      </c>
      <c r="U25" s="324" t="s">
        <v>567</v>
      </c>
      <c r="V25" s="357" t="s">
        <v>601</v>
      </c>
      <c r="W25" s="357" t="s">
        <v>602</v>
      </c>
      <c r="X25" s="325">
        <v>1</v>
      </c>
      <c r="Y25" s="326" t="s">
        <v>242</v>
      </c>
      <c r="AB25" s="336">
        <v>3</v>
      </c>
      <c r="AC25" s="333" t="s">
        <v>540</v>
      </c>
    </row>
    <row r="26" spans="2:29" s="330" customFormat="1" ht="27" customHeight="1">
      <c r="B26" s="682"/>
      <c r="C26" s="683"/>
      <c r="D26" s="318">
        <v>20</v>
      </c>
      <c r="E26" s="319" t="s">
        <v>603</v>
      </c>
      <c r="F26" s="320">
        <v>1465.9769999999905</v>
      </c>
      <c r="G26" s="320">
        <v>1414.1000000000001</v>
      </c>
      <c r="H26" s="320">
        <v>1427.5</v>
      </c>
      <c r="I26" s="321">
        <v>1.0094759917969025</v>
      </c>
      <c r="J26" s="320">
        <v>0.7</v>
      </c>
      <c r="K26" s="321">
        <v>4.9501449685312201E-4</v>
      </c>
      <c r="L26" s="320">
        <v>103.97</v>
      </c>
      <c r="M26" s="321">
        <v>1.0099710062937557</v>
      </c>
      <c r="N26" s="322">
        <v>1393.1979999999858</v>
      </c>
      <c r="O26" s="320">
        <v>5.8</v>
      </c>
      <c r="P26" s="321">
        <v>4.1015486882115832E-3</v>
      </c>
      <c r="Q26" s="320">
        <v>603.02599999999995</v>
      </c>
      <c r="R26" s="323">
        <v>14.099999999999909</v>
      </c>
      <c r="S26" s="321">
        <v>9.9710062937556805E-3</v>
      </c>
      <c r="T26" s="324" t="s">
        <v>540</v>
      </c>
      <c r="U26" s="324" t="s">
        <v>419</v>
      </c>
      <c r="V26" s="357" t="s">
        <v>593</v>
      </c>
      <c r="W26" s="358" t="s">
        <v>594</v>
      </c>
      <c r="X26" s="325">
        <v>1</v>
      </c>
      <c r="Y26" s="326" t="s">
        <v>298</v>
      </c>
      <c r="AB26" s="336">
        <v>4</v>
      </c>
      <c r="AC26" s="333" t="s">
        <v>536</v>
      </c>
    </row>
    <row r="27" spans="2:29" ht="29.45" customHeight="1">
      <c r="C27" s="684"/>
      <c r="AB27" s="330"/>
      <c r="AC27" s="333"/>
    </row>
    <row r="28" spans="2:29">
      <c r="C28" s="684"/>
    </row>
    <row r="29" spans="2:29">
      <c r="C29" s="684"/>
    </row>
    <row r="30" spans="2:29">
      <c r="C30" s="684"/>
    </row>
    <row r="31" spans="2:29">
      <c r="C31" s="684"/>
    </row>
    <row r="32" spans="2:29">
      <c r="C32" s="684"/>
    </row>
    <row r="33" spans="3:3">
      <c r="C33" s="684"/>
    </row>
    <row r="34" spans="3:3">
      <c r="C34" s="684"/>
    </row>
    <row r="35" spans="3:3">
      <c r="C35" s="684"/>
    </row>
    <row r="36" spans="3:3">
      <c r="C36" s="684"/>
    </row>
    <row r="67" ht="14.1" customHeight="1"/>
    <row r="77" ht="14.1" customHeight="1"/>
    <row r="87" ht="14.1" customHeight="1"/>
    <row r="112" spans="26:26">
      <c r="Z112" s="337" t="s">
        <v>580</v>
      </c>
    </row>
    <row r="113" spans="26:26">
      <c r="Z113" s="330" t="s">
        <v>581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8"/>
  <sheetViews>
    <sheetView zoomScale="75" zoomScaleNormal="75" workbookViewId="0">
      <selection activeCell="H17" sqref="H17"/>
    </sheetView>
  </sheetViews>
  <sheetFormatPr defaultColWidth="8.28515625" defaultRowHeight="15"/>
  <cols>
    <col min="1" max="1" width="18.42578125" style="338" customWidth="1"/>
    <col min="2" max="2" width="21.140625" style="338" bestFit="1" customWidth="1"/>
    <col min="3" max="6" width="14.28515625" style="338" customWidth="1"/>
    <col min="7" max="10" width="18.42578125" style="338" customWidth="1"/>
    <col min="11" max="11" width="17.140625" style="338" bestFit="1" customWidth="1"/>
    <col min="12" max="12" width="16" style="338" customWidth="1"/>
    <col min="13" max="13" width="23.28515625" style="338" bestFit="1" customWidth="1"/>
    <col min="14" max="15" width="13.28515625" style="338" bestFit="1" customWidth="1"/>
    <col min="16" max="16" width="8.28515625" style="338"/>
    <col min="17" max="17" width="12.85546875" style="338" bestFit="1" customWidth="1"/>
    <col min="18" max="16384" width="8.28515625" style="338"/>
  </cols>
  <sheetData>
    <row r="1" spans="1:18" ht="27" customHeight="1">
      <c r="A1" s="709" t="s">
        <v>604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</row>
    <row r="2" spans="1:18" ht="16.5" customHeight="1">
      <c r="A2" s="710" t="s">
        <v>605</v>
      </c>
      <c r="B2" s="710" t="s">
        <v>180</v>
      </c>
      <c r="C2" s="710" t="s">
        <v>606</v>
      </c>
      <c r="D2" s="710" t="s">
        <v>607</v>
      </c>
      <c r="E2" s="710" t="s">
        <v>608</v>
      </c>
      <c r="F2" s="710" t="s">
        <v>609</v>
      </c>
      <c r="G2" s="710" t="s">
        <v>610</v>
      </c>
      <c r="H2" s="710"/>
      <c r="I2" s="710" t="s">
        <v>611</v>
      </c>
      <c r="J2" s="710"/>
      <c r="K2" s="710" t="s">
        <v>612</v>
      </c>
      <c r="L2" s="710"/>
      <c r="M2" s="711" t="s">
        <v>158</v>
      </c>
      <c r="N2" s="711"/>
      <c r="O2" s="711"/>
    </row>
    <row r="3" spans="1:18" ht="37.5" customHeight="1">
      <c r="A3" s="710"/>
      <c r="B3" s="710"/>
      <c r="C3" s="710"/>
      <c r="D3" s="710"/>
      <c r="E3" s="710"/>
      <c r="F3" s="710"/>
      <c r="G3" s="370" t="s">
        <v>613</v>
      </c>
      <c r="H3" s="370" t="s">
        <v>614</v>
      </c>
      <c r="I3" s="370" t="s">
        <v>613</v>
      </c>
      <c r="J3" s="370" t="s">
        <v>614</v>
      </c>
      <c r="K3" s="370" t="s">
        <v>615</v>
      </c>
      <c r="L3" s="370" t="s">
        <v>616</v>
      </c>
      <c r="M3" s="370" t="s">
        <v>180</v>
      </c>
      <c r="N3" s="339" t="s">
        <v>617</v>
      </c>
      <c r="O3" s="339" t="s">
        <v>618</v>
      </c>
    </row>
    <row r="4" spans="1:18" ht="18.75">
      <c r="A4" s="340">
        <v>45958</v>
      </c>
      <c r="B4" s="341">
        <v>8874807</v>
      </c>
      <c r="C4" s="341">
        <v>21899</v>
      </c>
      <c r="D4" s="342">
        <f t="shared" ref="D4:D38" si="0">C4/B4</f>
        <v>2.4675466181968801E-3</v>
      </c>
      <c r="E4" s="343">
        <v>19287.058307551641</v>
      </c>
      <c r="F4" s="344">
        <f>E4/B4</f>
        <v>2.1732369287074797E-3</v>
      </c>
      <c r="G4" s="341">
        <v>1654.0460000000003</v>
      </c>
      <c r="H4" s="345">
        <f t="shared" ref="H4:H38" si="1">G4/C4</f>
        <v>7.5530663500616477E-2</v>
      </c>
      <c r="I4" s="346">
        <v>2713.0277200000005</v>
      </c>
      <c r="J4" s="345">
        <f t="shared" ref="J4:J38" si="2">I4/E4</f>
        <v>0.14066570841120668</v>
      </c>
      <c r="K4" s="347">
        <v>2706.0520000000001</v>
      </c>
      <c r="L4" s="348">
        <f t="shared" ref="L4:L17" si="3">K4/C4</f>
        <v>0.12356966071510116</v>
      </c>
      <c r="M4" s="374">
        <f>SUM(B4:B10)</f>
        <v>52649495</v>
      </c>
      <c r="N4" s="375">
        <f>SUM(C4:C10)</f>
        <v>129274</v>
      </c>
      <c r="O4" s="375">
        <f>SUM(E4:E10)</f>
        <v>118981.92926777399</v>
      </c>
    </row>
    <row r="5" spans="1:18" ht="18.75">
      <c r="A5" s="349">
        <f t="shared" ref="A5:A38" si="4">A4+1</f>
        <v>45959</v>
      </c>
      <c r="B5" s="341">
        <v>8157355</v>
      </c>
      <c r="C5" s="341">
        <v>19907</v>
      </c>
      <c r="D5" s="342">
        <f t="shared" si="0"/>
        <v>2.4403743615424361E-3</v>
      </c>
      <c r="E5" s="343">
        <v>18476.672715869157</v>
      </c>
      <c r="F5" s="344">
        <f t="shared" ref="F5:F38" si="5">E5/B5</f>
        <v>2.2650323194061258E-3</v>
      </c>
      <c r="G5" s="341">
        <v>1504.5309999999999</v>
      </c>
      <c r="H5" s="345">
        <f t="shared" si="1"/>
        <v>7.55779876425378E-2</v>
      </c>
      <c r="I5" s="346">
        <v>2453.6157999999996</v>
      </c>
      <c r="J5" s="345">
        <f t="shared" si="2"/>
        <v>0.13279532726109552</v>
      </c>
      <c r="K5" s="347">
        <v>2807.1920000000005</v>
      </c>
      <c r="L5" s="348">
        <f t="shared" si="3"/>
        <v>0.1410153212437836</v>
      </c>
      <c r="M5" s="376"/>
      <c r="N5" s="377"/>
      <c r="O5" s="377"/>
    </row>
    <row r="6" spans="1:18" ht="18.75">
      <c r="A6" s="349">
        <f t="shared" si="4"/>
        <v>45960</v>
      </c>
      <c r="B6" s="341">
        <v>7556926</v>
      </c>
      <c r="C6" s="341">
        <v>18659</v>
      </c>
      <c r="D6" s="342">
        <f t="shared" si="0"/>
        <v>2.469125673587382E-3</v>
      </c>
      <c r="E6" s="343">
        <v>16639.613695241827</v>
      </c>
      <c r="F6" s="344">
        <f t="shared" si="5"/>
        <v>2.2019024263624956E-3</v>
      </c>
      <c r="G6" s="341">
        <v>1663.9600000000003</v>
      </c>
      <c r="H6" s="345">
        <f t="shared" si="1"/>
        <v>8.9177340693499127E-2</v>
      </c>
      <c r="I6" s="346">
        <v>2440.3796600000032</v>
      </c>
      <c r="J6" s="345">
        <f t="shared" si="2"/>
        <v>0.14666083628478951</v>
      </c>
      <c r="K6" s="347">
        <v>2757.3480000000009</v>
      </c>
      <c r="L6" s="348">
        <f t="shared" si="3"/>
        <v>0.14777576504635836</v>
      </c>
      <c r="M6" s="376"/>
      <c r="N6" s="377"/>
      <c r="O6" s="377"/>
    </row>
    <row r="7" spans="1:18" ht="18.75">
      <c r="A7" s="349">
        <f t="shared" si="4"/>
        <v>45961</v>
      </c>
      <c r="B7" s="341">
        <v>6398548</v>
      </c>
      <c r="C7" s="341">
        <v>15802</v>
      </c>
      <c r="D7" s="342">
        <f t="shared" si="0"/>
        <v>2.4696227956717679E-3</v>
      </c>
      <c r="E7" s="343">
        <v>16577.67065205464</v>
      </c>
      <c r="F7" s="344">
        <f t="shared" si="5"/>
        <v>2.590848838213707E-3</v>
      </c>
      <c r="G7" s="341">
        <v>1403.1010000000001</v>
      </c>
      <c r="H7" s="345">
        <f t="shared" si="1"/>
        <v>8.8792621187191501E-2</v>
      </c>
      <c r="I7" s="346">
        <v>2081.9323200000003</v>
      </c>
      <c r="J7" s="345">
        <f t="shared" si="2"/>
        <v>0.12558654129987587</v>
      </c>
      <c r="K7" s="347">
        <v>2538.4559999999997</v>
      </c>
      <c r="L7" s="348">
        <f t="shared" si="3"/>
        <v>0.16064143779268444</v>
      </c>
      <c r="M7" s="376"/>
      <c r="N7" s="377"/>
      <c r="O7" s="377"/>
    </row>
    <row r="8" spans="1:18" ht="18.75">
      <c r="A8" s="349">
        <f t="shared" si="4"/>
        <v>45962</v>
      </c>
      <c r="B8" s="341">
        <v>6412266</v>
      </c>
      <c r="C8" s="341">
        <v>15645</v>
      </c>
      <c r="D8" s="342">
        <f t="shared" si="0"/>
        <v>2.4398551151808114E-3</v>
      </c>
      <c r="E8" s="343">
        <v>16537.339887973139</v>
      </c>
      <c r="F8" s="344">
        <f t="shared" si="5"/>
        <v>2.5790165111636261E-3</v>
      </c>
      <c r="G8" s="341">
        <v>1438.319</v>
      </c>
      <c r="H8" s="345">
        <f t="shared" si="1"/>
        <v>9.1934739533397244E-2</v>
      </c>
      <c r="I8" s="346">
        <v>2179.3240500000015</v>
      </c>
      <c r="J8" s="345">
        <f t="shared" si="2"/>
        <v>0.13178201964542832</v>
      </c>
      <c r="K8" s="347">
        <v>2168.4447000000005</v>
      </c>
      <c r="L8" s="348">
        <f t="shared" si="3"/>
        <v>0.13860304889741135</v>
      </c>
      <c r="M8" s="376"/>
      <c r="N8" s="377"/>
      <c r="O8" s="377"/>
      <c r="P8" s="350"/>
      <c r="Q8" s="350"/>
    </row>
    <row r="9" spans="1:18" ht="18.75">
      <c r="A9" s="349">
        <f t="shared" si="4"/>
        <v>45963</v>
      </c>
      <c r="B9" s="341">
        <v>7718290</v>
      </c>
      <c r="C9" s="341">
        <v>18780</v>
      </c>
      <c r="D9" s="342">
        <f t="shared" si="0"/>
        <v>2.4331814430398444E-3</v>
      </c>
      <c r="E9" s="343">
        <v>15439.885608296649</v>
      </c>
      <c r="F9" s="344">
        <f t="shared" si="5"/>
        <v>2.0004282824688693E-3</v>
      </c>
      <c r="G9" s="341">
        <v>1567.0319999999999</v>
      </c>
      <c r="H9" s="345">
        <f t="shared" si="1"/>
        <v>8.3441533546325872E-2</v>
      </c>
      <c r="I9" s="346">
        <v>2507.9259199999938</v>
      </c>
      <c r="J9" s="345">
        <f t="shared" si="2"/>
        <v>0.16243163865491048</v>
      </c>
      <c r="K9" s="347">
        <v>3205.7310000000002</v>
      </c>
      <c r="L9" s="348">
        <f t="shared" si="3"/>
        <v>0.17069920127795529</v>
      </c>
      <c r="M9" s="376"/>
      <c r="N9" s="377"/>
      <c r="O9" s="377"/>
    </row>
    <row r="10" spans="1:18" ht="18.75">
      <c r="A10" s="349">
        <f t="shared" si="4"/>
        <v>45964</v>
      </c>
      <c r="B10" s="341">
        <v>7531303</v>
      </c>
      <c r="C10" s="341">
        <v>18582</v>
      </c>
      <c r="D10" s="342">
        <f t="shared" si="0"/>
        <v>2.4673021388198031E-3</v>
      </c>
      <c r="E10" s="343">
        <v>16023.688400786916</v>
      </c>
      <c r="F10" s="344">
        <f t="shared" si="5"/>
        <v>2.1276117028868596E-3</v>
      </c>
      <c r="G10" s="341">
        <v>1546.1680000000001</v>
      </c>
      <c r="H10" s="345">
        <f t="shared" si="1"/>
        <v>8.3207835539769681E-2</v>
      </c>
      <c r="I10" s="346">
        <v>2374.3680100000042</v>
      </c>
      <c r="J10" s="345">
        <f t="shared" si="2"/>
        <v>0.14817861846860428</v>
      </c>
      <c r="K10" s="347">
        <v>2793.6050000000009</v>
      </c>
      <c r="L10" s="348">
        <f t="shared" si="3"/>
        <v>0.15033930685609734</v>
      </c>
      <c r="M10" s="378"/>
      <c r="N10" s="379"/>
      <c r="O10" s="379"/>
    </row>
    <row r="11" spans="1:18" ht="18.75">
      <c r="A11" s="349">
        <f t="shared" si="4"/>
        <v>45965</v>
      </c>
      <c r="B11" s="341">
        <v>7342086</v>
      </c>
      <c r="C11" s="341">
        <v>18138</v>
      </c>
      <c r="D11" s="342">
        <f t="shared" si="0"/>
        <v>2.470415083669682E-3</v>
      </c>
      <c r="E11" s="343">
        <v>16177.92957957308</v>
      </c>
      <c r="F11" s="344">
        <f>E11/B11</f>
        <v>2.2034513869182517E-3</v>
      </c>
      <c r="G11" s="341">
        <v>1509.9050000000002</v>
      </c>
      <c r="H11" s="345">
        <f t="shared" si="1"/>
        <v>8.3245396405336874E-2</v>
      </c>
      <c r="I11" s="346">
        <v>2412.3953099999949</v>
      </c>
      <c r="J11" s="345">
        <f t="shared" si="2"/>
        <v>0.14911644275210498</v>
      </c>
      <c r="K11" s="347">
        <v>2592.5349999999989</v>
      </c>
      <c r="L11" s="348">
        <f t="shared" si="3"/>
        <v>0.14293389568860948</v>
      </c>
      <c r="M11" s="374">
        <f>SUM(B11:B17)</f>
        <v>49899447</v>
      </c>
      <c r="N11" s="375">
        <f>SUM(C11:C17)</f>
        <v>122397.80100000001</v>
      </c>
      <c r="O11" s="375">
        <f>SUM(E11:E17)</f>
        <v>110502.30436585688</v>
      </c>
    </row>
    <row r="12" spans="1:18" ht="18.75">
      <c r="A12" s="349">
        <f t="shared" si="4"/>
        <v>45966</v>
      </c>
      <c r="B12" s="341">
        <v>7302439</v>
      </c>
      <c r="C12" s="341">
        <v>17849.25</v>
      </c>
      <c r="D12" s="342">
        <f t="shared" si="0"/>
        <v>2.4442860803082366E-3</v>
      </c>
      <c r="E12" s="343">
        <v>17431.878648027079</v>
      </c>
      <c r="F12" s="344">
        <f t="shared" ref="F12:F17" si="6">E12/B12</f>
        <v>2.3871310185579202E-3</v>
      </c>
      <c r="G12" s="341">
        <v>1536.7440000000001</v>
      </c>
      <c r="H12" s="345">
        <f t="shared" si="1"/>
        <v>8.6095718307491922E-2</v>
      </c>
      <c r="I12" s="346">
        <v>2562.0162799999971</v>
      </c>
      <c r="J12" s="345">
        <f t="shared" si="2"/>
        <v>0.1469730447148313</v>
      </c>
      <c r="K12" s="347">
        <v>2253.0450000000001</v>
      </c>
      <c r="L12" s="348">
        <f t="shared" si="3"/>
        <v>0.12622631202991721</v>
      </c>
      <c r="M12" s="376"/>
      <c r="N12" s="377"/>
      <c r="O12" s="377"/>
    </row>
    <row r="13" spans="1:18" ht="18.75">
      <c r="A13" s="349">
        <f t="shared" si="4"/>
        <v>45967</v>
      </c>
      <c r="B13" s="341">
        <v>7792203</v>
      </c>
      <c r="C13" s="341">
        <v>18937.551000000007</v>
      </c>
      <c r="D13" s="342">
        <f t="shared" si="0"/>
        <v>2.4303205396471327E-3</v>
      </c>
      <c r="E13" s="343">
        <v>16039.266531390213</v>
      </c>
      <c r="F13" s="344">
        <f t="shared" si="6"/>
        <v>2.0583738040949669E-3</v>
      </c>
      <c r="G13" s="341">
        <v>1552.5330000000004</v>
      </c>
      <c r="H13" s="345">
        <f t="shared" si="1"/>
        <v>8.1981719811606041E-2</v>
      </c>
      <c r="I13" s="346">
        <v>2231.4264899999926</v>
      </c>
      <c r="J13" s="345">
        <f t="shared" si="2"/>
        <v>0.13912272644343809</v>
      </c>
      <c r="K13" s="347">
        <v>2436.4830000000002</v>
      </c>
      <c r="L13" s="348">
        <f t="shared" si="3"/>
        <v>0.1286588218297075</v>
      </c>
      <c r="M13" s="376"/>
      <c r="N13" s="377"/>
      <c r="O13" s="377"/>
    </row>
    <row r="14" spans="1:18" ht="18.75">
      <c r="A14" s="349">
        <f t="shared" si="4"/>
        <v>45968</v>
      </c>
      <c r="B14" s="341">
        <v>6208479</v>
      </c>
      <c r="C14" s="341">
        <v>15337</v>
      </c>
      <c r="D14" s="342">
        <f t="shared" si="0"/>
        <v>2.4703313001461389E-3</v>
      </c>
      <c r="E14" s="343">
        <v>14635.902278843392</v>
      </c>
      <c r="F14" s="344">
        <f t="shared" si="6"/>
        <v>2.3574054577366523E-3</v>
      </c>
      <c r="G14" s="341">
        <v>1334.3380000000002</v>
      </c>
      <c r="H14" s="345">
        <f t="shared" si="1"/>
        <v>8.7001238834191835E-2</v>
      </c>
      <c r="I14" s="346">
        <v>2153.1483200000021</v>
      </c>
      <c r="J14" s="345">
        <f t="shared" si="2"/>
        <v>0.1471141497789609</v>
      </c>
      <c r="K14" s="347">
        <v>3015.0400000000004</v>
      </c>
      <c r="L14" s="348">
        <f t="shared" si="3"/>
        <v>0.19658603377453221</v>
      </c>
      <c r="M14" s="376"/>
      <c r="N14" s="377"/>
      <c r="O14" s="377"/>
    </row>
    <row r="15" spans="1:18" ht="18.75">
      <c r="A15" s="349">
        <f t="shared" si="4"/>
        <v>45969</v>
      </c>
      <c r="B15" s="341">
        <v>6332588</v>
      </c>
      <c r="C15" s="341">
        <v>15579</v>
      </c>
      <c r="D15" s="342">
        <f t="shared" si="0"/>
        <v>2.4601316239111085E-3</v>
      </c>
      <c r="E15" s="343">
        <v>14771.138583025657</v>
      </c>
      <c r="F15" s="344">
        <f t="shared" si="6"/>
        <v>2.3325595448536454E-3</v>
      </c>
      <c r="G15" s="341">
        <v>1376.7679999999998</v>
      </c>
      <c r="H15" s="345">
        <f t="shared" si="1"/>
        <v>8.8373323063097753E-2</v>
      </c>
      <c r="I15" s="346">
        <v>2256.4209500000047</v>
      </c>
      <c r="J15" s="345">
        <f t="shared" si="2"/>
        <v>0.15275876922534493</v>
      </c>
      <c r="K15" s="347">
        <v>2549.4659999999994</v>
      </c>
      <c r="L15" s="348">
        <f t="shared" si="3"/>
        <v>0.16364760254188326</v>
      </c>
      <c r="M15" s="376"/>
      <c r="N15" s="377"/>
      <c r="O15" s="377"/>
      <c r="P15" s="351"/>
      <c r="Q15" s="351"/>
      <c r="R15" s="351"/>
    </row>
    <row r="16" spans="1:18" ht="18.75">
      <c r="A16" s="349">
        <f t="shared" si="4"/>
        <v>45970</v>
      </c>
      <c r="B16" s="341">
        <v>7101855</v>
      </c>
      <c r="C16" s="341">
        <v>17480</v>
      </c>
      <c r="D16" s="342">
        <f t="shared" si="0"/>
        <v>2.4613287655126724E-3</v>
      </c>
      <c r="E16" s="343">
        <v>15257.250059911767</v>
      </c>
      <c r="F16" s="344">
        <f t="shared" si="6"/>
        <v>2.1483471656224698E-3</v>
      </c>
      <c r="G16" s="341">
        <v>1528.2380000000003</v>
      </c>
      <c r="H16" s="345">
        <f t="shared" si="1"/>
        <v>8.742780320366135E-2</v>
      </c>
      <c r="I16" s="346">
        <v>2379.5389999999989</v>
      </c>
      <c r="J16" s="345">
        <f t="shared" si="2"/>
        <v>0.15596119816192877</v>
      </c>
      <c r="K16" s="347">
        <v>2793.7539999999995</v>
      </c>
      <c r="L16" s="348">
        <f t="shared" si="3"/>
        <v>0.15982574370709379</v>
      </c>
      <c r="M16" s="376"/>
      <c r="N16" s="377"/>
      <c r="O16" s="377"/>
    </row>
    <row r="17" spans="1:17" ht="18.75">
      <c r="A17" s="349">
        <f t="shared" si="4"/>
        <v>45971</v>
      </c>
      <c r="B17" s="341">
        <v>7819797</v>
      </c>
      <c r="C17" s="341">
        <v>19077</v>
      </c>
      <c r="D17" s="342">
        <f t="shared" si="0"/>
        <v>2.4395773956791974E-3</v>
      </c>
      <c r="E17" s="343">
        <v>16188.938685085699</v>
      </c>
      <c r="F17" s="344">
        <f t="shared" si="6"/>
        <v>2.0702505045956691E-3</v>
      </c>
      <c r="G17" s="341">
        <v>1680.624</v>
      </c>
      <c r="H17" s="345">
        <f t="shared" si="1"/>
        <v>8.8096870577134764E-2</v>
      </c>
      <c r="I17" s="346">
        <v>2355.5274899999986</v>
      </c>
      <c r="J17" s="345">
        <f t="shared" si="2"/>
        <v>0.14550228003334545</v>
      </c>
      <c r="K17" s="347">
        <v>2149.7930000000001</v>
      </c>
      <c r="L17" s="348">
        <f t="shared" si="3"/>
        <v>0.11269030770037218</v>
      </c>
      <c r="M17" s="378"/>
      <c r="N17" s="379"/>
      <c r="O17" s="379"/>
      <c r="P17" s="396"/>
      <c r="Q17" s="396"/>
    </row>
    <row r="18" spans="1:17" ht="18.75">
      <c r="A18" s="349">
        <f t="shared" si="4"/>
        <v>45972</v>
      </c>
      <c r="B18" s="383"/>
      <c r="C18" s="383"/>
      <c r="D18" s="384" t="e">
        <f t="shared" si="0"/>
        <v>#DIV/0!</v>
      </c>
      <c r="E18" s="385"/>
      <c r="F18" s="386" t="e">
        <f t="shared" si="5"/>
        <v>#DIV/0!</v>
      </c>
      <c r="G18" s="383"/>
      <c r="H18" s="387" t="e">
        <f t="shared" si="1"/>
        <v>#DIV/0!</v>
      </c>
      <c r="I18" s="388"/>
      <c r="J18" s="387" t="e">
        <f t="shared" si="2"/>
        <v>#DIV/0!</v>
      </c>
      <c r="K18" s="389"/>
      <c r="L18" s="390">
        <v>0.1355242773906089</v>
      </c>
      <c r="M18" s="374">
        <f>SUM(B18:B24)</f>
        <v>0</v>
      </c>
      <c r="N18" s="375">
        <f>SUM(C18:C24)</f>
        <v>0</v>
      </c>
      <c r="O18" s="375">
        <f>SUM(E18:E24)</f>
        <v>0</v>
      </c>
    </row>
    <row r="19" spans="1:17" ht="18.75">
      <c r="A19" s="349">
        <f t="shared" si="4"/>
        <v>45973</v>
      </c>
      <c r="B19" s="341"/>
      <c r="C19" s="341"/>
      <c r="D19" s="342" t="e">
        <f t="shared" si="0"/>
        <v>#DIV/0!</v>
      </c>
      <c r="E19" s="343"/>
      <c r="F19" s="344" t="e">
        <f t="shared" si="5"/>
        <v>#DIV/0!</v>
      </c>
      <c r="G19" s="341"/>
      <c r="H19" s="345" t="e">
        <f t="shared" si="1"/>
        <v>#DIV/0!</v>
      </c>
      <c r="I19" s="346"/>
      <c r="J19" s="345" t="e">
        <f t="shared" si="2"/>
        <v>#DIV/0!</v>
      </c>
      <c r="K19" s="347"/>
      <c r="L19" s="348">
        <v>0.1518521853003765</v>
      </c>
      <c r="M19" s="376"/>
      <c r="N19" s="377"/>
      <c r="O19" s="377"/>
    </row>
    <row r="20" spans="1:17" ht="18.75">
      <c r="A20" s="349">
        <f t="shared" si="4"/>
        <v>45974</v>
      </c>
      <c r="B20" s="341"/>
      <c r="C20" s="341"/>
      <c r="D20" s="342" t="e">
        <f t="shared" si="0"/>
        <v>#DIV/0!</v>
      </c>
      <c r="E20" s="343"/>
      <c r="F20" s="344" t="e">
        <f t="shared" si="5"/>
        <v>#DIV/0!</v>
      </c>
      <c r="G20" s="341"/>
      <c r="H20" s="345" t="e">
        <f t="shared" si="1"/>
        <v>#DIV/0!</v>
      </c>
      <c r="I20" s="346"/>
      <c r="J20" s="345" t="e">
        <f t="shared" si="2"/>
        <v>#DIV/0!</v>
      </c>
      <c r="K20" s="347"/>
      <c r="L20" s="348">
        <v>0.17260766832917704</v>
      </c>
      <c r="M20" s="376"/>
      <c r="N20" s="377"/>
      <c r="O20" s="377"/>
    </row>
    <row r="21" spans="1:17" ht="18.75">
      <c r="A21" s="349">
        <f t="shared" si="4"/>
        <v>45975</v>
      </c>
      <c r="B21" s="341"/>
      <c r="C21" s="341"/>
      <c r="D21" s="342" t="e">
        <f t="shared" si="0"/>
        <v>#DIV/0!</v>
      </c>
      <c r="E21" s="343"/>
      <c r="F21" s="344" t="e">
        <f t="shared" si="5"/>
        <v>#DIV/0!</v>
      </c>
      <c r="G21" s="341"/>
      <c r="H21" s="345" t="e">
        <f t="shared" si="1"/>
        <v>#DIV/0!</v>
      </c>
      <c r="I21" s="346"/>
      <c r="J21" s="345" t="e">
        <f t="shared" si="2"/>
        <v>#DIV/0!</v>
      </c>
      <c r="K21" s="347"/>
      <c r="L21" s="348">
        <v>0.17592405610826178</v>
      </c>
      <c r="M21" s="376"/>
      <c r="N21" s="377"/>
      <c r="O21" s="377"/>
    </row>
    <row r="22" spans="1:17" ht="18.75">
      <c r="A22" s="349">
        <f t="shared" si="4"/>
        <v>45976</v>
      </c>
      <c r="B22" s="341"/>
      <c r="C22" s="341"/>
      <c r="D22" s="342" t="e">
        <f t="shared" si="0"/>
        <v>#DIV/0!</v>
      </c>
      <c r="E22" s="343"/>
      <c r="F22" s="344" t="e">
        <f t="shared" si="5"/>
        <v>#DIV/0!</v>
      </c>
      <c r="G22" s="341"/>
      <c r="H22" s="345" t="e">
        <f t="shared" si="1"/>
        <v>#DIV/0!</v>
      </c>
      <c r="I22" s="346"/>
      <c r="J22" s="345" t="e">
        <f t="shared" si="2"/>
        <v>#DIV/0!</v>
      </c>
      <c r="K22" s="347"/>
      <c r="L22" s="348">
        <v>0.15574880148461262</v>
      </c>
      <c r="M22" s="376"/>
      <c r="N22" s="377"/>
      <c r="O22" s="377"/>
    </row>
    <row r="23" spans="1:17" ht="18.75">
      <c r="A23" s="349">
        <f t="shared" si="4"/>
        <v>45977</v>
      </c>
      <c r="B23" s="341"/>
      <c r="C23" s="341"/>
      <c r="D23" s="342" t="e">
        <f t="shared" si="0"/>
        <v>#DIV/0!</v>
      </c>
      <c r="E23" s="343"/>
      <c r="F23" s="344" t="e">
        <f t="shared" si="5"/>
        <v>#DIV/0!</v>
      </c>
      <c r="G23" s="341"/>
      <c r="H23" s="345" t="e">
        <f t="shared" si="1"/>
        <v>#DIV/0!</v>
      </c>
      <c r="I23" s="346"/>
      <c r="J23" s="345" t="e">
        <f t="shared" si="2"/>
        <v>#DIV/0!</v>
      </c>
      <c r="K23" s="347"/>
      <c r="L23" s="348">
        <v>0.15697880189120383</v>
      </c>
      <c r="M23" s="376"/>
      <c r="N23" s="377"/>
      <c r="O23" s="377"/>
    </row>
    <row r="24" spans="1:17" ht="18.75">
      <c r="A24" s="349">
        <f t="shared" si="4"/>
        <v>45978</v>
      </c>
      <c r="B24" s="359"/>
      <c r="C24" s="359"/>
      <c r="D24" s="342" t="e">
        <f t="shared" si="0"/>
        <v>#DIV/0!</v>
      </c>
      <c r="E24" s="360"/>
      <c r="F24" s="344" t="e">
        <f t="shared" si="5"/>
        <v>#DIV/0!</v>
      </c>
      <c r="G24" s="359"/>
      <c r="H24" s="345" t="e">
        <f t="shared" si="1"/>
        <v>#DIV/0!</v>
      </c>
      <c r="I24" s="346"/>
      <c r="J24" s="345" t="e">
        <f t="shared" si="2"/>
        <v>#DIV/0!</v>
      </c>
      <c r="K24" s="361"/>
      <c r="L24" s="362">
        <v>0.155916937303022</v>
      </c>
      <c r="M24" s="378"/>
      <c r="N24" s="379"/>
      <c r="O24" s="379"/>
    </row>
    <row r="25" spans="1:17" ht="18.75">
      <c r="A25" s="349">
        <f t="shared" si="4"/>
        <v>45979</v>
      </c>
      <c r="B25" s="359"/>
      <c r="C25" s="359"/>
      <c r="D25" s="342" t="e">
        <f t="shared" si="0"/>
        <v>#DIV/0!</v>
      </c>
      <c r="E25" s="360"/>
      <c r="F25" s="344" t="e">
        <f t="shared" si="5"/>
        <v>#DIV/0!</v>
      </c>
      <c r="G25" s="359"/>
      <c r="H25" s="345" t="e">
        <f t="shared" si="1"/>
        <v>#DIV/0!</v>
      </c>
      <c r="I25" s="346"/>
      <c r="J25" s="345" t="e">
        <f t="shared" si="2"/>
        <v>#DIV/0!</v>
      </c>
      <c r="K25" s="361"/>
      <c r="L25" s="362">
        <v>0.14595276579479058</v>
      </c>
      <c r="M25" s="374">
        <f>SUM(B25:B31)</f>
        <v>0</v>
      </c>
      <c r="N25" s="375">
        <f>SUM(C25:C31)</f>
        <v>0</v>
      </c>
      <c r="O25" s="375">
        <f>SUM(E25:E31)</f>
        <v>0</v>
      </c>
    </row>
    <row r="26" spans="1:17" ht="18.75">
      <c r="A26" s="349">
        <f t="shared" si="4"/>
        <v>45980</v>
      </c>
      <c r="B26" s="359"/>
      <c r="C26" s="359"/>
      <c r="D26" s="342" t="e">
        <f t="shared" si="0"/>
        <v>#DIV/0!</v>
      </c>
      <c r="E26" s="360"/>
      <c r="F26" s="344" t="e">
        <f t="shared" si="5"/>
        <v>#DIV/0!</v>
      </c>
      <c r="G26" s="359"/>
      <c r="H26" s="345" t="e">
        <f t="shared" si="1"/>
        <v>#DIV/0!</v>
      </c>
      <c r="I26" s="346"/>
      <c r="J26" s="345" t="e">
        <f t="shared" si="2"/>
        <v>#DIV/0!</v>
      </c>
      <c r="K26" s="361"/>
      <c r="L26" s="362">
        <v>0.18031700178162377</v>
      </c>
      <c r="M26" s="376"/>
      <c r="N26" s="377"/>
      <c r="O26" s="377"/>
    </row>
    <row r="27" spans="1:17" ht="18.75">
      <c r="A27" s="349">
        <f t="shared" si="4"/>
        <v>45981</v>
      </c>
      <c r="B27" s="359"/>
      <c r="C27" s="359"/>
      <c r="D27" s="342" t="e">
        <f t="shared" si="0"/>
        <v>#DIV/0!</v>
      </c>
      <c r="E27" s="360"/>
      <c r="F27" s="344" t="e">
        <f t="shared" si="5"/>
        <v>#DIV/0!</v>
      </c>
      <c r="G27" s="359"/>
      <c r="H27" s="345" t="e">
        <f t="shared" si="1"/>
        <v>#DIV/0!</v>
      </c>
      <c r="I27" s="346"/>
      <c r="J27" s="345" t="e">
        <f t="shared" si="2"/>
        <v>#DIV/0!</v>
      </c>
      <c r="K27" s="361"/>
      <c r="L27" s="362">
        <v>0.15167893842604366</v>
      </c>
      <c r="M27" s="376"/>
      <c r="N27" s="377"/>
      <c r="O27" s="377"/>
    </row>
    <row r="28" spans="1:17" ht="18.75">
      <c r="A28" s="349">
        <f t="shared" si="4"/>
        <v>45982</v>
      </c>
      <c r="B28" s="359"/>
      <c r="C28" s="359"/>
      <c r="D28" s="342" t="e">
        <f t="shared" si="0"/>
        <v>#DIV/0!</v>
      </c>
      <c r="E28" s="360"/>
      <c r="F28" s="344" t="e">
        <f t="shared" si="5"/>
        <v>#DIV/0!</v>
      </c>
      <c r="G28" s="359"/>
      <c r="H28" s="345" t="e">
        <f t="shared" si="1"/>
        <v>#DIV/0!</v>
      </c>
      <c r="I28" s="346"/>
      <c r="J28" s="345" t="e">
        <f t="shared" si="2"/>
        <v>#DIV/0!</v>
      </c>
      <c r="K28" s="361"/>
      <c r="L28" s="362">
        <v>0.15627162021359731</v>
      </c>
      <c r="M28" s="376"/>
      <c r="N28" s="377"/>
      <c r="O28" s="377"/>
    </row>
    <row r="29" spans="1:17" ht="18.75">
      <c r="A29" s="349">
        <f t="shared" si="4"/>
        <v>45983</v>
      </c>
      <c r="B29" s="359"/>
      <c r="C29" s="359"/>
      <c r="D29" s="342" t="e">
        <f t="shared" si="0"/>
        <v>#DIV/0!</v>
      </c>
      <c r="E29" s="360"/>
      <c r="F29" s="344" t="e">
        <f t="shared" si="5"/>
        <v>#DIV/0!</v>
      </c>
      <c r="G29" s="359"/>
      <c r="H29" s="345" t="e">
        <f t="shared" si="1"/>
        <v>#DIV/0!</v>
      </c>
      <c r="I29" s="346"/>
      <c r="J29" s="345" t="e">
        <f t="shared" si="2"/>
        <v>#DIV/0!</v>
      </c>
      <c r="K29" s="361"/>
      <c r="L29" s="362">
        <v>0.12386069361091931</v>
      </c>
      <c r="M29" s="376"/>
      <c r="N29" s="377"/>
      <c r="O29" s="377"/>
    </row>
    <row r="30" spans="1:17" ht="18.75">
      <c r="A30" s="349">
        <f t="shared" si="4"/>
        <v>45984</v>
      </c>
      <c r="B30" s="359"/>
      <c r="C30" s="359"/>
      <c r="D30" s="342" t="e">
        <f t="shared" si="0"/>
        <v>#DIV/0!</v>
      </c>
      <c r="E30" s="360"/>
      <c r="F30" s="344" t="e">
        <f t="shared" si="5"/>
        <v>#DIV/0!</v>
      </c>
      <c r="G30" s="359"/>
      <c r="H30" s="345" t="e">
        <f t="shared" si="1"/>
        <v>#DIV/0!</v>
      </c>
      <c r="I30" s="346"/>
      <c r="J30" s="345" t="e">
        <f t="shared" si="2"/>
        <v>#DIV/0!</v>
      </c>
      <c r="K30" s="361"/>
      <c r="L30" s="362">
        <v>0.14716414206689762</v>
      </c>
      <c r="M30" s="376"/>
      <c r="N30" s="377"/>
      <c r="O30" s="377"/>
    </row>
    <row r="31" spans="1:17" ht="18.75">
      <c r="A31" s="349">
        <f t="shared" si="4"/>
        <v>45985</v>
      </c>
      <c r="B31" s="341"/>
      <c r="C31" s="341"/>
      <c r="D31" s="342" t="e">
        <f t="shared" si="0"/>
        <v>#DIV/0!</v>
      </c>
      <c r="E31" s="343"/>
      <c r="F31" s="344" t="e">
        <f t="shared" si="5"/>
        <v>#DIV/0!</v>
      </c>
      <c r="G31" s="341"/>
      <c r="H31" s="345" t="e">
        <f t="shared" si="1"/>
        <v>#DIV/0!</v>
      </c>
      <c r="I31" s="346"/>
      <c r="J31" s="345" t="e">
        <f t="shared" si="2"/>
        <v>#DIV/0!</v>
      </c>
      <c r="K31" s="347"/>
      <c r="L31" s="348" t="e">
        <f t="shared" ref="L31:L40" si="7">K31/C31</f>
        <v>#DIV/0!</v>
      </c>
      <c r="M31" s="378"/>
      <c r="N31" s="379"/>
      <c r="O31" s="379"/>
    </row>
    <row r="32" spans="1:17" ht="18.75">
      <c r="A32" s="349">
        <f t="shared" si="4"/>
        <v>45986</v>
      </c>
      <c r="B32" s="341"/>
      <c r="C32" s="341"/>
      <c r="D32" s="342" t="e">
        <f t="shared" si="0"/>
        <v>#DIV/0!</v>
      </c>
      <c r="E32" s="343"/>
      <c r="F32" s="344" t="e">
        <f t="shared" si="5"/>
        <v>#DIV/0!</v>
      </c>
      <c r="G32" s="341"/>
      <c r="H32" s="345" t="e">
        <f t="shared" si="1"/>
        <v>#DIV/0!</v>
      </c>
      <c r="I32" s="346"/>
      <c r="J32" s="345" t="e">
        <f t="shared" si="2"/>
        <v>#DIV/0!</v>
      </c>
      <c r="K32" s="347"/>
      <c r="L32" s="348" t="e">
        <f t="shared" si="7"/>
        <v>#DIV/0!</v>
      </c>
      <c r="M32" s="374">
        <f>SUM(B32:B38)</f>
        <v>0</v>
      </c>
      <c r="N32" s="375">
        <f>SUM(C32:C38)</f>
        <v>0</v>
      </c>
      <c r="O32" s="375">
        <f>SUM(E32:E38)</f>
        <v>0</v>
      </c>
    </row>
    <row r="33" spans="1:15" ht="18.75">
      <c r="A33" s="349">
        <f t="shared" si="4"/>
        <v>45987</v>
      </c>
      <c r="B33" s="341"/>
      <c r="C33" s="341"/>
      <c r="D33" s="342" t="e">
        <f t="shared" si="0"/>
        <v>#DIV/0!</v>
      </c>
      <c r="E33" s="343"/>
      <c r="F33" s="344" t="e">
        <f t="shared" si="5"/>
        <v>#DIV/0!</v>
      </c>
      <c r="G33" s="341"/>
      <c r="H33" s="345" t="e">
        <f t="shared" si="1"/>
        <v>#DIV/0!</v>
      </c>
      <c r="I33" s="346"/>
      <c r="J33" s="345" t="e">
        <f t="shared" si="2"/>
        <v>#DIV/0!</v>
      </c>
      <c r="K33" s="347"/>
      <c r="L33" s="348" t="e">
        <f t="shared" si="7"/>
        <v>#DIV/0!</v>
      </c>
      <c r="M33" s="376"/>
      <c r="N33" s="377"/>
      <c r="O33" s="377"/>
    </row>
    <row r="34" spans="1:15" ht="18.75">
      <c r="A34" s="349">
        <f t="shared" si="4"/>
        <v>45988</v>
      </c>
      <c r="B34" s="341"/>
      <c r="C34" s="341"/>
      <c r="D34" s="342" t="e">
        <f t="shared" si="0"/>
        <v>#DIV/0!</v>
      </c>
      <c r="E34" s="343"/>
      <c r="F34" s="344" t="e">
        <f t="shared" si="5"/>
        <v>#DIV/0!</v>
      </c>
      <c r="G34" s="341"/>
      <c r="H34" s="345" t="e">
        <f t="shared" si="1"/>
        <v>#DIV/0!</v>
      </c>
      <c r="I34" s="346"/>
      <c r="J34" s="345" t="e">
        <f t="shared" si="2"/>
        <v>#DIV/0!</v>
      </c>
      <c r="K34" s="347"/>
      <c r="L34" s="348" t="e">
        <f t="shared" si="7"/>
        <v>#DIV/0!</v>
      </c>
      <c r="M34" s="376"/>
      <c r="N34" s="377"/>
      <c r="O34" s="377"/>
    </row>
    <row r="35" spans="1:15" ht="18.75">
      <c r="A35" s="349">
        <f t="shared" si="4"/>
        <v>45989</v>
      </c>
      <c r="B35" s="341"/>
      <c r="C35" s="341"/>
      <c r="D35" s="342" t="e">
        <f t="shared" si="0"/>
        <v>#DIV/0!</v>
      </c>
      <c r="E35" s="343"/>
      <c r="F35" s="344" t="e">
        <f t="shared" si="5"/>
        <v>#DIV/0!</v>
      </c>
      <c r="G35" s="341"/>
      <c r="H35" s="345" t="e">
        <f t="shared" si="1"/>
        <v>#DIV/0!</v>
      </c>
      <c r="I35" s="346"/>
      <c r="J35" s="345" t="e">
        <f t="shared" si="2"/>
        <v>#DIV/0!</v>
      </c>
      <c r="K35" s="347"/>
      <c r="L35" s="348" t="e">
        <f t="shared" si="7"/>
        <v>#DIV/0!</v>
      </c>
      <c r="M35" s="376"/>
      <c r="N35" s="377"/>
      <c r="O35" s="377"/>
    </row>
    <row r="36" spans="1:15" ht="18.75">
      <c r="A36" s="349">
        <f t="shared" si="4"/>
        <v>45990</v>
      </c>
      <c r="B36" s="341"/>
      <c r="C36" s="341"/>
      <c r="D36" s="342" t="e">
        <f t="shared" si="0"/>
        <v>#DIV/0!</v>
      </c>
      <c r="E36" s="343"/>
      <c r="F36" s="344" t="e">
        <f t="shared" si="5"/>
        <v>#DIV/0!</v>
      </c>
      <c r="G36" s="341"/>
      <c r="H36" s="345" t="e">
        <f t="shared" si="1"/>
        <v>#DIV/0!</v>
      </c>
      <c r="I36" s="346"/>
      <c r="J36" s="345" t="e">
        <f t="shared" si="2"/>
        <v>#DIV/0!</v>
      </c>
      <c r="K36" s="347"/>
      <c r="L36" s="348" t="e">
        <f t="shared" si="7"/>
        <v>#DIV/0!</v>
      </c>
      <c r="M36" s="376"/>
      <c r="N36" s="377"/>
      <c r="O36" s="377"/>
    </row>
    <row r="37" spans="1:15" ht="18.75">
      <c r="A37" s="349">
        <f t="shared" si="4"/>
        <v>45991</v>
      </c>
      <c r="B37" s="341"/>
      <c r="C37" s="341"/>
      <c r="D37" s="342" t="e">
        <f t="shared" ref="D37" si="8">C37/B37</f>
        <v>#DIV/0!</v>
      </c>
      <c r="E37" s="343"/>
      <c r="F37" s="344" t="e">
        <f t="shared" ref="F37" si="9">E37/B37</f>
        <v>#DIV/0!</v>
      </c>
      <c r="G37" s="341"/>
      <c r="H37" s="345" t="e">
        <f t="shared" ref="H37" si="10">G37/C37</f>
        <v>#DIV/0!</v>
      </c>
      <c r="I37" s="346"/>
      <c r="J37" s="345" t="e">
        <f t="shared" ref="J37" si="11">I37/E37</f>
        <v>#DIV/0!</v>
      </c>
      <c r="K37" s="347"/>
      <c r="L37" s="348" t="e">
        <f t="shared" ref="L37" si="12">K37/C37</f>
        <v>#DIV/0!</v>
      </c>
      <c r="M37" s="376"/>
      <c r="N37" s="377"/>
      <c r="O37" s="377"/>
    </row>
    <row r="38" spans="1:15" ht="18.75">
      <c r="A38" s="349">
        <f t="shared" si="4"/>
        <v>45992</v>
      </c>
      <c r="B38" s="341"/>
      <c r="C38" s="341"/>
      <c r="D38" s="342" t="e">
        <f t="shared" si="0"/>
        <v>#DIV/0!</v>
      </c>
      <c r="E38" s="343"/>
      <c r="F38" s="344" t="e">
        <f t="shared" si="5"/>
        <v>#DIV/0!</v>
      </c>
      <c r="G38" s="341"/>
      <c r="H38" s="345" t="e">
        <f t="shared" si="1"/>
        <v>#DIV/0!</v>
      </c>
      <c r="I38" s="346"/>
      <c r="J38" s="345" t="e">
        <f t="shared" si="2"/>
        <v>#DIV/0!</v>
      </c>
      <c r="K38" s="347"/>
      <c r="L38" s="348" t="e">
        <f t="shared" si="7"/>
        <v>#DIV/0!</v>
      </c>
      <c r="M38" s="378"/>
      <c r="N38" s="379"/>
      <c r="O38" s="379"/>
    </row>
    <row r="39" spans="1:15" ht="18.75">
      <c r="A39" s="349" t="s">
        <v>619</v>
      </c>
      <c r="B39" s="341">
        <f>AVERAGE(B4:B32)</f>
        <v>7324924.4285714282</v>
      </c>
      <c r="C39" s="341">
        <f>AVERAGE(C4:C33)</f>
        <v>17976.557214285716</v>
      </c>
      <c r="D39" s="342">
        <f t="shared" ref="D39:D40" si="13">C39/B39</f>
        <v>2.4541628230547717E-3</v>
      </c>
      <c r="E39" s="343">
        <f>AVERAGE(E4:E33)</f>
        <v>16391.730973830778</v>
      </c>
      <c r="F39" s="353">
        <f t="shared" ref="F39:F40" si="14">E39/B39</f>
        <v>2.2378020597582653E-3</v>
      </c>
      <c r="G39" s="341">
        <f>AVERAGE(G4:G33)</f>
        <v>1521.1647857142857</v>
      </c>
      <c r="H39" s="354">
        <f t="shared" ref="H39:H40" si="15">G39/C39</f>
        <v>8.4619361070174079E-2</v>
      </c>
      <c r="I39" s="373">
        <f>AVERAGE(I4:I33)</f>
        <v>2364.3605228571423</v>
      </c>
      <c r="J39" s="354">
        <f t="shared" ref="J39:J40" si="16">I39/E39</f>
        <v>0.14424105218855887</v>
      </c>
      <c r="K39" s="347">
        <f>AVERAGE(K4:K33)</f>
        <v>2626.2103357142855</v>
      </c>
      <c r="L39" s="348">
        <f t="shared" si="7"/>
        <v>0.14609083955337529</v>
      </c>
      <c r="M39" s="378"/>
      <c r="N39" s="379"/>
      <c r="O39" s="379"/>
    </row>
    <row r="40" spans="1:15" ht="18.75">
      <c r="A40" s="349" t="s">
        <v>620</v>
      </c>
      <c r="B40" s="341">
        <f>SUM(B4:B38)</f>
        <v>102548942</v>
      </c>
      <c r="C40" s="341">
        <f>SUM(C4:C38)</f>
        <v>251671.80100000001</v>
      </c>
      <c r="D40" s="342">
        <f t="shared" si="13"/>
        <v>2.4541628230547712E-3</v>
      </c>
      <c r="E40" s="341">
        <f>SUM(E4:E38)</f>
        <v>229484.23363363091</v>
      </c>
      <c r="F40" s="353">
        <f t="shared" si="14"/>
        <v>2.2378020597582657E-3</v>
      </c>
      <c r="G40" s="341">
        <f>SUM(G4:G38)</f>
        <v>21296.307000000001</v>
      </c>
      <c r="H40" s="354">
        <f t="shared" si="15"/>
        <v>8.4619361070174093E-2</v>
      </c>
      <c r="I40" s="341">
        <f>SUM(I4:I38)</f>
        <v>33101.047319999991</v>
      </c>
      <c r="J40" s="354">
        <f t="shared" si="16"/>
        <v>0.14424105218855887</v>
      </c>
      <c r="K40" s="341">
        <f>SUM(K4:K38)</f>
        <v>36766.9447</v>
      </c>
      <c r="L40" s="348">
        <f t="shared" si="7"/>
        <v>0.14609083955337532</v>
      </c>
      <c r="M40" s="348"/>
      <c r="N40" s="352"/>
      <c r="O40" s="352"/>
    </row>
    <row r="41" spans="1:15" ht="18.75">
      <c r="A41" s="355"/>
      <c r="B41" s="355"/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355"/>
    </row>
    <row r="42" spans="1:15" ht="18.75">
      <c r="A42" s="355"/>
      <c r="B42" s="355"/>
      <c r="C42" s="355"/>
      <c r="D42" s="355"/>
      <c r="E42" s="355"/>
      <c r="F42" s="355"/>
      <c r="G42" s="355"/>
      <c r="H42" s="355"/>
      <c r="I42" s="355"/>
      <c r="J42" s="355"/>
      <c r="K42" s="355"/>
      <c r="L42" s="355"/>
      <c r="M42" s="355"/>
    </row>
    <row r="43" spans="1:15" ht="18.75">
      <c r="A43" s="355"/>
      <c r="B43" s="355"/>
      <c r="C43" s="355"/>
      <c r="D43" s="355"/>
      <c r="E43" s="355"/>
      <c r="F43" s="355"/>
      <c r="G43" s="355"/>
      <c r="H43" s="355"/>
      <c r="I43" s="355"/>
      <c r="J43" s="355"/>
      <c r="K43" s="355"/>
      <c r="L43" s="355"/>
      <c r="M43" s="355"/>
    </row>
    <row r="44" spans="1:15" ht="18.75">
      <c r="A44" s="355"/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</row>
    <row r="45" spans="1:15" ht="18.75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</row>
    <row r="46" spans="1:15" ht="18.75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</row>
    <row r="47" spans="1:15" ht="18.75">
      <c r="A47" s="355"/>
      <c r="B47" s="355"/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355"/>
    </row>
    <row r="48" spans="1:15" ht="18.75">
      <c r="A48" s="355"/>
      <c r="B48" s="355"/>
      <c r="C48" s="355"/>
      <c r="D48" s="355"/>
      <c r="E48" s="355"/>
      <c r="F48" s="355"/>
      <c r="G48" s="355"/>
      <c r="H48" s="355"/>
      <c r="I48" s="355"/>
      <c r="J48" s="355"/>
      <c r="K48" s="355"/>
      <c r="L48" s="355"/>
      <c r="M48" s="355"/>
    </row>
    <row r="49" spans="1:13" ht="18.75">
      <c r="A49" s="355"/>
      <c r="B49" s="355"/>
      <c r="C49" s="355"/>
      <c r="D49" s="355"/>
      <c r="E49" s="355"/>
      <c r="F49" s="355"/>
      <c r="G49" s="355"/>
      <c r="H49" s="355"/>
      <c r="I49" s="355"/>
      <c r="J49" s="355"/>
      <c r="K49" s="355"/>
      <c r="L49" s="355"/>
      <c r="M49" s="355"/>
    </row>
    <row r="50" spans="1:13" ht="18.75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</row>
    <row r="51" spans="1:13" ht="18.75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</row>
    <row r="52" spans="1:13" ht="18.75">
      <c r="A52" s="355"/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</row>
    <row r="53" spans="1:13" ht="18.75">
      <c r="A53" s="355"/>
      <c r="B53" s="355"/>
      <c r="C53" s="355"/>
      <c r="D53" s="355"/>
      <c r="E53" s="355"/>
      <c r="F53" s="355"/>
      <c r="G53" s="355"/>
      <c r="H53" s="355"/>
      <c r="I53" s="355"/>
      <c r="J53" s="355"/>
      <c r="K53" s="355"/>
      <c r="L53" s="355"/>
      <c r="M53" s="355"/>
    </row>
    <row r="54" spans="1:13" ht="18.75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</row>
    <row r="55" spans="1:13" ht="18.75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</row>
    <row r="56" spans="1:13" ht="18.75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</row>
    <row r="57" spans="1:13" ht="18.75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</row>
    <row r="58" spans="1:13" ht="18.75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  <c r="M58" s="355"/>
    </row>
    <row r="59" spans="1:13" ht="18.75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</row>
    <row r="60" spans="1:13" ht="18.75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</row>
    <row r="61" spans="1:13" ht="18.75">
      <c r="A61" s="355"/>
      <c r="B61" s="355"/>
      <c r="C61" s="355"/>
      <c r="D61" s="355"/>
      <c r="E61" s="355"/>
      <c r="F61" s="355"/>
      <c r="G61" s="355"/>
      <c r="H61" s="355"/>
      <c r="I61" s="355"/>
      <c r="J61" s="355"/>
      <c r="K61" s="355"/>
      <c r="L61" s="355"/>
      <c r="M61" s="355"/>
    </row>
    <row r="62" spans="1:13" ht="18.75">
      <c r="A62" s="355"/>
      <c r="B62" s="355"/>
      <c r="C62" s="355"/>
      <c r="D62" s="355"/>
      <c r="E62" s="355"/>
      <c r="F62" s="355"/>
      <c r="G62" s="355"/>
      <c r="H62" s="355"/>
      <c r="I62" s="355"/>
      <c r="J62" s="355"/>
      <c r="K62" s="355"/>
      <c r="L62" s="355"/>
      <c r="M62" s="355"/>
    </row>
    <row r="63" spans="1:13" ht="18.75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</row>
    <row r="64" spans="1:13" ht="18.75">
      <c r="A64" s="355"/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</row>
    <row r="65" spans="1:13" ht="18.75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</row>
    <row r="66" spans="1:13" ht="18.75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</row>
    <row r="67" spans="1:13" ht="18.75">
      <c r="A67" s="355"/>
      <c r="B67" s="355"/>
      <c r="C67" s="355"/>
      <c r="D67" s="355"/>
      <c r="E67" s="355"/>
      <c r="F67" s="355"/>
      <c r="G67" s="355"/>
      <c r="H67" s="355"/>
      <c r="I67" s="355"/>
      <c r="J67" s="355"/>
      <c r="K67" s="355"/>
      <c r="L67" s="355"/>
      <c r="M67" s="355"/>
    </row>
    <row r="68" spans="1:13" ht="18.75">
      <c r="A68" s="355"/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D31:D33">
    <cfRule type="cellIs" dxfId="64" priority="92" operator="greaterThan">
      <formula>0.0025</formula>
    </cfRule>
  </conditionalFormatting>
  <conditionalFormatting sqref="H31:H33 J31:J33">
    <cfRule type="cellIs" dxfId="63" priority="93" operator="greaterThan">
      <formula>0.16</formula>
    </cfRule>
  </conditionalFormatting>
  <conditionalFormatting sqref="L31:L33">
    <cfRule type="cellIs" dxfId="62" priority="91" operator="greaterThan">
      <formula>0.15</formula>
    </cfRule>
  </conditionalFormatting>
  <conditionalFormatting sqref="D23">
    <cfRule type="cellIs" dxfId="61" priority="82" operator="greaterThan">
      <formula>0.0025</formula>
    </cfRule>
  </conditionalFormatting>
  <conditionalFormatting sqref="H23">
    <cfRule type="cellIs" dxfId="60" priority="81" operator="greaterThan">
      <formula>0.16</formula>
    </cfRule>
  </conditionalFormatting>
  <conditionalFormatting sqref="J23">
    <cfRule type="cellIs" dxfId="59" priority="80" operator="greaterThan">
      <formula>0.16</formula>
    </cfRule>
  </conditionalFormatting>
  <conditionalFormatting sqref="D18">
    <cfRule type="cellIs" dxfId="58" priority="90" operator="greaterThan">
      <formula>0.0025</formula>
    </cfRule>
  </conditionalFormatting>
  <conditionalFormatting sqref="H18">
    <cfRule type="cellIs" dxfId="57" priority="89" operator="greaterThan">
      <formula>0.16</formula>
    </cfRule>
  </conditionalFormatting>
  <conditionalFormatting sqref="J18">
    <cfRule type="cellIs" dxfId="56" priority="88" operator="greaterThan">
      <formula>0.16</formula>
    </cfRule>
  </conditionalFormatting>
  <conditionalFormatting sqref="L18">
    <cfRule type="cellIs" dxfId="55" priority="87" operator="greaterThan">
      <formula>0.15</formula>
    </cfRule>
  </conditionalFormatting>
  <conditionalFormatting sqref="D19:D22">
    <cfRule type="cellIs" dxfId="54" priority="86" operator="greaterThan">
      <formula>0.0025</formula>
    </cfRule>
  </conditionalFormatting>
  <conditionalFormatting sqref="H19:H22">
    <cfRule type="cellIs" dxfId="53" priority="85" operator="greaterThan">
      <formula>0.16</formula>
    </cfRule>
  </conditionalFormatting>
  <conditionalFormatting sqref="J19:J22">
    <cfRule type="cellIs" dxfId="52" priority="84" operator="greaterThan">
      <formula>0.16</formula>
    </cfRule>
  </conditionalFormatting>
  <conditionalFormatting sqref="L19:L22">
    <cfRule type="cellIs" dxfId="51" priority="83" operator="greaterThan">
      <formula>0.15</formula>
    </cfRule>
  </conditionalFormatting>
  <conditionalFormatting sqref="L23">
    <cfRule type="cellIs" dxfId="50" priority="79" operator="greaterThan">
      <formula>0.15</formula>
    </cfRule>
  </conditionalFormatting>
  <conditionalFormatting sqref="J39:J40 H39:H40">
    <cfRule type="cellIs" dxfId="49" priority="78" operator="greaterThan">
      <formula>0.16</formula>
    </cfRule>
  </conditionalFormatting>
  <conditionalFormatting sqref="L40:M40 L39">
    <cfRule type="cellIs" dxfId="48" priority="76" operator="greaterThan">
      <formula>0.15</formula>
    </cfRule>
  </conditionalFormatting>
  <conditionalFormatting sqref="D39:D40">
    <cfRule type="cellIs" dxfId="47" priority="77" operator="greaterThan">
      <formula>0.0025</formula>
    </cfRule>
  </conditionalFormatting>
  <conditionalFormatting sqref="L34">
    <cfRule type="cellIs" dxfId="46" priority="45" operator="greaterThan">
      <formula>0.15</formula>
    </cfRule>
  </conditionalFormatting>
  <conditionalFormatting sqref="L24:L25">
    <cfRule type="cellIs" dxfId="45" priority="44" operator="greaterThan">
      <formula>0.15</formula>
    </cfRule>
  </conditionalFormatting>
  <conditionalFormatting sqref="D34">
    <cfRule type="cellIs" dxfId="44" priority="46" operator="greaterThan">
      <formula>0.0025</formula>
    </cfRule>
  </conditionalFormatting>
  <conditionalFormatting sqref="H34 J34">
    <cfRule type="cellIs" dxfId="43" priority="47" operator="greaterThan">
      <formula>0.16</formula>
    </cfRule>
  </conditionalFormatting>
  <conditionalFormatting sqref="L26:L29">
    <cfRule type="cellIs" dxfId="42" priority="43" operator="greaterThan">
      <formula>0.15</formula>
    </cfRule>
  </conditionalFormatting>
  <conditionalFormatting sqref="L30">
    <cfRule type="cellIs" dxfId="41" priority="42" operator="greaterThan">
      <formula>0.15</formula>
    </cfRule>
  </conditionalFormatting>
  <conditionalFormatting sqref="D24:D30">
    <cfRule type="cellIs" dxfId="40" priority="41" operator="greaterThan">
      <formula>0.0025</formula>
    </cfRule>
  </conditionalFormatting>
  <conditionalFormatting sqref="H24:H30">
    <cfRule type="cellIs" dxfId="39" priority="40" operator="greaterThan">
      <formula>0.16</formula>
    </cfRule>
  </conditionalFormatting>
  <conditionalFormatting sqref="J24:J30">
    <cfRule type="cellIs" dxfId="38" priority="39" operator="greaterThan">
      <formula>0.16</formula>
    </cfRule>
  </conditionalFormatting>
  <conditionalFormatting sqref="D24:D30">
    <cfRule type="cellIs" dxfId="37" priority="38" operator="greaterThan">
      <formula>0.0025</formula>
    </cfRule>
  </conditionalFormatting>
  <conditionalFormatting sqref="H24:H30">
    <cfRule type="cellIs" dxfId="36" priority="37" operator="greaterThan">
      <formula>0.16</formula>
    </cfRule>
  </conditionalFormatting>
  <conditionalFormatting sqref="J24:J30">
    <cfRule type="cellIs" dxfId="35" priority="36" operator="greaterThan">
      <formula>0.16</formula>
    </cfRule>
  </conditionalFormatting>
  <conditionalFormatting sqref="L36 L38">
    <cfRule type="cellIs" dxfId="34" priority="33" operator="greaterThan">
      <formula>0.15</formula>
    </cfRule>
  </conditionalFormatting>
  <conditionalFormatting sqref="D36 D38">
    <cfRule type="cellIs" dxfId="33" priority="34" operator="greaterThan">
      <formula>0.0025</formula>
    </cfRule>
  </conditionalFormatting>
  <conditionalFormatting sqref="H36 J36 J38 H38">
    <cfRule type="cellIs" dxfId="32" priority="35" operator="greaterThan">
      <formula>0.16</formula>
    </cfRule>
  </conditionalFormatting>
  <conditionalFormatting sqref="L35">
    <cfRule type="cellIs" dxfId="31" priority="30" operator="greaterThan">
      <formula>0.15</formula>
    </cfRule>
  </conditionalFormatting>
  <conditionalFormatting sqref="D35">
    <cfRule type="cellIs" dxfId="30" priority="31" operator="greaterThan">
      <formula>0.0025</formula>
    </cfRule>
  </conditionalFormatting>
  <conditionalFormatting sqref="H35 J35">
    <cfRule type="cellIs" dxfId="29" priority="32" operator="greaterThan">
      <formula>0.16</formula>
    </cfRule>
  </conditionalFormatting>
  <conditionalFormatting sqref="L8">
    <cfRule type="cellIs" dxfId="28" priority="18" operator="greaterThan">
      <formula>0.15</formula>
    </cfRule>
  </conditionalFormatting>
  <conditionalFormatting sqref="D4:D10 D38 D18:D36">
    <cfRule type="cellIs" dxfId="27" priority="28" operator="greaterThan">
      <formula>0.0025</formula>
    </cfRule>
  </conditionalFormatting>
  <conditionalFormatting sqref="J4:J10 H4:H10 H38 J38 H18:H36 J18:J36">
    <cfRule type="cellIs" dxfId="26" priority="29" operator="greaterThan">
      <formula>0.16</formula>
    </cfRule>
  </conditionalFormatting>
  <conditionalFormatting sqref="L4:L6">
    <cfRule type="cellIs" dxfId="25" priority="27" operator="greaterThan">
      <formula>0.15</formula>
    </cfRule>
  </conditionalFormatting>
  <conditionalFormatting sqref="L7">
    <cfRule type="cellIs" dxfId="24" priority="24" operator="greaterThan">
      <formula>0.15</formula>
    </cfRule>
  </conditionalFormatting>
  <conditionalFormatting sqref="D7">
    <cfRule type="cellIs" dxfId="23" priority="25" operator="greaterThan">
      <formula>0.0025</formula>
    </cfRule>
  </conditionalFormatting>
  <conditionalFormatting sqref="H7 J7">
    <cfRule type="cellIs" dxfId="22" priority="26" operator="greaterThan">
      <formula>0.16</formula>
    </cfRule>
  </conditionalFormatting>
  <conditionalFormatting sqref="L9:L10">
    <cfRule type="cellIs" dxfId="21" priority="21" operator="greaterThan">
      <formula>0.15</formula>
    </cfRule>
  </conditionalFormatting>
  <conditionalFormatting sqref="D9:D10">
    <cfRule type="cellIs" dxfId="20" priority="22" operator="greaterThan">
      <formula>0.0025</formula>
    </cfRule>
  </conditionalFormatting>
  <conditionalFormatting sqref="H9:H10 J9:J10">
    <cfRule type="cellIs" dxfId="19" priority="23" operator="greaterThan">
      <formula>0.16</formula>
    </cfRule>
  </conditionalFormatting>
  <conditionalFormatting sqref="D8">
    <cfRule type="cellIs" dxfId="18" priority="19" operator="greaterThan">
      <formula>0.0025</formula>
    </cfRule>
  </conditionalFormatting>
  <conditionalFormatting sqref="H8 J8">
    <cfRule type="cellIs" dxfId="17" priority="20" operator="greaterThan">
      <formula>0.16</formula>
    </cfRule>
  </conditionalFormatting>
  <conditionalFormatting sqref="L37">
    <cfRule type="cellIs" dxfId="16" priority="15" operator="greaterThan">
      <formula>0.15</formula>
    </cfRule>
  </conditionalFormatting>
  <conditionalFormatting sqref="D37">
    <cfRule type="cellIs" dxfId="15" priority="16" operator="greaterThan">
      <formula>0.0025</formula>
    </cfRule>
  </conditionalFormatting>
  <conditionalFormatting sqref="J37 H37">
    <cfRule type="cellIs" dxfId="14" priority="17" operator="greaterThan">
      <formula>0.16</formula>
    </cfRule>
  </conditionalFormatting>
  <conditionalFormatting sqref="D37">
    <cfRule type="cellIs" dxfId="13" priority="13" operator="greaterThan">
      <formula>0.0025</formula>
    </cfRule>
  </conditionalFormatting>
  <conditionalFormatting sqref="H37 J37">
    <cfRule type="cellIs" dxfId="12" priority="14" operator="greaterThan">
      <formula>0.16</formula>
    </cfRule>
  </conditionalFormatting>
  <conditionalFormatting sqref="D11:D13">
    <cfRule type="cellIs" dxfId="11" priority="11" operator="greaterThan">
      <formula>0.0025</formula>
    </cfRule>
  </conditionalFormatting>
  <conditionalFormatting sqref="H11:H13 J11:J13">
    <cfRule type="cellIs" dxfId="10" priority="12" operator="greaterThan">
      <formula>0.16</formula>
    </cfRule>
  </conditionalFormatting>
  <conditionalFormatting sqref="L11:L13">
    <cfRule type="cellIs" dxfId="9" priority="10" operator="greaterThan">
      <formula>0.15</formula>
    </cfRule>
  </conditionalFormatting>
  <conditionalFormatting sqref="L14">
    <cfRule type="cellIs" dxfId="8" priority="7" operator="greaterThan">
      <formula>0.15</formula>
    </cfRule>
  </conditionalFormatting>
  <conditionalFormatting sqref="D14">
    <cfRule type="cellIs" dxfId="7" priority="8" operator="greaterThan">
      <formula>0.0025</formula>
    </cfRule>
  </conditionalFormatting>
  <conditionalFormatting sqref="H14 J14">
    <cfRule type="cellIs" dxfId="6" priority="9" operator="greaterThan">
      <formula>0.16</formula>
    </cfRule>
  </conditionalFormatting>
  <conditionalFormatting sqref="L16:L17">
    <cfRule type="cellIs" dxfId="5" priority="4" operator="greaterThan">
      <formula>0.15</formula>
    </cfRule>
  </conditionalFormatting>
  <conditionalFormatting sqref="D16:D17">
    <cfRule type="cellIs" dxfId="4" priority="5" operator="greaterThan">
      <formula>0.0025</formula>
    </cfRule>
  </conditionalFormatting>
  <conditionalFormatting sqref="H16:H17 J16:J17">
    <cfRule type="cellIs" dxfId="3" priority="6" operator="greaterThan">
      <formula>0.16</formula>
    </cfRule>
  </conditionalFormatting>
  <conditionalFormatting sqref="L15">
    <cfRule type="cellIs" dxfId="2" priority="1" operator="greaterThan">
      <formula>0.15</formula>
    </cfRule>
  </conditionalFormatting>
  <conditionalFormatting sqref="D15">
    <cfRule type="cellIs" dxfId="1" priority="2" operator="greaterThan">
      <formula>0.0025</formula>
    </cfRule>
  </conditionalFormatting>
  <conditionalFormatting sqref="H15 J15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90"/>
    <col min="3" max="3" width="14" style="190" bestFit="1" customWidth="1"/>
    <col min="4" max="4" width="0.28515625" style="190" customWidth="1"/>
    <col min="5" max="5" width="8.7109375" style="190"/>
    <col min="6" max="6" width="16.28515625" style="190" bestFit="1" customWidth="1"/>
    <col min="7" max="16384" width="8.7109375" style="190"/>
  </cols>
  <sheetData>
    <row r="2" spans="2:7" ht="15.75">
      <c r="B2" s="712" t="s">
        <v>621</v>
      </c>
      <c r="C2" s="712"/>
      <c r="D2" s="712"/>
      <c r="E2" s="712"/>
      <c r="F2" s="712"/>
    </row>
    <row r="3" spans="2:7" ht="15">
      <c r="B3" s="191" t="s">
        <v>622</v>
      </c>
      <c r="C3" s="191" t="s">
        <v>623</v>
      </c>
      <c r="D3" s="192"/>
      <c r="E3" s="191" t="s">
        <v>624</v>
      </c>
      <c r="F3" s="191" t="s">
        <v>625</v>
      </c>
      <c r="G3" s="192"/>
    </row>
    <row r="4" spans="2:7" ht="15">
      <c r="B4" s="193" t="s">
        <v>626</v>
      </c>
      <c r="C4" s="193" t="s">
        <v>627</v>
      </c>
      <c r="D4" s="192"/>
      <c r="E4" s="193" t="s">
        <v>628</v>
      </c>
      <c r="F4" s="193" t="s">
        <v>629</v>
      </c>
      <c r="G4" s="192"/>
    </row>
    <row r="5" spans="2:7" ht="15">
      <c r="B5" s="193" t="s">
        <v>630</v>
      </c>
      <c r="C5" s="193" t="s">
        <v>631</v>
      </c>
      <c r="D5" s="192"/>
      <c r="E5" s="193" t="s">
        <v>632</v>
      </c>
      <c r="F5" s="193" t="s">
        <v>633</v>
      </c>
      <c r="G5" s="192"/>
    </row>
    <row r="6" spans="2:7" ht="15">
      <c r="B6" s="193" t="s">
        <v>634</v>
      </c>
      <c r="C6" s="193" t="s">
        <v>635</v>
      </c>
      <c r="D6" s="192"/>
      <c r="E6" s="194" t="s">
        <v>636</v>
      </c>
      <c r="F6" s="194" t="s">
        <v>403</v>
      </c>
      <c r="G6" s="192"/>
    </row>
    <row r="7" spans="2:7" ht="15">
      <c r="B7" s="194" t="s">
        <v>637</v>
      </c>
      <c r="C7" s="194" t="s">
        <v>638</v>
      </c>
      <c r="D7" s="192"/>
      <c r="E7" s="193" t="s">
        <v>639</v>
      </c>
      <c r="F7" s="193" t="s">
        <v>640</v>
      </c>
      <c r="G7" s="192"/>
    </row>
    <row r="8" spans="2:7" ht="15">
      <c r="B8" s="193" t="s">
        <v>641</v>
      </c>
      <c r="C8" s="193" t="s">
        <v>642</v>
      </c>
      <c r="D8" s="192"/>
      <c r="E8" s="193" t="s">
        <v>643</v>
      </c>
      <c r="F8" s="193" t="s">
        <v>644</v>
      </c>
      <c r="G8" s="192"/>
    </row>
    <row r="9" spans="2:7" ht="15">
      <c r="B9" s="193" t="s">
        <v>645</v>
      </c>
      <c r="C9" s="193" t="s">
        <v>646</v>
      </c>
      <c r="D9" s="192"/>
      <c r="E9" s="194" t="s">
        <v>647</v>
      </c>
      <c r="F9" s="194" t="s">
        <v>393</v>
      </c>
      <c r="G9" s="192"/>
    </row>
    <row r="10" spans="2:7" ht="15">
      <c r="B10" s="193" t="s">
        <v>648</v>
      </c>
      <c r="C10" s="193" t="s">
        <v>649</v>
      </c>
      <c r="D10" s="192"/>
      <c r="E10" s="193" t="s">
        <v>650</v>
      </c>
      <c r="F10" s="193" t="s">
        <v>651</v>
      </c>
      <c r="G10" s="192"/>
    </row>
    <row r="11" spans="2:7" ht="15">
      <c r="B11" s="193" t="s">
        <v>652</v>
      </c>
      <c r="C11" s="193" t="s">
        <v>653</v>
      </c>
      <c r="D11" s="192"/>
      <c r="E11" s="193" t="s">
        <v>654</v>
      </c>
      <c r="F11" s="193" t="s">
        <v>644</v>
      </c>
      <c r="G11" s="192"/>
    </row>
    <row r="12" spans="2:7" ht="15">
      <c r="B12" s="193" t="s">
        <v>655</v>
      </c>
      <c r="C12" s="193" t="s">
        <v>656</v>
      </c>
      <c r="D12" s="192"/>
      <c r="E12" s="193" t="s">
        <v>657</v>
      </c>
      <c r="F12" s="193" t="s">
        <v>658</v>
      </c>
      <c r="G12" s="192"/>
    </row>
    <row r="13" spans="2:7" ht="15">
      <c r="B13" s="194" t="s">
        <v>659</v>
      </c>
      <c r="C13" s="194" t="s">
        <v>344</v>
      </c>
      <c r="D13" s="192"/>
      <c r="E13" s="193" t="s">
        <v>660</v>
      </c>
      <c r="F13" s="193" t="s">
        <v>661</v>
      </c>
      <c r="G13" s="192"/>
    </row>
    <row r="14" spans="2:7" ht="15">
      <c r="B14" s="193" t="s">
        <v>662</v>
      </c>
      <c r="C14" s="193" t="s">
        <v>663</v>
      </c>
      <c r="D14" s="192"/>
      <c r="E14" s="194" t="s">
        <v>664</v>
      </c>
      <c r="F14" s="194" t="s">
        <v>665</v>
      </c>
      <c r="G14" s="192"/>
    </row>
    <row r="15" spans="2:7" ht="15">
      <c r="B15" s="194" t="s">
        <v>666</v>
      </c>
      <c r="C15" s="194" t="s">
        <v>667</v>
      </c>
      <c r="D15" s="192"/>
      <c r="E15" s="193" t="s">
        <v>668</v>
      </c>
      <c r="F15" s="193" t="s">
        <v>665</v>
      </c>
      <c r="G15" s="192"/>
    </row>
    <row r="16" spans="2:7" ht="15">
      <c r="B16" s="193" t="s">
        <v>669</v>
      </c>
      <c r="C16" s="193" t="s">
        <v>670</v>
      </c>
      <c r="D16" s="192"/>
      <c r="E16" s="194" t="s">
        <v>671</v>
      </c>
      <c r="F16" s="194" t="s">
        <v>672</v>
      </c>
      <c r="G16" s="192"/>
    </row>
    <row r="17" spans="2:7" ht="15">
      <c r="B17" s="193" t="s">
        <v>673</v>
      </c>
      <c r="C17" s="193" t="s">
        <v>674</v>
      </c>
      <c r="D17" s="192"/>
      <c r="E17" s="193" t="s">
        <v>675</v>
      </c>
      <c r="F17" s="193" t="s">
        <v>676</v>
      </c>
      <c r="G17" s="192"/>
    </row>
    <row r="18" spans="2:7" ht="15">
      <c r="B18" s="193" t="s">
        <v>677</v>
      </c>
      <c r="C18" s="193" t="s">
        <v>678</v>
      </c>
      <c r="D18" s="192"/>
      <c r="E18" s="193" t="s">
        <v>679</v>
      </c>
      <c r="F18" s="193" t="s">
        <v>680</v>
      </c>
      <c r="G18" s="192"/>
    </row>
    <row r="19" spans="2:7" ht="15">
      <c r="B19" s="193" t="s">
        <v>681</v>
      </c>
      <c r="C19" s="193" t="s">
        <v>682</v>
      </c>
      <c r="D19" s="192"/>
      <c r="E19" s="193" t="s">
        <v>683</v>
      </c>
      <c r="F19" s="193" t="s">
        <v>684</v>
      </c>
      <c r="G19" s="192"/>
    </row>
    <row r="20" spans="2:7" ht="15">
      <c r="B20" s="193" t="s">
        <v>685</v>
      </c>
      <c r="C20" s="193" t="s">
        <v>686</v>
      </c>
      <c r="D20" s="192"/>
      <c r="G20" s="192"/>
    </row>
    <row r="21" spans="2:7" ht="15">
      <c r="D21" s="192"/>
      <c r="G21" s="192"/>
    </row>
    <row r="22" spans="2:7" ht="15">
      <c r="D22" s="192"/>
      <c r="G22" s="192"/>
    </row>
    <row r="23" spans="2:7" ht="15">
      <c r="D23" s="192"/>
      <c r="G23" s="19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A36FBC-2264-4613-953A-2099C3C28552}"/>
</file>

<file path=customXml/itemProps2.xml><?xml version="1.0" encoding="utf-8"?>
<ds:datastoreItem xmlns:ds="http://schemas.openxmlformats.org/officeDocument/2006/customXml" ds:itemID="{A474514C-0A66-432A-B91D-4036C581A2EE}"/>
</file>

<file path=customXml/itemProps3.xml><?xml version="1.0" encoding="utf-8"?>
<ds:datastoreItem xmlns:ds="http://schemas.openxmlformats.org/officeDocument/2006/customXml" ds:itemID="{76E4262A-2E45-442B-B018-B1C591B9B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2025-12-01T03:16:33Z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