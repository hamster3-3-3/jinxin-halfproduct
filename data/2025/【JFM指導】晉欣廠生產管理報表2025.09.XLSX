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15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xr:revisionPtr revIDLastSave="3" documentId="11_F55D640C411F2713E6AD7FF6CE9691B0C7475E88" xr6:coauthVersionLast="47" xr6:coauthVersionMax="47" xr10:uidLastSave="{09E7B471-106C-402C-8FCA-71AA61984A0F}"/>
  <bookViews>
    <workbookView xWindow="0" yWindow="0" windowWidth="13995" windowHeight="11700" tabRatio="924" firstSheet="20" activeTab="24" xr2:uid="{00000000-000D-0000-FFFF-FFFF00000000}"/>
  </bookViews>
  <sheets>
    <sheet name="填寫舉例" sheetId="1" state="hidden" r:id="rId1"/>
    <sheet name="生產管理報表(月)" sheetId="13" r:id="rId2"/>
    <sheet name="（１）收支狀況" sheetId="3" r:id="rId3"/>
    <sheet name="（２）ＫＰＩ達成進度" sheetId="5" r:id="rId4"/>
    <sheet name="（３）業績構成比" sheetId="7" r:id="rId5"/>
    <sheet name="（４）訂單數量構成比" sheetId="6" r:id="rId6"/>
    <sheet name="（５-1）品群別人時生產性（18℃-飯糰）" sheetId="8" r:id="rId7"/>
    <sheet name="（５-2）品群別人時生產性（18-壽司手卷)" sheetId="30" r:id="rId8"/>
    <sheet name="（５-3）品群別人時生產性（4℃-飯糰)" sheetId="32" r:id="rId9"/>
    <sheet name="（５-4）品群別人時生產性（4℃-壽司手卷)" sheetId="31" r:id="rId10"/>
    <sheet name="（５-5）品群別人時生產性(主食) " sheetId="33" r:id="rId11"/>
    <sheet name="（５-6）品群別人時生產性(便當)" sheetId="34" r:id="rId12"/>
    <sheet name="（５-7）品群別人時生產性(熱食義麵) " sheetId="35" r:id="rId13"/>
    <sheet name="（５-8）品群別人時生產性(季節調理麵) " sheetId="36" r:id="rId14"/>
    <sheet name="（５-9）品群別人時生產性(微波小吃)" sheetId="37" r:id="rId15"/>
    <sheet name="生產管理報表 6-1" sheetId="15" r:id="rId16"/>
    <sheet name="生產管理報表 6-2" sheetId="22" r:id="rId17"/>
    <sheet name="生產管理報表 6-3" sheetId="23" r:id="rId18"/>
    <sheet name="生產管理報表 6-4" sheetId="24" r:id="rId19"/>
    <sheet name="生產管理報表 6-5" sheetId="25" r:id="rId20"/>
    <sheet name="生產管理報表 7-1(月)" sheetId="40" r:id="rId21"/>
    <sheet name="生產管理報表 8-1(月報廢)" sheetId="19" r:id="rId22"/>
    <sheet name="生產管理報表 8-2(月報廢)" sheetId="20" r:id="rId23"/>
    <sheet name="生產管理報表 8-3(月超用)" sheetId="44" r:id="rId24"/>
    <sheet name="生產管理報表 8-4(月超用)" sheetId="45" r:id="rId25"/>
    <sheet name="生產管理報表 9" sheetId="21" r:id="rId26"/>
    <sheet name="報廢－原因別分析 (月)" sheetId="49" r:id="rId27"/>
    <sheet name="超用－原因別分析 (月)" sheetId="50" r:id="rId28"/>
    <sheet name="日別報廢率總表  " sheetId="46" r:id="rId29"/>
    <sheet name="鮮食品群番" sheetId="38" state="hidden" r:id="rId30"/>
  </sheets>
  <externalReferences>
    <externalReference r:id="rId31"/>
    <externalReference r:id="rId32"/>
  </externalReferences>
  <definedNames>
    <definedName name="_xlnm._FilterDatabase" localSheetId="6" hidden="1">'（５-1）品群別人時生產性（18℃-飯糰）'!#REF!</definedName>
    <definedName name="_xlnm._FilterDatabase" localSheetId="7" hidden="1">'（５-2）品群別人時生產性（18-壽司手卷)'!#REF!</definedName>
    <definedName name="_xlnm._FilterDatabase" localSheetId="8" hidden="1">'（５-3）品群別人時生產性（4℃-飯糰)'!#REF!</definedName>
    <definedName name="_xlnm._FilterDatabase" localSheetId="9" hidden="1">'（５-4）品群別人時生產性（4℃-壽司手卷)'!#REF!</definedName>
    <definedName name="_xlnm._FilterDatabase" localSheetId="10" hidden="1">'（５-5）品群別人時生產性(主食) '!#REF!</definedName>
    <definedName name="_xlnm._FilterDatabase" localSheetId="11" hidden="1">'（５-6）品群別人時生產性(便當)'!#REF!</definedName>
    <definedName name="_xlnm._FilterDatabase" localSheetId="12" hidden="1">'（５-7）品群別人時生產性(熱食義麵) '!#REF!</definedName>
    <definedName name="_xlnm._FilterDatabase" localSheetId="13" hidden="1">'（５-8）品群別人時生產性(季節調理麵) '!#REF!</definedName>
    <definedName name="_xlnm._FilterDatabase" localSheetId="14" hidden="1">'（５-9）品群別人時生產性(微波小吃)'!#REF!</definedName>
    <definedName name="_xlnm._FilterDatabase" localSheetId="26" hidden="1">'報廢－原因別分析 (月)'!$U$7:$U$26</definedName>
    <definedName name="_xlnm._FilterDatabase" localSheetId="27" hidden="1">'超用－原因別分析 (月)'!$U$7:$U$26</definedName>
    <definedName name="_xlnm.Print_Area" localSheetId="15">'生產管理報表 6-1'!$A$1:$L$35</definedName>
    <definedName name="_xlnm.Print_Area" localSheetId="16">'生產管理報表 6-2'!$A$1:$L$35</definedName>
    <definedName name="_xlnm.Print_Area" localSheetId="17">'生產管理報表 6-3'!$A$1:$L$35</definedName>
    <definedName name="_xlnm.Print_Area" localSheetId="18">'生產管理報表 6-4'!$A$1:$L$35</definedName>
    <definedName name="_xlnm.Print_Area" localSheetId="19">'生產管理報表 6-5'!$A$1:$L$35</definedName>
    <definedName name="_xlnm.Print_Area" localSheetId="20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9">鮮食品群番!$B$2:$F$20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8" i="50" l="1"/>
  <c r="AH8" i="50"/>
  <c r="AG8" i="50"/>
  <c r="AF8" i="50"/>
  <c r="AE8" i="50"/>
  <c r="AD8" i="50"/>
  <c r="AC8" i="50"/>
  <c r="AB8" i="50"/>
  <c r="AI7" i="50"/>
  <c r="AH7" i="50"/>
  <c r="AG7" i="50"/>
  <c r="AF7" i="50"/>
  <c r="AE7" i="50"/>
  <c r="AD7" i="50"/>
  <c r="AC7" i="50"/>
  <c r="AB7" i="50"/>
  <c r="AA7" i="50"/>
  <c r="AI8" i="49"/>
  <c r="AH8" i="49"/>
  <c r="AG8" i="49"/>
  <c r="AF8" i="49"/>
  <c r="AE8" i="49"/>
  <c r="AD8" i="49"/>
  <c r="AC8" i="49"/>
  <c r="AB8" i="49"/>
  <c r="AI7" i="49"/>
  <c r="AH7" i="49"/>
  <c r="AG7" i="49"/>
  <c r="AF7" i="49"/>
  <c r="AE7" i="49"/>
  <c r="AD7" i="49"/>
  <c r="AC7" i="49"/>
  <c r="AB7" i="49"/>
  <c r="AA7" i="49"/>
  <c r="H5" i="3" l="1"/>
  <c r="S121" i="35" l="1"/>
  <c r="S120" i="35"/>
  <c r="S119" i="35"/>
  <c r="S118" i="35"/>
  <c r="S117" i="35"/>
  <c r="S116" i="35"/>
  <c r="S115" i="35"/>
  <c r="S114" i="35"/>
  <c r="S113" i="35"/>
  <c r="S112" i="35"/>
  <c r="S111" i="35"/>
  <c r="S110" i="35"/>
  <c r="S109" i="35"/>
  <c r="S108" i="35"/>
  <c r="S107" i="35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S121" i="37"/>
  <c r="S120" i="37"/>
  <c r="S119" i="37"/>
  <c r="S118" i="37"/>
  <c r="S117" i="37"/>
  <c r="S116" i="37"/>
  <c r="S115" i="37"/>
  <c r="S114" i="37"/>
  <c r="S113" i="37"/>
  <c r="K113" i="37"/>
  <c r="J113" i="37"/>
  <c r="I113" i="37"/>
  <c r="S112" i="37"/>
  <c r="K112" i="37"/>
  <c r="J112" i="37"/>
  <c r="I112" i="37"/>
  <c r="S111" i="37"/>
  <c r="K111" i="37"/>
  <c r="J111" i="37"/>
  <c r="I111" i="37"/>
  <c r="S110" i="37"/>
  <c r="K110" i="37"/>
  <c r="J110" i="37"/>
  <c r="I110" i="37"/>
  <c r="S109" i="37"/>
  <c r="K109" i="37"/>
  <c r="J109" i="37"/>
  <c r="I109" i="37"/>
  <c r="S108" i="37"/>
  <c r="K108" i="37"/>
  <c r="J108" i="37"/>
  <c r="I108" i="37"/>
  <c r="T107" i="37"/>
  <c r="S107" i="37"/>
  <c r="K107" i="37"/>
  <c r="J107" i="37"/>
  <c r="I107" i="37"/>
  <c r="H107" i="37"/>
  <c r="S121" i="34"/>
  <c r="S120" i="34"/>
  <c r="S119" i="34"/>
  <c r="S118" i="34"/>
  <c r="S117" i="34"/>
  <c r="S116" i="34"/>
  <c r="K116" i="34"/>
  <c r="J116" i="34"/>
  <c r="I116" i="34"/>
  <c r="S115" i="34"/>
  <c r="K115" i="34"/>
  <c r="J115" i="34"/>
  <c r="I115" i="34"/>
  <c r="S114" i="34"/>
  <c r="K114" i="34"/>
  <c r="J114" i="34"/>
  <c r="I114" i="34"/>
  <c r="S113" i="34"/>
  <c r="K113" i="34"/>
  <c r="J113" i="34"/>
  <c r="I113" i="34"/>
  <c r="S112" i="34"/>
  <c r="K112" i="34"/>
  <c r="J112" i="34"/>
  <c r="I112" i="34"/>
  <c r="S111" i="34"/>
  <c r="K111" i="34"/>
  <c r="J111" i="34"/>
  <c r="I111" i="34"/>
  <c r="S110" i="34"/>
  <c r="K110" i="34"/>
  <c r="J110" i="34"/>
  <c r="I110" i="34"/>
  <c r="S109" i="34"/>
  <c r="K109" i="34"/>
  <c r="J109" i="34"/>
  <c r="I109" i="34"/>
  <c r="S108" i="34"/>
  <c r="K108" i="34"/>
  <c r="J108" i="34"/>
  <c r="I108" i="34"/>
  <c r="T107" i="34"/>
  <c r="S107" i="34"/>
  <c r="K107" i="34"/>
  <c r="L107" i="34" s="1"/>
  <c r="J107" i="34"/>
  <c r="I107" i="34"/>
  <c r="H107" i="34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K108" i="31"/>
  <c r="J108" i="31"/>
  <c r="I108" i="31"/>
  <c r="T107" i="31"/>
  <c r="S107" i="31"/>
  <c r="K107" i="31"/>
  <c r="J107" i="31"/>
  <c r="I107" i="31"/>
  <c r="H107" i="31"/>
  <c r="S121" i="32"/>
  <c r="S120" i="32"/>
  <c r="S119" i="32"/>
  <c r="S118" i="32"/>
  <c r="K118" i="32"/>
  <c r="J118" i="32"/>
  <c r="I118" i="32"/>
  <c r="S117" i="32"/>
  <c r="K117" i="32"/>
  <c r="J117" i="32"/>
  <c r="I117" i="32"/>
  <c r="S116" i="32"/>
  <c r="K116" i="32"/>
  <c r="J116" i="32"/>
  <c r="I116" i="32"/>
  <c r="S115" i="32"/>
  <c r="K115" i="32"/>
  <c r="J115" i="32"/>
  <c r="I115" i="32"/>
  <c r="S114" i="32"/>
  <c r="K114" i="32"/>
  <c r="J114" i="32"/>
  <c r="I114" i="32"/>
  <c r="S113" i="32"/>
  <c r="K113" i="32"/>
  <c r="J113" i="32"/>
  <c r="I113" i="32"/>
  <c r="S112" i="32"/>
  <c r="K112" i="32"/>
  <c r="J112" i="32"/>
  <c r="I112" i="32"/>
  <c r="S111" i="32"/>
  <c r="K111" i="32"/>
  <c r="J111" i="32"/>
  <c r="I111" i="32"/>
  <c r="S110" i="32"/>
  <c r="K110" i="32"/>
  <c r="J110" i="32"/>
  <c r="I110" i="32"/>
  <c r="S109" i="32"/>
  <c r="K109" i="32"/>
  <c r="J109" i="32"/>
  <c r="I109" i="32"/>
  <c r="S108" i="32"/>
  <c r="K108" i="32"/>
  <c r="J108" i="32"/>
  <c r="I108" i="32"/>
  <c r="T107" i="32"/>
  <c r="S107" i="32"/>
  <c r="K107" i="32"/>
  <c r="J107" i="32"/>
  <c r="I107" i="32"/>
  <c r="H107" i="32"/>
  <c r="M107" i="37" l="1"/>
  <c r="M113" i="34"/>
  <c r="M108" i="37"/>
  <c r="M110" i="37"/>
  <c r="M111" i="37"/>
  <c r="M112" i="37"/>
  <c r="M112" i="34"/>
  <c r="M114" i="34"/>
  <c r="M116" i="34"/>
  <c r="M110" i="34"/>
  <c r="M121" i="34"/>
  <c r="L107" i="32"/>
  <c r="M114" i="37"/>
  <c r="M115" i="37"/>
  <c r="M116" i="37"/>
  <c r="M121" i="37"/>
  <c r="L107" i="37"/>
  <c r="M109" i="37"/>
  <c r="M113" i="37"/>
  <c r="M117" i="37"/>
  <c r="M118" i="37"/>
  <c r="M119" i="37"/>
  <c r="M120" i="37"/>
  <c r="M108" i="34"/>
  <c r="M117" i="34"/>
  <c r="M118" i="34"/>
  <c r="M119" i="34"/>
  <c r="M120" i="34"/>
  <c r="M111" i="34"/>
  <c r="M115" i="34"/>
  <c r="M107" i="34"/>
  <c r="M109" i="34"/>
  <c r="L107" i="31"/>
  <c r="S121" i="30"/>
  <c r="S120" i="30"/>
  <c r="S119" i="30"/>
  <c r="S118" i="30"/>
  <c r="S117" i="30"/>
  <c r="S116" i="30"/>
  <c r="S115" i="30"/>
  <c r="S114" i="30"/>
  <c r="S113" i="30"/>
  <c r="S112" i="30"/>
  <c r="S111" i="30"/>
  <c r="S110" i="30"/>
  <c r="S109" i="30"/>
  <c r="S108" i="30"/>
  <c r="S107" i="30"/>
  <c r="M5" i="46" l="1"/>
  <c r="M12" i="46"/>
  <c r="M26" i="46"/>
  <c r="L33" i="46"/>
  <c r="J33" i="46"/>
  <c r="H33" i="46"/>
  <c r="F33" i="46"/>
  <c r="D33" i="46"/>
  <c r="L32" i="46"/>
  <c r="J32" i="46"/>
  <c r="H32" i="46"/>
  <c r="F32" i="46"/>
  <c r="D32" i="46"/>
  <c r="L31" i="46"/>
  <c r="J31" i="46"/>
  <c r="H31" i="46"/>
  <c r="F31" i="46"/>
  <c r="D31" i="46"/>
  <c r="L30" i="46"/>
  <c r="J30" i="46"/>
  <c r="H30" i="46"/>
  <c r="F30" i="46"/>
  <c r="D30" i="46"/>
  <c r="K29" i="46"/>
  <c r="I29" i="46"/>
  <c r="G29" i="46"/>
  <c r="E29" i="46"/>
  <c r="C29" i="46"/>
  <c r="D29" i="46" s="1"/>
  <c r="K28" i="46"/>
  <c r="I28" i="46"/>
  <c r="G28" i="46"/>
  <c r="E28" i="46"/>
  <c r="C28" i="46"/>
  <c r="D28" i="46" s="1"/>
  <c r="K27" i="46"/>
  <c r="I27" i="46"/>
  <c r="G27" i="46"/>
  <c r="E27" i="46"/>
  <c r="C27" i="46"/>
  <c r="D27" i="46" s="1"/>
  <c r="K26" i="46"/>
  <c r="I26" i="46"/>
  <c r="G26" i="46"/>
  <c r="E26" i="46"/>
  <c r="C26" i="46"/>
  <c r="D26" i="46" s="1"/>
  <c r="K25" i="46"/>
  <c r="I25" i="46"/>
  <c r="G25" i="46"/>
  <c r="E25" i="46"/>
  <c r="F25" i="46" s="1"/>
  <c r="C25" i="46"/>
  <c r="D25" i="46" s="1"/>
  <c r="K24" i="46"/>
  <c r="I24" i="46"/>
  <c r="G24" i="46"/>
  <c r="E24" i="46"/>
  <c r="C24" i="46"/>
  <c r="D24" i="46" s="1"/>
  <c r="K23" i="46"/>
  <c r="I23" i="46"/>
  <c r="G23" i="46"/>
  <c r="E23" i="46"/>
  <c r="F23" i="46" s="1"/>
  <c r="C23" i="46"/>
  <c r="D23" i="46" s="1"/>
  <c r="K22" i="46"/>
  <c r="I22" i="46"/>
  <c r="G22" i="46"/>
  <c r="E22" i="46"/>
  <c r="C22" i="46"/>
  <c r="D22" i="46" s="1"/>
  <c r="K21" i="46"/>
  <c r="I21" i="46"/>
  <c r="G21" i="46"/>
  <c r="E21" i="46"/>
  <c r="F21" i="46" s="1"/>
  <c r="C21" i="46"/>
  <c r="D21" i="46" s="1"/>
  <c r="K20" i="46"/>
  <c r="I20" i="46"/>
  <c r="G20" i="46"/>
  <c r="E20" i="46"/>
  <c r="C20" i="46"/>
  <c r="D20" i="46" s="1"/>
  <c r="K19" i="46"/>
  <c r="I19" i="46"/>
  <c r="G19" i="46"/>
  <c r="E19" i="46"/>
  <c r="C19" i="46"/>
  <c r="D19" i="46" s="1"/>
  <c r="K18" i="46"/>
  <c r="I18" i="46"/>
  <c r="G18" i="46"/>
  <c r="E18" i="46"/>
  <c r="F18" i="46" s="1"/>
  <c r="C18" i="46"/>
  <c r="K17" i="46"/>
  <c r="I17" i="46"/>
  <c r="G17" i="46"/>
  <c r="E17" i="46"/>
  <c r="F17" i="46" s="1"/>
  <c r="C17" i="46"/>
  <c r="D17" i="46" s="1"/>
  <c r="K16" i="46"/>
  <c r="I16" i="46"/>
  <c r="G16" i="46"/>
  <c r="E16" i="46"/>
  <c r="F16" i="46" s="1"/>
  <c r="C16" i="46"/>
  <c r="K15" i="46"/>
  <c r="I15" i="46"/>
  <c r="G15" i="46"/>
  <c r="E15" i="46"/>
  <c r="F15" i="46" s="1"/>
  <c r="C15" i="46"/>
  <c r="D15" i="46" s="1"/>
  <c r="K14" i="46"/>
  <c r="I14" i="46"/>
  <c r="G14" i="46"/>
  <c r="E14" i="46"/>
  <c r="F14" i="46" s="1"/>
  <c r="C14" i="46"/>
  <c r="K13" i="46"/>
  <c r="I13" i="46"/>
  <c r="G13" i="46"/>
  <c r="E13" i="46"/>
  <c r="F13" i="46" s="1"/>
  <c r="C13" i="46"/>
  <c r="D13" i="46" s="1"/>
  <c r="K12" i="46"/>
  <c r="I12" i="46"/>
  <c r="G12" i="46"/>
  <c r="E12" i="46"/>
  <c r="C12" i="46"/>
  <c r="K11" i="46"/>
  <c r="I11" i="46"/>
  <c r="G11" i="46"/>
  <c r="E11" i="46"/>
  <c r="F11" i="46" s="1"/>
  <c r="C11" i="46"/>
  <c r="D11" i="46" s="1"/>
  <c r="K10" i="46"/>
  <c r="I10" i="46"/>
  <c r="G10" i="46"/>
  <c r="E10" i="46"/>
  <c r="C10" i="46"/>
  <c r="D10" i="46" s="1"/>
  <c r="K9" i="46"/>
  <c r="I9" i="46"/>
  <c r="G9" i="46"/>
  <c r="E9" i="46"/>
  <c r="F9" i="46" s="1"/>
  <c r="C9" i="46"/>
  <c r="D9" i="46" s="1"/>
  <c r="K8" i="46"/>
  <c r="I8" i="46"/>
  <c r="G8" i="46"/>
  <c r="E8" i="46"/>
  <c r="C8" i="46"/>
  <c r="D8" i="46" s="1"/>
  <c r="K7" i="46"/>
  <c r="I7" i="46"/>
  <c r="G7" i="46"/>
  <c r="E7" i="46"/>
  <c r="F7" i="46" s="1"/>
  <c r="C7" i="46"/>
  <c r="D7" i="46" s="1"/>
  <c r="K6" i="46"/>
  <c r="I6" i="46"/>
  <c r="G6" i="46"/>
  <c r="E6" i="46"/>
  <c r="F6" i="46" s="1"/>
  <c r="C6" i="46"/>
  <c r="D6" i="46" s="1"/>
  <c r="K5" i="46"/>
  <c r="I5" i="46"/>
  <c r="G5" i="46"/>
  <c r="E5" i="46"/>
  <c r="C5" i="46"/>
  <c r="A5" i="46"/>
  <c r="A6" i="46" s="1"/>
  <c r="A7" i="46" s="1"/>
  <c r="A8" i="46" s="1"/>
  <c r="A9" i="46" s="1"/>
  <c r="A10" i="46" s="1"/>
  <c r="A11" i="46" s="1"/>
  <c r="A12" i="46" s="1"/>
  <c r="A13" i="46" s="1"/>
  <c r="A14" i="46" s="1"/>
  <c r="A15" i="46" s="1"/>
  <c r="A16" i="46" s="1"/>
  <c r="A17" i="46" s="1"/>
  <c r="A18" i="46" s="1"/>
  <c r="A19" i="46" s="1"/>
  <c r="A20" i="46" s="1"/>
  <c r="A21" i="46" s="1"/>
  <c r="A22" i="46" s="1"/>
  <c r="A23" i="46" s="1"/>
  <c r="A24" i="46" s="1"/>
  <c r="A25" i="46" s="1"/>
  <c r="A26" i="46" s="1"/>
  <c r="A27" i="46" s="1"/>
  <c r="A28" i="46" s="1"/>
  <c r="A29" i="46" s="1"/>
  <c r="A30" i="46" s="1"/>
  <c r="A31" i="46" s="1"/>
  <c r="A32" i="46" s="1"/>
  <c r="A33" i="46" s="1"/>
  <c r="K4" i="46"/>
  <c r="I4" i="46"/>
  <c r="G4" i="46"/>
  <c r="E4" i="46"/>
  <c r="C4" i="46"/>
  <c r="B34" i="46"/>
  <c r="L13" i="46" l="1"/>
  <c r="I35" i="46"/>
  <c r="H29" i="46"/>
  <c r="J16" i="46"/>
  <c r="H24" i="46"/>
  <c r="J29" i="46"/>
  <c r="J17" i="46"/>
  <c r="O19" i="46"/>
  <c r="N19" i="46"/>
  <c r="O26" i="46"/>
  <c r="J27" i="46"/>
  <c r="H28" i="46"/>
  <c r="H5" i="46"/>
  <c r="J12" i="46"/>
  <c r="L17" i="46"/>
  <c r="J18" i="46"/>
  <c r="J25" i="46"/>
  <c r="L27" i="46"/>
  <c r="H10" i="46"/>
  <c r="L12" i="46"/>
  <c r="L15" i="46"/>
  <c r="L18" i="46"/>
  <c r="H23" i="46"/>
  <c r="L25" i="46"/>
  <c r="L5" i="46"/>
  <c r="H17" i="46"/>
  <c r="L10" i="46"/>
  <c r="J14" i="46"/>
  <c r="H15" i="46"/>
  <c r="L23" i="46"/>
  <c r="N5" i="46"/>
  <c r="H13" i="46"/>
  <c r="J15" i="46"/>
  <c r="H19" i="46"/>
  <c r="J19" i="46"/>
  <c r="H11" i="46"/>
  <c r="L19" i="46"/>
  <c r="J28" i="46"/>
  <c r="L28" i="46"/>
  <c r="J13" i="46"/>
  <c r="L6" i="46"/>
  <c r="H9" i="46"/>
  <c r="L11" i="46"/>
  <c r="H16" i="46"/>
  <c r="H22" i="46"/>
  <c r="J24" i="46"/>
  <c r="L9" i="46"/>
  <c r="O12" i="46"/>
  <c r="H14" i="46"/>
  <c r="H20" i="46"/>
  <c r="L22" i="46"/>
  <c r="H27" i="46"/>
  <c r="J5" i="46"/>
  <c r="L16" i="46"/>
  <c r="H18" i="46"/>
  <c r="J11" i="46"/>
  <c r="L7" i="46"/>
  <c r="L14" i="46"/>
  <c r="L20" i="46"/>
  <c r="L29" i="46"/>
  <c r="K35" i="46"/>
  <c r="J10" i="46"/>
  <c r="J23" i="46"/>
  <c r="J4" i="46"/>
  <c r="L4" i="46"/>
  <c r="H8" i="46"/>
  <c r="H21" i="46"/>
  <c r="J8" i="46"/>
  <c r="J21" i="46"/>
  <c r="H26" i="46"/>
  <c r="H6" i="46"/>
  <c r="L8" i="46"/>
  <c r="L21" i="46"/>
  <c r="J26" i="46"/>
  <c r="O5" i="46"/>
  <c r="J6" i="46"/>
  <c r="L26" i="46"/>
  <c r="C35" i="46"/>
  <c r="L24" i="46"/>
  <c r="E35" i="46"/>
  <c r="J9" i="46"/>
  <c r="N12" i="46"/>
  <c r="F19" i="46"/>
  <c r="J22" i="46"/>
  <c r="G35" i="46"/>
  <c r="H7" i="46"/>
  <c r="H4" i="46"/>
  <c r="J7" i="46"/>
  <c r="H12" i="46"/>
  <c r="J20" i="46"/>
  <c r="H25" i="46"/>
  <c r="F10" i="46"/>
  <c r="D14" i="46"/>
  <c r="D16" i="46"/>
  <c r="D18" i="46"/>
  <c r="F20" i="46"/>
  <c r="F24" i="46"/>
  <c r="F8" i="46"/>
  <c r="F12" i="46"/>
  <c r="F22" i="46"/>
  <c r="F27" i="46"/>
  <c r="F28" i="46"/>
  <c r="F29" i="46"/>
  <c r="C34" i="46"/>
  <c r="D34" i="46" s="1"/>
  <c r="G34" i="46"/>
  <c r="K34" i="46"/>
  <c r="D12" i="46"/>
  <c r="M19" i="46"/>
  <c r="F26" i="46"/>
  <c r="N26" i="46"/>
  <c r="F4" i="46"/>
  <c r="F5" i="46"/>
  <c r="D4" i="46"/>
  <c r="D5" i="46"/>
  <c r="E34" i="46"/>
  <c r="F34" i="46" s="1"/>
  <c r="I34" i="46"/>
  <c r="B35" i="46"/>
  <c r="J35" i="46" l="1"/>
  <c r="J34" i="46"/>
  <c r="H35" i="46"/>
  <c r="L35" i="46"/>
  <c r="D35" i="46"/>
  <c r="L34" i="46"/>
  <c r="F35" i="46"/>
  <c r="H34" i="46"/>
  <c r="S121" i="36" l="1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I34" i="5" l="1"/>
  <c r="Q5" i="5" l="1"/>
  <c r="N5" i="5"/>
  <c r="H5" i="5"/>
  <c r="T5" i="3"/>
  <c r="N5" i="3"/>
  <c r="K5" i="3"/>
  <c r="K110" i="36" l="1"/>
  <c r="J110" i="36"/>
  <c r="I110" i="36"/>
  <c r="K109" i="36"/>
  <c r="J109" i="36"/>
  <c r="I109" i="36"/>
  <c r="K108" i="36"/>
  <c r="J108" i="36"/>
  <c r="I108" i="36"/>
  <c r="T107" i="36"/>
  <c r="K107" i="36"/>
  <c r="J107" i="36"/>
  <c r="I107" i="36"/>
  <c r="H107" i="36"/>
  <c r="K116" i="35"/>
  <c r="J116" i="35"/>
  <c r="I116" i="35"/>
  <c r="K115" i="35"/>
  <c r="J115" i="35"/>
  <c r="I115" i="35"/>
  <c r="K114" i="35"/>
  <c r="J114" i="35"/>
  <c r="I114" i="35"/>
  <c r="K113" i="35"/>
  <c r="J113" i="35"/>
  <c r="I113" i="35"/>
  <c r="K112" i="35"/>
  <c r="J112" i="35"/>
  <c r="I112" i="35"/>
  <c r="K111" i="35"/>
  <c r="J111" i="35"/>
  <c r="I111" i="35"/>
  <c r="K110" i="35"/>
  <c r="J110" i="35"/>
  <c r="I110" i="35"/>
  <c r="K109" i="35"/>
  <c r="J109" i="35"/>
  <c r="I109" i="35"/>
  <c r="K108" i="35"/>
  <c r="J108" i="35"/>
  <c r="I108" i="35"/>
  <c r="T107" i="35"/>
  <c r="K107" i="35"/>
  <c r="J107" i="35"/>
  <c r="I107" i="35"/>
  <c r="H107" i="35"/>
  <c r="S211" i="33"/>
  <c r="S210" i="33"/>
  <c r="S209" i="33"/>
  <c r="S208" i="33"/>
  <c r="S207" i="33"/>
  <c r="S206" i="33"/>
  <c r="S205" i="33"/>
  <c r="K205" i="33"/>
  <c r="J205" i="33"/>
  <c r="I205" i="33"/>
  <c r="S204" i="33"/>
  <c r="K204" i="33"/>
  <c r="J204" i="33"/>
  <c r="I204" i="33"/>
  <c r="S203" i="33"/>
  <c r="K203" i="33"/>
  <c r="J203" i="33"/>
  <c r="I203" i="33"/>
  <c r="S202" i="33"/>
  <c r="K202" i="33"/>
  <c r="J202" i="33"/>
  <c r="I202" i="33"/>
  <c r="S201" i="33"/>
  <c r="K201" i="33"/>
  <c r="J201" i="33"/>
  <c r="I201" i="33"/>
  <c r="S200" i="33"/>
  <c r="K200" i="33"/>
  <c r="J200" i="33"/>
  <c r="I200" i="33"/>
  <c r="S199" i="33"/>
  <c r="K199" i="33"/>
  <c r="J199" i="33"/>
  <c r="I199" i="33"/>
  <c r="S198" i="33"/>
  <c r="K198" i="33"/>
  <c r="J198" i="33"/>
  <c r="I198" i="33"/>
  <c r="S197" i="33"/>
  <c r="K197" i="33"/>
  <c r="J197" i="33"/>
  <c r="I197" i="33"/>
  <c r="S196" i="33"/>
  <c r="K196" i="33"/>
  <c r="J196" i="33"/>
  <c r="I196" i="33"/>
  <c r="S195" i="33"/>
  <c r="K195" i="33"/>
  <c r="J195" i="33"/>
  <c r="I195" i="33"/>
  <c r="S194" i="33"/>
  <c r="K194" i="33"/>
  <c r="J194" i="33"/>
  <c r="I194" i="33"/>
  <c r="S193" i="33"/>
  <c r="K193" i="33"/>
  <c r="J193" i="33"/>
  <c r="I193" i="33"/>
  <c r="S192" i="33"/>
  <c r="K192" i="33"/>
  <c r="J192" i="33"/>
  <c r="I192" i="33"/>
  <c r="S191" i="33"/>
  <c r="K191" i="33"/>
  <c r="J191" i="33"/>
  <c r="I191" i="33"/>
  <c r="S190" i="33"/>
  <c r="K190" i="33"/>
  <c r="J190" i="33"/>
  <c r="I190" i="33"/>
  <c r="S189" i="33"/>
  <c r="K189" i="33"/>
  <c r="J189" i="33"/>
  <c r="I189" i="33"/>
  <c r="S188" i="33"/>
  <c r="K188" i="33"/>
  <c r="J188" i="33"/>
  <c r="I188" i="33"/>
  <c r="S187" i="33"/>
  <c r="K187" i="33"/>
  <c r="J187" i="33"/>
  <c r="I187" i="33"/>
  <c r="S186" i="33"/>
  <c r="K186" i="33"/>
  <c r="J186" i="33"/>
  <c r="I186" i="33"/>
  <c r="S185" i="33"/>
  <c r="K185" i="33"/>
  <c r="J185" i="33"/>
  <c r="I185" i="33"/>
  <c r="S184" i="33"/>
  <c r="K184" i="33"/>
  <c r="J184" i="33"/>
  <c r="I184" i="33"/>
  <c r="S183" i="33"/>
  <c r="K183" i="33"/>
  <c r="J183" i="33"/>
  <c r="I183" i="33"/>
  <c r="T182" i="33"/>
  <c r="S182" i="33"/>
  <c r="K182" i="33"/>
  <c r="J182" i="33"/>
  <c r="I182" i="33"/>
  <c r="H182" i="33"/>
  <c r="K113" i="30"/>
  <c r="J113" i="30"/>
  <c r="I113" i="30"/>
  <c r="K112" i="30"/>
  <c r="J112" i="30"/>
  <c r="I112" i="30"/>
  <c r="K111" i="30"/>
  <c r="J111" i="30"/>
  <c r="I111" i="30"/>
  <c r="K110" i="30"/>
  <c r="J110" i="30"/>
  <c r="I110" i="30"/>
  <c r="K109" i="30"/>
  <c r="J109" i="30"/>
  <c r="I109" i="30"/>
  <c r="K108" i="30"/>
  <c r="J108" i="30"/>
  <c r="I108" i="30"/>
  <c r="T107" i="30"/>
  <c r="K107" i="30"/>
  <c r="J107" i="30"/>
  <c r="I107" i="30"/>
  <c r="H107" i="30"/>
  <c r="K204" i="8"/>
  <c r="J204" i="8"/>
  <c r="I204" i="8"/>
  <c r="K203" i="8"/>
  <c r="J203" i="8"/>
  <c r="I203" i="8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T182" i="8"/>
  <c r="K182" i="8"/>
  <c r="J182" i="8"/>
  <c r="I182" i="8"/>
  <c r="H182" i="8"/>
  <c r="M110" i="35" l="1"/>
  <c r="M114" i="35"/>
  <c r="M109" i="35"/>
  <c r="M113" i="35"/>
  <c r="M120" i="35"/>
  <c r="M119" i="35"/>
  <c r="M107" i="35"/>
  <c r="M118" i="35"/>
  <c r="M117" i="35"/>
  <c r="M121" i="35"/>
  <c r="M111" i="35"/>
  <c r="M115" i="35"/>
  <c r="M108" i="35"/>
  <c r="M112" i="35"/>
  <c r="M116" i="35"/>
  <c r="M108" i="36"/>
  <c r="M121" i="36"/>
  <c r="M118" i="36"/>
  <c r="M117" i="36"/>
  <c r="M116" i="36"/>
  <c r="M111" i="36"/>
  <c r="M115" i="36"/>
  <c r="M119" i="36"/>
  <c r="M114" i="36"/>
  <c r="M120" i="36"/>
  <c r="M113" i="36"/>
  <c r="M112" i="36"/>
  <c r="M107" i="36"/>
  <c r="M109" i="36"/>
  <c r="M110" i="36"/>
  <c r="L107" i="35"/>
  <c r="L182" i="33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M207" i="8"/>
  <c r="L107" i="36"/>
  <c r="I33" i="5" l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J72" i="37"/>
  <c r="I72" i="37"/>
  <c r="AW71" i="37"/>
  <c r="AR71" i="37"/>
  <c r="AM71" i="37"/>
  <c r="AH71" i="37"/>
  <c r="AC71" i="37"/>
  <c r="X71" i="37"/>
  <c r="S71" i="37"/>
  <c r="K71" i="37"/>
  <c r="J71" i="37"/>
  <c r="I71" i="37"/>
  <c r="AW70" i="37"/>
  <c r="AR70" i="37"/>
  <c r="AM70" i="37"/>
  <c r="AH70" i="37"/>
  <c r="AC70" i="37"/>
  <c r="X70" i="37"/>
  <c r="S70" i="37"/>
  <c r="K70" i="37"/>
  <c r="J70" i="37"/>
  <c r="I70" i="37"/>
  <c r="AW69" i="37"/>
  <c r="AR69" i="37"/>
  <c r="AM69" i="37"/>
  <c r="AH69" i="37"/>
  <c r="AC69" i="37"/>
  <c r="X69" i="37"/>
  <c r="S69" i="37"/>
  <c r="K69" i="37"/>
  <c r="J69" i="37"/>
  <c r="I69" i="37"/>
  <c r="AW68" i="37"/>
  <c r="AR68" i="37"/>
  <c r="AM68" i="37"/>
  <c r="AH68" i="37"/>
  <c r="AC68" i="37"/>
  <c r="X68" i="37"/>
  <c r="S68" i="37"/>
  <c r="K68" i="37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AW57" i="37"/>
  <c r="AR57" i="37"/>
  <c r="AM57" i="37"/>
  <c r="AH57" i="37"/>
  <c r="AC57" i="37"/>
  <c r="X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R52" i="37"/>
  <c r="S61" i="37" s="1"/>
  <c r="Q52" i="37"/>
  <c r="P52" i="37"/>
  <c r="AW51" i="37"/>
  <c r="AR51" i="37"/>
  <c r="AM51" i="37"/>
  <c r="AH51" i="37"/>
  <c r="AC51" i="37"/>
  <c r="X51" i="37"/>
  <c r="K51" i="37"/>
  <c r="J51" i="37"/>
  <c r="I51" i="37"/>
  <c r="AW50" i="37"/>
  <c r="AR50" i="37"/>
  <c r="AM50" i="37"/>
  <c r="AH50" i="37"/>
  <c r="AC50" i="37"/>
  <c r="X50" i="37"/>
  <c r="K50" i="37"/>
  <c r="J50" i="37"/>
  <c r="I50" i="37"/>
  <c r="AW49" i="37"/>
  <c r="AR49" i="37"/>
  <c r="AM49" i="37"/>
  <c r="AH49" i="37"/>
  <c r="AC49" i="37"/>
  <c r="X49" i="37"/>
  <c r="K49" i="37"/>
  <c r="J49" i="37"/>
  <c r="I49" i="37"/>
  <c r="AW48" i="37"/>
  <c r="AR48" i="37"/>
  <c r="AM48" i="37"/>
  <c r="AH48" i="37"/>
  <c r="AC48" i="37"/>
  <c r="X48" i="37"/>
  <c r="K48" i="37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K47" i="37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I32" i="37"/>
  <c r="AW31" i="37"/>
  <c r="AR31" i="37"/>
  <c r="AM31" i="37"/>
  <c r="AH31" i="37"/>
  <c r="AC31" i="37"/>
  <c r="X31" i="37"/>
  <c r="S31" i="37"/>
  <c r="K31" i="37"/>
  <c r="J31" i="37"/>
  <c r="I31" i="37"/>
  <c r="AW30" i="37"/>
  <c r="AR30" i="37"/>
  <c r="AM30" i="37"/>
  <c r="AH30" i="37"/>
  <c r="AC30" i="37"/>
  <c r="X30" i="37"/>
  <c r="S30" i="37"/>
  <c r="K30" i="37"/>
  <c r="J30" i="37"/>
  <c r="I30" i="37"/>
  <c r="AW29" i="37"/>
  <c r="AR29" i="37"/>
  <c r="AM29" i="37"/>
  <c r="AH29" i="37"/>
  <c r="AC29" i="37"/>
  <c r="X29" i="37"/>
  <c r="S29" i="37"/>
  <c r="K29" i="37"/>
  <c r="J29" i="37"/>
  <c r="I29" i="37"/>
  <c r="AW28" i="37"/>
  <c r="AR28" i="37"/>
  <c r="AM28" i="37"/>
  <c r="AH28" i="37"/>
  <c r="AC28" i="37"/>
  <c r="X28" i="37"/>
  <c r="S28" i="37"/>
  <c r="K28" i="37"/>
  <c r="J28" i="37"/>
  <c r="I28" i="37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I27" i="37"/>
  <c r="H27" i="37"/>
  <c r="AW21" i="37"/>
  <c r="AW20" i="37"/>
  <c r="AW19" i="37"/>
  <c r="AW18" i="37"/>
  <c r="AW17" i="37"/>
  <c r="AW16" i="37"/>
  <c r="AW15" i="37"/>
  <c r="AW14" i="37"/>
  <c r="AW13" i="37"/>
  <c r="AW12" i="37"/>
  <c r="K12" i="37"/>
  <c r="J12" i="37"/>
  <c r="I12" i="37"/>
  <c r="AW11" i="37"/>
  <c r="K11" i="37"/>
  <c r="J11" i="37"/>
  <c r="I11" i="37"/>
  <c r="AW10" i="37"/>
  <c r="K10" i="37"/>
  <c r="J10" i="37"/>
  <c r="I10" i="37"/>
  <c r="AW9" i="37"/>
  <c r="K9" i="37"/>
  <c r="J9" i="37"/>
  <c r="I9" i="37"/>
  <c r="AW8" i="37"/>
  <c r="K8" i="37"/>
  <c r="J8" i="37"/>
  <c r="I8" i="37"/>
  <c r="AX7" i="37"/>
  <c r="AW7" i="37"/>
  <c r="K7" i="37"/>
  <c r="J7" i="37"/>
  <c r="I7" i="37"/>
  <c r="H7" i="37"/>
  <c r="P22" i="37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J71" i="36"/>
  <c r="I71" i="36"/>
  <c r="AW70" i="36"/>
  <c r="AR70" i="36"/>
  <c r="AM70" i="36"/>
  <c r="AH70" i="36"/>
  <c r="AC70" i="36"/>
  <c r="X70" i="36"/>
  <c r="S70" i="36"/>
  <c r="K70" i="36"/>
  <c r="J70" i="36"/>
  <c r="I70" i="36"/>
  <c r="AW69" i="36"/>
  <c r="AR69" i="36"/>
  <c r="AM69" i="36"/>
  <c r="AH69" i="36"/>
  <c r="AC69" i="36"/>
  <c r="X69" i="36"/>
  <c r="S69" i="36"/>
  <c r="K69" i="36"/>
  <c r="J69" i="36"/>
  <c r="I69" i="36"/>
  <c r="AW68" i="36"/>
  <c r="AR68" i="36"/>
  <c r="AM68" i="36"/>
  <c r="AH68" i="36"/>
  <c r="AC68" i="36"/>
  <c r="X68" i="36"/>
  <c r="S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K51" i="36"/>
  <c r="J51" i="36"/>
  <c r="I51" i="36"/>
  <c r="AW50" i="36"/>
  <c r="AR50" i="36"/>
  <c r="AM50" i="36"/>
  <c r="AH50" i="36"/>
  <c r="AC50" i="36"/>
  <c r="X50" i="36"/>
  <c r="S50" i="36"/>
  <c r="K50" i="36"/>
  <c r="J50" i="36"/>
  <c r="I50" i="36"/>
  <c r="AW49" i="36"/>
  <c r="AR49" i="36"/>
  <c r="AM49" i="36"/>
  <c r="AH49" i="36"/>
  <c r="AC49" i="36"/>
  <c r="X49" i="36"/>
  <c r="S49" i="36"/>
  <c r="K49" i="36"/>
  <c r="J49" i="36"/>
  <c r="I49" i="36"/>
  <c r="AW48" i="36"/>
  <c r="AR48" i="36"/>
  <c r="AM48" i="36"/>
  <c r="AH48" i="36"/>
  <c r="AC48" i="36"/>
  <c r="X48" i="36"/>
  <c r="S48" i="36"/>
  <c r="K48" i="36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K31" i="36"/>
  <c r="J31" i="36"/>
  <c r="I31" i="36"/>
  <c r="AW30" i="36"/>
  <c r="AR30" i="36"/>
  <c r="AM30" i="36"/>
  <c r="AH30" i="36"/>
  <c r="AC30" i="36"/>
  <c r="X30" i="36"/>
  <c r="S30" i="36"/>
  <c r="K30" i="36"/>
  <c r="J30" i="36"/>
  <c r="I30" i="36"/>
  <c r="AW29" i="36"/>
  <c r="AR29" i="36"/>
  <c r="AM29" i="36"/>
  <c r="AH29" i="36"/>
  <c r="AC29" i="36"/>
  <c r="X29" i="36"/>
  <c r="S29" i="36"/>
  <c r="K29" i="36"/>
  <c r="J29" i="36"/>
  <c r="I29" i="36"/>
  <c r="AW28" i="36"/>
  <c r="AR28" i="36"/>
  <c r="AM28" i="36"/>
  <c r="AH28" i="36"/>
  <c r="AC28" i="36"/>
  <c r="X28" i="36"/>
  <c r="S28" i="36"/>
  <c r="K28" i="36"/>
  <c r="J28" i="36"/>
  <c r="I28" i="36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M32" i="36" s="1"/>
  <c r="J27" i="36"/>
  <c r="I27" i="36"/>
  <c r="H27" i="36"/>
  <c r="AW21" i="36"/>
  <c r="AW20" i="36"/>
  <c r="AW19" i="36"/>
  <c r="AW18" i="36"/>
  <c r="AW17" i="36"/>
  <c r="AW16" i="36"/>
  <c r="AW15" i="36"/>
  <c r="AW14" i="36"/>
  <c r="AW13" i="36"/>
  <c r="AW12" i="36"/>
  <c r="AW11" i="36"/>
  <c r="K11" i="36"/>
  <c r="J11" i="36"/>
  <c r="I11" i="36"/>
  <c r="AW10" i="36"/>
  <c r="K10" i="36"/>
  <c r="J10" i="36"/>
  <c r="I10" i="36"/>
  <c r="AW9" i="36"/>
  <c r="K9" i="36"/>
  <c r="J9" i="36"/>
  <c r="I9" i="36"/>
  <c r="AW8" i="36"/>
  <c r="K8" i="36"/>
  <c r="J8" i="36"/>
  <c r="I8" i="36"/>
  <c r="AX7" i="36"/>
  <c r="AW7" i="36"/>
  <c r="K7" i="36"/>
  <c r="J7" i="36"/>
  <c r="I7" i="36"/>
  <c r="H7" i="36"/>
  <c r="P22" i="36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K76" i="35"/>
  <c r="J76" i="35"/>
  <c r="I76" i="35"/>
  <c r="AW75" i="35"/>
  <c r="AR75" i="35"/>
  <c r="AM75" i="35"/>
  <c r="AH75" i="35"/>
  <c r="AC75" i="35"/>
  <c r="X75" i="35"/>
  <c r="S75" i="35"/>
  <c r="K75" i="35"/>
  <c r="J75" i="35"/>
  <c r="I75" i="35"/>
  <c r="AW74" i="35"/>
  <c r="AR74" i="35"/>
  <c r="AM74" i="35"/>
  <c r="AH74" i="35"/>
  <c r="AC74" i="35"/>
  <c r="X74" i="35"/>
  <c r="S74" i="35"/>
  <c r="K74" i="35"/>
  <c r="J74" i="35"/>
  <c r="I74" i="35"/>
  <c r="AW73" i="35"/>
  <c r="AR73" i="35"/>
  <c r="AM73" i="35"/>
  <c r="AH73" i="35"/>
  <c r="AC73" i="35"/>
  <c r="X73" i="35"/>
  <c r="S73" i="35"/>
  <c r="K73" i="35"/>
  <c r="J73" i="35"/>
  <c r="I73" i="35"/>
  <c r="AW72" i="35"/>
  <c r="AR72" i="35"/>
  <c r="AM72" i="35"/>
  <c r="AH72" i="35"/>
  <c r="AC72" i="35"/>
  <c r="X72" i="35"/>
  <c r="S72" i="35"/>
  <c r="K72" i="35"/>
  <c r="J72" i="35"/>
  <c r="I72" i="35"/>
  <c r="AW71" i="35"/>
  <c r="AR71" i="35"/>
  <c r="AM71" i="35"/>
  <c r="AH71" i="35"/>
  <c r="AC71" i="35"/>
  <c r="X71" i="35"/>
  <c r="S71" i="35"/>
  <c r="K71" i="35"/>
  <c r="J71" i="35"/>
  <c r="I71" i="35"/>
  <c r="AW70" i="35"/>
  <c r="AR70" i="35"/>
  <c r="AM70" i="35"/>
  <c r="AH70" i="35"/>
  <c r="AC70" i="35"/>
  <c r="X70" i="35"/>
  <c r="S70" i="35"/>
  <c r="K70" i="35"/>
  <c r="J70" i="35"/>
  <c r="I70" i="35"/>
  <c r="AW69" i="35"/>
  <c r="AR69" i="35"/>
  <c r="AM69" i="35"/>
  <c r="AH69" i="35"/>
  <c r="AC69" i="35"/>
  <c r="X69" i="35"/>
  <c r="S69" i="35"/>
  <c r="K69" i="35"/>
  <c r="J69" i="35"/>
  <c r="I69" i="35"/>
  <c r="AW68" i="35"/>
  <c r="AR68" i="35"/>
  <c r="AM68" i="35"/>
  <c r="AH68" i="35"/>
  <c r="AC68" i="35"/>
  <c r="X68" i="35"/>
  <c r="S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J53" i="35"/>
  <c r="I53" i="35"/>
  <c r="AW52" i="35"/>
  <c r="AR52" i="35"/>
  <c r="AM52" i="35"/>
  <c r="AH52" i="35"/>
  <c r="AC52" i="35"/>
  <c r="X52" i="35"/>
  <c r="S52" i="35"/>
  <c r="K52" i="35"/>
  <c r="J52" i="35"/>
  <c r="I52" i="35"/>
  <c r="AW51" i="35"/>
  <c r="AR51" i="35"/>
  <c r="AM51" i="35"/>
  <c r="AH51" i="35"/>
  <c r="AC51" i="35"/>
  <c r="X51" i="35"/>
  <c r="S51" i="35"/>
  <c r="K51" i="35"/>
  <c r="J51" i="35"/>
  <c r="I51" i="35"/>
  <c r="AW50" i="35"/>
  <c r="AR50" i="35"/>
  <c r="AM50" i="35"/>
  <c r="AH50" i="35"/>
  <c r="AC50" i="35"/>
  <c r="X50" i="35"/>
  <c r="S50" i="35"/>
  <c r="K50" i="35"/>
  <c r="J50" i="35"/>
  <c r="I50" i="35"/>
  <c r="AW49" i="35"/>
  <c r="AR49" i="35"/>
  <c r="AM49" i="35"/>
  <c r="AH49" i="35"/>
  <c r="AC49" i="35"/>
  <c r="X49" i="35"/>
  <c r="S49" i="35"/>
  <c r="K49" i="35"/>
  <c r="J49" i="35"/>
  <c r="I49" i="35"/>
  <c r="AW48" i="35"/>
  <c r="AR48" i="35"/>
  <c r="AM48" i="35"/>
  <c r="AH48" i="35"/>
  <c r="AC48" i="35"/>
  <c r="X48" i="35"/>
  <c r="S48" i="35"/>
  <c r="K48" i="35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J33" i="35"/>
  <c r="I33" i="35"/>
  <c r="AW32" i="35"/>
  <c r="AR32" i="35"/>
  <c r="AM32" i="35"/>
  <c r="AH32" i="35"/>
  <c r="AC32" i="35"/>
  <c r="X32" i="35"/>
  <c r="S32" i="35"/>
  <c r="K32" i="35"/>
  <c r="J32" i="35"/>
  <c r="I32" i="35"/>
  <c r="AW31" i="35"/>
  <c r="AR31" i="35"/>
  <c r="AM31" i="35"/>
  <c r="AH31" i="35"/>
  <c r="AC31" i="35"/>
  <c r="X31" i="35"/>
  <c r="S31" i="35"/>
  <c r="K31" i="35"/>
  <c r="J31" i="35"/>
  <c r="I31" i="35"/>
  <c r="AW30" i="35"/>
  <c r="AR30" i="35"/>
  <c r="AM30" i="35"/>
  <c r="AH30" i="35"/>
  <c r="AC30" i="35"/>
  <c r="X30" i="35"/>
  <c r="S30" i="35"/>
  <c r="K30" i="35"/>
  <c r="J30" i="35"/>
  <c r="I30" i="35"/>
  <c r="AW29" i="35"/>
  <c r="AR29" i="35"/>
  <c r="AM29" i="35"/>
  <c r="AH29" i="35"/>
  <c r="AC29" i="35"/>
  <c r="X29" i="35"/>
  <c r="S29" i="35"/>
  <c r="K29" i="35"/>
  <c r="J29" i="35"/>
  <c r="I29" i="35"/>
  <c r="AW28" i="35"/>
  <c r="AR28" i="35"/>
  <c r="AM28" i="35"/>
  <c r="AH28" i="35"/>
  <c r="AC28" i="35"/>
  <c r="X28" i="35"/>
  <c r="S28" i="35"/>
  <c r="K28" i="35"/>
  <c r="J28" i="35"/>
  <c r="I28" i="35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I27" i="35"/>
  <c r="H27" i="35"/>
  <c r="AW21" i="35"/>
  <c r="AW20" i="35"/>
  <c r="AW19" i="35"/>
  <c r="AW18" i="35"/>
  <c r="AW17" i="35"/>
  <c r="AW16" i="35"/>
  <c r="AW15" i="35"/>
  <c r="AW14" i="35"/>
  <c r="AW13" i="35"/>
  <c r="K13" i="35"/>
  <c r="J13" i="35"/>
  <c r="I13" i="35"/>
  <c r="AW12" i="35"/>
  <c r="K12" i="35"/>
  <c r="J12" i="35"/>
  <c r="I12" i="35"/>
  <c r="AW11" i="35"/>
  <c r="K11" i="35"/>
  <c r="J11" i="35"/>
  <c r="I11" i="35"/>
  <c r="AW10" i="35"/>
  <c r="K10" i="35"/>
  <c r="J10" i="35"/>
  <c r="I10" i="35"/>
  <c r="AW9" i="35"/>
  <c r="K9" i="35"/>
  <c r="J9" i="35"/>
  <c r="I9" i="35"/>
  <c r="AX7" i="35"/>
  <c r="AW7" i="35"/>
  <c r="K7" i="35"/>
  <c r="J7" i="35"/>
  <c r="I7" i="35"/>
  <c r="H7" i="35"/>
  <c r="P22" i="35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J74" i="34"/>
  <c r="I74" i="34"/>
  <c r="AW73" i="34"/>
  <c r="AR73" i="34"/>
  <c r="AM73" i="34"/>
  <c r="AH73" i="34"/>
  <c r="AC73" i="34"/>
  <c r="X73" i="34"/>
  <c r="S73" i="34"/>
  <c r="K73" i="34"/>
  <c r="J73" i="34"/>
  <c r="I73" i="34"/>
  <c r="AW72" i="34"/>
  <c r="AR72" i="34"/>
  <c r="AM72" i="34"/>
  <c r="AH72" i="34"/>
  <c r="AC72" i="34"/>
  <c r="X72" i="34"/>
  <c r="S72" i="34"/>
  <c r="K72" i="34"/>
  <c r="J72" i="34"/>
  <c r="I72" i="34"/>
  <c r="AW71" i="34"/>
  <c r="AR71" i="34"/>
  <c r="AM71" i="34"/>
  <c r="AH71" i="34"/>
  <c r="AC71" i="34"/>
  <c r="X71" i="34"/>
  <c r="S71" i="34"/>
  <c r="K71" i="34"/>
  <c r="J71" i="34"/>
  <c r="I71" i="34"/>
  <c r="AW70" i="34"/>
  <c r="AR70" i="34"/>
  <c r="AM70" i="34"/>
  <c r="AH70" i="34"/>
  <c r="AC70" i="34"/>
  <c r="X70" i="34"/>
  <c r="S70" i="34"/>
  <c r="K70" i="34"/>
  <c r="J70" i="34"/>
  <c r="I70" i="34"/>
  <c r="AW69" i="34"/>
  <c r="AR69" i="34"/>
  <c r="AM69" i="34"/>
  <c r="AH69" i="34"/>
  <c r="AC69" i="34"/>
  <c r="X69" i="34"/>
  <c r="S69" i="34"/>
  <c r="K69" i="34"/>
  <c r="J69" i="34"/>
  <c r="I69" i="34"/>
  <c r="AW68" i="34"/>
  <c r="AR68" i="34"/>
  <c r="AM68" i="34"/>
  <c r="AH68" i="34"/>
  <c r="AC68" i="34"/>
  <c r="X68" i="34"/>
  <c r="S68" i="34"/>
  <c r="K68" i="34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J53" i="34"/>
  <c r="I53" i="34"/>
  <c r="AW52" i="34"/>
  <c r="AR52" i="34"/>
  <c r="AM52" i="34"/>
  <c r="AH52" i="34"/>
  <c r="AC52" i="34"/>
  <c r="X52" i="34"/>
  <c r="S52" i="34"/>
  <c r="K52" i="34"/>
  <c r="J52" i="34"/>
  <c r="I52" i="34"/>
  <c r="AW51" i="34"/>
  <c r="AR51" i="34"/>
  <c r="AM51" i="34"/>
  <c r="AH51" i="34"/>
  <c r="AC51" i="34"/>
  <c r="X51" i="34"/>
  <c r="S51" i="34"/>
  <c r="K51" i="34"/>
  <c r="J51" i="34"/>
  <c r="I51" i="34"/>
  <c r="AW50" i="34"/>
  <c r="AR50" i="34"/>
  <c r="AM50" i="34"/>
  <c r="AH50" i="34"/>
  <c r="AC50" i="34"/>
  <c r="X50" i="34"/>
  <c r="S50" i="34"/>
  <c r="K50" i="34"/>
  <c r="J50" i="34"/>
  <c r="I50" i="34"/>
  <c r="AW49" i="34"/>
  <c r="AR49" i="34"/>
  <c r="AM49" i="34"/>
  <c r="AH49" i="34"/>
  <c r="AC49" i="34"/>
  <c r="X49" i="34"/>
  <c r="S49" i="34"/>
  <c r="K49" i="34"/>
  <c r="J49" i="34"/>
  <c r="I49" i="34"/>
  <c r="AW48" i="34"/>
  <c r="AR48" i="34"/>
  <c r="AM48" i="34"/>
  <c r="AH48" i="34"/>
  <c r="AC48" i="34"/>
  <c r="X48" i="34"/>
  <c r="S48" i="34"/>
  <c r="K48" i="34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I33" i="34"/>
  <c r="AW32" i="34"/>
  <c r="AR32" i="34"/>
  <c r="AM32" i="34"/>
  <c r="AH32" i="34"/>
  <c r="AC32" i="34"/>
  <c r="X32" i="34"/>
  <c r="S32" i="34"/>
  <c r="K32" i="34"/>
  <c r="J32" i="34"/>
  <c r="I32" i="34"/>
  <c r="AW31" i="34"/>
  <c r="AR31" i="34"/>
  <c r="AM31" i="34"/>
  <c r="AH31" i="34"/>
  <c r="AC31" i="34"/>
  <c r="X31" i="34"/>
  <c r="S31" i="34"/>
  <c r="K31" i="34"/>
  <c r="J31" i="34"/>
  <c r="I31" i="34"/>
  <c r="AW30" i="34"/>
  <c r="AR30" i="34"/>
  <c r="AM30" i="34"/>
  <c r="AH30" i="34"/>
  <c r="AC30" i="34"/>
  <c r="X30" i="34"/>
  <c r="S30" i="34"/>
  <c r="K30" i="34"/>
  <c r="J30" i="34"/>
  <c r="I30" i="34"/>
  <c r="AW29" i="34"/>
  <c r="AR29" i="34"/>
  <c r="AM29" i="34"/>
  <c r="AH29" i="34"/>
  <c r="AC29" i="34"/>
  <c r="X29" i="34"/>
  <c r="S29" i="34"/>
  <c r="K29" i="34"/>
  <c r="J29" i="34"/>
  <c r="I29" i="34"/>
  <c r="AW28" i="34"/>
  <c r="AR28" i="34"/>
  <c r="AM28" i="34"/>
  <c r="AH28" i="34"/>
  <c r="AC28" i="34"/>
  <c r="X28" i="34"/>
  <c r="S28" i="34"/>
  <c r="K28" i="34"/>
  <c r="J28" i="34"/>
  <c r="I28" i="34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I27" i="34"/>
  <c r="H27" i="34"/>
  <c r="AW21" i="34"/>
  <c r="AW20" i="34"/>
  <c r="AW19" i="34"/>
  <c r="AW18" i="34"/>
  <c r="AW17" i="34"/>
  <c r="AW16" i="34"/>
  <c r="AW15" i="34"/>
  <c r="AW14" i="34"/>
  <c r="K14" i="34"/>
  <c r="J14" i="34"/>
  <c r="I14" i="34"/>
  <c r="AW13" i="34"/>
  <c r="K13" i="34"/>
  <c r="J13" i="34"/>
  <c r="I13" i="34"/>
  <c r="AW11" i="34"/>
  <c r="K11" i="34"/>
  <c r="J11" i="34"/>
  <c r="I11" i="34"/>
  <c r="AW10" i="34"/>
  <c r="K10" i="34"/>
  <c r="J10" i="34"/>
  <c r="I10" i="34"/>
  <c r="AW9" i="34"/>
  <c r="K9" i="34"/>
  <c r="J9" i="34"/>
  <c r="I9" i="34"/>
  <c r="AW8" i="34"/>
  <c r="K8" i="34"/>
  <c r="J8" i="34"/>
  <c r="I8" i="34"/>
  <c r="AX7" i="34"/>
  <c r="AW7" i="34"/>
  <c r="K7" i="34"/>
  <c r="M21" i="34" s="1"/>
  <c r="J7" i="34"/>
  <c r="I7" i="34"/>
  <c r="H7" i="34"/>
  <c r="P22" i="34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K101" i="33"/>
  <c r="J101" i="33"/>
  <c r="I101" i="33"/>
  <c r="AW100" i="33"/>
  <c r="AR100" i="33"/>
  <c r="AM100" i="33"/>
  <c r="AH100" i="33"/>
  <c r="AC100" i="33"/>
  <c r="X100" i="33"/>
  <c r="S100" i="33"/>
  <c r="K100" i="33"/>
  <c r="J100" i="33"/>
  <c r="I100" i="33"/>
  <c r="AW99" i="33"/>
  <c r="AR99" i="33"/>
  <c r="AM99" i="33"/>
  <c r="AH99" i="33"/>
  <c r="AC99" i="33"/>
  <c r="X99" i="33"/>
  <c r="S99" i="33"/>
  <c r="K99" i="33"/>
  <c r="J99" i="33"/>
  <c r="I99" i="33"/>
  <c r="AW98" i="33"/>
  <c r="AR98" i="33"/>
  <c r="AM98" i="33"/>
  <c r="AH98" i="33"/>
  <c r="AC98" i="33"/>
  <c r="X98" i="33"/>
  <c r="S98" i="33"/>
  <c r="K98" i="33"/>
  <c r="J98" i="33"/>
  <c r="I98" i="33"/>
  <c r="AW97" i="33"/>
  <c r="AR97" i="33"/>
  <c r="AM97" i="33"/>
  <c r="AH97" i="33"/>
  <c r="AC97" i="33"/>
  <c r="X97" i="33"/>
  <c r="S97" i="33"/>
  <c r="K97" i="33"/>
  <c r="J97" i="33"/>
  <c r="I97" i="33"/>
  <c r="AW96" i="33"/>
  <c r="AR96" i="33"/>
  <c r="AM96" i="33"/>
  <c r="AH96" i="33"/>
  <c r="AC96" i="33"/>
  <c r="X96" i="33"/>
  <c r="S96" i="33"/>
  <c r="K96" i="33"/>
  <c r="J96" i="33"/>
  <c r="I96" i="33"/>
  <c r="AW95" i="33"/>
  <c r="AR95" i="33"/>
  <c r="AM95" i="33"/>
  <c r="AH95" i="33"/>
  <c r="AC95" i="33"/>
  <c r="X95" i="33"/>
  <c r="S95" i="33"/>
  <c r="K95" i="33"/>
  <c r="J95" i="33"/>
  <c r="I95" i="33"/>
  <c r="AW94" i="33"/>
  <c r="AR94" i="33"/>
  <c r="AM94" i="33"/>
  <c r="AH94" i="33"/>
  <c r="AC94" i="33"/>
  <c r="X94" i="33"/>
  <c r="S94" i="33"/>
  <c r="K94" i="33"/>
  <c r="J94" i="33"/>
  <c r="I94" i="33"/>
  <c r="AW93" i="33"/>
  <c r="AR93" i="33"/>
  <c r="AM93" i="33"/>
  <c r="AH93" i="33"/>
  <c r="AC93" i="33"/>
  <c r="X93" i="33"/>
  <c r="S93" i="33"/>
  <c r="K93" i="33"/>
  <c r="J93" i="33"/>
  <c r="I93" i="33"/>
  <c r="AW92" i="33"/>
  <c r="AR92" i="33"/>
  <c r="AM92" i="33"/>
  <c r="AH92" i="33"/>
  <c r="AC92" i="33"/>
  <c r="X92" i="33"/>
  <c r="S92" i="33"/>
  <c r="K92" i="33"/>
  <c r="J92" i="33"/>
  <c r="I92" i="33"/>
  <c r="AW91" i="33"/>
  <c r="AR91" i="33"/>
  <c r="AM91" i="33"/>
  <c r="AH91" i="33"/>
  <c r="AC91" i="33"/>
  <c r="X91" i="33"/>
  <c r="S91" i="33"/>
  <c r="K91" i="33"/>
  <c r="J91" i="33"/>
  <c r="I91" i="33"/>
  <c r="AW90" i="33"/>
  <c r="AR90" i="33"/>
  <c r="AM90" i="33"/>
  <c r="AH90" i="33"/>
  <c r="AC90" i="33"/>
  <c r="X90" i="33"/>
  <c r="S90" i="33"/>
  <c r="K90" i="33"/>
  <c r="J90" i="33"/>
  <c r="I90" i="33"/>
  <c r="AW89" i="33"/>
  <c r="AR89" i="33"/>
  <c r="AM89" i="33"/>
  <c r="AH89" i="33"/>
  <c r="AC89" i="33"/>
  <c r="X89" i="33"/>
  <c r="S89" i="33"/>
  <c r="K89" i="33"/>
  <c r="J89" i="33"/>
  <c r="I89" i="33"/>
  <c r="AW88" i="33"/>
  <c r="AR88" i="33"/>
  <c r="AM88" i="33"/>
  <c r="AH88" i="33"/>
  <c r="AC88" i="33"/>
  <c r="X88" i="33"/>
  <c r="S88" i="33"/>
  <c r="K88" i="33"/>
  <c r="J88" i="33"/>
  <c r="I88" i="33"/>
  <c r="AW87" i="33"/>
  <c r="AR87" i="33"/>
  <c r="AM87" i="33"/>
  <c r="AH87" i="33"/>
  <c r="AC87" i="33"/>
  <c r="X87" i="33"/>
  <c r="S87" i="33"/>
  <c r="K87" i="33"/>
  <c r="J87" i="33"/>
  <c r="I87" i="33"/>
  <c r="AW86" i="33"/>
  <c r="AR86" i="33"/>
  <c r="AM86" i="33"/>
  <c r="AH86" i="33"/>
  <c r="AC86" i="33"/>
  <c r="X86" i="33"/>
  <c r="S86" i="33"/>
  <c r="K86" i="33"/>
  <c r="J86" i="33"/>
  <c r="I86" i="33"/>
  <c r="AW85" i="33"/>
  <c r="AR85" i="33"/>
  <c r="AM85" i="33"/>
  <c r="AH85" i="33"/>
  <c r="AC85" i="33"/>
  <c r="X85" i="33"/>
  <c r="S85" i="33"/>
  <c r="K85" i="33"/>
  <c r="J85" i="33"/>
  <c r="I85" i="33"/>
  <c r="AW84" i="33"/>
  <c r="AR84" i="33"/>
  <c r="AM84" i="33"/>
  <c r="AH84" i="33"/>
  <c r="AC84" i="33"/>
  <c r="X84" i="33"/>
  <c r="S84" i="33"/>
  <c r="K84" i="33"/>
  <c r="J84" i="33"/>
  <c r="I84" i="33"/>
  <c r="AW83" i="33"/>
  <c r="AR83" i="33"/>
  <c r="AM83" i="33"/>
  <c r="AH83" i="33"/>
  <c r="AC83" i="33"/>
  <c r="X83" i="33"/>
  <c r="S83" i="33"/>
  <c r="K83" i="33"/>
  <c r="J83" i="33"/>
  <c r="I83" i="33"/>
  <c r="AW82" i="33"/>
  <c r="AR82" i="33"/>
  <c r="AM82" i="33"/>
  <c r="AH82" i="33"/>
  <c r="AC82" i="33"/>
  <c r="X82" i="33"/>
  <c r="S82" i="33"/>
  <c r="K82" i="33"/>
  <c r="J82" i="33"/>
  <c r="I82" i="33"/>
  <c r="AW81" i="33"/>
  <c r="AR81" i="33"/>
  <c r="AM81" i="33"/>
  <c r="AH81" i="33"/>
  <c r="AC81" i="33"/>
  <c r="X81" i="33"/>
  <c r="S81" i="33"/>
  <c r="K81" i="33"/>
  <c r="J81" i="33"/>
  <c r="I81" i="33"/>
  <c r="AW80" i="33"/>
  <c r="AR80" i="33"/>
  <c r="AM80" i="33"/>
  <c r="AH80" i="33"/>
  <c r="AC80" i="33"/>
  <c r="X80" i="33"/>
  <c r="S80" i="33"/>
  <c r="K80" i="33"/>
  <c r="J80" i="33"/>
  <c r="I80" i="33"/>
  <c r="AW79" i="33"/>
  <c r="AR79" i="33"/>
  <c r="AM79" i="33"/>
  <c r="AH79" i="33"/>
  <c r="AC79" i="33"/>
  <c r="X79" i="33"/>
  <c r="S79" i="33"/>
  <c r="K79" i="33"/>
  <c r="J79" i="33"/>
  <c r="I79" i="33"/>
  <c r="AW78" i="33"/>
  <c r="AR78" i="33"/>
  <c r="AM78" i="33"/>
  <c r="AH78" i="33"/>
  <c r="AC78" i="33"/>
  <c r="X78" i="33"/>
  <c r="S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AW36" i="33"/>
  <c r="AW35" i="33"/>
  <c r="AW34" i="33"/>
  <c r="AW33" i="33"/>
  <c r="AW32" i="33"/>
  <c r="AW31" i="33"/>
  <c r="AW30" i="33"/>
  <c r="K30" i="33"/>
  <c r="J30" i="33"/>
  <c r="I30" i="33"/>
  <c r="AW29" i="33"/>
  <c r="K29" i="33"/>
  <c r="J29" i="33"/>
  <c r="I29" i="33"/>
  <c r="AW28" i="33"/>
  <c r="K28" i="33"/>
  <c r="J28" i="33"/>
  <c r="I28" i="33"/>
  <c r="AW27" i="33"/>
  <c r="K27" i="33"/>
  <c r="J27" i="33"/>
  <c r="I27" i="33"/>
  <c r="AW26" i="33"/>
  <c r="K26" i="33"/>
  <c r="J26" i="33"/>
  <c r="I26" i="33"/>
  <c r="AW25" i="33"/>
  <c r="K25" i="33"/>
  <c r="J25" i="33"/>
  <c r="I25" i="33"/>
  <c r="AW24" i="33"/>
  <c r="K24" i="33"/>
  <c r="J24" i="33"/>
  <c r="I24" i="33"/>
  <c r="AW23" i="33"/>
  <c r="K23" i="33"/>
  <c r="J23" i="33"/>
  <c r="I23" i="33"/>
  <c r="AW22" i="33"/>
  <c r="K22" i="33"/>
  <c r="J22" i="33"/>
  <c r="I22" i="33"/>
  <c r="AW21" i="33"/>
  <c r="K21" i="33"/>
  <c r="J21" i="33"/>
  <c r="I21" i="33"/>
  <c r="AW20" i="33"/>
  <c r="K20" i="33"/>
  <c r="J20" i="33"/>
  <c r="I20" i="33"/>
  <c r="AW19" i="33"/>
  <c r="K19" i="33"/>
  <c r="J19" i="33"/>
  <c r="I19" i="33"/>
  <c r="AW18" i="33"/>
  <c r="K18" i="33"/>
  <c r="J18" i="33"/>
  <c r="I18" i="33"/>
  <c r="AW17" i="33"/>
  <c r="K17" i="33"/>
  <c r="J17" i="33"/>
  <c r="I17" i="33"/>
  <c r="AW16" i="33"/>
  <c r="K16" i="33"/>
  <c r="J16" i="33"/>
  <c r="I16" i="33"/>
  <c r="AW15" i="33"/>
  <c r="K15" i="33"/>
  <c r="J15" i="33"/>
  <c r="I15" i="33"/>
  <c r="AW14" i="33"/>
  <c r="K14" i="33"/>
  <c r="J14" i="33"/>
  <c r="I14" i="33"/>
  <c r="AW13" i="33"/>
  <c r="K13" i="33"/>
  <c r="J13" i="33"/>
  <c r="I13" i="33"/>
  <c r="AW12" i="33"/>
  <c r="K12" i="33"/>
  <c r="J12" i="33"/>
  <c r="I12" i="33"/>
  <c r="AW11" i="33"/>
  <c r="K11" i="33"/>
  <c r="J11" i="33"/>
  <c r="I11" i="33"/>
  <c r="AW10" i="33"/>
  <c r="K10" i="33"/>
  <c r="J10" i="33"/>
  <c r="I10" i="33"/>
  <c r="AW9" i="33"/>
  <c r="K9" i="33"/>
  <c r="J9" i="33"/>
  <c r="I9" i="33"/>
  <c r="AW8" i="33"/>
  <c r="K8" i="33"/>
  <c r="J8" i="33"/>
  <c r="I8" i="33"/>
  <c r="AX7" i="33"/>
  <c r="AW7" i="33"/>
  <c r="K7" i="33"/>
  <c r="J7" i="33"/>
  <c r="I7" i="33"/>
  <c r="H7" i="33"/>
  <c r="P37" i="33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81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R47" i="31"/>
  <c r="Q47" i="31"/>
  <c r="J47" i="31" s="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J27" i="31"/>
  <c r="I27" i="31"/>
  <c r="H27" i="31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X7" i="31"/>
  <c r="AW7" i="31"/>
  <c r="K7" i="31"/>
  <c r="M20" i="31" s="1"/>
  <c r="J7" i="31"/>
  <c r="I7" i="31"/>
  <c r="H7" i="31"/>
  <c r="P22" i="3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J76" i="32"/>
  <c r="I76" i="32"/>
  <c r="AW75" i="32"/>
  <c r="AR75" i="32"/>
  <c r="AM75" i="32"/>
  <c r="AH75" i="32"/>
  <c r="AC75" i="32"/>
  <c r="X75" i="32"/>
  <c r="S75" i="32"/>
  <c r="K75" i="32"/>
  <c r="J75" i="32"/>
  <c r="I75" i="32"/>
  <c r="AW74" i="32"/>
  <c r="AR74" i="32"/>
  <c r="AM74" i="32"/>
  <c r="AH74" i="32"/>
  <c r="AC74" i="32"/>
  <c r="X74" i="32"/>
  <c r="S74" i="32"/>
  <c r="K74" i="32"/>
  <c r="J74" i="32"/>
  <c r="I74" i="32"/>
  <c r="AW73" i="32"/>
  <c r="AR73" i="32"/>
  <c r="AM73" i="32"/>
  <c r="AH73" i="32"/>
  <c r="AC73" i="32"/>
  <c r="X73" i="32"/>
  <c r="S73" i="32"/>
  <c r="K73" i="32"/>
  <c r="J73" i="32"/>
  <c r="I73" i="32"/>
  <c r="AW72" i="32"/>
  <c r="AR72" i="32"/>
  <c r="AM72" i="32"/>
  <c r="AH72" i="32"/>
  <c r="AC72" i="32"/>
  <c r="X72" i="32"/>
  <c r="S72" i="32"/>
  <c r="K72" i="32"/>
  <c r="J72" i="32"/>
  <c r="I72" i="32"/>
  <c r="AW71" i="32"/>
  <c r="AR71" i="32"/>
  <c r="AM71" i="32"/>
  <c r="AH71" i="32"/>
  <c r="AC71" i="32"/>
  <c r="X71" i="32"/>
  <c r="S71" i="32"/>
  <c r="K71" i="32"/>
  <c r="J71" i="32"/>
  <c r="I71" i="32"/>
  <c r="AW70" i="32"/>
  <c r="AR70" i="32"/>
  <c r="AM70" i="32"/>
  <c r="AH70" i="32"/>
  <c r="AC70" i="32"/>
  <c r="X70" i="32"/>
  <c r="S70" i="32"/>
  <c r="K70" i="32"/>
  <c r="J70" i="32"/>
  <c r="I70" i="32"/>
  <c r="AW69" i="32"/>
  <c r="AR69" i="32"/>
  <c r="AM69" i="32"/>
  <c r="AH69" i="32"/>
  <c r="AC69" i="32"/>
  <c r="X69" i="32"/>
  <c r="S69" i="32"/>
  <c r="K69" i="32"/>
  <c r="J69" i="32"/>
  <c r="I69" i="32"/>
  <c r="AW68" i="32"/>
  <c r="AR68" i="32"/>
  <c r="AM68" i="32"/>
  <c r="AH68" i="32"/>
  <c r="AC68" i="32"/>
  <c r="X68" i="32"/>
  <c r="S68" i="32"/>
  <c r="K68" i="32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J56" i="32"/>
  <c r="I56" i="32"/>
  <c r="AW55" i="32"/>
  <c r="AR55" i="32"/>
  <c r="AM55" i="32"/>
  <c r="AH55" i="32"/>
  <c r="AC55" i="32"/>
  <c r="X55" i="32"/>
  <c r="S55" i="32"/>
  <c r="K55" i="32"/>
  <c r="J55" i="32"/>
  <c r="I55" i="32"/>
  <c r="AW54" i="32"/>
  <c r="AR54" i="32"/>
  <c r="AM54" i="32"/>
  <c r="AH54" i="32"/>
  <c r="AC54" i="32"/>
  <c r="X54" i="32"/>
  <c r="S54" i="32"/>
  <c r="K54" i="32"/>
  <c r="J54" i="32"/>
  <c r="I54" i="32"/>
  <c r="AW53" i="32"/>
  <c r="AR53" i="32"/>
  <c r="AM53" i="32"/>
  <c r="AH53" i="32"/>
  <c r="AC53" i="32"/>
  <c r="X53" i="32"/>
  <c r="S53" i="32"/>
  <c r="K53" i="32"/>
  <c r="J53" i="32"/>
  <c r="I53" i="32"/>
  <c r="AW52" i="32"/>
  <c r="AR52" i="32"/>
  <c r="AM52" i="32"/>
  <c r="AH52" i="32"/>
  <c r="AC52" i="32"/>
  <c r="X52" i="32"/>
  <c r="S52" i="32"/>
  <c r="K52" i="32"/>
  <c r="J52" i="32"/>
  <c r="I52" i="32"/>
  <c r="AW51" i="32"/>
  <c r="AR51" i="32"/>
  <c r="AM51" i="32"/>
  <c r="AH51" i="32"/>
  <c r="AC51" i="32"/>
  <c r="X51" i="32"/>
  <c r="S51" i="32"/>
  <c r="K51" i="32"/>
  <c r="J51" i="32"/>
  <c r="I51" i="32"/>
  <c r="AW50" i="32"/>
  <c r="AR50" i="32"/>
  <c r="AM50" i="32"/>
  <c r="AH50" i="32"/>
  <c r="AC50" i="32"/>
  <c r="X50" i="32"/>
  <c r="S50" i="32"/>
  <c r="K50" i="32"/>
  <c r="J50" i="32"/>
  <c r="I50" i="32"/>
  <c r="AW49" i="32"/>
  <c r="AR49" i="32"/>
  <c r="AM49" i="32"/>
  <c r="AH49" i="32"/>
  <c r="AC49" i="32"/>
  <c r="X49" i="32"/>
  <c r="S49" i="32"/>
  <c r="K49" i="32"/>
  <c r="J49" i="32"/>
  <c r="I49" i="32"/>
  <c r="AW48" i="32"/>
  <c r="AR48" i="32"/>
  <c r="AM48" i="32"/>
  <c r="AH48" i="32"/>
  <c r="AC48" i="32"/>
  <c r="X48" i="32"/>
  <c r="S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AW21" i="32"/>
  <c r="AW20" i="32"/>
  <c r="AW19" i="32"/>
  <c r="AW18" i="32"/>
  <c r="AW17" i="32"/>
  <c r="AW16" i="32"/>
  <c r="K16" i="32"/>
  <c r="J16" i="32"/>
  <c r="I16" i="32"/>
  <c r="AW15" i="32"/>
  <c r="K15" i="32"/>
  <c r="J15" i="32"/>
  <c r="I15" i="32"/>
  <c r="AW14" i="32"/>
  <c r="K14" i="32"/>
  <c r="J14" i="32"/>
  <c r="I14" i="32"/>
  <c r="AW13" i="32"/>
  <c r="K13" i="32"/>
  <c r="J13" i="32"/>
  <c r="I13" i="32"/>
  <c r="AW12" i="32"/>
  <c r="K12" i="32"/>
  <c r="J12" i="32"/>
  <c r="I12" i="32"/>
  <c r="AW11" i="32"/>
  <c r="K11" i="32"/>
  <c r="J11" i="32"/>
  <c r="I11" i="32"/>
  <c r="AW10" i="32"/>
  <c r="K10" i="32"/>
  <c r="J10" i="32"/>
  <c r="I10" i="32"/>
  <c r="AW9" i="32"/>
  <c r="K9" i="32"/>
  <c r="J9" i="32"/>
  <c r="I9" i="32"/>
  <c r="AW8" i="32"/>
  <c r="K8" i="32"/>
  <c r="J8" i="32"/>
  <c r="I8" i="32"/>
  <c r="AX7" i="32"/>
  <c r="AW7" i="32"/>
  <c r="K7" i="32"/>
  <c r="J7" i="32"/>
  <c r="I7" i="32"/>
  <c r="H7" i="32"/>
  <c r="P22" i="32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J73" i="30"/>
  <c r="I73" i="30"/>
  <c r="AW72" i="30"/>
  <c r="AR72" i="30"/>
  <c r="AM72" i="30"/>
  <c r="AH72" i="30"/>
  <c r="AC72" i="30"/>
  <c r="X72" i="30"/>
  <c r="S72" i="30"/>
  <c r="K72" i="30"/>
  <c r="J72" i="30"/>
  <c r="I72" i="30"/>
  <c r="AW71" i="30"/>
  <c r="AR71" i="30"/>
  <c r="AM71" i="30"/>
  <c r="AH71" i="30"/>
  <c r="AC71" i="30"/>
  <c r="X71" i="30"/>
  <c r="S71" i="30"/>
  <c r="K71" i="30"/>
  <c r="J71" i="30"/>
  <c r="I71" i="30"/>
  <c r="AW70" i="30"/>
  <c r="AR70" i="30"/>
  <c r="AM70" i="30"/>
  <c r="AH70" i="30"/>
  <c r="AC70" i="30"/>
  <c r="X70" i="30"/>
  <c r="S70" i="30"/>
  <c r="K70" i="30"/>
  <c r="J70" i="30"/>
  <c r="I70" i="30"/>
  <c r="AW69" i="30"/>
  <c r="AR69" i="30"/>
  <c r="AM69" i="30"/>
  <c r="AH69" i="30"/>
  <c r="AC69" i="30"/>
  <c r="X69" i="30"/>
  <c r="S69" i="30"/>
  <c r="K69" i="30"/>
  <c r="J69" i="30"/>
  <c r="I69" i="30"/>
  <c r="AW68" i="30"/>
  <c r="AR68" i="30"/>
  <c r="AM68" i="30"/>
  <c r="AH68" i="30"/>
  <c r="AC68" i="30"/>
  <c r="X68" i="30"/>
  <c r="S68" i="30"/>
  <c r="K68" i="30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J53" i="30"/>
  <c r="I53" i="30"/>
  <c r="AW52" i="30"/>
  <c r="AR52" i="30"/>
  <c r="AM52" i="30"/>
  <c r="AH52" i="30"/>
  <c r="AC52" i="30"/>
  <c r="X52" i="30"/>
  <c r="S52" i="30"/>
  <c r="K52" i="30"/>
  <c r="J52" i="30"/>
  <c r="I52" i="30"/>
  <c r="AW51" i="30"/>
  <c r="AR51" i="30"/>
  <c r="AM51" i="30"/>
  <c r="AH51" i="30"/>
  <c r="AC51" i="30"/>
  <c r="X51" i="30"/>
  <c r="S51" i="30"/>
  <c r="K51" i="30"/>
  <c r="J51" i="30"/>
  <c r="I51" i="30"/>
  <c r="AW50" i="30"/>
  <c r="AR50" i="30"/>
  <c r="AM50" i="30"/>
  <c r="AH50" i="30"/>
  <c r="AC50" i="30"/>
  <c r="X50" i="30"/>
  <c r="S50" i="30"/>
  <c r="K50" i="30"/>
  <c r="J50" i="30"/>
  <c r="I50" i="30"/>
  <c r="AW49" i="30"/>
  <c r="AR49" i="30"/>
  <c r="AM49" i="30"/>
  <c r="AH49" i="30"/>
  <c r="AC49" i="30"/>
  <c r="X49" i="30"/>
  <c r="S49" i="30"/>
  <c r="K49" i="30"/>
  <c r="J49" i="30"/>
  <c r="I49" i="30"/>
  <c r="AW48" i="30"/>
  <c r="AR48" i="30"/>
  <c r="AM48" i="30"/>
  <c r="AH48" i="30"/>
  <c r="AC48" i="30"/>
  <c r="X48" i="30"/>
  <c r="S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K34" i="30"/>
  <c r="J34" i="30"/>
  <c r="I34" i="30"/>
  <c r="AW33" i="30"/>
  <c r="AR33" i="30"/>
  <c r="AM33" i="30"/>
  <c r="AH33" i="30"/>
  <c r="AC33" i="30"/>
  <c r="X33" i="30"/>
  <c r="S33" i="30"/>
  <c r="K33" i="30"/>
  <c r="J33" i="30"/>
  <c r="I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AW21" i="30"/>
  <c r="AW20" i="30"/>
  <c r="AW19" i="30"/>
  <c r="AW18" i="30"/>
  <c r="AW17" i="30"/>
  <c r="AW16" i="30"/>
  <c r="AW15" i="30"/>
  <c r="AW14" i="30"/>
  <c r="AW13" i="30"/>
  <c r="K13" i="30"/>
  <c r="J13" i="30"/>
  <c r="I13" i="30"/>
  <c r="AW12" i="30"/>
  <c r="K12" i="30"/>
  <c r="J12" i="30"/>
  <c r="I12" i="30"/>
  <c r="AW11" i="30"/>
  <c r="K11" i="30"/>
  <c r="J11" i="30"/>
  <c r="I11" i="30"/>
  <c r="AW10" i="30"/>
  <c r="K10" i="30"/>
  <c r="J10" i="30"/>
  <c r="I10" i="30"/>
  <c r="AW9" i="30"/>
  <c r="K9" i="30"/>
  <c r="J9" i="30"/>
  <c r="I9" i="30"/>
  <c r="AW8" i="30"/>
  <c r="K8" i="30"/>
  <c r="J8" i="30"/>
  <c r="I8" i="30"/>
  <c r="AX7" i="30"/>
  <c r="AW7" i="30"/>
  <c r="K7" i="30"/>
  <c r="J7" i="30"/>
  <c r="I7" i="30"/>
  <c r="H7" i="30"/>
  <c r="P22" i="30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J134" i="8"/>
  <c r="I134" i="8"/>
  <c r="AW133" i="8"/>
  <c r="AR133" i="8"/>
  <c r="AM133" i="8"/>
  <c r="AH133" i="8"/>
  <c r="AC133" i="8"/>
  <c r="X133" i="8"/>
  <c r="S133" i="8"/>
  <c r="K133" i="8"/>
  <c r="J133" i="8"/>
  <c r="I133" i="8"/>
  <c r="AW132" i="8"/>
  <c r="AR132" i="8"/>
  <c r="AM132" i="8"/>
  <c r="AH132" i="8"/>
  <c r="AC132" i="8"/>
  <c r="X132" i="8"/>
  <c r="S132" i="8"/>
  <c r="K132" i="8"/>
  <c r="J132" i="8"/>
  <c r="I132" i="8"/>
  <c r="AW131" i="8"/>
  <c r="AR131" i="8"/>
  <c r="AM131" i="8"/>
  <c r="AH131" i="8"/>
  <c r="AC131" i="8"/>
  <c r="X131" i="8"/>
  <c r="S131" i="8"/>
  <c r="K131" i="8"/>
  <c r="J131" i="8"/>
  <c r="I131" i="8"/>
  <c r="AW130" i="8"/>
  <c r="AR130" i="8"/>
  <c r="AM130" i="8"/>
  <c r="AH130" i="8"/>
  <c r="AC130" i="8"/>
  <c r="X130" i="8"/>
  <c r="S130" i="8"/>
  <c r="K130" i="8"/>
  <c r="J130" i="8"/>
  <c r="I130" i="8"/>
  <c r="AW129" i="8"/>
  <c r="AR129" i="8"/>
  <c r="AM129" i="8"/>
  <c r="AH129" i="8"/>
  <c r="AC129" i="8"/>
  <c r="X129" i="8"/>
  <c r="S129" i="8"/>
  <c r="K129" i="8"/>
  <c r="J129" i="8"/>
  <c r="I129" i="8"/>
  <c r="AW128" i="8"/>
  <c r="AR128" i="8"/>
  <c r="AM128" i="8"/>
  <c r="AH128" i="8"/>
  <c r="AC128" i="8"/>
  <c r="X128" i="8"/>
  <c r="S128" i="8"/>
  <c r="K128" i="8"/>
  <c r="J128" i="8"/>
  <c r="I128" i="8"/>
  <c r="AW127" i="8"/>
  <c r="AR127" i="8"/>
  <c r="AM127" i="8"/>
  <c r="AH127" i="8"/>
  <c r="AC127" i="8"/>
  <c r="X127" i="8"/>
  <c r="S127" i="8"/>
  <c r="K127" i="8"/>
  <c r="J127" i="8"/>
  <c r="I127" i="8"/>
  <c r="AW126" i="8"/>
  <c r="AR126" i="8"/>
  <c r="AM126" i="8"/>
  <c r="AH126" i="8"/>
  <c r="AC126" i="8"/>
  <c r="X126" i="8"/>
  <c r="S126" i="8"/>
  <c r="K126" i="8"/>
  <c r="J126" i="8"/>
  <c r="I126" i="8"/>
  <c r="AW125" i="8"/>
  <c r="AR125" i="8"/>
  <c r="AM125" i="8"/>
  <c r="AH125" i="8"/>
  <c r="AC125" i="8"/>
  <c r="X125" i="8"/>
  <c r="S125" i="8"/>
  <c r="K125" i="8"/>
  <c r="J125" i="8"/>
  <c r="I125" i="8"/>
  <c r="AW124" i="8"/>
  <c r="AR124" i="8"/>
  <c r="AM124" i="8"/>
  <c r="AH124" i="8"/>
  <c r="AC124" i="8"/>
  <c r="X124" i="8"/>
  <c r="S124" i="8"/>
  <c r="K124" i="8"/>
  <c r="J124" i="8"/>
  <c r="I124" i="8"/>
  <c r="AW123" i="8"/>
  <c r="AR123" i="8"/>
  <c r="AM123" i="8"/>
  <c r="AH123" i="8"/>
  <c r="AC123" i="8"/>
  <c r="X123" i="8"/>
  <c r="S123" i="8"/>
  <c r="K123" i="8"/>
  <c r="J123" i="8"/>
  <c r="I123" i="8"/>
  <c r="AW122" i="8"/>
  <c r="AR122" i="8"/>
  <c r="AM122" i="8"/>
  <c r="AH122" i="8"/>
  <c r="AC122" i="8"/>
  <c r="X122" i="8"/>
  <c r="S122" i="8"/>
  <c r="K122" i="8"/>
  <c r="J122" i="8"/>
  <c r="I122" i="8"/>
  <c r="AW121" i="8"/>
  <c r="AR121" i="8"/>
  <c r="AM121" i="8"/>
  <c r="AH121" i="8"/>
  <c r="AC121" i="8"/>
  <c r="X121" i="8"/>
  <c r="S121" i="8"/>
  <c r="K121" i="8"/>
  <c r="J121" i="8"/>
  <c r="I121" i="8"/>
  <c r="AW120" i="8"/>
  <c r="AR120" i="8"/>
  <c r="AM120" i="8"/>
  <c r="AH120" i="8"/>
  <c r="AC120" i="8"/>
  <c r="X120" i="8"/>
  <c r="S120" i="8"/>
  <c r="K120" i="8"/>
  <c r="J120" i="8"/>
  <c r="I120" i="8"/>
  <c r="AW119" i="8"/>
  <c r="AR119" i="8"/>
  <c r="AM119" i="8"/>
  <c r="AH119" i="8"/>
  <c r="AC119" i="8"/>
  <c r="X119" i="8"/>
  <c r="S119" i="8"/>
  <c r="K119" i="8"/>
  <c r="J119" i="8"/>
  <c r="I119" i="8"/>
  <c r="AW118" i="8"/>
  <c r="AR118" i="8"/>
  <c r="AM118" i="8"/>
  <c r="AH118" i="8"/>
  <c r="AC118" i="8"/>
  <c r="X118" i="8"/>
  <c r="S118" i="8"/>
  <c r="K118" i="8"/>
  <c r="J118" i="8"/>
  <c r="I118" i="8"/>
  <c r="AW117" i="8"/>
  <c r="AR117" i="8"/>
  <c r="AM117" i="8"/>
  <c r="AH117" i="8"/>
  <c r="AC117" i="8"/>
  <c r="X117" i="8"/>
  <c r="S117" i="8"/>
  <c r="K117" i="8"/>
  <c r="J117" i="8"/>
  <c r="I117" i="8"/>
  <c r="AW116" i="8"/>
  <c r="AR116" i="8"/>
  <c r="AM116" i="8"/>
  <c r="AH116" i="8"/>
  <c r="AC116" i="8"/>
  <c r="X116" i="8"/>
  <c r="S116" i="8"/>
  <c r="K116" i="8"/>
  <c r="J116" i="8"/>
  <c r="I116" i="8"/>
  <c r="AW115" i="8"/>
  <c r="AR115" i="8"/>
  <c r="AM115" i="8"/>
  <c r="AH115" i="8"/>
  <c r="AC115" i="8"/>
  <c r="X115" i="8"/>
  <c r="S115" i="8"/>
  <c r="K115" i="8"/>
  <c r="J115" i="8"/>
  <c r="I115" i="8"/>
  <c r="AW114" i="8"/>
  <c r="AR114" i="8"/>
  <c r="AM114" i="8"/>
  <c r="AH114" i="8"/>
  <c r="AC114" i="8"/>
  <c r="X114" i="8"/>
  <c r="S114" i="8"/>
  <c r="K114" i="8"/>
  <c r="J114" i="8"/>
  <c r="I114" i="8"/>
  <c r="AW113" i="8"/>
  <c r="AR113" i="8"/>
  <c r="AM113" i="8"/>
  <c r="AH113" i="8"/>
  <c r="AC113" i="8"/>
  <c r="X113" i="8"/>
  <c r="S113" i="8"/>
  <c r="K113" i="8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J98" i="8"/>
  <c r="I98" i="8"/>
  <c r="AW97" i="8"/>
  <c r="AR97" i="8"/>
  <c r="AM97" i="8"/>
  <c r="AH97" i="8"/>
  <c r="AC97" i="8"/>
  <c r="X97" i="8"/>
  <c r="S97" i="8"/>
  <c r="K97" i="8"/>
  <c r="J97" i="8"/>
  <c r="I97" i="8"/>
  <c r="AW96" i="8"/>
  <c r="AR96" i="8"/>
  <c r="AM96" i="8"/>
  <c r="AH96" i="8"/>
  <c r="AC96" i="8"/>
  <c r="X96" i="8"/>
  <c r="S96" i="8"/>
  <c r="K96" i="8"/>
  <c r="J96" i="8"/>
  <c r="I96" i="8"/>
  <c r="AW95" i="8"/>
  <c r="AR95" i="8"/>
  <c r="AM95" i="8"/>
  <c r="AH95" i="8"/>
  <c r="AC95" i="8"/>
  <c r="X95" i="8"/>
  <c r="S95" i="8"/>
  <c r="K95" i="8"/>
  <c r="J95" i="8"/>
  <c r="I95" i="8"/>
  <c r="AW94" i="8"/>
  <c r="AR94" i="8"/>
  <c r="AM94" i="8"/>
  <c r="AH94" i="8"/>
  <c r="AC94" i="8"/>
  <c r="X94" i="8"/>
  <c r="S94" i="8"/>
  <c r="K94" i="8"/>
  <c r="J94" i="8"/>
  <c r="I94" i="8"/>
  <c r="AW93" i="8"/>
  <c r="AR93" i="8"/>
  <c r="AM93" i="8"/>
  <c r="AH93" i="8"/>
  <c r="AC93" i="8"/>
  <c r="X93" i="8"/>
  <c r="S93" i="8"/>
  <c r="K93" i="8"/>
  <c r="J93" i="8"/>
  <c r="I93" i="8"/>
  <c r="AW92" i="8"/>
  <c r="AR92" i="8"/>
  <c r="AM92" i="8"/>
  <c r="AH92" i="8"/>
  <c r="AC92" i="8"/>
  <c r="X92" i="8"/>
  <c r="S92" i="8"/>
  <c r="K92" i="8"/>
  <c r="J92" i="8"/>
  <c r="I92" i="8"/>
  <c r="AW91" i="8"/>
  <c r="AR91" i="8"/>
  <c r="AM91" i="8"/>
  <c r="AH91" i="8"/>
  <c r="AC91" i="8"/>
  <c r="X91" i="8"/>
  <c r="S91" i="8"/>
  <c r="K91" i="8"/>
  <c r="J91" i="8"/>
  <c r="I91" i="8"/>
  <c r="AW90" i="8"/>
  <c r="AR90" i="8"/>
  <c r="AM90" i="8"/>
  <c r="AH90" i="8"/>
  <c r="AC90" i="8"/>
  <c r="X90" i="8"/>
  <c r="S90" i="8"/>
  <c r="K90" i="8"/>
  <c r="J90" i="8"/>
  <c r="I90" i="8"/>
  <c r="AW89" i="8"/>
  <c r="AR89" i="8"/>
  <c r="AM89" i="8"/>
  <c r="AH89" i="8"/>
  <c r="AC89" i="8"/>
  <c r="X89" i="8"/>
  <c r="S89" i="8"/>
  <c r="K89" i="8"/>
  <c r="J89" i="8"/>
  <c r="I89" i="8"/>
  <c r="AW88" i="8"/>
  <c r="AR88" i="8"/>
  <c r="AM88" i="8"/>
  <c r="AH88" i="8"/>
  <c r="AC88" i="8"/>
  <c r="X88" i="8"/>
  <c r="S88" i="8"/>
  <c r="K88" i="8"/>
  <c r="J88" i="8"/>
  <c r="I88" i="8"/>
  <c r="AW87" i="8"/>
  <c r="AR87" i="8"/>
  <c r="AM87" i="8"/>
  <c r="AH87" i="8"/>
  <c r="AC87" i="8"/>
  <c r="X87" i="8"/>
  <c r="S87" i="8"/>
  <c r="K87" i="8"/>
  <c r="J87" i="8"/>
  <c r="I87" i="8"/>
  <c r="AW86" i="8"/>
  <c r="AR86" i="8"/>
  <c r="AM86" i="8"/>
  <c r="AH86" i="8"/>
  <c r="AC86" i="8"/>
  <c r="X86" i="8"/>
  <c r="S86" i="8"/>
  <c r="K86" i="8"/>
  <c r="J86" i="8"/>
  <c r="I86" i="8"/>
  <c r="AW85" i="8"/>
  <c r="AR85" i="8"/>
  <c r="AM85" i="8"/>
  <c r="AH85" i="8"/>
  <c r="AC85" i="8"/>
  <c r="X85" i="8"/>
  <c r="S85" i="8"/>
  <c r="K85" i="8"/>
  <c r="J85" i="8"/>
  <c r="I85" i="8"/>
  <c r="AW84" i="8"/>
  <c r="AR84" i="8"/>
  <c r="AM84" i="8"/>
  <c r="AH84" i="8"/>
  <c r="AC84" i="8"/>
  <c r="X84" i="8"/>
  <c r="S84" i="8"/>
  <c r="K84" i="8"/>
  <c r="J84" i="8"/>
  <c r="I84" i="8"/>
  <c r="AW83" i="8"/>
  <c r="AR83" i="8"/>
  <c r="AM83" i="8"/>
  <c r="AH83" i="8"/>
  <c r="AC83" i="8"/>
  <c r="X83" i="8"/>
  <c r="S83" i="8"/>
  <c r="K83" i="8"/>
  <c r="J83" i="8"/>
  <c r="I83" i="8"/>
  <c r="AW82" i="8"/>
  <c r="AR82" i="8"/>
  <c r="AM82" i="8"/>
  <c r="AH82" i="8"/>
  <c r="AC82" i="8"/>
  <c r="X82" i="8"/>
  <c r="S82" i="8"/>
  <c r="K82" i="8"/>
  <c r="J82" i="8"/>
  <c r="I82" i="8"/>
  <c r="AW81" i="8"/>
  <c r="AR81" i="8"/>
  <c r="AM81" i="8"/>
  <c r="AH81" i="8"/>
  <c r="AC81" i="8"/>
  <c r="X81" i="8"/>
  <c r="S81" i="8"/>
  <c r="K81" i="8"/>
  <c r="J81" i="8"/>
  <c r="I81" i="8"/>
  <c r="AW80" i="8"/>
  <c r="AR80" i="8"/>
  <c r="AM80" i="8"/>
  <c r="AH80" i="8"/>
  <c r="AC80" i="8"/>
  <c r="X80" i="8"/>
  <c r="S80" i="8"/>
  <c r="K80" i="8"/>
  <c r="J80" i="8"/>
  <c r="I80" i="8"/>
  <c r="AW79" i="8"/>
  <c r="AR79" i="8"/>
  <c r="AM79" i="8"/>
  <c r="AH79" i="8"/>
  <c r="AC79" i="8"/>
  <c r="X79" i="8"/>
  <c r="S79" i="8"/>
  <c r="K79" i="8"/>
  <c r="J79" i="8"/>
  <c r="I79" i="8"/>
  <c r="AW78" i="8"/>
  <c r="AR78" i="8"/>
  <c r="AM78" i="8"/>
  <c r="AH78" i="8"/>
  <c r="AC78" i="8"/>
  <c r="X78" i="8"/>
  <c r="S78" i="8"/>
  <c r="K78" i="8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J77" i="8"/>
  <c r="I77" i="8"/>
  <c r="H77" i="8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K60" i="8"/>
  <c r="J60" i="8"/>
  <c r="I60" i="8"/>
  <c r="AW59" i="8"/>
  <c r="AR59" i="8"/>
  <c r="AM59" i="8"/>
  <c r="AH59" i="8"/>
  <c r="AC59" i="8"/>
  <c r="X59" i="8"/>
  <c r="S59" i="8"/>
  <c r="K59" i="8"/>
  <c r="J59" i="8"/>
  <c r="I59" i="8"/>
  <c r="AW58" i="8"/>
  <c r="AR58" i="8"/>
  <c r="AM58" i="8"/>
  <c r="AH58" i="8"/>
  <c r="AC58" i="8"/>
  <c r="X58" i="8"/>
  <c r="S58" i="8"/>
  <c r="K58" i="8"/>
  <c r="J58" i="8"/>
  <c r="I58" i="8"/>
  <c r="AW57" i="8"/>
  <c r="AR57" i="8"/>
  <c r="AM57" i="8"/>
  <c r="AH57" i="8"/>
  <c r="AC57" i="8"/>
  <c r="X57" i="8"/>
  <c r="S57" i="8"/>
  <c r="K57" i="8"/>
  <c r="J57" i="8"/>
  <c r="I57" i="8"/>
  <c r="AW56" i="8"/>
  <c r="AR56" i="8"/>
  <c r="AM56" i="8"/>
  <c r="AH56" i="8"/>
  <c r="AC56" i="8"/>
  <c r="X56" i="8"/>
  <c r="S56" i="8"/>
  <c r="K56" i="8"/>
  <c r="J56" i="8"/>
  <c r="I56" i="8"/>
  <c r="AW55" i="8"/>
  <c r="AR55" i="8"/>
  <c r="AM55" i="8"/>
  <c r="AH55" i="8"/>
  <c r="AC55" i="8"/>
  <c r="X55" i="8"/>
  <c r="S55" i="8"/>
  <c r="K55" i="8"/>
  <c r="J55" i="8"/>
  <c r="I55" i="8"/>
  <c r="AW54" i="8"/>
  <c r="AR54" i="8"/>
  <c r="AM54" i="8"/>
  <c r="AH54" i="8"/>
  <c r="AC54" i="8"/>
  <c r="X54" i="8"/>
  <c r="S54" i="8"/>
  <c r="K54" i="8"/>
  <c r="J54" i="8"/>
  <c r="I54" i="8"/>
  <c r="AW53" i="8"/>
  <c r="AR53" i="8"/>
  <c r="AM53" i="8"/>
  <c r="AH53" i="8"/>
  <c r="AC53" i="8"/>
  <c r="X53" i="8"/>
  <c r="S53" i="8"/>
  <c r="K53" i="8"/>
  <c r="J53" i="8"/>
  <c r="I53" i="8"/>
  <c r="AW52" i="8"/>
  <c r="AR52" i="8"/>
  <c r="AM52" i="8"/>
  <c r="AH52" i="8"/>
  <c r="AC52" i="8"/>
  <c r="X52" i="8"/>
  <c r="S52" i="8"/>
  <c r="K52" i="8"/>
  <c r="J52" i="8"/>
  <c r="I52" i="8"/>
  <c r="AW51" i="8"/>
  <c r="AR51" i="8"/>
  <c r="AM51" i="8"/>
  <c r="AH51" i="8"/>
  <c r="AC51" i="8"/>
  <c r="X51" i="8"/>
  <c r="S51" i="8"/>
  <c r="K51" i="8"/>
  <c r="J51" i="8"/>
  <c r="I51" i="8"/>
  <c r="AW50" i="8"/>
  <c r="AR50" i="8"/>
  <c r="AM50" i="8"/>
  <c r="AH50" i="8"/>
  <c r="AC50" i="8"/>
  <c r="X50" i="8"/>
  <c r="S50" i="8"/>
  <c r="K50" i="8"/>
  <c r="J50" i="8"/>
  <c r="I50" i="8"/>
  <c r="AW49" i="8"/>
  <c r="AR49" i="8"/>
  <c r="AM49" i="8"/>
  <c r="AH49" i="8"/>
  <c r="AC49" i="8"/>
  <c r="X49" i="8"/>
  <c r="S49" i="8"/>
  <c r="K49" i="8"/>
  <c r="J49" i="8"/>
  <c r="I49" i="8"/>
  <c r="AW48" i="8"/>
  <c r="AR48" i="8"/>
  <c r="AM48" i="8"/>
  <c r="AH48" i="8"/>
  <c r="AC48" i="8"/>
  <c r="X48" i="8"/>
  <c r="S48" i="8"/>
  <c r="K48" i="8"/>
  <c r="J48" i="8"/>
  <c r="I48" i="8"/>
  <c r="AW47" i="8"/>
  <c r="AR47" i="8"/>
  <c r="AM47" i="8"/>
  <c r="AH47" i="8"/>
  <c r="AC47" i="8"/>
  <c r="X47" i="8"/>
  <c r="S47" i="8"/>
  <c r="K47" i="8"/>
  <c r="J47" i="8"/>
  <c r="I47" i="8"/>
  <c r="AW46" i="8"/>
  <c r="AR46" i="8"/>
  <c r="AM46" i="8"/>
  <c r="AH46" i="8"/>
  <c r="AC46" i="8"/>
  <c r="X46" i="8"/>
  <c r="S46" i="8"/>
  <c r="K46" i="8"/>
  <c r="J46" i="8"/>
  <c r="I46" i="8"/>
  <c r="AW45" i="8"/>
  <c r="AR45" i="8"/>
  <c r="AM45" i="8"/>
  <c r="AH45" i="8"/>
  <c r="AC45" i="8"/>
  <c r="X45" i="8"/>
  <c r="S45" i="8"/>
  <c r="K45" i="8"/>
  <c r="J45" i="8"/>
  <c r="I45" i="8"/>
  <c r="AW44" i="8"/>
  <c r="AR44" i="8"/>
  <c r="AM44" i="8"/>
  <c r="AH44" i="8"/>
  <c r="AC44" i="8"/>
  <c r="X44" i="8"/>
  <c r="S44" i="8"/>
  <c r="K44" i="8"/>
  <c r="J44" i="8"/>
  <c r="I44" i="8"/>
  <c r="AW43" i="8"/>
  <c r="AR43" i="8"/>
  <c r="AM43" i="8"/>
  <c r="AH43" i="8"/>
  <c r="AC43" i="8"/>
  <c r="X43" i="8"/>
  <c r="S43" i="8"/>
  <c r="K43" i="8"/>
  <c r="J43" i="8"/>
  <c r="I43" i="8"/>
  <c r="AX42" i="8"/>
  <c r="AW42" i="8"/>
  <c r="AS42" i="8"/>
  <c r="AR42" i="8"/>
  <c r="AN42" i="8"/>
  <c r="AM42" i="8"/>
  <c r="AI42" i="8"/>
  <c r="AH42" i="8"/>
  <c r="AD42" i="8"/>
  <c r="AC42" i="8"/>
  <c r="Y42" i="8"/>
  <c r="X42" i="8"/>
  <c r="T42" i="8"/>
  <c r="S42" i="8"/>
  <c r="K42" i="8"/>
  <c r="J42" i="8"/>
  <c r="I42" i="8"/>
  <c r="H42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K25" i="8"/>
  <c r="J25" i="8"/>
  <c r="I25" i="8"/>
  <c r="AW24" i="8"/>
  <c r="K24" i="8"/>
  <c r="J24" i="8"/>
  <c r="I24" i="8"/>
  <c r="AW23" i="8"/>
  <c r="K23" i="8"/>
  <c r="J23" i="8"/>
  <c r="I23" i="8"/>
  <c r="AW22" i="8"/>
  <c r="K22" i="8"/>
  <c r="J22" i="8"/>
  <c r="I22" i="8"/>
  <c r="AW21" i="8"/>
  <c r="K21" i="8"/>
  <c r="J21" i="8"/>
  <c r="I21" i="8"/>
  <c r="AW20" i="8"/>
  <c r="K20" i="8"/>
  <c r="J20" i="8"/>
  <c r="I20" i="8"/>
  <c r="AW19" i="8"/>
  <c r="K19" i="8"/>
  <c r="J19" i="8"/>
  <c r="I19" i="8"/>
  <c r="AW18" i="8"/>
  <c r="K18" i="8"/>
  <c r="J18" i="8"/>
  <c r="I18" i="8"/>
  <c r="AW17" i="8"/>
  <c r="K17" i="8"/>
  <c r="J17" i="8"/>
  <c r="I17" i="8"/>
  <c r="AW16" i="8"/>
  <c r="K16" i="8"/>
  <c r="J16" i="8"/>
  <c r="I16" i="8"/>
  <c r="AW15" i="8"/>
  <c r="K15" i="8"/>
  <c r="J15" i="8"/>
  <c r="I15" i="8"/>
  <c r="AW14" i="8"/>
  <c r="K14" i="8"/>
  <c r="J14" i="8"/>
  <c r="I14" i="8"/>
  <c r="AW13" i="8"/>
  <c r="K13" i="8"/>
  <c r="J13" i="8"/>
  <c r="I13" i="8"/>
  <c r="AW12" i="8"/>
  <c r="K12" i="8"/>
  <c r="J12" i="8"/>
  <c r="I12" i="8"/>
  <c r="AW11" i="8"/>
  <c r="K11" i="8"/>
  <c r="J11" i="8"/>
  <c r="I11" i="8"/>
  <c r="AW10" i="8"/>
  <c r="K10" i="8"/>
  <c r="J10" i="8"/>
  <c r="I10" i="8"/>
  <c r="AW9" i="8"/>
  <c r="K9" i="8"/>
  <c r="J9" i="8"/>
  <c r="I9" i="8"/>
  <c r="AW8" i="8"/>
  <c r="K8" i="8"/>
  <c r="J8" i="8"/>
  <c r="I8" i="8"/>
  <c r="AX7" i="8"/>
  <c r="AW7" i="8"/>
  <c r="K7" i="8"/>
  <c r="J7" i="8"/>
  <c r="I7" i="8"/>
  <c r="H7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F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AC29" i="6"/>
  <c r="AB29" i="6"/>
  <c r="S29" i="6"/>
  <c r="R29" i="6"/>
  <c r="M29" i="6"/>
  <c r="AC28" i="6"/>
  <c r="AB28" i="6"/>
  <c r="S28" i="6"/>
  <c r="R28" i="6"/>
  <c r="M28" i="6"/>
  <c r="F28" i="6" s="1"/>
  <c r="AC27" i="6"/>
  <c r="AB27" i="6"/>
  <c r="S27" i="6"/>
  <c r="R27" i="6"/>
  <c r="M27" i="6"/>
  <c r="F27" i="6" s="1"/>
  <c r="AC26" i="6"/>
  <c r="AB26" i="6"/>
  <c r="S26" i="6"/>
  <c r="R26" i="6"/>
  <c r="M26" i="6"/>
  <c r="AC25" i="6"/>
  <c r="AB25" i="6"/>
  <c r="S25" i="6"/>
  <c r="R25" i="6"/>
  <c r="M25" i="6"/>
  <c r="AC24" i="6"/>
  <c r="AB24" i="6"/>
  <c r="S24" i="6"/>
  <c r="R24" i="6"/>
  <c r="M24" i="6"/>
  <c r="AC23" i="6"/>
  <c r="AB23" i="6"/>
  <c r="S23" i="6"/>
  <c r="R23" i="6"/>
  <c r="M23" i="6"/>
  <c r="AC22" i="6"/>
  <c r="AB22" i="6"/>
  <c r="S22" i="6"/>
  <c r="R22" i="6"/>
  <c r="M22" i="6"/>
  <c r="AC21" i="6"/>
  <c r="AB21" i="6"/>
  <c r="S21" i="6"/>
  <c r="R21" i="6"/>
  <c r="M21" i="6"/>
  <c r="AC20" i="6"/>
  <c r="AB20" i="6"/>
  <c r="S20" i="6"/>
  <c r="R20" i="6"/>
  <c r="M20" i="6"/>
  <c r="AC19" i="6"/>
  <c r="AB19" i="6"/>
  <c r="S19" i="6"/>
  <c r="R19" i="6"/>
  <c r="M19" i="6"/>
  <c r="F19" i="6" s="1"/>
  <c r="Z19" i="6" s="1"/>
  <c r="AC18" i="6"/>
  <c r="AB18" i="6"/>
  <c r="S18" i="6"/>
  <c r="R18" i="6"/>
  <c r="M18" i="6"/>
  <c r="AC17" i="6"/>
  <c r="AB17" i="6"/>
  <c r="S17" i="6"/>
  <c r="R17" i="6"/>
  <c r="M17" i="6"/>
  <c r="F17" i="6" s="1"/>
  <c r="AC16" i="6"/>
  <c r="AB16" i="6"/>
  <c r="S16" i="6"/>
  <c r="R16" i="6"/>
  <c r="M16" i="6"/>
  <c r="F16" i="6" s="1"/>
  <c r="AL16" i="6" s="1"/>
  <c r="AC15" i="6"/>
  <c r="AB15" i="6"/>
  <c r="S15" i="6"/>
  <c r="R15" i="6"/>
  <c r="M15" i="6"/>
  <c r="AC14" i="6"/>
  <c r="AB14" i="6"/>
  <c r="S14" i="6"/>
  <c r="R14" i="6"/>
  <c r="M14" i="6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36" i="7"/>
  <c r="S36" i="7"/>
  <c r="M36" i="7"/>
  <c r="AC35" i="7"/>
  <c r="S35" i="7"/>
  <c r="M35" i="7"/>
  <c r="AC34" i="7"/>
  <c r="S34" i="7"/>
  <c r="M34" i="7"/>
  <c r="F34" i="7" s="1"/>
  <c r="AC33" i="7"/>
  <c r="S33" i="7"/>
  <c r="M33" i="7"/>
  <c r="AC32" i="7"/>
  <c r="S32" i="7"/>
  <c r="M32" i="7"/>
  <c r="AC31" i="7"/>
  <c r="S31" i="7"/>
  <c r="M31" i="7"/>
  <c r="F31" i="7" s="1"/>
  <c r="L31" i="7" s="1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F26" i="7" s="1"/>
  <c r="AD26" i="7" s="1"/>
  <c r="AC25" i="7"/>
  <c r="S25" i="7"/>
  <c r="M25" i="7"/>
  <c r="AC24" i="7"/>
  <c r="S24" i="7"/>
  <c r="M24" i="7"/>
  <c r="AC23" i="7"/>
  <c r="S23" i="7"/>
  <c r="M23" i="7"/>
  <c r="F23" i="7" s="1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F18" i="7" s="1"/>
  <c r="T18" i="7" s="1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V34" i="5"/>
  <c r="S34" i="5"/>
  <c r="P34" i="5"/>
  <c r="M34" i="5"/>
  <c r="J34" i="5"/>
  <c r="G34" i="5"/>
  <c r="V27" i="5"/>
  <c r="S27" i="5"/>
  <c r="P27" i="5"/>
  <c r="M27" i="5"/>
  <c r="J27" i="5"/>
  <c r="G27" i="5"/>
  <c r="I26" i="5"/>
  <c r="I25" i="5"/>
  <c r="I24" i="5"/>
  <c r="I23" i="5"/>
  <c r="I22" i="5"/>
  <c r="I21" i="5"/>
  <c r="V20" i="5"/>
  <c r="S20" i="5"/>
  <c r="P20" i="5"/>
  <c r="M20" i="5"/>
  <c r="I20" i="5"/>
  <c r="G20" i="5"/>
  <c r="I19" i="5"/>
  <c r="I18" i="5"/>
  <c r="I17" i="5"/>
  <c r="I16" i="5"/>
  <c r="I15" i="5"/>
  <c r="I14" i="5"/>
  <c r="V13" i="5"/>
  <c r="S13" i="5"/>
  <c r="P13" i="5"/>
  <c r="M13" i="5"/>
  <c r="I13" i="5"/>
  <c r="G13" i="5"/>
  <c r="I12" i="5"/>
  <c r="I11" i="5"/>
  <c r="I10" i="5"/>
  <c r="I9" i="5"/>
  <c r="I8" i="5"/>
  <c r="I7" i="5"/>
  <c r="V6" i="5"/>
  <c r="S6" i="5"/>
  <c r="P6" i="5"/>
  <c r="M6" i="5"/>
  <c r="I6" i="5"/>
  <c r="G6" i="5"/>
  <c r="W5" i="5"/>
  <c r="V5" i="5"/>
  <c r="T5" i="5"/>
  <c r="I10" i="13" s="1"/>
  <c r="K10" i="13" s="1"/>
  <c r="S5" i="5"/>
  <c r="P5" i="5"/>
  <c r="M5" i="5"/>
  <c r="I5" i="5"/>
  <c r="J5" i="5" s="1"/>
  <c r="G5" i="5"/>
  <c r="U34" i="3"/>
  <c r="S34" i="3"/>
  <c r="O34" i="3"/>
  <c r="M34" i="3"/>
  <c r="J34" i="3"/>
  <c r="G34" i="3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S27" i="3"/>
  <c r="O27" i="3"/>
  <c r="M27" i="3"/>
  <c r="J27" i="3"/>
  <c r="G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S20" i="3"/>
  <c r="O20" i="3"/>
  <c r="M20" i="3"/>
  <c r="J20" i="3"/>
  <c r="G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S13" i="3"/>
  <c r="O13" i="3"/>
  <c r="M13" i="3"/>
  <c r="J13" i="3"/>
  <c r="G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S6" i="3"/>
  <c r="O6" i="3"/>
  <c r="M6" i="3"/>
  <c r="J6" i="3"/>
  <c r="G6" i="3"/>
  <c r="U5" i="3"/>
  <c r="S5" i="3"/>
  <c r="O5" i="3"/>
  <c r="M5" i="3"/>
  <c r="J5" i="3"/>
  <c r="G5" i="3"/>
  <c r="J24" i="13"/>
  <c r="D24" i="13"/>
  <c r="H23" i="13"/>
  <c r="B23" i="13"/>
  <c r="H21" i="13"/>
  <c r="B21" i="13"/>
  <c r="B18" i="13"/>
  <c r="H17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5" i="1"/>
  <c r="X44" i="1"/>
  <c r="X43" i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F28" i="7" l="1"/>
  <c r="F9" i="6"/>
  <c r="AD19" i="6"/>
  <c r="F23" i="6"/>
  <c r="X23" i="6" s="1"/>
  <c r="M41" i="31"/>
  <c r="M27" i="31"/>
  <c r="M31" i="34"/>
  <c r="M32" i="35"/>
  <c r="M50" i="36"/>
  <c r="M32" i="37"/>
  <c r="M48" i="37"/>
  <c r="F21" i="6"/>
  <c r="M124" i="8"/>
  <c r="M67" i="31"/>
  <c r="M41" i="34"/>
  <c r="M31" i="35"/>
  <c r="M8" i="36"/>
  <c r="M60" i="37"/>
  <c r="M35" i="37"/>
  <c r="M16" i="30"/>
  <c r="M52" i="30"/>
  <c r="M53" i="34"/>
  <c r="M7" i="37"/>
  <c r="M52" i="37"/>
  <c r="M68" i="37"/>
  <c r="F35" i="7"/>
  <c r="AF35" i="7" s="1"/>
  <c r="X48" i="1"/>
  <c r="V48" i="1" s="1"/>
  <c r="F27" i="7"/>
  <c r="F22" i="6"/>
  <c r="J22" i="6" s="1"/>
  <c r="M27" i="32"/>
  <c r="M80" i="31"/>
  <c r="M35" i="36"/>
  <c r="F32" i="7"/>
  <c r="AB32" i="7" s="1"/>
  <c r="AH19" i="6"/>
  <c r="E9" i="1"/>
  <c r="B17" i="13"/>
  <c r="M76" i="30"/>
  <c r="M45" i="8"/>
  <c r="M73" i="30"/>
  <c r="M49" i="35"/>
  <c r="M29" i="36"/>
  <c r="F33" i="7"/>
  <c r="AD33" i="7" s="1"/>
  <c r="F25" i="6"/>
  <c r="AH25" i="6" s="1"/>
  <c r="M102" i="33"/>
  <c r="AH23" i="6"/>
  <c r="H18" i="13"/>
  <c r="F29" i="7"/>
  <c r="J29" i="7" s="1"/>
  <c r="F18" i="6"/>
  <c r="T18" i="6" s="1"/>
  <c r="F30" i="6"/>
  <c r="M13" i="31"/>
  <c r="M74" i="35"/>
  <c r="P6" i="3"/>
  <c r="V20" i="3"/>
  <c r="F12" i="6"/>
  <c r="AJ12" i="6" s="1"/>
  <c r="M36" i="31"/>
  <c r="M79" i="36"/>
  <c r="V28" i="6"/>
  <c r="AL28" i="6"/>
  <c r="P21" i="6"/>
  <c r="AD21" i="6"/>
  <c r="V17" i="6"/>
  <c r="N17" i="6"/>
  <c r="J17" i="6"/>
  <c r="AF17" i="6"/>
  <c r="AJ17" i="6"/>
  <c r="Z17" i="6"/>
  <c r="Z22" i="6"/>
  <c r="P22" i="6"/>
  <c r="V22" i="6"/>
  <c r="AJ22" i="6"/>
  <c r="AD28" i="7"/>
  <c r="X28" i="7"/>
  <c r="N29" i="7"/>
  <c r="AH29" i="7"/>
  <c r="AL29" i="7"/>
  <c r="AJ29" i="7"/>
  <c r="L29" i="7"/>
  <c r="AD29" i="7"/>
  <c r="Z29" i="7"/>
  <c r="X29" i="7"/>
  <c r="P29" i="7"/>
  <c r="V29" i="7"/>
  <c r="AF34" i="7"/>
  <c r="Z34" i="7"/>
  <c r="V12" i="6"/>
  <c r="D9" i="1"/>
  <c r="V5" i="3"/>
  <c r="V13" i="3"/>
  <c r="F13" i="7"/>
  <c r="AD18" i="7"/>
  <c r="Z18" i="6"/>
  <c r="Z23" i="6"/>
  <c r="M30" i="31"/>
  <c r="L67" i="31"/>
  <c r="M74" i="31"/>
  <c r="M97" i="33"/>
  <c r="L47" i="35"/>
  <c r="M73" i="35"/>
  <c r="M49" i="37"/>
  <c r="AL18" i="7"/>
  <c r="X42" i="1"/>
  <c r="V42" i="1" s="1"/>
  <c r="L26" i="7"/>
  <c r="T29" i="7"/>
  <c r="AF19" i="6"/>
  <c r="T21" i="6"/>
  <c r="M33" i="30"/>
  <c r="M71" i="31"/>
  <c r="M120" i="31"/>
  <c r="M114" i="31"/>
  <c r="M115" i="31"/>
  <c r="M119" i="31"/>
  <c r="M113" i="31"/>
  <c r="M118" i="31"/>
  <c r="M112" i="31"/>
  <c r="M109" i="31"/>
  <c r="M117" i="31"/>
  <c r="M111" i="31"/>
  <c r="M121" i="31"/>
  <c r="M116" i="31"/>
  <c r="M110" i="31"/>
  <c r="M108" i="31"/>
  <c r="M107" i="31"/>
  <c r="M72" i="35"/>
  <c r="M71" i="36"/>
  <c r="M8" i="37"/>
  <c r="M38" i="37"/>
  <c r="M73" i="37"/>
  <c r="X28" i="1"/>
  <c r="V28" i="1" s="1"/>
  <c r="L18" i="7"/>
  <c r="R26" i="7"/>
  <c r="AL18" i="6"/>
  <c r="AJ23" i="6"/>
  <c r="M61" i="8"/>
  <c r="M46" i="8"/>
  <c r="M10" i="30"/>
  <c r="M69" i="30"/>
  <c r="M72" i="32"/>
  <c r="M68" i="31"/>
  <c r="M89" i="33"/>
  <c r="M59" i="35"/>
  <c r="L18" i="6"/>
  <c r="J19" i="6"/>
  <c r="N23" i="6"/>
  <c r="AL23" i="6"/>
  <c r="M64" i="8"/>
  <c r="M79" i="30"/>
  <c r="L27" i="36"/>
  <c r="R18" i="7"/>
  <c r="V26" i="7"/>
  <c r="L19" i="6"/>
  <c r="P23" i="6"/>
  <c r="M51" i="8"/>
  <c r="M57" i="8"/>
  <c r="M40" i="32"/>
  <c r="M71" i="32"/>
  <c r="M120" i="32"/>
  <c r="M119" i="32"/>
  <c r="M115" i="32"/>
  <c r="M121" i="32"/>
  <c r="M111" i="32"/>
  <c r="M116" i="32"/>
  <c r="M114" i="32"/>
  <c r="M110" i="32"/>
  <c r="M117" i="32"/>
  <c r="M109" i="32"/>
  <c r="M107" i="32"/>
  <c r="M112" i="32"/>
  <c r="M108" i="32"/>
  <c r="M118" i="32"/>
  <c r="M113" i="32"/>
  <c r="M39" i="31"/>
  <c r="M82" i="33"/>
  <c r="M56" i="35"/>
  <c r="M69" i="36"/>
  <c r="M51" i="37"/>
  <c r="M16" i="31"/>
  <c r="M41" i="36"/>
  <c r="M31" i="37"/>
  <c r="M72" i="37"/>
  <c r="M53" i="35"/>
  <c r="M10" i="36"/>
  <c r="M68" i="36"/>
  <c r="M27" i="37"/>
  <c r="X34" i="1"/>
  <c r="V34" i="1" s="1"/>
  <c r="X18" i="7"/>
  <c r="T23" i="6"/>
  <c r="F26" i="6"/>
  <c r="L26" i="6" s="1"/>
  <c r="M19" i="32"/>
  <c r="M100" i="33"/>
  <c r="M105" i="33"/>
  <c r="M29" i="34"/>
  <c r="M52" i="35"/>
  <c r="M38" i="36"/>
  <c r="M28" i="37"/>
  <c r="M50" i="37"/>
  <c r="V18" i="7"/>
  <c r="P27" i="3"/>
  <c r="F12" i="7"/>
  <c r="Z12" i="7" s="1"/>
  <c r="Z18" i="7"/>
  <c r="F13" i="6"/>
  <c r="V23" i="6"/>
  <c r="M84" i="8"/>
  <c r="M90" i="8"/>
  <c r="M69" i="32"/>
  <c r="M33" i="31"/>
  <c r="M77" i="31"/>
  <c r="M93" i="33"/>
  <c r="M92" i="33"/>
  <c r="M53" i="37"/>
  <c r="J13" i="5"/>
  <c r="F14" i="7"/>
  <c r="L14" i="7" s="1"/>
  <c r="F17" i="7"/>
  <c r="AB17" i="7" s="1"/>
  <c r="F22" i="7"/>
  <c r="N22" i="7" s="1"/>
  <c r="F25" i="7"/>
  <c r="L25" i="7" s="1"/>
  <c r="X18" i="6"/>
  <c r="M50" i="30"/>
  <c r="M10" i="31"/>
  <c r="M19" i="31"/>
  <c r="M17" i="35"/>
  <c r="M48" i="36"/>
  <c r="L47" i="37"/>
  <c r="M55" i="37"/>
  <c r="L7" i="37"/>
  <c r="M9" i="37"/>
  <c r="M10" i="37"/>
  <c r="M12" i="37"/>
  <c r="M7" i="36"/>
  <c r="M12" i="36"/>
  <c r="M19" i="36"/>
  <c r="M15" i="36"/>
  <c r="M9" i="36"/>
  <c r="M11" i="36"/>
  <c r="M13" i="36"/>
  <c r="M18" i="36"/>
  <c r="L7" i="36"/>
  <c r="M16" i="36"/>
  <c r="M21" i="36"/>
  <c r="M9" i="35"/>
  <c r="M10" i="35"/>
  <c r="M7" i="34"/>
  <c r="M20" i="34"/>
  <c r="M9" i="34"/>
  <c r="M13" i="34"/>
  <c r="M13" i="33"/>
  <c r="M22" i="33"/>
  <c r="L7" i="31"/>
  <c r="M15" i="32"/>
  <c r="M10" i="32"/>
  <c r="M16" i="32"/>
  <c r="M8" i="32"/>
  <c r="M9" i="32"/>
  <c r="M9" i="30"/>
  <c r="M11" i="8"/>
  <c r="M12" i="8"/>
  <c r="F15" i="6"/>
  <c r="V34" i="6"/>
  <c r="AL34" i="6"/>
  <c r="J34" i="6"/>
  <c r="X34" i="6"/>
  <c r="T34" i="6"/>
  <c r="P34" i="6"/>
  <c r="AJ34" i="6"/>
  <c r="AH34" i="6"/>
  <c r="AF34" i="6"/>
  <c r="L34" i="6"/>
  <c r="Z27" i="6"/>
  <c r="V27" i="6"/>
  <c r="AF27" i="6"/>
  <c r="AL27" i="6"/>
  <c r="L27" i="6"/>
  <c r="AJ27" i="6"/>
  <c r="J27" i="6"/>
  <c r="P27" i="6"/>
  <c r="N27" i="6"/>
  <c r="AL27" i="7"/>
  <c r="R27" i="7"/>
  <c r="AF27" i="7"/>
  <c r="X27" i="7"/>
  <c r="AJ27" i="7"/>
  <c r="L27" i="7"/>
  <c r="AH27" i="7"/>
  <c r="J27" i="7"/>
  <c r="AB27" i="7"/>
  <c r="Z27" i="7"/>
  <c r="P27" i="7"/>
  <c r="N27" i="7"/>
  <c r="F20" i="6"/>
  <c r="M73" i="34"/>
  <c r="M74" i="34"/>
  <c r="M68" i="34"/>
  <c r="M77" i="34"/>
  <c r="M80" i="34"/>
  <c r="M67" i="34"/>
  <c r="AB12" i="7"/>
  <c r="J31" i="7"/>
  <c r="X31" i="7"/>
  <c r="AJ31" i="7"/>
  <c r="P31" i="7"/>
  <c r="AF31" i="7"/>
  <c r="AD31" i="7"/>
  <c r="AB31" i="7"/>
  <c r="Z31" i="7"/>
  <c r="V31" i="7"/>
  <c r="R31" i="7"/>
  <c r="N31" i="7"/>
  <c r="AL31" i="7"/>
  <c r="T30" i="6"/>
  <c r="T27" i="7"/>
  <c r="N34" i="6"/>
  <c r="M10" i="8"/>
  <c r="M22" i="8"/>
  <c r="M27" i="8"/>
  <c r="M23" i="8"/>
  <c r="X23" i="7"/>
  <c r="AD23" i="7"/>
  <c r="J23" i="7"/>
  <c r="Z23" i="7"/>
  <c r="V23" i="7"/>
  <c r="R23" i="7"/>
  <c r="AL23" i="7"/>
  <c r="P23" i="7"/>
  <c r="AJ23" i="7"/>
  <c r="N23" i="7"/>
  <c r="AH23" i="7"/>
  <c r="J30" i="6"/>
  <c r="Z30" i="6"/>
  <c r="X30" i="6"/>
  <c r="AJ30" i="6"/>
  <c r="P30" i="6"/>
  <c r="V30" i="6"/>
  <c r="N30" i="6"/>
  <c r="AH30" i="6"/>
  <c r="AF30" i="6"/>
  <c r="AD30" i="6"/>
  <c r="T25" i="7"/>
  <c r="AF23" i="7"/>
  <c r="V27" i="7"/>
  <c r="T31" i="7"/>
  <c r="T35" i="7"/>
  <c r="F24" i="6"/>
  <c r="N24" i="6" s="1"/>
  <c r="X27" i="6"/>
  <c r="M47" i="33"/>
  <c r="M68" i="33"/>
  <c r="M60" i="33"/>
  <c r="M53" i="33"/>
  <c r="M71" i="33"/>
  <c r="M54" i="33"/>
  <c r="M48" i="33"/>
  <c r="M65" i="33"/>
  <c r="AL25" i="7"/>
  <c r="AJ25" i="7"/>
  <c r="N25" i="7"/>
  <c r="U14" i="1"/>
  <c r="E11" i="1"/>
  <c r="P20" i="3"/>
  <c r="X17" i="7"/>
  <c r="AJ22" i="7"/>
  <c r="P22" i="7"/>
  <c r="R22" i="7"/>
  <c r="AH22" i="7"/>
  <c r="AF22" i="7"/>
  <c r="L22" i="7"/>
  <c r="J22" i="7"/>
  <c r="AB22" i="7"/>
  <c r="Z22" i="7"/>
  <c r="V22" i="7"/>
  <c r="AB35" i="7"/>
  <c r="AD15" i="6"/>
  <c r="AL30" i="6"/>
  <c r="M16" i="8"/>
  <c r="F9" i="7"/>
  <c r="N9" i="7" s="1"/>
  <c r="AJ9" i="6"/>
  <c r="P9" i="6"/>
  <c r="AH9" i="6"/>
  <c r="Z9" i="6"/>
  <c r="AD9" i="6"/>
  <c r="X9" i="6"/>
  <c r="V9" i="6"/>
  <c r="T9" i="6"/>
  <c r="L9" i="6"/>
  <c r="AL9" i="6"/>
  <c r="J9" i="6"/>
  <c r="J14" i="7"/>
  <c r="AB14" i="7"/>
  <c r="AF14" i="7"/>
  <c r="AD27" i="7"/>
  <c r="AJ16" i="6"/>
  <c r="P16" i="6"/>
  <c r="AF16" i="6"/>
  <c r="L16" i="6"/>
  <c r="V16" i="6"/>
  <c r="T16" i="6"/>
  <c r="N16" i="6"/>
  <c r="J16" i="6"/>
  <c r="AH16" i="6"/>
  <c r="Z16" i="6"/>
  <c r="AD27" i="6"/>
  <c r="Z34" i="6"/>
  <c r="M79" i="34"/>
  <c r="N35" i="7"/>
  <c r="AH31" i="7"/>
  <c r="D11" i="1"/>
  <c r="V6" i="3"/>
  <c r="J6" i="5"/>
  <c r="J20" i="5"/>
  <c r="F10" i="7"/>
  <c r="J26" i="7"/>
  <c r="AJ26" i="7"/>
  <c r="T26" i="7"/>
  <c r="AL26" i="7"/>
  <c r="P26" i="7"/>
  <c r="AH26" i="7"/>
  <c r="N26" i="7"/>
  <c r="AF26" i="7"/>
  <c r="AB26" i="7"/>
  <c r="Z26" i="7"/>
  <c r="X26" i="7"/>
  <c r="Z28" i="7"/>
  <c r="AF28" i="7"/>
  <c r="AB28" i="7"/>
  <c r="V28" i="7"/>
  <c r="R28" i="7"/>
  <c r="N28" i="7"/>
  <c r="AL28" i="7"/>
  <c r="AJ28" i="7"/>
  <c r="L28" i="7"/>
  <c r="AH28" i="7"/>
  <c r="J28" i="7"/>
  <c r="AH34" i="7"/>
  <c r="J34" i="7"/>
  <c r="AL34" i="7"/>
  <c r="AJ34" i="7"/>
  <c r="L34" i="7"/>
  <c r="AD34" i="7"/>
  <c r="AB34" i="7"/>
  <c r="X34" i="7"/>
  <c r="V34" i="7"/>
  <c r="R34" i="7"/>
  <c r="AF9" i="6"/>
  <c r="F11" i="6"/>
  <c r="AL21" i="6"/>
  <c r="AH21" i="6"/>
  <c r="N21" i="6"/>
  <c r="AF21" i="6"/>
  <c r="X21" i="6"/>
  <c r="L21" i="6"/>
  <c r="AJ21" i="6"/>
  <c r="J21" i="6"/>
  <c r="Z21" i="6"/>
  <c r="V21" i="6"/>
  <c r="AH27" i="6"/>
  <c r="F33" i="6"/>
  <c r="T33" i="6" s="1"/>
  <c r="M15" i="8"/>
  <c r="M21" i="8"/>
  <c r="V35" i="7"/>
  <c r="AL35" i="7"/>
  <c r="R35" i="7"/>
  <c r="J35" i="7"/>
  <c r="AD35" i="7"/>
  <c r="Z35" i="7"/>
  <c r="X35" i="7"/>
  <c r="P35" i="7"/>
  <c r="AJ35" i="7"/>
  <c r="AH35" i="7"/>
  <c r="L35" i="7"/>
  <c r="AB25" i="7"/>
  <c r="Z14" i="7"/>
  <c r="AH28" i="6"/>
  <c r="AD28" i="6"/>
  <c r="L28" i="6"/>
  <c r="J28" i="6"/>
  <c r="AJ28" i="6"/>
  <c r="AF28" i="6"/>
  <c r="Z28" i="6"/>
  <c r="X28" i="6"/>
  <c r="P28" i="6"/>
  <c r="F31" i="6"/>
  <c r="AD31" i="6" s="1"/>
  <c r="V12" i="7"/>
  <c r="F8" i="7"/>
  <c r="N8" i="7" s="1"/>
  <c r="F19" i="7"/>
  <c r="T19" i="7" s="1"/>
  <c r="AD22" i="7"/>
  <c r="P28" i="7"/>
  <c r="P34" i="7"/>
  <c r="AL26" i="6"/>
  <c r="AH26" i="6"/>
  <c r="N26" i="6"/>
  <c r="AF26" i="6"/>
  <c r="X26" i="6"/>
  <c r="P26" i="6"/>
  <c r="AJ26" i="6"/>
  <c r="J26" i="6"/>
  <c r="AD26" i="6"/>
  <c r="Z26" i="6"/>
  <c r="V26" i="6"/>
  <c r="T26" i="6"/>
  <c r="AD34" i="6"/>
  <c r="T23" i="7"/>
  <c r="AL33" i="7"/>
  <c r="L33" i="7"/>
  <c r="AH33" i="7"/>
  <c r="P42" i="34"/>
  <c r="U22" i="34"/>
  <c r="Z22" i="34" s="1"/>
  <c r="AE22" i="34" s="1"/>
  <c r="AJ22" i="34" s="1"/>
  <c r="AO22" i="34" s="1"/>
  <c r="AT22" i="34" s="1"/>
  <c r="AB23" i="7"/>
  <c r="F7" i="7"/>
  <c r="AD14" i="7"/>
  <c r="F21" i="7"/>
  <c r="N21" i="7" s="1"/>
  <c r="AL22" i="7"/>
  <c r="F24" i="7"/>
  <c r="X16" i="6"/>
  <c r="J25" i="6"/>
  <c r="Z25" i="6"/>
  <c r="X25" i="6"/>
  <c r="AJ25" i="6"/>
  <c r="P25" i="6"/>
  <c r="T25" i="6"/>
  <c r="AL25" i="6"/>
  <c r="L25" i="6"/>
  <c r="AF25" i="6"/>
  <c r="AD25" i="6"/>
  <c r="F29" i="6"/>
  <c r="T29" i="6" s="1"/>
  <c r="F35" i="6"/>
  <c r="N35" i="6" s="1"/>
  <c r="M123" i="8"/>
  <c r="M121" i="8"/>
  <c r="M131" i="8"/>
  <c r="F15" i="7"/>
  <c r="L23" i="7"/>
  <c r="F7" i="6"/>
  <c r="AD7" i="6" s="1"/>
  <c r="X12" i="6"/>
  <c r="L12" i="6"/>
  <c r="AL12" i="6"/>
  <c r="N25" i="6"/>
  <c r="L30" i="6"/>
  <c r="M30" i="8"/>
  <c r="F11" i="7"/>
  <c r="AD11" i="7" s="1"/>
  <c r="F16" i="7"/>
  <c r="N28" i="6"/>
  <c r="M14" i="8"/>
  <c r="M96" i="8"/>
  <c r="AL32" i="7"/>
  <c r="R32" i="7"/>
  <c r="AF32" i="7"/>
  <c r="X32" i="7"/>
  <c r="AD32" i="7"/>
  <c r="T34" i="7"/>
  <c r="AD11" i="6"/>
  <c r="F14" i="6"/>
  <c r="AD35" i="6"/>
  <c r="AB13" i="7"/>
  <c r="AB18" i="7"/>
  <c r="J32" i="7"/>
  <c r="AH32" i="7"/>
  <c r="N9" i="6"/>
  <c r="AD16" i="6"/>
  <c r="AL19" i="6"/>
  <c r="AJ19" i="6"/>
  <c r="P19" i="6"/>
  <c r="M35" i="8"/>
  <c r="M32" i="8"/>
  <c r="M29" i="8"/>
  <c r="M26" i="8"/>
  <c r="M8" i="8"/>
  <c r="M7" i="8"/>
  <c r="M13" i="8"/>
  <c r="M58" i="8"/>
  <c r="M67" i="8"/>
  <c r="M83" i="8"/>
  <c r="M50" i="32"/>
  <c r="M53" i="32"/>
  <c r="M51" i="32"/>
  <c r="M52" i="32"/>
  <c r="M58" i="32"/>
  <c r="M61" i="32"/>
  <c r="O14" i="1"/>
  <c r="P5" i="3"/>
  <c r="J13" i="7"/>
  <c r="J18" i="7"/>
  <c r="F20" i="7"/>
  <c r="T20" i="7" s="1"/>
  <c r="AF29" i="7"/>
  <c r="AB29" i="7"/>
  <c r="L32" i="7"/>
  <c r="AJ32" i="7"/>
  <c r="F10" i="6"/>
  <c r="N10" i="6" s="1"/>
  <c r="AD17" i="6"/>
  <c r="N19" i="6"/>
  <c r="AF23" i="6"/>
  <c r="J23" i="6"/>
  <c r="T27" i="6"/>
  <c r="T28" i="6"/>
  <c r="L7" i="8"/>
  <c r="M20" i="8"/>
  <c r="M82" i="8"/>
  <c r="M130" i="8"/>
  <c r="M47" i="30"/>
  <c r="M51" i="30"/>
  <c r="M54" i="30"/>
  <c r="M57" i="30"/>
  <c r="M60" i="30"/>
  <c r="P42" i="32"/>
  <c r="U22" i="32"/>
  <c r="Z22" i="32" s="1"/>
  <c r="AE22" i="32" s="1"/>
  <c r="AJ22" i="32" s="1"/>
  <c r="AO22" i="32" s="1"/>
  <c r="AT22" i="32" s="1"/>
  <c r="AF13" i="7"/>
  <c r="AF18" i="7"/>
  <c r="N32" i="7"/>
  <c r="X17" i="6"/>
  <c r="T17" i="6"/>
  <c r="L17" i="6"/>
  <c r="AH17" i="6"/>
  <c r="T19" i="6"/>
  <c r="AD22" i="6"/>
  <c r="M49" i="8"/>
  <c r="M106" i="8"/>
  <c r="M103" i="8"/>
  <c r="M100" i="8"/>
  <c r="M77" i="8"/>
  <c r="L77" i="8"/>
  <c r="M88" i="8"/>
  <c r="M89" i="8"/>
  <c r="M105" i="8"/>
  <c r="M102" i="8"/>
  <c r="M99" i="8"/>
  <c r="M104" i="8"/>
  <c r="M93" i="8"/>
  <c r="M87" i="8"/>
  <c r="M79" i="8"/>
  <c r="M95" i="8"/>
  <c r="M91" i="8"/>
  <c r="M81" i="8"/>
  <c r="L112" i="8"/>
  <c r="M140" i="8"/>
  <c r="M137" i="8"/>
  <c r="M141" i="8"/>
  <c r="M138" i="8"/>
  <c r="M135" i="8"/>
  <c r="M126" i="8"/>
  <c r="M114" i="8"/>
  <c r="M127" i="8"/>
  <c r="M115" i="8"/>
  <c r="M139" i="8"/>
  <c r="M136" i="8"/>
  <c r="M125" i="8"/>
  <c r="M133" i="8"/>
  <c r="M119" i="8"/>
  <c r="M113" i="8"/>
  <c r="M116" i="8"/>
  <c r="M129" i="8"/>
  <c r="M34" i="32"/>
  <c r="M8" i="33"/>
  <c r="M35" i="33"/>
  <c r="M9" i="33"/>
  <c r="M7" i="33"/>
  <c r="L7" i="33"/>
  <c r="M26" i="33"/>
  <c r="M27" i="33"/>
  <c r="M21" i="33"/>
  <c r="M32" i="33"/>
  <c r="M15" i="33"/>
  <c r="M14" i="33"/>
  <c r="M20" i="33"/>
  <c r="P13" i="3"/>
  <c r="N13" i="7"/>
  <c r="AH13" i="7"/>
  <c r="N18" i="7"/>
  <c r="AH18" i="7"/>
  <c r="T28" i="7"/>
  <c r="P32" i="7"/>
  <c r="V19" i="6"/>
  <c r="X22" i="6"/>
  <c r="T22" i="6"/>
  <c r="L22" i="6"/>
  <c r="AF22" i="6"/>
  <c r="M9" i="8"/>
  <c r="M34" i="8"/>
  <c r="M55" i="8"/>
  <c r="M112" i="8"/>
  <c r="M122" i="8"/>
  <c r="M33" i="32"/>
  <c r="K5" i="5"/>
  <c r="I7" i="13" s="1"/>
  <c r="K7" i="13" s="1"/>
  <c r="P13" i="7"/>
  <c r="AJ13" i="7"/>
  <c r="P18" i="7"/>
  <c r="AJ18" i="7"/>
  <c r="AD13" i="6"/>
  <c r="AL17" i="6"/>
  <c r="AF18" i="6"/>
  <c r="J18" i="6"/>
  <c r="X19" i="6"/>
  <c r="G22" i="6"/>
  <c r="AH22" i="6"/>
  <c r="T24" i="6"/>
  <c r="F32" i="6"/>
  <c r="M18" i="8"/>
  <c r="M31" i="8"/>
  <c r="M101" i="8"/>
  <c r="M128" i="8"/>
  <c r="M32" i="30"/>
  <c r="L27" i="30"/>
  <c r="M34" i="30"/>
  <c r="M37" i="30"/>
  <c r="M28" i="30"/>
  <c r="M40" i="30"/>
  <c r="M49" i="33"/>
  <c r="M61" i="33"/>
  <c r="M28" i="8"/>
  <c r="M71" i="8"/>
  <c r="M68" i="8"/>
  <c r="M65" i="8"/>
  <c r="M62" i="8"/>
  <c r="M69" i="8"/>
  <c r="M66" i="8"/>
  <c r="M63" i="8"/>
  <c r="M42" i="8"/>
  <c r="M70" i="8"/>
  <c r="M59" i="8"/>
  <c r="M50" i="8"/>
  <c r="M52" i="8"/>
  <c r="M54" i="8"/>
  <c r="M86" i="8"/>
  <c r="M92" i="8"/>
  <c r="M32" i="32"/>
  <c r="L27" i="32"/>
  <c r="M28" i="32"/>
  <c r="P72" i="33"/>
  <c r="U37" i="33"/>
  <c r="Z37" i="33" s="1"/>
  <c r="AE37" i="33" s="1"/>
  <c r="AJ37" i="33" s="1"/>
  <c r="AO37" i="33" s="1"/>
  <c r="AT37" i="33" s="1"/>
  <c r="R29" i="7"/>
  <c r="V32" i="7"/>
  <c r="P17" i="6"/>
  <c r="AH18" i="6"/>
  <c r="AL22" i="6"/>
  <c r="M17" i="8"/>
  <c r="M25" i="8"/>
  <c r="M36" i="8"/>
  <c r="L42" i="8"/>
  <c r="M47" i="8"/>
  <c r="M98" i="8"/>
  <c r="M31" i="30"/>
  <c r="M37" i="32"/>
  <c r="U22" i="31"/>
  <c r="Z22" i="31" s="1"/>
  <c r="AE22" i="31" s="1"/>
  <c r="AJ22" i="31" s="1"/>
  <c r="AO22" i="31" s="1"/>
  <c r="AT22" i="31" s="1"/>
  <c r="P42" i="31"/>
  <c r="F30" i="7"/>
  <c r="G29" i="7" s="1"/>
  <c r="Z32" i="7"/>
  <c r="N34" i="7"/>
  <c r="F8" i="6"/>
  <c r="T8" i="6" s="1"/>
  <c r="N18" i="6"/>
  <c r="AJ18" i="6"/>
  <c r="N22" i="6"/>
  <c r="L23" i="6"/>
  <c r="AD23" i="6"/>
  <c r="M24" i="8"/>
  <c r="M33" i="8"/>
  <c r="P42" i="30"/>
  <c r="U22" i="30"/>
  <c r="Z22" i="30" s="1"/>
  <c r="AE22" i="30" s="1"/>
  <c r="AJ22" i="30" s="1"/>
  <c r="AO22" i="30" s="1"/>
  <c r="AT22" i="30" s="1"/>
  <c r="M27" i="30"/>
  <c r="M52" i="34"/>
  <c r="M56" i="34"/>
  <c r="M62" i="33"/>
  <c r="M30" i="34"/>
  <c r="M27" i="34"/>
  <c r="L27" i="34"/>
  <c r="M40" i="34"/>
  <c r="M37" i="34"/>
  <c r="M34" i="34"/>
  <c r="M48" i="8"/>
  <c r="M56" i="8"/>
  <c r="M21" i="30"/>
  <c r="M18" i="30"/>
  <c r="M15" i="30"/>
  <c r="M11" i="30"/>
  <c r="M12" i="30"/>
  <c r="M13" i="30"/>
  <c r="M20" i="30"/>
  <c r="M17" i="30"/>
  <c r="M7" i="30"/>
  <c r="L7" i="30"/>
  <c r="M41" i="30"/>
  <c r="M59" i="30"/>
  <c r="M56" i="32"/>
  <c r="M28" i="33"/>
  <c r="M55" i="33"/>
  <c r="M72" i="34"/>
  <c r="M14" i="35"/>
  <c r="M80" i="35"/>
  <c r="M28" i="36"/>
  <c r="M30" i="36"/>
  <c r="M27" i="36"/>
  <c r="M49" i="36"/>
  <c r="M97" i="8"/>
  <c r="M14" i="32"/>
  <c r="M31" i="32"/>
  <c r="M48" i="32"/>
  <c r="M80" i="32"/>
  <c r="M77" i="32"/>
  <c r="M81" i="32"/>
  <c r="M78" i="32"/>
  <c r="M73" i="32"/>
  <c r="M67" i="32"/>
  <c r="L67" i="32"/>
  <c r="S61" i="31"/>
  <c r="K47" i="31"/>
  <c r="L47" i="31" s="1"/>
  <c r="M71" i="34"/>
  <c r="M75" i="35"/>
  <c r="M77" i="35"/>
  <c r="M34" i="33"/>
  <c r="M19" i="33"/>
  <c r="M46" i="33"/>
  <c r="M28" i="34"/>
  <c r="M51" i="34"/>
  <c r="L47" i="34"/>
  <c r="M39" i="35"/>
  <c r="M67" i="35"/>
  <c r="M120" i="8"/>
  <c r="L67" i="30"/>
  <c r="M68" i="30"/>
  <c r="M72" i="30"/>
  <c r="M13" i="32"/>
  <c r="M54" i="32"/>
  <c r="M79" i="32"/>
  <c r="M25" i="33"/>
  <c r="M70" i="33"/>
  <c r="M52" i="33"/>
  <c r="M59" i="33"/>
  <c r="M81" i="33"/>
  <c r="M101" i="33"/>
  <c r="L7" i="34"/>
  <c r="M17" i="34"/>
  <c r="M48" i="34"/>
  <c r="M70" i="34"/>
  <c r="P42" i="35"/>
  <c r="U22" i="35"/>
  <c r="Z22" i="35" s="1"/>
  <c r="AE22" i="35" s="1"/>
  <c r="AJ22" i="35" s="1"/>
  <c r="AO22" i="35" s="1"/>
  <c r="AT22" i="35" s="1"/>
  <c r="M13" i="35"/>
  <c r="M27" i="35"/>
  <c r="M44" i="8"/>
  <c r="M53" i="8"/>
  <c r="M80" i="8"/>
  <c r="M134" i="8"/>
  <c r="M8" i="30"/>
  <c r="M29" i="30"/>
  <c r="M48" i="30"/>
  <c r="M70" i="32"/>
  <c r="M11" i="33"/>
  <c r="M80" i="33"/>
  <c r="M87" i="33"/>
  <c r="M94" i="33"/>
  <c r="M8" i="34"/>
  <c r="M50" i="34"/>
  <c r="M70" i="35"/>
  <c r="M41" i="37"/>
  <c r="M80" i="37"/>
  <c r="M77" i="37"/>
  <c r="M74" i="37"/>
  <c r="M69" i="37"/>
  <c r="M71" i="37"/>
  <c r="M81" i="37"/>
  <c r="M78" i="37"/>
  <c r="M75" i="37"/>
  <c r="M67" i="37"/>
  <c r="L67" i="37"/>
  <c r="M19" i="8"/>
  <c r="M80" i="30"/>
  <c r="M76" i="32"/>
  <c r="M51" i="33"/>
  <c r="M58" i="33"/>
  <c r="M79" i="33"/>
  <c r="M86" i="33"/>
  <c r="M14" i="34"/>
  <c r="M69" i="34"/>
  <c r="M47" i="35"/>
  <c r="M76" i="35"/>
  <c r="M39" i="36"/>
  <c r="L27" i="37"/>
  <c r="M70" i="37"/>
  <c r="M79" i="37"/>
  <c r="M43" i="8"/>
  <c r="M60" i="8"/>
  <c r="M94" i="8"/>
  <c r="M118" i="8"/>
  <c r="M14" i="30"/>
  <c r="M67" i="30"/>
  <c r="M21" i="32"/>
  <c r="M18" i="32"/>
  <c r="M12" i="32"/>
  <c r="M7" i="32"/>
  <c r="M20" i="32"/>
  <c r="M17" i="32"/>
  <c r="M29" i="32"/>
  <c r="M36" i="32"/>
  <c r="M68" i="32"/>
  <c r="M75" i="32"/>
  <c r="M10" i="33"/>
  <c r="M64" i="33"/>
  <c r="M33" i="34"/>
  <c r="M49" i="34"/>
  <c r="P42" i="36"/>
  <c r="U22" i="36"/>
  <c r="Z22" i="36" s="1"/>
  <c r="AE22" i="36" s="1"/>
  <c r="AJ22" i="36" s="1"/>
  <c r="AO22" i="36" s="1"/>
  <c r="AT22" i="36" s="1"/>
  <c r="AC46" i="7"/>
  <c r="B19" i="13" s="1"/>
  <c r="C19" i="13" s="1"/>
  <c r="E19" i="13" s="1"/>
  <c r="M78" i="8"/>
  <c r="M132" i="8"/>
  <c r="M19" i="30"/>
  <c r="M53" i="30"/>
  <c r="L7" i="32"/>
  <c r="M11" i="32"/>
  <c r="M23" i="33"/>
  <c r="M30" i="33"/>
  <c r="M50" i="33"/>
  <c r="M85" i="33"/>
  <c r="M99" i="33"/>
  <c r="M12" i="35"/>
  <c r="M11" i="35"/>
  <c r="M20" i="35"/>
  <c r="M28" i="35"/>
  <c r="L67" i="35"/>
  <c r="U22" i="37"/>
  <c r="Z22" i="37" s="1"/>
  <c r="AE22" i="37" s="1"/>
  <c r="AJ22" i="37" s="1"/>
  <c r="AO22" i="37" s="1"/>
  <c r="AT22" i="37" s="1"/>
  <c r="P42" i="37"/>
  <c r="M76" i="37"/>
  <c r="M85" i="8"/>
  <c r="M117" i="8"/>
  <c r="M60" i="32"/>
  <c r="M74" i="32"/>
  <c r="M16" i="33"/>
  <c r="M43" i="33"/>
  <c r="M63" i="33"/>
  <c r="M91" i="33"/>
  <c r="M98" i="33"/>
  <c r="M32" i="34"/>
  <c r="M59" i="34"/>
  <c r="M68" i="35"/>
  <c r="M60" i="36"/>
  <c r="M57" i="36"/>
  <c r="M54" i="36"/>
  <c r="M47" i="36"/>
  <c r="M61" i="36"/>
  <c r="M58" i="36"/>
  <c r="M55" i="36"/>
  <c r="M52" i="36"/>
  <c r="L47" i="36"/>
  <c r="M59" i="36"/>
  <c r="M56" i="36"/>
  <c r="M53" i="36"/>
  <c r="M51" i="36"/>
  <c r="M35" i="30"/>
  <c r="M38" i="30"/>
  <c r="M71" i="30"/>
  <c r="M59" i="32"/>
  <c r="L77" i="33"/>
  <c r="M103" i="33"/>
  <c r="M106" i="33"/>
  <c r="M211" i="33"/>
  <c r="M208" i="33"/>
  <c r="M207" i="33"/>
  <c r="M209" i="33"/>
  <c r="M206" i="33"/>
  <c r="M210" i="33"/>
  <c r="M188" i="33"/>
  <c r="M193" i="33"/>
  <c r="M198" i="33"/>
  <c r="M195" i="33"/>
  <c r="M202" i="33"/>
  <c r="M190" i="33"/>
  <c r="M199" i="33"/>
  <c r="M205" i="33"/>
  <c r="M184" i="33"/>
  <c r="M204" i="33"/>
  <c r="M192" i="33"/>
  <c r="M196" i="33"/>
  <c r="M200" i="33"/>
  <c r="M197" i="33"/>
  <c r="M203" i="33"/>
  <c r="M185" i="33"/>
  <c r="M187" i="33"/>
  <c r="M194" i="33"/>
  <c r="M183" i="33"/>
  <c r="M189" i="33"/>
  <c r="M191" i="33"/>
  <c r="M201" i="33"/>
  <c r="M182" i="33"/>
  <c r="M186" i="33"/>
  <c r="M54" i="34"/>
  <c r="M57" i="34"/>
  <c r="M60" i="34"/>
  <c r="M75" i="34"/>
  <c r="M78" i="34"/>
  <c r="M81" i="34"/>
  <c r="M15" i="35"/>
  <c r="M18" i="35"/>
  <c r="M21" i="35"/>
  <c r="M30" i="35"/>
  <c r="M51" i="35"/>
  <c r="M78" i="35"/>
  <c r="M81" i="35"/>
  <c r="L67" i="36"/>
  <c r="M72" i="36"/>
  <c r="M75" i="36"/>
  <c r="M78" i="36"/>
  <c r="M81" i="36"/>
  <c r="M15" i="37"/>
  <c r="M18" i="37"/>
  <c r="M21" i="37"/>
  <c r="M30" i="37"/>
  <c r="M49" i="30"/>
  <c r="M55" i="30"/>
  <c r="M58" i="30"/>
  <c r="M61" i="30"/>
  <c r="M70" i="30"/>
  <c r="L47" i="32"/>
  <c r="M55" i="32"/>
  <c r="M28" i="31"/>
  <c r="M31" i="31"/>
  <c r="M34" i="31"/>
  <c r="M37" i="31"/>
  <c r="M40" i="31"/>
  <c r="M101" i="31"/>
  <c r="M18" i="33"/>
  <c r="M33" i="33"/>
  <c r="M36" i="33"/>
  <c r="M45" i="33"/>
  <c r="M57" i="33"/>
  <c r="M66" i="33"/>
  <c r="M69" i="33"/>
  <c r="M77" i="33"/>
  <c r="M84" i="33"/>
  <c r="M96" i="33"/>
  <c r="M11" i="34"/>
  <c r="M29" i="35"/>
  <c r="M35" i="35"/>
  <c r="M38" i="35"/>
  <c r="M41" i="35"/>
  <c r="M50" i="35"/>
  <c r="M71" i="35"/>
  <c r="M67" i="36"/>
  <c r="M11" i="37"/>
  <c r="M29" i="37"/>
  <c r="M57" i="37"/>
  <c r="M75" i="30"/>
  <c r="M78" i="30"/>
  <c r="M81" i="30"/>
  <c r="M39" i="32"/>
  <c r="M47" i="32"/>
  <c r="M9" i="31"/>
  <c r="M12" i="31"/>
  <c r="M15" i="31"/>
  <c r="M18" i="31"/>
  <c r="M21" i="31"/>
  <c r="M17" i="33"/>
  <c r="M29" i="33"/>
  <c r="M44" i="33"/>
  <c r="M56" i="33"/>
  <c r="M83" i="33"/>
  <c r="M95" i="33"/>
  <c r="M10" i="34"/>
  <c r="M16" i="34"/>
  <c r="M19" i="34"/>
  <c r="M55" i="35"/>
  <c r="M58" i="35"/>
  <c r="M61" i="35"/>
  <c r="M31" i="36"/>
  <c r="M34" i="36"/>
  <c r="M37" i="36"/>
  <c r="M40" i="36"/>
  <c r="M34" i="37"/>
  <c r="M37" i="37"/>
  <c r="M40" i="37"/>
  <c r="M35" i="32"/>
  <c r="M7" i="31"/>
  <c r="M70" i="31"/>
  <c r="M73" i="31"/>
  <c r="M76" i="31"/>
  <c r="M79" i="31"/>
  <c r="M36" i="34"/>
  <c r="M39" i="34"/>
  <c r="M47" i="34"/>
  <c r="L67" i="34"/>
  <c r="M48" i="35"/>
  <c r="M69" i="35"/>
  <c r="M59" i="37"/>
  <c r="M74" i="36"/>
  <c r="M77" i="36"/>
  <c r="M80" i="36"/>
  <c r="M14" i="37"/>
  <c r="M17" i="37"/>
  <c r="M20" i="37"/>
  <c r="M54" i="37"/>
  <c r="M34" i="35"/>
  <c r="M37" i="35"/>
  <c r="M40" i="35"/>
  <c r="M70" i="36"/>
  <c r="M61" i="37"/>
  <c r="M74" i="30"/>
  <c r="M77" i="30"/>
  <c r="M38" i="32"/>
  <c r="M41" i="32"/>
  <c r="M8" i="31"/>
  <c r="M11" i="31"/>
  <c r="M14" i="31"/>
  <c r="M17" i="31"/>
  <c r="M15" i="34"/>
  <c r="M18" i="34"/>
  <c r="L7" i="35"/>
  <c r="M54" i="35"/>
  <c r="M57" i="35"/>
  <c r="M60" i="35"/>
  <c r="M33" i="36"/>
  <c r="M36" i="36"/>
  <c r="M33" i="37"/>
  <c r="M36" i="37"/>
  <c r="M39" i="37"/>
  <c r="M47" i="37"/>
  <c r="M56" i="37"/>
  <c r="L47" i="30"/>
  <c r="M49" i="32"/>
  <c r="M69" i="31"/>
  <c r="M72" i="31"/>
  <c r="M75" i="31"/>
  <c r="M78" i="31"/>
  <c r="M12" i="33"/>
  <c r="M24" i="33"/>
  <c r="M78" i="33"/>
  <c r="M90" i="33"/>
  <c r="M35" i="34"/>
  <c r="M38" i="34"/>
  <c r="M7" i="35"/>
  <c r="L27" i="35"/>
  <c r="M14" i="36"/>
  <c r="M17" i="36"/>
  <c r="M20" i="36"/>
  <c r="M30" i="30"/>
  <c r="M36" i="30"/>
  <c r="M39" i="30"/>
  <c r="M119" i="30"/>
  <c r="M116" i="30"/>
  <c r="M120" i="30"/>
  <c r="M117" i="30"/>
  <c r="M114" i="30"/>
  <c r="M121" i="30"/>
  <c r="M118" i="30"/>
  <c r="M115" i="30"/>
  <c r="M110" i="30"/>
  <c r="M112" i="30"/>
  <c r="M111" i="30"/>
  <c r="M108" i="30"/>
  <c r="M109" i="30"/>
  <c r="M107" i="30"/>
  <c r="M113" i="30"/>
  <c r="M30" i="32"/>
  <c r="M57" i="32"/>
  <c r="L42" i="33"/>
  <c r="M104" i="33"/>
  <c r="M55" i="34"/>
  <c r="M58" i="34"/>
  <c r="M61" i="34"/>
  <c r="M76" i="34"/>
  <c r="M16" i="35"/>
  <c r="M19" i="35"/>
  <c r="M79" i="35"/>
  <c r="M73" i="36"/>
  <c r="M76" i="36"/>
  <c r="M13" i="37"/>
  <c r="M16" i="37"/>
  <c r="M19" i="37"/>
  <c r="M58" i="37"/>
  <c r="M56" i="30"/>
  <c r="L27" i="31"/>
  <c r="M29" i="31"/>
  <c r="M32" i="31"/>
  <c r="M35" i="31"/>
  <c r="M38" i="31"/>
  <c r="M31" i="33"/>
  <c r="M42" i="33"/>
  <c r="M67" i="33"/>
  <c r="M88" i="33"/>
  <c r="M33" i="35"/>
  <c r="M36" i="35"/>
  <c r="B22" i="13"/>
  <c r="C22" i="13" s="1"/>
  <c r="E22" i="13" s="1"/>
  <c r="S47" i="31"/>
  <c r="S51" i="37"/>
  <c r="T47" i="37"/>
  <c r="S49" i="37"/>
  <c r="T47" i="31"/>
  <c r="S47" i="37"/>
  <c r="S50" i="37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48" i="37"/>
  <c r="S52" i="37"/>
  <c r="S53" i="37"/>
  <c r="S54" i="37"/>
  <c r="S55" i="37"/>
  <c r="S56" i="37"/>
  <c r="S57" i="37"/>
  <c r="S58" i="37"/>
  <c r="S59" i="37"/>
  <c r="S60" i="37"/>
  <c r="I11" i="13"/>
  <c r="K11" i="13" s="1"/>
  <c r="AC46" i="6"/>
  <c r="AC47" i="6" s="1"/>
  <c r="S46" i="6"/>
  <c r="S47" i="6" s="1"/>
  <c r="H16" i="13" s="1"/>
  <c r="M46" i="6"/>
  <c r="M47" i="6" s="1"/>
  <c r="S46" i="7"/>
  <c r="S47" i="7" s="1"/>
  <c r="M46" i="7"/>
  <c r="M47" i="7" s="1"/>
  <c r="V34" i="3"/>
  <c r="P34" i="3"/>
  <c r="H22" i="13"/>
  <c r="AE47" i="6"/>
  <c r="F36" i="6"/>
  <c r="AL36" i="6" s="1"/>
  <c r="B20" i="13"/>
  <c r="AC47" i="7"/>
  <c r="F36" i="7"/>
  <c r="AL36" i="7" s="1"/>
  <c r="D6" i="13"/>
  <c r="C17" i="13"/>
  <c r="E17" i="13" s="1"/>
  <c r="C21" i="13"/>
  <c r="E21" i="13" s="1"/>
  <c r="C23" i="13"/>
  <c r="E23" i="13" s="1"/>
  <c r="Q5" i="3"/>
  <c r="E6" i="13"/>
  <c r="C18" i="13"/>
  <c r="E18" i="13" s="1"/>
  <c r="C20" i="13"/>
  <c r="E20" i="13" s="1"/>
  <c r="W5" i="3"/>
  <c r="B11" i="13" s="1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V27" i="3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C1" i="31" l="1"/>
  <c r="T12" i="6"/>
  <c r="AJ33" i="7"/>
  <c r="P25" i="7"/>
  <c r="P12" i="6"/>
  <c r="N12" i="7"/>
  <c r="T10" i="6"/>
  <c r="P33" i="7"/>
  <c r="R25" i="7"/>
  <c r="N33" i="7"/>
  <c r="V25" i="6"/>
  <c r="R33" i="7"/>
  <c r="V25" i="7"/>
  <c r="AF33" i="7"/>
  <c r="X25" i="7"/>
  <c r="H15" i="13"/>
  <c r="C1" i="33"/>
  <c r="Z33" i="7"/>
  <c r="AF25" i="7"/>
  <c r="Z25" i="7"/>
  <c r="Z12" i="6"/>
  <c r="V33" i="7"/>
  <c r="J25" i="7"/>
  <c r="N12" i="6"/>
  <c r="AD12" i="6"/>
  <c r="AF12" i="6"/>
  <c r="X33" i="7"/>
  <c r="X22" i="7"/>
  <c r="AD25" i="7"/>
  <c r="T33" i="7"/>
  <c r="V18" i="6"/>
  <c r="AD18" i="6"/>
  <c r="P18" i="6"/>
  <c r="J12" i="6"/>
  <c r="AB33" i="7"/>
  <c r="T32" i="7"/>
  <c r="AH12" i="6"/>
  <c r="AD8" i="6"/>
  <c r="J33" i="7"/>
  <c r="AH25" i="7"/>
  <c r="Z17" i="7"/>
  <c r="L12" i="7"/>
  <c r="C1" i="36"/>
  <c r="C1" i="37"/>
  <c r="B36" i="13" s="1"/>
  <c r="X13" i="6"/>
  <c r="AH13" i="6"/>
  <c r="Z13" i="6"/>
  <c r="V13" i="6"/>
  <c r="C1" i="30"/>
  <c r="C1" i="35"/>
  <c r="L13" i="6"/>
  <c r="C1" i="8"/>
  <c r="AF12" i="7"/>
  <c r="J17" i="7"/>
  <c r="AH17" i="7"/>
  <c r="V17" i="7"/>
  <c r="L17" i="7"/>
  <c r="AJ13" i="6"/>
  <c r="T31" i="6"/>
  <c r="AD17" i="7"/>
  <c r="N14" i="7"/>
  <c r="AF17" i="7"/>
  <c r="T13" i="7"/>
  <c r="AL13" i="7"/>
  <c r="R13" i="7"/>
  <c r="Z13" i="7"/>
  <c r="X13" i="7"/>
  <c r="V13" i="7"/>
  <c r="L13" i="7"/>
  <c r="M47" i="31"/>
  <c r="N13" i="6"/>
  <c r="T17" i="7"/>
  <c r="J12" i="7"/>
  <c r="T14" i="7"/>
  <c r="AH14" i="7"/>
  <c r="AH12" i="7"/>
  <c r="N17" i="7"/>
  <c r="P14" i="7"/>
  <c r="P12" i="7"/>
  <c r="T13" i="6"/>
  <c r="C1" i="32"/>
  <c r="T12" i="7"/>
  <c r="AJ14" i="7"/>
  <c r="AJ12" i="7"/>
  <c r="AL13" i="6"/>
  <c r="R14" i="7"/>
  <c r="P17" i="7"/>
  <c r="AL12" i="7"/>
  <c r="P13" i="6"/>
  <c r="J13" i="6"/>
  <c r="AL14" i="7"/>
  <c r="AJ17" i="7"/>
  <c r="R12" i="7"/>
  <c r="T22" i="7"/>
  <c r="AF13" i="6"/>
  <c r="V14" i="7"/>
  <c r="AL17" i="7"/>
  <c r="X12" i="7"/>
  <c r="C1" i="34"/>
  <c r="X14" i="7"/>
  <c r="R17" i="7"/>
  <c r="AD12" i="7"/>
  <c r="AD13" i="7"/>
  <c r="P62" i="31"/>
  <c r="U42" i="31"/>
  <c r="Z42" i="31" s="1"/>
  <c r="AE42" i="31" s="1"/>
  <c r="AJ42" i="31" s="1"/>
  <c r="AO42" i="31" s="1"/>
  <c r="AT42" i="31" s="1"/>
  <c r="AF7" i="7"/>
  <c r="L7" i="7"/>
  <c r="AB7" i="7"/>
  <c r="G7" i="7"/>
  <c r="Z7" i="7"/>
  <c r="X7" i="7"/>
  <c r="AJ7" i="7"/>
  <c r="P7" i="7"/>
  <c r="V7" i="7"/>
  <c r="R7" i="7"/>
  <c r="AH7" i="7"/>
  <c r="N7" i="7"/>
  <c r="J7" i="7"/>
  <c r="AL7" i="7"/>
  <c r="AF19" i="7"/>
  <c r="J19" i="7"/>
  <c r="AB19" i="7"/>
  <c r="X19" i="7"/>
  <c r="V19" i="7"/>
  <c r="R19" i="7"/>
  <c r="AL19" i="7"/>
  <c r="P19" i="7"/>
  <c r="AJ19" i="7"/>
  <c r="N19" i="7"/>
  <c r="AH19" i="7"/>
  <c r="Z19" i="7"/>
  <c r="L19" i="7"/>
  <c r="AD19" i="7"/>
  <c r="N33" i="6"/>
  <c r="AJ11" i="6"/>
  <c r="P11" i="6"/>
  <c r="AF11" i="6"/>
  <c r="L11" i="6"/>
  <c r="V11" i="6"/>
  <c r="X11" i="6"/>
  <c r="N11" i="6"/>
  <c r="AL11" i="6"/>
  <c r="AH11" i="6"/>
  <c r="Z11" i="6"/>
  <c r="J11" i="6"/>
  <c r="T30" i="7"/>
  <c r="R20" i="7"/>
  <c r="AJ20" i="7"/>
  <c r="AH20" i="7"/>
  <c r="AF20" i="7"/>
  <c r="L20" i="7"/>
  <c r="AB20" i="7"/>
  <c r="Z20" i="7"/>
  <c r="X20" i="7"/>
  <c r="J20" i="7"/>
  <c r="AL20" i="7"/>
  <c r="AD20" i="7"/>
  <c r="V20" i="7"/>
  <c r="P20" i="7"/>
  <c r="T11" i="6"/>
  <c r="AJ10" i="7"/>
  <c r="P10" i="7"/>
  <c r="AH10" i="7"/>
  <c r="L10" i="7"/>
  <c r="J10" i="7"/>
  <c r="AB10" i="7"/>
  <c r="X10" i="7"/>
  <c r="V10" i="7"/>
  <c r="Z10" i="7"/>
  <c r="T10" i="7"/>
  <c r="AL10" i="7"/>
  <c r="R10" i="7"/>
  <c r="AF10" i="7"/>
  <c r="AB9" i="7"/>
  <c r="Z9" i="7"/>
  <c r="V9" i="7"/>
  <c r="T9" i="7"/>
  <c r="AJ9" i="7"/>
  <c r="P9" i="7"/>
  <c r="AH9" i="7"/>
  <c r="L9" i="7"/>
  <c r="J9" i="7"/>
  <c r="X9" i="7"/>
  <c r="AL9" i="7"/>
  <c r="AF9" i="7"/>
  <c r="R9" i="7"/>
  <c r="AD9" i="7"/>
  <c r="Z32" i="6"/>
  <c r="V32" i="6"/>
  <c r="AF32" i="6"/>
  <c r="AL32" i="6"/>
  <c r="L32" i="6"/>
  <c r="AH32" i="6"/>
  <c r="AD32" i="6"/>
  <c r="X32" i="6"/>
  <c r="P32" i="6"/>
  <c r="J32" i="6"/>
  <c r="AJ32" i="6"/>
  <c r="N32" i="6"/>
  <c r="U42" i="32"/>
  <c r="Z42" i="32" s="1"/>
  <c r="AE42" i="32" s="1"/>
  <c r="AJ42" i="32" s="1"/>
  <c r="AO42" i="32" s="1"/>
  <c r="AT42" i="32" s="1"/>
  <c r="P62" i="32"/>
  <c r="T32" i="6"/>
  <c r="L35" i="6"/>
  <c r="Z35" i="6"/>
  <c r="AL35" i="6"/>
  <c r="V35" i="6"/>
  <c r="P35" i="6"/>
  <c r="AH35" i="6"/>
  <c r="J35" i="6"/>
  <c r="AF35" i="6"/>
  <c r="X35" i="6"/>
  <c r="AJ35" i="6"/>
  <c r="AL8" i="7"/>
  <c r="R8" i="7"/>
  <c r="AH8" i="7"/>
  <c r="AF8" i="7"/>
  <c r="L8" i="7"/>
  <c r="AB8" i="7"/>
  <c r="G8" i="7"/>
  <c r="Z8" i="7"/>
  <c r="V8" i="7"/>
  <c r="AJ8" i="7"/>
  <c r="X8" i="7"/>
  <c r="T8" i="7"/>
  <c r="P8" i="7"/>
  <c r="J8" i="7"/>
  <c r="N10" i="7"/>
  <c r="AL24" i="6"/>
  <c r="AJ24" i="6"/>
  <c r="P24" i="6"/>
  <c r="Z24" i="6"/>
  <c r="X24" i="6"/>
  <c r="AH24" i="6"/>
  <c r="L24" i="6"/>
  <c r="AF24" i="6"/>
  <c r="J24" i="6"/>
  <c r="AD24" i="6"/>
  <c r="V24" i="6"/>
  <c r="J20" i="6"/>
  <c r="Z20" i="6"/>
  <c r="X20" i="6"/>
  <c r="AJ20" i="6"/>
  <c r="P20" i="6"/>
  <c r="V20" i="6"/>
  <c r="AL20" i="6"/>
  <c r="L20" i="6"/>
  <c r="AH20" i="6"/>
  <c r="AF20" i="6"/>
  <c r="AD20" i="6"/>
  <c r="T20" i="6"/>
  <c r="U42" i="36"/>
  <c r="Z42" i="36" s="1"/>
  <c r="AE42" i="36" s="1"/>
  <c r="AJ42" i="36" s="1"/>
  <c r="AO42" i="36" s="1"/>
  <c r="AT42" i="36" s="1"/>
  <c r="P62" i="36"/>
  <c r="AH33" i="6"/>
  <c r="AD33" i="6"/>
  <c r="L33" i="6"/>
  <c r="J33" i="6"/>
  <c r="AL33" i="6"/>
  <c r="AJ33" i="6"/>
  <c r="Z33" i="6"/>
  <c r="V33" i="6"/>
  <c r="P33" i="6"/>
  <c r="X33" i="6"/>
  <c r="AF33" i="6"/>
  <c r="N20" i="6"/>
  <c r="U42" i="37"/>
  <c r="Z42" i="37" s="1"/>
  <c r="AE42" i="37" s="1"/>
  <c r="AJ42" i="37" s="1"/>
  <c r="AO42" i="37" s="1"/>
  <c r="AT42" i="37" s="1"/>
  <c r="P62" i="37"/>
  <c r="AL14" i="6"/>
  <c r="AJ14" i="6"/>
  <c r="P14" i="6"/>
  <c r="AD14" i="6"/>
  <c r="Z14" i="6"/>
  <c r="X14" i="6"/>
  <c r="V14" i="6"/>
  <c r="AH14" i="6"/>
  <c r="L14" i="6"/>
  <c r="AF14" i="6"/>
  <c r="J14" i="6"/>
  <c r="X16" i="7"/>
  <c r="V16" i="7"/>
  <c r="AL16" i="7"/>
  <c r="R16" i="7"/>
  <c r="AJ16" i="7"/>
  <c r="P16" i="7"/>
  <c r="AF16" i="7"/>
  <c r="L16" i="7"/>
  <c r="J16" i="7"/>
  <c r="AB16" i="7"/>
  <c r="Z16" i="7"/>
  <c r="T16" i="7"/>
  <c r="N16" i="7"/>
  <c r="AH16" i="7"/>
  <c r="P62" i="34"/>
  <c r="U42" i="34"/>
  <c r="Z42" i="34" s="1"/>
  <c r="AE42" i="34" s="1"/>
  <c r="AJ42" i="34" s="1"/>
  <c r="AO42" i="34" s="1"/>
  <c r="AT42" i="34" s="1"/>
  <c r="AD8" i="7"/>
  <c r="X11" i="7"/>
  <c r="V11" i="7"/>
  <c r="AL11" i="7"/>
  <c r="R11" i="7"/>
  <c r="AJ11" i="7"/>
  <c r="P11" i="7"/>
  <c r="AF11" i="7"/>
  <c r="L11" i="7"/>
  <c r="AB11" i="7"/>
  <c r="AH11" i="7"/>
  <c r="Z11" i="7"/>
  <c r="T11" i="7"/>
  <c r="N11" i="7"/>
  <c r="J11" i="7"/>
  <c r="AL29" i="6"/>
  <c r="AJ29" i="6"/>
  <c r="P29" i="6"/>
  <c r="G29" i="6"/>
  <c r="Z29" i="6"/>
  <c r="V29" i="6"/>
  <c r="AH29" i="6"/>
  <c r="L29" i="6"/>
  <c r="AF29" i="6"/>
  <c r="J29" i="6"/>
  <c r="X29" i="6"/>
  <c r="N29" i="6"/>
  <c r="B15" i="13"/>
  <c r="C15" i="13" s="1"/>
  <c r="E15" i="13" s="1"/>
  <c r="H7" i="6"/>
  <c r="X7" i="6"/>
  <c r="T7" i="6"/>
  <c r="L7" i="6"/>
  <c r="P7" i="6"/>
  <c r="AJ7" i="6"/>
  <c r="J7" i="6"/>
  <c r="AH7" i="6"/>
  <c r="G7" i="6"/>
  <c r="AF7" i="6"/>
  <c r="Z7" i="6"/>
  <c r="V7" i="6"/>
  <c r="AL7" i="6"/>
  <c r="AD29" i="6"/>
  <c r="AF24" i="7"/>
  <c r="R24" i="7"/>
  <c r="AJ24" i="7"/>
  <c r="N24" i="7"/>
  <c r="AH24" i="7"/>
  <c r="L24" i="7"/>
  <c r="AB24" i="7"/>
  <c r="Z24" i="7"/>
  <c r="X24" i="7"/>
  <c r="V24" i="7"/>
  <c r="AL24" i="7"/>
  <c r="T24" i="7"/>
  <c r="P24" i="7"/>
  <c r="J24" i="7"/>
  <c r="T35" i="6"/>
  <c r="AD7" i="7"/>
  <c r="T14" i="6"/>
  <c r="P107" i="33"/>
  <c r="U72" i="33"/>
  <c r="Z72" i="33" s="1"/>
  <c r="AE72" i="33" s="1"/>
  <c r="AJ72" i="33" s="1"/>
  <c r="AO72" i="33" s="1"/>
  <c r="AT72" i="33" s="1"/>
  <c r="T7" i="7"/>
  <c r="N7" i="6"/>
  <c r="AD24" i="7"/>
  <c r="AD16" i="7"/>
  <c r="L8" i="6"/>
  <c r="G8" i="6"/>
  <c r="Z8" i="6"/>
  <c r="AL8" i="6"/>
  <c r="AJ8" i="6"/>
  <c r="AH8" i="6"/>
  <c r="J8" i="6"/>
  <c r="X8" i="6"/>
  <c r="P8" i="6"/>
  <c r="V8" i="6"/>
  <c r="N8" i="6"/>
  <c r="AF8" i="6"/>
  <c r="X10" i="6"/>
  <c r="V10" i="6"/>
  <c r="AH10" i="6"/>
  <c r="AL10" i="6"/>
  <c r="L10" i="6"/>
  <c r="AJ10" i="6"/>
  <c r="J10" i="6"/>
  <c r="AF10" i="6"/>
  <c r="P10" i="6"/>
  <c r="Z10" i="6"/>
  <c r="AD10" i="6"/>
  <c r="N14" i="6"/>
  <c r="AD10" i="7"/>
  <c r="AL31" i="6"/>
  <c r="AH31" i="6"/>
  <c r="N31" i="6"/>
  <c r="AF31" i="6"/>
  <c r="X31" i="6"/>
  <c r="P31" i="6"/>
  <c r="L31" i="6"/>
  <c r="AJ31" i="6"/>
  <c r="J31" i="6"/>
  <c r="Z31" i="6"/>
  <c r="V31" i="6"/>
  <c r="AJ15" i="7"/>
  <c r="P15" i="7"/>
  <c r="AH15" i="7"/>
  <c r="L15" i="7"/>
  <c r="J15" i="7"/>
  <c r="AB15" i="7"/>
  <c r="G15" i="7"/>
  <c r="X15" i="7"/>
  <c r="V15" i="7"/>
  <c r="T15" i="7"/>
  <c r="AL15" i="7"/>
  <c r="AF15" i="7"/>
  <c r="Z15" i="7"/>
  <c r="R15" i="7"/>
  <c r="G22" i="7"/>
  <c r="G15" i="6"/>
  <c r="X15" i="6"/>
  <c r="V15" i="6"/>
  <c r="AH15" i="6"/>
  <c r="Z15" i="6"/>
  <c r="P15" i="6"/>
  <c r="AL15" i="6"/>
  <c r="L15" i="6"/>
  <c r="AJ15" i="6"/>
  <c r="J15" i="6"/>
  <c r="AF15" i="6"/>
  <c r="T15" i="6"/>
  <c r="AJ30" i="7"/>
  <c r="P30" i="7"/>
  <c r="AB30" i="7"/>
  <c r="AL30" i="7"/>
  <c r="L30" i="7"/>
  <c r="AF30" i="7"/>
  <c r="AD30" i="7"/>
  <c r="X30" i="7"/>
  <c r="V30" i="7"/>
  <c r="R30" i="7"/>
  <c r="Z30" i="7"/>
  <c r="AH30" i="7"/>
  <c r="N30" i="7"/>
  <c r="J30" i="7"/>
  <c r="P62" i="35"/>
  <c r="U42" i="35"/>
  <c r="Z42" i="35" s="1"/>
  <c r="AE42" i="35" s="1"/>
  <c r="AJ42" i="35" s="1"/>
  <c r="AO42" i="35" s="1"/>
  <c r="AT42" i="35" s="1"/>
  <c r="M57" i="31"/>
  <c r="M50" i="31"/>
  <c r="M55" i="31"/>
  <c r="M60" i="31"/>
  <c r="M48" i="31"/>
  <c r="M51" i="31"/>
  <c r="M56" i="31"/>
  <c r="M61" i="31"/>
  <c r="M49" i="31"/>
  <c r="M54" i="31"/>
  <c r="M59" i="31"/>
  <c r="M58" i="31"/>
  <c r="M52" i="31"/>
  <c r="M53" i="31"/>
  <c r="P62" i="30"/>
  <c r="U42" i="30"/>
  <c r="Z42" i="30" s="1"/>
  <c r="AE42" i="30" s="1"/>
  <c r="AJ42" i="30" s="1"/>
  <c r="AO42" i="30" s="1"/>
  <c r="AT42" i="30" s="1"/>
  <c r="J21" i="7"/>
  <c r="AD21" i="7"/>
  <c r="L21" i="7"/>
  <c r="Z21" i="7"/>
  <c r="X21" i="7"/>
  <c r="V21" i="7"/>
  <c r="AL21" i="7"/>
  <c r="R21" i="7"/>
  <c r="AJ21" i="7"/>
  <c r="P21" i="7"/>
  <c r="AH21" i="7"/>
  <c r="T21" i="7"/>
  <c r="AF21" i="7"/>
  <c r="AB21" i="7"/>
  <c r="N20" i="7"/>
  <c r="AD15" i="7"/>
  <c r="N15" i="7"/>
  <c r="N15" i="6"/>
  <c r="H19" i="13"/>
  <c r="B16" i="13"/>
  <c r="C16" i="13" s="1"/>
  <c r="E16" i="13" s="1"/>
  <c r="AJ36" i="6"/>
  <c r="B7" i="13"/>
  <c r="I15" i="13" s="1"/>
  <c r="X36" i="6"/>
  <c r="N36" i="6"/>
  <c r="J36" i="6"/>
  <c r="AD36" i="6"/>
  <c r="Z36" i="6"/>
  <c r="T36" i="6"/>
  <c r="L36" i="6"/>
  <c r="P36" i="6"/>
  <c r="AF36" i="6"/>
  <c r="AH36" i="6"/>
  <c r="V36" i="6"/>
  <c r="G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H7" i="7"/>
  <c r="R46" i="7" s="1"/>
  <c r="N36" i="7"/>
  <c r="G36" i="7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B34" i="13"/>
  <c r="P82" i="34" l="1"/>
  <c r="P102" i="34" s="1"/>
  <c r="U62" i="34"/>
  <c r="Z62" i="34" s="1"/>
  <c r="AE62" i="34" s="1"/>
  <c r="AJ62" i="34" s="1"/>
  <c r="AO62" i="34" s="1"/>
  <c r="AT62" i="34" s="1"/>
  <c r="P82" i="35"/>
  <c r="U62" i="35"/>
  <c r="Z62" i="35" s="1"/>
  <c r="AE62" i="35" s="1"/>
  <c r="AJ62" i="35" s="1"/>
  <c r="AO62" i="35" s="1"/>
  <c r="AT62" i="35" s="1"/>
  <c r="C24" i="13"/>
  <c r="U62" i="37"/>
  <c r="Z62" i="37" s="1"/>
  <c r="AE62" i="37" s="1"/>
  <c r="AJ62" i="37" s="1"/>
  <c r="AO62" i="37" s="1"/>
  <c r="AT62" i="37" s="1"/>
  <c r="P82" i="37"/>
  <c r="P102" i="37" s="1"/>
  <c r="U107" i="33"/>
  <c r="Z107" i="33" s="1"/>
  <c r="AE107" i="33" s="1"/>
  <c r="AJ107" i="33" s="1"/>
  <c r="AO107" i="33" s="1"/>
  <c r="AT107" i="33" s="1"/>
  <c r="P142" i="33"/>
  <c r="P82" i="36"/>
  <c r="U62" i="36"/>
  <c r="Z62" i="36" s="1"/>
  <c r="AE62" i="36" s="1"/>
  <c r="AJ62" i="36" s="1"/>
  <c r="AO62" i="36" s="1"/>
  <c r="AT62" i="36" s="1"/>
  <c r="U62" i="32"/>
  <c r="Z62" i="32" s="1"/>
  <c r="AE62" i="32" s="1"/>
  <c r="AJ62" i="32" s="1"/>
  <c r="AO62" i="32" s="1"/>
  <c r="AT62" i="32" s="1"/>
  <c r="P82" i="32"/>
  <c r="P102" i="32" s="1"/>
  <c r="P82" i="30"/>
  <c r="U62" i="30"/>
  <c r="Z62" i="30" s="1"/>
  <c r="AE62" i="30" s="1"/>
  <c r="AJ62" i="30" s="1"/>
  <c r="AO62" i="30" s="1"/>
  <c r="AT62" i="30" s="1"/>
  <c r="D9" i="13"/>
  <c r="U62" i="31"/>
  <c r="Z62" i="31" s="1"/>
  <c r="AE62" i="31" s="1"/>
  <c r="AJ62" i="31" s="1"/>
  <c r="AO62" i="31" s="1"/>
  <c r="AT62" i="31" s="1"/>
  <c r="P82" i="31"/>
  <c r="P102" i="31" s="1"/>
  <c r="AH46" i="6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K15" i="13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E36" i="13"/>
  <c r="D36" i="13"/>
  <c r="B35" i="13"/>
  <c r="D34" i="13"/>
  <c r="E34" i="13"/>
  <c r="B33" i="13"/>
  <c r="B32" i="13"/>
  <c r="B31" i="13"/>
  <c r="B30" i="13"/>
  <c r="B29" i="13"/>
  <c r="B28" i="13"/>
  <c r="U142" i="8" l="1"/>
  <c r="Z142" i="8" s="1"/>
  <c r="AE142" i="8" s="1"/>
  <c r="AJ142" i="8" s="1"/>
  <c r="AO142" i="8" s="1"/>
  <c r="AT142" i="8" s="1"/>
  <c r="P177" i="8"/>
  <c r="P102" i="36"/>
  <c r="U82" i="36"/>
  <c r="Z82" i="36" s="1"/>
  <c r="AE82" i="36" s="1"/>
  <c r="AJ82" i="36" s="1"/>
  <c r="AO82" i="36" s="1"/>
  <c r="AT82" i="36" s="1"/>
  <c r="P177" i="33"/>
  <c r="U142" i="33"/>
  <c r="Z142" i="33" s="1"/>
  <c r="AE142" i="33" s="1"/>
  <c r="AJ142" i="33" s="1"/>
  <c r="AO142" i="33" s="1"/>
  <c r="AT142" i="33" s="1"/>
  <c r="U82" i="37"/>
  <c r="Z82" i="37" s="1"/>
  <c r="AE82" i="37" s="1"/>
  <c r="AJ82" i="37" s="1"/>
  <c r="AO82" i="37" s="1"/>
  <c r="AT82" i="37" s="1"/>
  <c r="U82" i="31"/>
  <c r="Z82" i="31" s="1"/>
  <c r="AE82" i="31" s="1"/>
  <c r="AJ82" i="31" s="1"/>
  <c r="AO82" i="31" s="1"/>
  <c r="AT82" i="31" s="1"/>
  <c r="P102" i="35"/>
  <c r="U82" i="35"/>
  <c r="Z82" i="35" s="1"/>
  <c r="AE82" i="35" s="1"/>
  <c r="AJ82" i="35" s="1"/>
  <c r="AO82" i="35" s="1"/>
  <c r="AT82" i="35" s="1"/>
  <c r="P102" i="30"/>
  <c r="U82" i="30"/>
  <c r="Z82" i="30" s="1"/>
  <c r="AE82" i="30" s="1"/>
  <c r="AJ82" i="30" s="1"/>
  <c r="AO82" i="30" s="1"/>
  <c r="AT82" i="30" s="1"/>
  <c r="U82" i="32"/>
  <c r="Z82" i="32" s="1"/>
  <c r="AE82" i="32" s="1"/>
  <c r="AJ82" i="32" s="1"/>
  <c r="AO82" i="32" s="1"/>
  <c r="AT82" i="32" s="1"/>
  <c r="U82" i="34"/>
  <c r="Z82" i="34" s="1"/>
  <c r="AE82" i="34" s="1"/>
  <c r="AJ82" i="34" s="1"/>
  <c r="AO82" i="34" s="1"/>
  <c r="AT82" i="34" s="1"/>
  <c r="I24" i="13"/>
  <c r="D35" i="13"/>
  <c r="E35" i="13"/>
  <c r="E33" i="13"/>
  <c r="D33" i="13"/>
  <c r="E32" i="13"/>
  <c r="D32" i="13"/>
  <c r="E31" i="13"/>
  <c r="D31" i="13"/>
  <c r="E30" i="13"/>
  <c r="D30" i="13"/>
  <c r="D29" i="13"/>
  <c r="E29" i="13"/>
  <c r="E28" i="13"/>
  <c r="D28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<sst xmlns="http://schemas.openxmlformats.org/spreadsheetml/2006/main" count="5647" uniqueCount="646">
  <si>
    <t>月別</t>
    <phoneticPr fontId="9"/>
  </si>
  <si>
    <t>工廠名</t>
    <phoneticPr fontId="9"/>
  </si>
  <si>
    <t>・・・・・・・・</t>
  </si>
  <si>
    <t>（１）收支狀況</t>
    <phoneticPr fontId="9"/>
  </si>
  <si>
    <t>※單位：千元</t>
    <phoneticPr fontId="9"/>
  </si>
  <si>
    <t>（２）ＫＰＩ達成進度</t>
    <phoneticPr fontId="9"/>
  </si>
  <si>
    <t>（３）業績構成比</t>
    <phoneticPr fontId="9"/>
  </si>
  <si>
    <t>（４）訂單數量構成比</t>
    <phoneticPr fontId="9"/>
  </si>
  <si>
    <t>當月</t>
    <phoneticPr fontId="9"/>
  </si>
  <si>
    <t>前月</t>
  </si>
  <si>
    <t>差異</t>
  </si>
  <si>
    <t>累計</t>
  </si>
  <si>
    <t>KPI</t>
    <phoneticPr fontId="9"/>
  </si>
  <si>
    <t>前月</t>
    <phoneticPr fontId="9"/>
  </si>
  <si>
    <t>※補充</t>
    <phoneticPr fontId="9"/>
  </si>
  <si>
    <t>比例</t>
    <phoneticPr fontId="9"/>
  </si>
  <si>
    <t>差異</t>
    <phoneticPr fontId="9"/>
  </si>
  <si>
    <t>業績金額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</si>
  <si>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9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</si>
  <si>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9"/>
  </si>
  <si>
    <t>飯糰</t>
    <phoneticPr fontId="9"/>
  </si>
  <si>
    <t>訂單數量</t>
    <phoneticPr fontId="9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</si>
  <si>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9"/>
  </si>
  <si>
    <t>達成率</t>
  </si>
  <si>
    <t>大口飯糰</t>
    <phoneticPr fontId="9"/>
  </si>
  <si>
    <t>材料費</t>
  </si>
  <si>
    <t>半成品報廢</t>
    <phoneticPr fontId="9"/>
  </si>
  <si>
    <t>報廢率</t>
    <phoneticPr fontId="9"/>
  </si>
  <si>
    <t>便當</t>
    <phoneticPr fontId="9"/>
  </si>
  <si>
    <t>材料費率</t>
  </si>
  <si>
    <t>半成品超用</t>
    <phoneticPr fontId="9"/>
  </si>
  <si>
    <t>超用率</t>
    <phoneticPr fontId="9"/>
  </si>
  <si>
    <t>調理麵</t>
    <phoneticPr fontId="9"/>
  </si>
  <si>
    <t>勞務成本</t>
    <phoneticPr fontId="9"/>
  </si>
  <si>
    <t>固定產線</t>
    <phoneticPr fontId="9"/>
  </si>
  <si>
    <t>導入率</t>
  </si>
  <si>
    <t>調理麵包</t>
    <phoneticPr fontId="9"/>
  </si>
  <si>
    <t>-</t>
  </si>
  <si>
    <t>-%</t>
  </si>
  <si>
    <t>勞務費率</t>
    <phoneticPr fontId="9"/>
  </si>
  <si>
    <t>教育訓練</t>
    <phoneticPr fontId="9"/>
  </si>
  <si>
    <t>實施率</t>
    <phoneticPr fontId="9"/>
  </si>
  <si>
    <t>袋裝調理麵包</t>
    <phoneticPr fontId="9"/>
  </si>
  <si>
    <t>義大利麵</t>
    <phoneticPr fontId="9"/>
  </si>
  <si>
    <t>（５）品群別人時生產性</t>
    <phoneticPr fontId="9"/>
  </si>
  <si>
    <t>調理包</t>
    <phoneticPr fontId="9"/>
  </si>
  <si>
    <t>（７）原因別分析</t>
    <phoneticPr fontId="9"/>
  </si>
  <si>
    <t>合計</t>
  </si>
  <si>
    <t>作業原因</t>
    <phoneticPr fontId="9"/>
  </si>
  <si>
    <t>規格原因</t>
    <phoneticPr fontId="9"/>
  </si>
  <si>
    <t>金額</t>
  </si>
  <si>
    <t>（６）人時生產性前幾名品項</t>
    <phoneticPr fontId="9"/>
  </si>
  <si>
    <t>排名</t>
    <phoneticPr fontId="9"/>
  </si>
  <si>
    <t>商品名</t>
  </si>
  <si>
    <t>人數</t>
    <phoneticPr fontId="9"/>
  </si>
  <si>
    <t>產能</t>
    <phoneticPr fontId="9"/>
  </si>
  <si>
    <t>人時生產性</t>
    <phoneticPr fontId="9"/>
  </si>
  <si>
    <t>前月比</t>
  </si>
  <si>
    <t>主要原因&amp;對策</t>
    <phoneticPr fontId="9"/>
  </si>
  <si>
    <t>（８）報廢原因別前幾名品項</t>
    <phoneticPr fontId="9"/>
  </si>
  <si>
    <t>手巻明太子</t>
  </si>
  <si>
    <t>減少暫時停止生產,人時UP</t>
    <phoneticPr fontId="9"/>
  </si>
  <si>
    <t>半成品名</t>
    <phoneticPr fontId="9"/>
  </si>
  <si>
    <t>單價</t>
    <phoneticPr fontId="9"/>
  </si>
  <si>
    <t>數量</t>
    <phoneticPr fontId="9"/>
  </si>
  <si>
    <t>明太子海苔便當</t>
    <phoneticPr fontId="9"/>
  </si>
  <si>
    <t>油炸白身魚</t>
    <phoneticPr fontId="9"/>
  </si>
  <si>
    <t>油調過多報廢。變更條件。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</si>
  <si>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9"/>
  </si>
  <si>
    <t>手巻卵黄雞絞肉</t>
    <phoneticPr fontId="9"/>
  </si>
  <si>
    <t>6/30新商品</t>
  </si>
  <si>
    <t>因組裝2食材,人員增加,產速減少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</si>
  <si>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9"/>
  </si>
  <si>
    <t>前幾名合計比例</t>
    <phoneticPr fontId="9"/>
  </si>
  <si>
    <t>前幾名合計金額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</si>
  <si>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9"/>
  </si>
  <si>
    <t>海老炒飯</t>
  </si>
  <si>
    <t>川燙蝦子拌醬</t>
    <phoneticPr fontId="9"/>
  </si>
  <si>
    <t>蝦子入數不足</t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</si>
  <si>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9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</si>
  <si>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9"/>
  </si>
  <si>
    <t>直巻明太子美奶茲</t>
    <phoneticPr fontId="9"/>
  </si>
  <si>
    <t>透由調整速度提升。</t>
    <phoneticPr fontId="9"/>
  </si>
  <si>
    <t>特製醬汁炙燒牛五花便當</t>
    <phoneticPr fontId="9"/>
  </si>
  <si>
    <t>牛五花醬汁</t>
    <phoneticPr fontId="9"/>
  </si>
  <si>
    <t>難度有差異。調理指導。</t>
    <phoneticPr fontId="9"/>
  </si>
  <si>
    <t>大口飯糰燒肉美奶滋</t>
    <phoneticPr fontId="9"/>
  </si>
  <si>
    <t>因摺疊增員。實施教育訓練。</t>
    <phoneticPr fontId="9"/>
  </si>
  <si>
    <t>牛五花燒成</t>
    <phoneticPr fontId="9"/>
  </si>
  <si>
    <t>因原料變更。</t>
    <phoneticPr fontId="9"/>
  </si>
  <si>
    <t>指導鋪開炒柴魚片</t>
    <phoneticPr fontId="9"/>
  </si>
  <si>
    <t>（９）歩留</t>
  </si>
  <si>
    <t>肉狀態不良，已連動開發</t>
    <phoneticPr fontId="9"/>
  </si>
  <si>
    <t>No.</t>
  </si>
  <si>
    <t>規格</t>
  </si>
  <si>
    <t>實績</t>
    <phoneticPr fontId="9"/>
  </si>
  <si>
    <t>主要原因&amp;對策</t>
  </si>
  <si>
    <t>燒成過多，調整調理條件。</t>
    <phoneticPr fontId="9"/>
  </si>
  <si>
    <t>大口飯糰三種起司午餐肉</t>
    <phoneticPr fontId="9"/>
  </si>
  <si>
    <t>３種起司燒成</t>
    <phoneticPr fontId="9"/>
  </si>
  <si>
    <t>與燒成範本不同。</t>
    <phoneticPr fontId="9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</si>
  <si>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2" type="noConversion"/>
  </si>
  <si>
    <t>工廠</t>
    <phoneticPr fontId="9"/>
  </si>
  <si>
    <t>晉欣廠</t>
    <phoneticPr fontId="12" type="noConversion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</si>
  <si>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9"/>
  </si>
  <si>
    <t>項目</t>
    <phoneticPr fontId="12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</si>
  <si>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</si>
  <si>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個／MH</t>
    <phoneticPr fontId="9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</si>
  <si>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9"/>
  </si>
  <si>
    <t>半成品-報廢(%)</t>
    <phoneticPr fontId="9"/>
  </si>
  <si>
    <t>半成品-超用(%)</t>
    <phoneticPr fontId="9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</si>
  <si>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9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</si>
  <si>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9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</si>
  <si>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2" type="noConversion"/>
  </si>
  <si>
    <t>18℃-飯A15:A23糰(061,063)</t>
  </si>
  <si>
    <t>18℃-壽司手卷(071,072,075,076)</t>
    <phoneticPr fontId="12" type="noConversion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</si>
  <si>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2" type="noConversion"/>
  </si>
  <si>
    <t>4℃-飯糰(065)</t>
  </si>
  <si>
    <t>4℃-壽司手卷(077)</t>
    <phoneticPr fontId="12" type="noConversion"/>
  </si>
  <si>
    <t>4℃-壽司手卷(077)</t>
  </si>
  <si>
    <t>主食(091,092,093,094,095)</t>
    <phoneticPr fontId="12" type="noConversion"/>
  </si>
  <si>
    <t>主食(091,092,093,094,095)</t>
  </si>
  <si>
    <t>便當(083)</t>
    <phoneticPr fontId="12" type="noConversion"/>
  </si>
  <si>
    <t>便當(083)</t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</si>
  <si>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2" type="noConversion"/>
  </si>
  <si>
    <t>熱食義麵(122,123,124,126)</t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</si>
  <si>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2" type="noConversion"/>
  </si>
  <si>
    <t>季節調理麵(111,112)</t>
  </si>
  <si>
    <t>微波小吃(153,154,155)</t>
    <phoneticPr fontId="12" type="noConversion"/>
  </si>
  <si>
    <t>微波小吃(153,154,155)</t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</si>
  <si>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9"/>
  </si>
  <si>
    <t>品群</t>
    <phoneticPr fontId="9"/>
  </si>
  <si>
    <t>18℃-壽司手卷(071,072,075,076)</t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</si>
  <si>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2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</si>
  <si>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2" type="noConversion"/>
  </si>
  <si>
    <t>日期</t>
    <phoneticPr fontId="12" type="noConversion"/>
  </si>
  <si>
    <t>營業額(元)</t>
    <phoneticPr fontId="12" type="noConversion"/>
  </si>
  <si>
    <t>訂單數量(個)</t>
    <phoneticPr fontId="12" type="noConversion"/>
  </si>
  <si>
    <t>材料費(元)</t>
    <phoneticPr fontId="12" type="noConversion"/>
  </si>
  <si>
    <t>材料費率（材料費／營業額）</t>
    <phoneticPr fontId="12" type="noConversion"/>
  </si>
  <si>
    <t>勞務成本（全廠人事成本）</t>
    <phoneticPr fontId="12" type="noConversion"/>
  </si>
  <si>
    <t>勞務費率（勞務成本／營業額）</t>
    <phoneticPr fontId="12" type="noConversion"/>
  </si>
  <si>
    <t>日</t>
    <phoneticPr fontId="12" type="noConversion"/>
  </si>
  <si>
    <t>週累積</t>
    <phoneticPr fontId="12" type="noConversion"/>
  </si>
  <si>
    <t>月累積</t>
    <phoneticPr fontId="12" type="noConversion"/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</si>
  <si>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2" type="noConversion"/>
  </si>
  <si>
    <t>八</t>
    <phoneticPr fontId="12" type="noConversion"/>
  </si>
  <si>
    <t>一</t>
  </si>
  <si>
    <t>二</t>
  </si>
  <si>
    <t>三</t>
  </si>
  <si>
    <t>四</t>
  </si>
  <si>
    <t>五</t>
  </si>
  <si>
    <t>六</t>
  </si>
  <si>
    <t>日</t>
  </si>
  <si>
    <t>KPI</t>
    <phoneticPr fontId="12" type="noConversion"/>
  </si>
  <si>
    <t>（２）ＫＰＩ達成進度</t>
    <phoneticPr fontId="12" type="noConversion"/>
  </si>
  <si>
    <t xml:space="preserve">人時生產性(個/人) </t>
  </si>
  <si>
    <t xml:space="preserve">人時生產性達成率(%) </t>
  </si>
  <si>
    <t xml:space="preserve">半成品報廢(%) </t>
    <phoneticPr fontId="12" type="noConversion"/>
  </si>
  <si>
    <t xml:space="preserve">半成品超用(%) </t>
  </si>
  <si>
    <t>固定產線-導入率(固定產線數/總產線數)</t>
  </si>
  <si>
    <t>教育訓練-實施率(進度/計畫)</t>
  </si>
  <si>
    <t>週平均</t>
    <phoneticPr fontId="12" type="noConversion"/>
  </si>
  <si>
    <t>月平均</t>
    <phoneticPr fontId="12" type="noConversion"/>
  </si>
  <si>
    <t>（3）業績構成比</t>
    <phoneticPr fontId="12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</si>
  <si>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2" type="noConversion"/>
  </si>
  <si>
    <t>營業額</t>
    <phoneticPr fontId="12" type="noConversion"/>
  </si>
  <si>
    <t>品類業績</t>
    <phoneticPr fontId="12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</si>
  <si>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</si>
  <si>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</si>
  <si>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2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</si>
  <si>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2" type="noConversion"/>
  </si>
  <si>
    <t>主食</t>
    <phoneticPr fontId="12" type="noConversion"/>
  </si>
  <si>
    <t>便當</t>
    <phoneticPr fontId="12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</si>
  <si>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</si>
  <si>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2" type="noConversion"/>
  </si>
  <si>
    <t>微波小吃</t>
    <phoneticPr fontId="12" type="noConversion"/>
  </si>
  <si>
    <t>一配</t>
    <phoneticPr fontId="12" type="noConversion"/>
  </si>
  <si>
    <t>二配</t>
    <phoneticPr fontId="12" type="noConversion"/>
  </si>
  <si>
    <t>合計</t>
    <phoneticPr fontId="12" type="noConversion"/>
  </si>
  <si>
    <t>業績(元)</t>
    <phoneticPr fontId="12" type="noConversion"/>
  </si>
  <si>
    <t>比例(%)</t>
    <phoneticPr fontId="12" type="noConversion"/>
  </si>
  <si>
    <t>（4）訂單數量構成比</t>
    <phoneticPr fontId="12" type="noConversion"/>
  </si>
  <si>
    <t>訂單量</t>
    <phoneticPr fontId="12" type="noConversion"/>
  </si>
  <si>
    <t>品類訂單量</t>
    <phoneticPr fontId="12" type="noConversion"/>
  </si>
  <si>
    <t>訂單數</t>
    <phoneticPr fontId="12" type="noConversion"/>
  </si>
  <si>
    <t>月平均人時性</t>
    <phoneticPr fontId="12" type="noConversion"/>
  </si>
  <si>
    <t>產線配置圖－每週更新</t>
    <phoneticPr fontId="12" type="noConversion"/>
  </si>
  <si>
    <t>資料繳交</t>
    <phoneticPr fontId="12" type="noConversion"/>
  </si>
  <si>
    <t>一</t>
    <phoneticPr fontId="12" type="noConversion"/>
  </si>
  <si>
    <t>品群</t>
    <phoneticPr fontId="12" type="noConversion"/>
  </si>
  <si>
    <t>商品名稱</t>
    <phoneticPr fontId="12" type="noConversion"/>
  </si>
  <si>
    <t>計畫</t>
    <phoneticPr fontId="12" type="noConversion"/>
  </si>
  <si>
    <t>平均人時性</t>
    <phoneticPr fontId="12" type="noConversion"/>
  </si>
  <si>
    <t>實績</t>
    <phoneticPr fontId="12" type="noConversion"/>
  </si>
  <si>
    <t>排名</t>
    <phoneticPr fontId="12" type="noConversion"/>
  </si>
  <si>
    <t>日報</t>
    <phoneticPr fontId="12" type="noConversion"/>
  </si>
  <si>
    <t>實際</t>
    <phoneticPr fontId="12" type="noConversion"/>
  </si>
  <si>
    <t>產線配置圖</t>
    <phoneticPr fontId="12" type="noConversion"/>
  </si>
  <si>
    <t>生產實績</t>
    <phoneticPr fontId="12" type="noConversion"/>
  </si>
  <si>
    <t>人數</t>
    <phoneticPr fontId="12" type="noConversion"/>
  </si>
  <si>
    <t>產能／時</t>
    <phoneticPr fontId="12" type="noConversion"/>
  </si>
  <si>
    <t>人時性</t>
    <phoneticPr fontId="12" type="noConversion"/>
  </si>
  <si>
    <t>18℃-飯糰</t>
  </si>
  <si>
    <t>經典肉鬆飯糰</t>
  </si>
  <si>
    <t>蔬食鮪魚飯糰</t>
  </si>
  <si>
    <t>北海道秋鮭親子飯糰</t>
  </si>
  <si>
    <t>熟成紅鮭飯糰</t>
  </si>
  <si>
    <t>贅沢鮭魚肚飯糰</t>
  </si>
  <si>
    <t>鮪魚飯糰</t>
  </si>
  <si>
    <t>壹號醬炙烤牛飯糰</t>
  </si>
  <si>
    <t>明太子龍蝦風味沙拉飯糰</t>
  </si>
  <si>
    <t>鹽蔥燒肉飯糰</t>
  </si>
  <si>
    <t>香辣鹹水雞飯糰(區)</t>
  </si>
  <si>
    <t>胡麻鮮蔬雞絲飯糰(區)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</si>
  <si>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</si>
  <si>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</si>
  <si>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</si>
  <si>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</si>
  <si>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</si>
  <si>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</si>
  <si>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</si>
  <si>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哇沙米魚卵沙拉飯糰</t>
  </si>
  <si>
    <t>二</t>
    <phoneticPr fontId="12" type="noConversion"/>
  </si>
  <si>
    <t>三</t>
    <phoneticPr fontId="12" type="noConversion"/>
  </si>
  <si>
    <t>四</t>
    <phoneticPr fontId="12" type="noConversion"/>
  </si>
  <si>
    <t>五</t>
    <phoneticPr fontId="12" type="noConversion"/>
  </si>
  <si>
    <t>六</t>
    <phoneticPr fontId="12" type="noConversion"/>
  </si>
  <si>
    <t>筋子銀鮭飯糰</t>
  </si>
  <si>
    <t>博多明太子奶油飯糰</t>
  </si>
  <si>
    <t>照燒鰤魚大根飯糰</t>
  </si>
  <si>
    <t>照燒雞肉飯糰</t>
  </si>
  <si>
    <t>月平均人時性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</si>
  <si>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</si>
  <si>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</si>
  <si>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</si>
  <si>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</si>
  <si>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</si>
  <si>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</si>
  <si>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</si>
  <si>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</si>
  <si>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新之助の豆皮壽司喔</t>
  </si>
  <si>
    <t>香濃起司蟹風味棒細卷</t>
  </si>
  <si>
    <t>經典鮪魚沙拉細卷</t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</si>
  <si>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2" type="noConversion"/>
  </si>
  <si>
    <t>鮭魚炙燒明太子烤飯糰</t>
  </si>
  <si>
    <t>淡麗清酒蒸蛤蜊烤飯糰</t>
  </si>
  <si>
    <t>糖燻野郎起司炙燒牛烤飯糰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</si>
  <si>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</si>
  <si>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</si>
  <si>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</si>
  <si>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</si>
  <si>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</si>
  <si>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</si>
  <si>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麻油雞飯糰</t>
  </si>
  <si>
    <t>肉燥烤飯糰</t>
  </si>
  <si>
    <t>德腸烤飯糰雙拼餐盒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</si>
  <si>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2" type="noConversion"/>
  </si>
  <si>
    <t>日式明太子炙烤牛飯卷</t>
  </si>
  <si>
    <t>v</t>
    <phoneticPr fontId="12" type="noConversion"/>
  </si>
  <si>
    <t>德式酸菜燻腸飯卷</t>
  </si>
  <si>
    <t>(隨)優質池上飯</t>
  </si>
  <si>
    <t>優質池上飯</t>
  </si>
  <si>
    <t>多穀紫米飯</t>
  </si>
  <si>
    <t>壽喜燒牛丼</t>
  </si>
  <si>
    <t>蒜蒜燒豚飯</t>
  </si>
  <si>
    <t>姨次滿足熟成牛豚雙拼</t>
  </si>
  <si>
    <t>極上炙烤親子丼</t>
  </si>
  <si>
    <t>鐵板滑蛋炸豬排丼</t>
  </si>
  <si>
    <t>二配香拌海鮮醬肉絲蛋炒飯</t>
  </si>
  <si>
    <t>二配香辣醬蒜味香腸蛋炒飯</t>
  </si>
  <si>
    <t>二配三杯海瓜子好下飯</t>
  </si>
  <si>
    <t>二配粗飽系雞排炒飯</t>
  </si>
  <si>
    <t>二配里肌豬排可可咖哩歐姆蛋飯</t>
  </si>
  <si>
    <t>二配黃金雞排蘑菇白醬歐姆蛋飯</t>
  </si>
  <si>
    <t>柚見極炙烤牛</t>
  </si>
  <si>
    <t>二配煸椒烘蛋飯</t>
  </si>
  <si>
    <t>二配港式香滑嫩蛋牛肉燴飯</t>
  </si>
  <si>
    <t>二配金咖哩濃厚辛辣咖哩飯</t>
  </si>
  <si>
    <t>二配川味麻婆燒豆腐燴飯</t>
  </si>
  <si>
    <t>二配金咖哩果香甘口咖哩飯</t>
  </si>
  <si>
    <t>二配鐵板蘑菇肉醬起司焗飯</t>
  </si>
  <si>
    <t>二配哞哞培根奶香海陸焗飯</t>
  </si>
  <si>
    <t>二配極旨黑咖哩漢堡排飯</t>
  </si>
  <si>
    <t>二配美味蟹煲</t>
  </si>
  <si>
    <t>二配乳酪燻腸紅醬焗飯</t>
  </si>
  <si>
    <t>白味噌壽喜燒飯</t>
  </si>
  <si>
    <t>妮妮家漢堡排</t>
  </si>
  <si>
    <t>嘉義劉里長雞肉飯</t>
  </si>
  <si>
    <t>嫩烤香料雞胸排蔬滿盒</t>
  </si>
  <si>
    <t>經典滷肉飯</t>
  </si>
  <si>
    <t>新招牌腿排便當</t>
  </si>
  <si>
    <t>美式雞丁餐盒</t>
  </si>
  <si>
    <t>健身G肉餐盒</t>
  </si>
  <si>
    <t>烤蛋白餐盒</t>
  </si>
  <si>
    <t>紅燒肉日式高湯咖哩便當</t>
  </si>
  <si>
    <t>海陸雙拼肉肉餐盒</t>
  </si>
  <si>
    <t>蔬活腿排補力餐盒</t>
  </si>
  <si>
    <t>熱食義麵</t>
    <phoneticPr fontId="12" type="noConversion"/>
  </si>
  <si>
    <t>沙茶豬肉炒麵</t>
  </si>
  <si>
    <t>府城鹽水意麵</t>
  </si>
  <si>
    <t>滿滿杏鮑菇三杯拌麵</t>
  </si>
  <si>
    <t>炙烤燒肉拌麵</t>
  </si>
  <si>
    <t>春日部防衛隊的咖哩炒麵</t>
  </si>
  <si>
    <t>蕃茄起司手工千層麵(區)</t>
  </si>
  <si>
    <t>魚介雞叉燒辣拌麵</t>
  </si>
  <si>
    <t>雙醬雞排鐵板麵</t>
  </si>
  <si>
    <t>家傳炸醬麵</t>
  </si>
  <si>
    <t>擔仔炊粉湯</t>
  </si>
  <si>
    <t>季節調理麵</t>
    <phoneticPr fontId="12" type="noConversion"/>
  </si>
  <si>
    <t>椒麻香蔥雞涼拌麵</t>
  </si>
  <si>
    <t>台式麻醬涼麵</t>
  </si>
  <si>
    <t>日式蕎麥沾麵</t>
  </si>
  <si>
    <t>大滿足香辣涼麵</t>
  </si>
  <si>
    <t>大滿足麻醬涼麵</t>
  </si>
  <si>
    <t>糖燻豬耳絲</t>
  </si>
  <si>
    <t>韓式蒜味炸雞</t>
  </si>
  <si>
    <t>香辣醬粉絲煲</t>
  </si>
  <si>
    <t>摩登燒</t>
  </si>
  <si>
    <t>古早味炒炊粉</t>
  </si>
  <si>
    <t>燻之味-糖燻雞胗</t>
  </si>
  <si>
    <t>蒜泥狠台味三拼</t>
  </si>
  <si>
    <t>韓式部隊鍋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</si>
  <si>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2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</si>
  <si>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2" type="noConversion"/>
  </si>
  <si>
    <r>
      <t>18℃-飯</t>
    </r>
    <r>
      <rPr>
        <sz val="11"/>
        <color theme="1"/>
        <rFont val="Arial"/>
        <family val="2"/>
      </rPr>
      <t>糰</t>
    </r>
  </si>
  <si>
    <t>18℃-壽司手卷</t>
  </si>
  <si>
    <r>
      <t>4℃-飯</t>
    </r>
    <r>
      <rPr>
        <sz val="11"/>
        <color theme="1"/>
        <rFont val="Arial"/>
        <family val="3"/>
        <charset val="136"/>
      </rPr>
      <t>糰</t>
    </r>
  </si>
  <si>
    <t>4℃-壽司手卷</t>
  </si>
  <si>
    <t>主食</t>
  </si>
  <si>
    <t>便當</t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</si>
  <si>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</si>
  <si>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</si>
  <si>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微波小吃</t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</si>
  <si>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9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</si>
  <si>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9"/>
  </si>
  <si>
    <t>－</t>
    <phoneticPr fontId="12" type="noConversion"/>
  </si>
  <si>
    <r>
      <rPr>
        <sz val="9"/>
        <color theme="1"/>
        <rFont val="細明體"/>
        <family val="3"/>
        <charset val="136"/>
      </rPr>
      <t>飯糰</t>
    </r>
    <r>
      <rPr>
        <sz val="9"/>
        <color theme="1"/>
        <rFont val="Meiryo UI"/>
        <family val="2"/>
      </rPr>
      <t>商品</t>
    </r>
    <r>
      <rPr>
        <sz val="9"/>
        <color theme="1"/>
        <rFont val="細明體"/>
        <family val="3"/>
        <charset val="136"/>
      </rPr>
      <t>人時生產性差異不大</t>
    </r>
    <r>
      <rPr>
        <sz val="9"/>
        <color theme="1"/>
        <rFont val="Meiryo UI"/>
        <family val="2"/>
      </rPr>
      <t>，差別在於訂單量，前5名</t>
    </r>
    <r>
      <rPr>
        <sz val="9"/>
        <color theme="1"/>
        <rFont val="細明體"/>
        <family val="3"/>
        <charset val="136"/>
      </rPr>
      <t>皆</t>
    </r>
    <r>
      <rPr>
        <sz val="9"/>
        <color theme="1"/>
        <rFont val="Meiryo UI"/>
        <family val="2"/>
      </rPr>
      <t>為3人作業，除鮪魚飯</t>
    </r>
    <r>
      <rPr>
        <sz val="9"/>
        <color theme="1"/>
        <rFont val="細明體"/>
        <family val="3"/>
        <charset val="136"/>
      </rPr>
      <t>糰</t>
    </r>
    <r>
      <rPr>
        <sz val="9"/>
        <color theme="1"/>
        <rFont val="Meiryo UI"/>
        <family val="2"/>
      </rPr>
      <t>訂單量大，人時生</t>
    </r>
    <r>
      <rPr>
        <sz val="9"/>
        <color theme="1"/>
        <rFont val="細明體"/>
        <family val="3"/>
        <charset val="136"/>
      </rPr>
      <t>產</t>
    </r>
    <r>
      <rPr>
        <sz val="9"/>
        <color theme="1"/>
        <rFont val="Meiryo UI"/>
        <family val="2"/>
      </rPr>
      <t>性高，</t>
    </r>
    <r>
      <rPr>
        <sz val="9"/>
        <color theme="1"/>
        <rFont val="細明體"/>
        <family val="3"/>
        <charset val="136"/>
      </rPr>
      <t>其餘排名的差異影響原因為訂單及生產順暢度。</t>
    </r>
    <phoneticPr fontId="12" type="noConversion"/>
  </si>
  <si>
    <t>▼1</t>
    <phoneticPr fontId="9"/>
  </si>
  <si>
    <r>
      <t>9/30</t>
    </r>
    <r>
      <rPr>
        <sz val="11"/>
        <color theme="1"/>
        <rFont val="細明體"/>
        <family val="3"/>
        <charset val="136"/>
      </rPr>
      <t>改為</t>
    </r>
    <r>
      <rPr>
        <sz val="11"/>
        <color theme="1"/>
        <rFont val="Meiryo UI"/>
        <family val="2"/>
      </rPr>
      <t>GKK</t>
    </r>
    <r>
      <rPr>
        <sz val="11"/>
        <color theme="1"/>
        <rFont val="細明體"/>
        <family val="3"/>
        <charset val="136"/>
      </rPr>
      <t>生產</t>
    </r>
    <phoneticPr fontId="12" type="noConversion"/>
  </si>
  <si>
    <t>▼2</t>
    <phoneticPr fontId="9"/>
  </si>
  <si>
    <t>▼3</t>
    <phoneticPr fontId="9"/>
  </si>
  <si>
    <t>雙料作業需較多人力，以致尾數幾名為雙料飯糰居多。</t>
    <phoneticPr fontId="12" type="noConversion"/>
  </si>
  <si>
    <t>▼4</t>
    <phoneticPr fontId="9"/>
  </si>
  <si>
    <t>▼5</t>
    <phoneticPr fontId="9"/>
  </si>
  <si>
    <t>訂單量減少</t>
    <phoneticPr fontId="12" type="noConversion"/>
  </si>
  <si>
    <t>香濃起司蟹風味棒細卷</t>
    <phoneticPr fontId="12" type="noConversion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</si>
  <si>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12" type="noConversion"/>
  </si>
  <si>
    <t>手卷系列人時性差異不大，差異在人員作業順暢度</t>
    <phoneticPr fontId="12" type="noConversion"/>
  </si>
  <si>
    <t>4℃-飯糰</t>
  </si>
  <si>
    <t>鮭魚炙燒明太子烤飯糰</t>
    <phoneticPr fontId="12" type="noConversion"/>
  </si>
  <si>
    <t>－</t>
  </si>
  <si>
    <t>烤飯糰包裝作業產力/產能平均，差別在於訂單量，訂單量越少，人時生產性越低</t>
    <phoneticPr fontId="12" type="noConversion"/>
  </si>
  <si>
    <t>淡麗清酒蒸蛤蜊烤飯糰</t>
    <phoneticPr fontId="12" type="noConversion"/>
  </si>
  <si>
    <t>糖燻野郎起司炙燒牛烤飯糰</t>
    <phoneticPr fontId="12" type="noConversion"/>
  </si>
  <si>
    <t>肉燥烤飯糰</t>
    <phoneticPr fontId="12" type="noConversion"/>
  </si>
  <si>
    <t>大口義式香草雞腿排飯糰</t>
    <phoneticPr fontId="12" type="noConversion"/>
  </si>
  <si>
    <t>麻油雞飯糰</t>
    <phoneticPr fontId="12" type="noConversion"/>
  </si>
  <si>
    <t>手工包裝產品，所需人力較多，人時性較低</t>
    <phoneticPr fontId="12" type="noConversion"/>
  </si>
  <si>
    <t>大口蒜味香腸燒肉雙拼飯糰</t>
    <phoneticPr fontId="12" type="noConversion"/>
  </si>
  <si>
    <t>大口金黃薯牛堡飯糰</t>
    <phoneticPr fontId="12" type="noConversion"/>
  </si>
  <si>
    <t>大口歐風焙煎咖哩漢堡排飯糰</t>
    <phoneticPr fontId="12" type="noConversion"/>
  </si>
  <si>
    <t>大口日式塔塔醬蝦排飯糰</t>
    <phoneticPr fontId="12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</si>
  <si>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12" type="noConversion"/>
  </si>
  <si>
    <t>賣相要求，肉片擺放不易，人時性較低。</t>
    <phoneticPr fontId="12" type="noConversion"/>
  </si>
  <si>
    <t>人時生產性與產力與上周差異小，差異在人員作業順暢度</t>
    <phoneticPr fontId="12" type="noConversion"/>
  </si>
  <si>
    <t>訂單量較低</t>
    <phoneticPr fontId="12" type="noConversion"/>
  </si>
  <si>
    <t>熱食義麵</t>
  </si>
  <si>
    <t>組合室做包裝，所需人力較少</t>
    <phoneticPr fontId="12" type="noConversion"/>
  </si>
  <si>
    <t>L型商品包裝，須貼日期標、下標、圖卡，所需人力較多</t>
    <phoneticPr fontId="12" type="noConversion"/>
  </si>
  <si>
    <t>季節調理麵</t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</si>
  <si>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2" type="noConversion"/>
  </si>
  <si>
    <t>因半成品需秤重，人時性較高</t>
    <phoneticPr fontId="12" type="noConversion"/>
  </si>
  <si>
    <t>日式胡麻雞絲冷麵</t>
  </si>
  <si>
    <t>八爪機台作業，人時性較高</t>
    <phoneticPr fontId="12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</si>
  <si>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2" type="noConversion"/>
  </si>
  <si>
    <t>業績金額</t>
    <phoneticPr fontId="12" type="noConversion"/>
  </si>
  <si>
    <t>展開量高於１０5％</t>
    <phoneticPr fontId="9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</si>
  <si>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9"/>
  </si>
  <si>
    <t>製程不穩</t>
    <phoneticPr fontId="9"/>
  </si>
  <si>
    <t>抓樣不穩</t>
    <phoneticPr fontId="9"/>
  </si>
  <si>
    <t>報廢</t>
    <phoneticPr fontId="9"/>
  </si>
  <si>
    <t>超用</t>
    <phoneticPr fontId="9"/>
  </si>
  <si>
    <t>原物料規格</t>
    <phoneticPr fontId="9"/>
  </si>
  <si>
    <t>研發設定</t>
    <phoneticPr fontId="9"/>
  </si>
  <si>
    <t>其他原因</t>
    <phoneticPr fontId="9"/>
  </si>
  <si>
    <r>
      <rPr>
        <b/>
        <sz val="14"/>
        <color rgb="FF000000"/>
        <rFont val="Arial"/>
      </rPr>
      <t>步</t>
    </r>
    <r>
      <rPr>
        <b/>
        <sz val="14"/>
        <color rgb="FF000000"/>
        <rFont val="Meiryo UI"/>
      </rPr>
      <t>留因素</t>
    </r>
  </si>
  <si>
    <t>（８）報廢原因別前幾名品項</t>
    <phoneticPr fontId="12" type="noConversion"/>
  </si>
  <si>
    <t>類型</t>
    <phoneticPr fontId="12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</si>
  <si>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9"/>
  </si>
  <si>
    <t>取樣不穩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</si>
  <si>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9"/>
  </si>
  <si>
    <t>前月比</t>
    <phoneticPr fontId="12" type="noConversion"/>
  </si>
  <si>
    <t>展開量高於１０5％</t>
    <phoneticPr fontId="12" type="noConversion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</si>
  <si>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2" type="noConversion"/>
  </si>
  <si>
    <t>薑炒筍尾</t>
  </si>
  <si>
    <t>反應調配課級，追蹤三天備料狀況</t>
  </si>
  <si>
    <t>二配炒洋菇片</t>
  </si>
  <si>
    <t>共用類</t>
  </si>
  <si>
    <t>日式烤洋蔥絲(114年)</t>
  </si>
  <si>
    <t>二配川燙切片青江菜</t>
  </si>
  <si>
    <t>蒸全熟雞肉片CL</t>
  </si>
  <si>
    <t>製程不穩</t>
    <phoneticPr fontId="12" type="noConversion"/>
  </si>
  <si>
    <t>粉絲煲湯凍</t>
  </si>
  <si>
    <t>確認備料是否正確，重新計算製成率範圍，調整出料率</t>
  </si>
  <si>
    <t>煮家傳炸醬湯凍</t>
  </si>
  <si>
    <t>煮魚介湯凍</t>
  </si>
  <si>
    <t>炒紅K碎蛋</t>
  </si>
  <si>
    <t>蒜炒紅K高麗菜(111年)</t>
  </si>
  <si>
    <t>煮意麵肉燥</t>
  </si>
  <si>
    <t>增加線上抽秤頻率</t>
  </si>
  <si>
    <t>二配果香甘口咖哩醬</t>
  </si>
  <si>
    <t>二配濃辛辣咖哩醬</t>
  </si>
  <si>
    <t>原物料規格</t>
  </si>
  <si>
    <t>川燙青花菜</t>
  </si>
  <si>
    <t>原物料大小差異</t>
  </si>
  <si>
    <t>炙烤雞腿丁(113年)</t>
  </si>
  <si>
    <t>腿肉丁大小差異</t>
  </si>
  <si>
    <t>二配果香甘口咖哩腿丁</t>
  </si>
  <si>
    <t>炒咖哩腿肉丁</t>
  </si>
  <si>
    <t>二配川燙醃嫩化淨零碳排牛肉片</t>
  </si>
  <si>
    <t>研發設定</t>
  </si>
  <si>
    <t>18切烤千層麵</t>
  </si>
  <si>
    <t>製程報廢</t>
  </si>
  <si>
    <t>蒸鼎泰豐香辣醬</t>
  </si>
  <si>
    <t>烤60切豆腐蛋白丁</t>
  </si>
  <si>
    <t>切蒸前腿肉</t>
  </si>
  <si>
    <t>切-烤台式肉片</t>
  </si>
  <si>
    <t>其他原因</t>
    <phoneticPr fontId="12" type="noConversion"/>
  </si>
  <si>
    <t>（８）超用原因別前幾名品項</t>
    <phoneticPr fontId="12" type="noConversion"/>
  </si>
  <si>
    <t>取樣不穩</t>
    <phoneticPr fontId="9"/>
  </si>
  <si>
    <t>二配蒸海鮮醬(料)</t>
  </si>
  <si>
    <t>二配(V)炒素雞肉絲</t>
  </si>
  <si>
    <t>二配川燙辣椒圓片</t>
  </si>
  <si>
    <t>二配三杯海瓜子</t>
  </si>
  <si>
    <t>二配川燙青紅辣椒圓片</t>
  </si>
  <si>
    <t>炒壽喜燒牛培根</t>
  </si>
  <si>
    <t>日式牛培根</t>
  </si>
  <si>
    <t>蒸-醬香雞肉絲CL(全)</t>
  </si>
  <si>
    <t>切筋子</t>
  </si>
  <si>
    <t>粗剝-蒸鰤魚</t>
  </si>
  <si>
    <t>切蒸新原味雞胸排CL</t>
  </si>
  <si>
    <t>原物料大小、厚薄差異</t>
    <phoneticPr fontId="12" type="noConversion"/>
  </si>
  <si>
    <t>切烤雞胸肉</t>
  </si>
  <si>
    <t>解凍-醬油漬鮭魚卵</t>
  </si>
  <si>
    <t>單價高</t>
    <phoneticPr fontId="12" type="noConversion"/>
  </si>
  <si>
    <t>切博多明太子</t>
  </si>
  <si>
    <t>切-炙燒炭火燒肉片</t>
  </si>
  <si>
    <t>賣相要鋪滿</t>
    <phoneticPr fontId="12" type="noConversion"/>
  </si>
  <si>
    <t>切-鹽烤牛肉</t>
  </si>
  <si>
    <t>壹號醬雞豚雙拼</t>
  </si>
  <si>
    <t>切-究極燒肉片</t>
  </si>
  <si>
    <t>二配蒸鼎泰豐香辣醬</t>
  </si>
  <si>
    <t>不拆袋加熱</t>
    <phoneticPr fontId="12" type="noConversion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</si>
  <si>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2" type="noConversion"/>
  </si>
  <si>
    <t>原料原因</t>
    <phoneticPr fontId="9"/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</si>
  <si>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</si>
  <si>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月別</t>
    <phoneticPr fontId="12" type="noConversion"/>
  </si>
  <si>
    <t>明細展開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</si>
  <si>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</si>
  <si>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t>類別</t>
  </si>
  <si>
    <t>分析原因</t>
    <phoneticPr fontId="12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</si>
  <si>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2" type="noConversion"/>
  </si>
  <si>
    <t>後續對策</t>
    <phoneticPr fontId="12" type="noConversion"/>
  </si>
  <si>
    <t>次數</t>
    <phoneticPr fontId="12" type="noConversion"/>
  </si>
  <si>
    <t>備註-商品名稱</t>
  </si>
  <si>
    <t>分析原因（件）</t>
    <phoneticPr fontId="12" type="noConversion"/>
  </si>
  <si>
    <t>排序</t>
  </si>
  <si>
    <t>半成品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</si>
  <si>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</si>
  <si>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t>組合端</t>
  </si>
  <si>
    <t>名稱</t>
  </si>
  <si>
    <t>報廢金額</t>
    <phoneticPr fontId="12" type="noConversion"/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</si>
  <si>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</si>
  <si>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t>報廢</t>
  </si>
  <si>
    <t>超用</t>
  </si>
  <si>
    <t>訂單需求
(kg)</t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</si>
  <si>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2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</si>
  <si>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2" type="noConversion"/>
  </si>
  <si>
    <t>補單
(kg)</t>
  </si>
  <si>
    <t>補單占比</t>
    <phoneticPr fontId="12" type="noConversion"/>
  </si>
  <si>
    <t>單價
(元)</t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</si>
  <si>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</si>
  <si>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差異
(元)</t>
  </si>
  <si>
    <t>kg</t>
  </si>
  <si>
    <t>占比</t>
  </si>
  <si>
    <t>金額
(元)</t>
  </si>
  <si>
    <t>總件數</t>
    <phoneticPr fontId="12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</si>
  <si>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2" type="noConversion"/>
  </si>
  <si>
    <t>取樣不穩</t>
    <phoneticPr fontId="12" type="noConversion"/>
  </si>
  <si>
    <t>原物料規格</t>
    <phoneticPr fontId="12" type="noConversion"/>
  </si>
  <si>
    <t>研發設定</t>
    <phoneticPr fontId="12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</si>
  <si>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2" type="noConversion"/>
  </si>
  <si>
    <t>九</t>
    <phoneticPr fontId="12" type="noConversion"/>
  </si>
  <si>
    <t>生產課</t>
  </si>
  <si>
    <t>擠醬機因為各個品項的半成品攪拌均勻度不足，造成擠出的量會有些微差異。</t>
    <phoneticPr fontId="12" type="noConversion"/>
  </si>
  <si>
    <t>對於不同的半成品及使用量設定不同的出料設定。觀察平均的用料量，調整用料率以降低報廢量。</t>
    <phoneticPr fontId="12" type="noConversion"/>
  </si>
  <si>
    <t>月前二十</t>
    <phoneticPr fontId="12" type="noConversion"/>
  </si>
  <si>
    <t>使用冰杓進行放料，半成品的組成及挖醬的手法影響實際放料量。</t>
    <phoneticPr fontId="12" type="noConversion"/>
  </si>
  <si>
    <t>1.針對訂單量大的半成品尋找更加適用的挖醬定量工具。2.對於挖醬手法較不穩定的人員，請生產幹部特別確認並加強技能訓練。</t>
    <phoneticPr fontId="12" type="noConversion"/>
  </si>
  <si>
    <t>高麗菜梗、葉的組成影響人員放料的手感，進而造成放料量不穩定。</t>
    <phoneticPr fontId="12" type="noConversion"/>
  </si>
  <si>
    <t>1.反應調配課確認高麗菜分切的手法，減少大梗的生產。2.生產線上增加線上抽秤的頻率以穩定放料量。3.盡量以固定的人員進行放料以培養人員放料的手感。</t>
    <phoneticPr fontId="12" type="noConversion"/>
  </si>
  <si>
    <t>其他</t>
  </si>
  <si>
    <t>1.農產品原物料大小重量差異，造成放料差。2.原物料個體重量差異造成放料重量的差異，有多一個超用，少一個不足重的狀況。未降低因半成品不足的補單工時而有提高展開量。</t>
    <phoneticPr fontId="12" type="noConversion"/>
  </si>
  <si>
    <t>反應物料課進貨時進行抽秤，確認原物料穩定。</t>
    <phoneticPr fontId="12" type="noConversion"/>
  </si>
  <si>
    <t>調配課</t>
  </si>
  <si>
    <t>製程不穩</t>
  </si>
  <si>
    <t>因為調理過程中，受到加熱時間，糖鹽度值測定值的影響，導致實際出料量會有浮動。</t>
    <phoneticPr fontId="12" type="noConversion"/>
  </si>
  <si>
    <t>1.連動調理單位確認製程狀況是否異常。2.連動製管確認冷卻前糖鹽度是否符合設定。3.調理關所確認冷卻後糖鹽度是否在範圍內。4.收集實際製程率後進行出料率調整</t>
    <phoneticPr fontId="12" type="noConversion"/>
  </si>
  <si>
    <t>二配歐姆蛋(111年版)</t>
  </si>
  <si>
    <t>調理多產</t>
  </si>
  <si>
    <t>二配鼎泰豐-麻婆豆腐燴汁(113年)</t>
  </si>
  <si>
    <t>二配180切-蒸家常豆腐</t>
  </si>
  <si>
    <t>半成品為秤狀放料，水分殘留影響半成品的秤重狀況。</t>
    <phoneticPr fontId="12" type="noConversion"/>
  </si>
  <si>
    <r>
      <t>1.</t>
    </r>
    <r>
      <rPr>
        <sz val="12"/>
        <color theme="1"/>
        <rFont val="細明體"/>
        <family val="3"/>
        <charset val="136"/>
      </rPr>
      <t>增加線上半成品放料抽秤頻率</t>
    </r>
    <r>
      <rPr>
        <sz val="12"/>
        <color theme="1"/>
        <rFont val="Meiryo UI"/>
        <family val="2"/>
      </rPr>
      <t>。2.</t>
    </r>
    <r>
      <rPr>
        <sz val="12"/>
        <color theme="1"/>
        <rFont val="細明體"/>
        <family val="3"/>
        <charset val="136"/>
      </rPr>
      <t>設定該類半成品殘水去除頻率，穩定秤重</t>
    </r>
    <r>
      <rPr>
        <sz val="12"/>
        <color theme="1"/>
        <rFont val="Meiryo UI"/>
        <family val="2"/>
      </rPr>
      <t>。</t>
    </r>
    <phoneticPr fontId="12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</si>
  <si>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2" type="noConversion"/>
  </si>
  <si>
    <t>(V)煮素三杯湯凍</t>
  </si>
  <si>
    <t>雞肉飯醬汁(113年)</t>
  </si>
  <si>
    <t>二配鼎泰豐-煮麻婆豆腐(113年)</t>
  </si>
  <si>
    <t>其他原因</t>
  </si>
  <si>
    <t>二配歐姆蛋-黑咖哩醬</t>
  </si>
  <si>
    <t>步留因素</t>
    <phoneticPr fontId="12" type="noConversion"/>
  </si>
  <si>
    <t>煮燒肉拌麵湯凍</t>
  </si>
  <si>
    <t>二配炒辛口馬鈴薯丁(112年)</t>
  </si>
  <si>
    <t>半成品為含醬汁的半成品，易受到醬汁製程率影響最終的產出量。</t>
    <phoneticPr fontId="12" type="noConversion"/>
  </si>
  <si>
    <t>1.連動調理單位確認製程狀況是否異常。2.調理關所確認冷卻後口味是否異常。3.收集實際製程率後進行出料率調整</t>
    <phoneticPr fontId="12" type="noConversion"/>
  </si>
  <si>
    <t>製程報廢</t>
    <phoneticPr fontId="12" type="noConversion"/>
  </si>
  <si>
    <t>反饋研發單位，下次同類型商品研發時，確認成本金額。</t>
    <phoneticPr fontId="12" type="noConversion"/>
  </si>
  <si>
    <t>(V)炒三杯杏鮑菇片</t>
  </si>
  <si>
    <t>半成品為易出水半成品。會隨放置時間影響半成品出水的多寡。</t>
    <phoneticPr fontId="12" type="noConversion"/>
  </si>
  <si>
    <t>協調調配課配合生產排程調整調理時間，減少放置時間。確認實際製程率，調整出料率以減少報廢。</t>
    <phoneticPr fontId="12" type="noConversion"/>
  </si>
  <si>
    <t>準備課</t>
  </si>
  <si>
    <t>川燙油菜</t>
  </si>
  <si>
    <t>占比</t>
    <phoneticPr fontId="12" type="noConversion"/>
  </si>
  <si>
    <t>金額</t>
    <phoneticPr fontId="12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</si>
  <si>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2" type="noConversion"/>
  </si>
  <si>
    <t>原因說明</t>
    <phoneticPr fontId="12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</si>
  <si>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12" type="noConversion"/>
  </si>
  <si>
    <t>研發設定的分切方式、寬度及放料量固定。因原物料的厚度大小不固定，以致分切後單體有重量差異。</t>
    <phoneticPr fontId="12" type="noConversion"/>
  </si>
  <si>
    <t>1.反應研發單位該狀況，作為下次同樣原物料上市的參考。2.減少裝籃量降低因為擠壓造成肉片破碎的狀況。</t>
    <phoneticPr fontId="12" type="noConversion"/>
  </si>
  <si>
    <t>1.研發賣相需求設定。原物料肉片形狀及所含的筋膜及油脂會影響最終產出的肉片大小。</t>
    <phoneticPr fontId="12" type="noConversion"/>
  </si>
  <si>
    <t>1.反應研發單位肉片狀況。2.協調研發單位下次有同類型商品放料量設定使用範圍值。3.調整分切方式漸少最終的碎肉產生。</t>
    <phoneticPr fontId="12" type="noConversion"/>
  </si>
  <si>
    <t>1.高單價半成品。2.原物料個體重量差異造成放料重量的差異，有多一個超用，少一個不足重的狀況。為符合商品設定要求，選擇超用。</t>
    <phoneticPr fontId="12" type="noConversion"/>
  </si>
  <si>
    <t>1.反應研發單位肉片狀況。2.協調研發單位下次有同類型商品放料量設定使用範圍值。</t>
    <phoneticPr fontId="12" type="noConversion"/>
  </si>
  <si>
    <t>因為製程率浮動的關係導致實際產出量較多，協調生產課調整用量而超用。</t>
    <phoneticPr fontId="12" type="noConversion"/>
  </si>
  <si>
    <t>研發設定為不拆包加熱製程，故產出量受到原物料包裝量的影響會產出較多。協調生產課調整用量而超用。</t>
    <phoneticPr fontId="12" type="noConversion"/>
  </si>
  <si>
    <t>反應研發單位該狀況，作為下次同樣原物料上市的參考。</t>
    <phoneticPr fontId="12" type="noConversion"/>
  </si>
  <si>
    <t>1.反應研發單位半成品狀況。2.協調研發單位下次有同類型商品放料量設定使用範圍值。</t>
    <phoneticPr fontId="12" type="noConversion"/>
  </si>
  <si>
    <t>1.高單價半成品。2.農產品原物料大小重量差異，造成放料差。</t>
    <phoneticPr fontId="12" type="noConversion"/>
  </si>
  <si>
    <t>1.反應研發單位半成品狀況。2.協調研發單位下次有同類型商品放料量設定使用範圍值。3.連動物料課進行抽稱單包個數是否足夠。</t>
    <phoneticPr fontId="12" type="noConversion"/>
  </si>
  <si>
    <t>1.高單價半成品。2.原物料形狀、厚度不固定。3.研發設定的分切寬度固定。相同的分切寬度產出的半成品的重量及個數不穩定。</t>
    <phoneticPr fontId="12" type="noConversion"/>
  </si>
  <si>
    <t>抓樣不穩</t>
  </si>
  <si>
    <t>1.農產品原物料大小重量差異，造成放料差異。2.原物料個體重量差異造成放料重量的差異，有多一個超用，少一個不足重的狀況。未降低因半成品不足的補單工時而有提高展開量。</t>
    <phoneticPr fontId="12" type="noConversion"/>
  </si>
  <si>
    <t>半成品易有糾結的狀況，導致放料不穩定。</t>
    <phoneticPr fontId="12" type="noConversion"/>
  </si>
  <si>
    <t>1.生產線上增加線上抽秤的頻率以穩定放料量。2.盡量以固定的人員進行放料以培養人員放料的手感。3.加強放料教育訓練。</t>
    <phoneticPr fontId="12" type="noConversion"/>
  </si>
  <si>
    <t>1.高單價半成品2.半成品原物料的形狀不固定，筋膜及油脂影響分切及放料。</t>
    <phoneticPr fontId="12" type="noConversion"/>
  </si>
  <si>
    <t>拌鮭魚碎肉</t>
  </si>
  <si>
    <t>1.高單價半成品。2.混料原物料為海鮮類扮成品，使用量進位為整數。以致實際產出量浮動。</t>
    <phoneticPr fontId="12" type="noConversion"/>
  </si>
  <si>
    <t>確認海鮮半成品拆包後存放的菌數狀況，菌數許可則以實際需求量拆包以穩定出料量。</t>
    <phoneticPr fontId="12" type="noConversion"/>
  </si>
  <si>
    <t>二配拌魚卵沙拉</t>
  </si>
  <si>
    <t>1.高單價半成品。2.單位用量少以致用量易有不穩定的狀況。</t>
    <phoneticPr fontId="12" type="noConversion"/>
  </si>
  <si>
    <t>尋找少量放料的半成品適用的工具進行測試導入更換，以穩定用料。</t>
    <phoneticPr fontId="12" type="noConversion"/>
  </si>
  <si>
    <t>二配哇沙米魚卵沙拉飯糰</t>
  </si>
  <si>
    <t>晉欣廠半成品管理日別總表</t>
    <phoneticPr fontId="12" type="noConversion"/>
  </si>
  <si>
    <t>日期</t>
    <phoneticPr fontId="77" type="noConversion"/>
  </si>
  <si>
    <t>報廢額</t>
    <phoneticPr fontId="77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</si>
  <si>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2" type="noConversion"/>
  </si>
  <si>
    <t>超用額</t>
    <phoneticPr fontId="77" type="noConversion"/>
  </si>
  <si>
    <t>超用率</t>
    <phoneticPr fontId="12" type="noConversion"/>
  </si>
  <si>
    <t>廢棄前10名</t>
    <phoneticPr fontId="12" type="noConversion"/>
  </si>
  <si>
    <t>超用前10名</t>
    <phoneticPr fontId="12" type="noConversion"/>
  </si>
  <si>
    <t>共用類廢棄</t>
    <phoneticPr fontId="12" type="noConversion"/>
  </si>
  <si>
    <t>金額總計</t>
    <phoneticPr fontId="12" type="noConversion"/>
  </si>
  <si>
    <t>構成比</t>
    <phoneticPr fontId="12" type="noConversion"/>
  </si>
  <si>
    <t>金額總計</t>
    <phoneticPr fontId="77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</si>
  <si>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77" type="noConversion"/>
  </si>
  <si>
    <t>週報廢</t>
    <phoneticPr fontId="12" type="noConversion"/>
  </si>
  <si>
    <t>週超用</t>
    <phoneticPr fontId="12" type="noConversion"/>
  </si>
  <si>
    <t>平均</t>
    <phoneticPr fontId="77" type="noConversion"/>
  </si>
  <si>
    <t>合計</t>
    <phoneticPr fontId="77" type="noConversion"/>
  </si>
  <si>
    <t>鮮食品群番</t>
    <phoneticPr fontId="12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</si>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</sst>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0.000%"/>
    <numFmt numFmtId="189" formatCode="#,##0.0"/>
    <numFmt numFmtId="190" formatCode="m/d\ aaaa"/>
    <numFmt numFmtId="191" formatCode="0,000&quot;元&quot;"/>
    <numFmt numFmtId="192" formatCode="000&quot;元&quot;"/>
    <numFmt numFmtId="193" formatCode="#,##0.0_ "/>
    <numFmt numFmtId="194" formatCode="0,000&quot;個&quot;"/>
  </numFmts>
  <fonts count="100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0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0"/>
      <color rgb="FFFF0000"/>
      <name val="Arial"/>
      <family val="3"/>
      <charset val="136"/>
      <scheme val="minor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9"/>
      <color theme="1"/>
      <name val="Meiryo UI"/>
      <family val="2"/>
    </font>
    <font>
      <sz val="8"/>
      <color theme="1"/>
      <name val="細明體"/>
      <family val="3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細明體"/>
      <family val="3"/>
      <charset val="136"/>
    </font>
    <font>
      <b/>
      <sz val="16"/>
      <color rgb="FF000000"/>
      <name val="Meiryo UI"/>
      <family val="2"/>
    </font>
    <font>
      <sz val="12"/>
      <color rgb="FF00000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theme="1"/>
      <name val="細明體"/>
      <family val="3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sz val="12"/>
      <color rgb="FFFF0000"/>
      <name val="Meiryo UI"/>
      <family val="2"/>
    </font>
    <font>
      <b/>
      <sz val="14"/>
      <color rgb="FF000000"/>
      <name val="Arial"/>
    </font>
    <font>
      <b/>
      <sz val="14"/>
      <color rgb="FF000000"/>
      <name val="Meiryo UI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0" fontId="0" fillId="0" borderId="0"/>
    <xf numFmtId="0" fontId="5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9" fontId="8" fillId="0" borderId="0" applyFont="0" applyFill="0" applyBorder="0" applyAlignment="0" applyProtection="0">
      <alignment vertical="center"/>
    </xf>
    <xf numFmtId="0" fontId="8" fillId="0" borderId="0"/>
    <xf numFmtId="9" fontId="8" fillId="0" borderId="0" applyFont="0" applyFill="0" applyBorder="0" applyAlignment="0" applyProtection="0"/>
    <xf numFmtId="0" fontId="23" fillId="0" borderId="0"/>
    <xf numFmtId="0" fontId="4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2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642">
    <xf numFmtId="0" fontId="0" fillId="0" borderId="0" xfId="0"/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" xfId="0" applyFont="1" applyBorder="1" applyAlignment="1">
      <alignment horizontal="right" shrinkToFit="1"/>
    </xf>
    <xf numFmtId="0" fontId="6" fillId="0" borderId="1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7" fillId="0" borderId="3" xfId="0" applyFont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6" fillId="2" borderId="1" xfId="0" applyFont="1" applyFill="1" applyBorder="1" applyAlignment="1">
      <alignment shrinkToFit="1"/>
    </xf>
    <xf numFmtId="3" fontId="6" fillId="0" borderId="1" xfId="0" applyNumberFormat="1" applyFont="1" applyBorder="1" applyAlignment="1">
      <alignment shrinkToFit="1"/>
    </xf>
    <xf numFmtId="3" fontId="6" fillId="3" borderId="1" xfId="0" applyNumberFormat="1" applyFont="1" applyFill="1" applyBorder="1" applyAlignment="1">
      <alignment shrinkToFit="1"/>
    </xf>
    <xf numFmtId="4" fontId="6" fillId="0" borderId="1" xfId="0" applyNumberFormat="1" applyFont="1" applyBorder="1" applyAlignment="1">
      <alignment horizontal="right" shrinkToFit="1"/>
    </xf>
    <xf numFmtId="10" fontId="6" fillId="2" borderId="1" xfId="0" applyNumberFormat="1" applyFont="1" applyFill="1" applyBorder="1" applyAlignment="1">
      <alignment horizontal="right" shrinkToFit="1"/>
    </xf>
    <xf numFmtId="10" fontId="6" fillId="3" borderId="1" xfId="0" applyNumberFormat="1" applyFont="1" applyFill="1" applyBorder="1" applyAlignment="1">
      <alignment shrinkToFit="1"/>
    </xf>
    <xf numFmtId="10" fontId="6" fillId="0" borderId="1" xfId="0" applyNumberFormat="1" applyFont="1" applyBorder="1" applyAlignment="1">
      <alignment shrinkToFit="1"/>
    </xf>
    <xf numFmtId="10" fontId="7" fillId="0" borderId="0" xfId="0" applyNumberFormat="1" applyFont="1" applyAlignment="1">
      <alignment shrinkToFit="1"/>
    </xf>
    <xf numFmtId="0" fontId="6" fillId="3" borderId="1" xfId="0" applyFont="1" applyFill="1" applyBorder="1" applyAlignment="1">
      <alignment shrinkToFit="1"/>
    </xf>
    <xf numFmtId="4" fontId="6" fillId="0" borderId="1" xfId="0" applyNumberFormat="1" applyFont="1" applyBorder="1" applyAlignment="1">
      <alignment shrinkToFit="1"/>
    </xf>
    <xf numFmtId="0" fontId="7" fillId="2" borderId="5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6" fillId="2" borderId="6" xfId="0" applyFont="1" applyFill="1" applyBorder="1" applyAlignment="1">
      <alignment shrinkToFit="1"/>
    </xf>
    <xf numFmtId="0" fontId="7" fillId="2" borderId="7" xfId="0" applyFont="1" applyFill="1" applyBorder="1" applyAlignment="1">
      <alignment shrinkToFit="1"/>
    </xf>
    <xf numFmtId="0" fontId="6" fillId="0" borderId="3" xfId="0" applyFont="1" applyBorder="1" applyAlignment="1">
      <alignment shrinkToFit="1"/>
    </xf>
    <xf numFmtId="0" fontId="6" fillId="2" borderId="7" xfId="0" applyFont="1" applyFill="1" applyBorder="1" applyAlignment="1">
      <alignment shrinkToFit="1"/>
    </xf>
    <xf numFmtId="0" fontId="7" fillId="0" borderId="8" xfId="0" applyFont="1" applyBorder="1" applyAlignment="1">
      <alignment shrinkToFit="1"/>
    </xf>
    <xf numFmtId="0" fontId="6" fillId="0" borderId="5" xfId="0" applyFont="1" applyBorder="1" applyAlignment="1">
      <alignment shrinkToFit="1"/>
    </xf>
    <xf numFmtId="0" fontId="6" fillId="0" borderId="14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10" fontId="6" fillId="0" borderId="5" xfId="0" applyNumberFormat="1" applyFont="1" applyBorder="1" applyAlignment="1">
      <alignment shrinkToFit="1"/>
    </xf>
    <xf numFmtId="0" fontId="6" fillId="3" borderId="5" xfId="0" applyFont="1" applyFill="1" applyBorder="1" applyAlignment="1">
      <alignment shrinkToFit="1"/>
    </xf>
    <xf numFmtId="0" fontId="6" fillId="2" borderId="15" xfId="0" applyFont="1" applyFill="1" applyBorder="1" applyAlignment="1">
      <alignment shrinkToFit="1"/>
    </xf>
    <xf numFmtId="10" fontId="6" fillId="3" borderId="17" xfId="0" applyNumberFormat="1" applyFont="1" applyFill="1" applyBorder="1" applyAlignment="1">
      <alignment shrinkToFit="1"/>
    </xf>
    <xf numFmtId="0" fontId="6" fillId="3" borderId="18" xfId="0" applyFont="1" applyFill="1" applyBorder="1" applyAlignment="1">
      <alignment shrinkToFit="1"/>
    </xf>
    <xf numFmtId="0" fontId="6" fillId="0" borderId="6" xfId="0" applyFont="1" applyBorder="1" applyAlignment="1">
      <alignment shrinkToFit="1"/>
    </xf>
    <xf numFmtId="10" fontId="6" fillId="0" borderId="6" xfId="0" applyNumberFormat="1" applyFont="1" applyBorder="1" applyAlignment="1">
      <alignment shrinkToFit="1"/>
    </xf>
    <xf numFmtId="0" fontId="6" fillId="3" borderId="6" xfId="0" applyFont="1" applyFill="1" applyBorder="1" applyAlignment="1">
      <alignment shrinkToFit="1"/>
    </xf>
    <xf numFmtId="10" fontId="6" fillId="0" borderId="0" xfId="0" applyNumberFormat="1" applyFont="1" applyAlignment="1">
      <alignment shrinkToFit="1"/>
    </xf>
    <xf numFmtId="10" fontId="6" fillId="2" borderId="1" xfId="0" applyNumberFormat="1" applyFont="1" applyFill="1" applyBorder="1" applyAlignment="1">
      <alignment shrinkToFit="1"/>
    </xf>
    <xf numFmtId="0" fontId="6" fillId="3" borderId="7" xfId="0" applyFont="1" applyFill="1" applyBorder="1" applyAlignment="1">
      <alignment shrinkToFit="1"/>
    </xf>
    <xf numFmtId="10" fontId="6" fillId="3" borderId="5" xfId="0" applyNumberFormat="1" applyFont="1" applyFill="1" applyBorder="1" applyAlignment="1">
      <alignment shrinkToFit="1"/>
    </xf>
    <xf numFmtId="0" fontId="6" fillId="0" borderId="11" xfId="0" applyFont="1" applyBorder="1" applyAlignment="1">
      <alignment shrinkToFit="1"/>
    </xf>
    <xf numFmtId="10" fontId="6" fillId="0" borderId="14" xfId="0" applyNumberFormat="1" applyFont="1" applyBorder="1" applyAlignment="1">
      <alignment shrinkToFit="1"/>
    </xf>
    <xf numFmtId="10" fontId="6" fillId="3" borderId="14" xfId="0" applyNumberFormat="1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10" fillId="0" borderId="1" xfId="0" applyFont="1" applyBorder="1" applyAlignment="1">
      <alignment shrinkToFit="1"/>
    </xf>
    <xf numFmtId="0" fontId="10" fillId="2" borderId="1" xfId="0" applyFont="1" applyFill="1" applyBorder="1" applyAlignment="1">
      <alignment horizontal="left" shrinkToFit="1"/>
    </xf>
    <xf numFmtId="0" fontId="11" fillId="2" borderId="1" xfId="0" applyFont="1" applyFill="1" applyBorder="1" applyAlignment="1">
      <alignment shrinkToFit="1"/>
    </xf>
    <xf numFmtId="0" fontId="10" fillId="2" borderId="6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1" fillId="2" borderId="5" xfId="0" applyFont="1" applyFill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6" fillId="2" borderId="22" xfId="0" applyFont="1" applyFill="1" applyBorder="1" applyAlignment="1">
      <alignment shrinkToFit="1"/>
    </xf>
    <xf numFmtId="0" fontId="6" fillId="2" borderId="23" xfId="0" applyFont="1" applyFill="1" applyBorder="1" applyAlignment="1">
      <alignment shrinkToFit="1"/>
    </xf>
    <xf numFmtId="0" fontId="10" fillId="2" borderId="22" xfId="0" applyFont="1" applyFill="1" applyBorder="1" applyAlignment="1">
      <alignment shrinkToFit="1"/>
    </xf>
    <xf numFmtId="0" fontId="10" fillId="2" borderId="1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16" xfId="0" applyFont="1" applyFill="1" applyBorder="1" applyAlignment="1">
      <alignment shrinkToFit="1"/>
    </xf>
    <xf numFmtId="0" fontId="10" fillId="4" borderId="0" xfId="0" applyFont="1" applyFill="1"/>
    <xf numFmtId="0" fontId="11" fillId="4" borderId="0" xfId="0" applyFont="1" applyFill="1" applyAlignment="1">
      <alignment shrinkToFit="1"/>
    </xf>
    <xf numFmtId="0" fontId="10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6" fillId="4" borderId="0" xfId="0" applyFont="1" applyFill="1"/>
    <xf numFmtId="10" fontId="6" fillId="4" borderId="0" xfId="0" applyNumberFormat="1" applyFont="1" applyFill="1" applyAlignment="1">
      <alignment shrinkToFit="1"/>
    </xf>
    <xf numFmtId="0" fontId="6" fillId="4" borderId="0" xfId="0" applyFont="1" applyFill="1" applyAlignment="1">
      <alignment shrinkToFit="1"/>
    </xf>
    <xf numFmtId="0" fontId="0" fillId="4" borderId="0" xfId="0" applyFill="1" applyAlignment="1">
      <alignment shrinkToFit="1"/>
    </xf>
    <xf numFmtId="0" fontId="6" fillId="2" borderId="24" xfId="0" applyFont="1" applyFill="1" applyBorder="1" applyAlignment="1">
      <alignment shrinkToFit="1"/>
    </xf>
    <xf numFmtId="0" fontId="11" fillId="0" borderId="11" xfId="0" applyFont="1" applyBorder="1" applyAlignment="1">
      <alignment horizontal="right" shrinkToFit="1"/>
    </xf>
    <xf numFmtId="0" fontId="11" fillId="0" borderId="3" xfId="0" applyFont="1" applyBorder="1" applyAlignment="1">
      <alignment horizontal="right" shrinkToFit="1"/>
    </xf>
    <xf numFmtId="0" fontId="13" fillId="0" borderId="0" xfId="0" applyFont="1" applyAlignment="1">
      <alignment horizontal="center"/>
    </xf>
    <xf numFmtId="10" fontId="13" fillId="0" borderId="0" xfId="0" applyNumberFormat="1" applyFont="1"/>
    <xf numFmtId="0" fontId="13" fillId="0" borderId="0" xfId="0" applyFont="1"/>
    <xf numFmtId="0" fontId="17" fillId="0" borderId="0" xfId="0" applyFont="1" applyAlignment="1">
      <alignment horizontal="left" vertical="center"/>
    </xf>
    <xf numFmtId="0" fontId="25" fillId="0" borderId="0" xfId="0" applyFont="1"/>
    <xf numFmtId="176" fontId="26" fillId="5" borderId="0" xfId="0" applyNumberFormat="1" applyFont="1" applyFill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76" fontId="26" fillId="0" borderId="0" xfId="0" applyNumberFormat="1" applyFont="1" applyAlignment="1">
      <alignment horizontal="center" vertical="center"/>
    </xf>
    <xf numFmtId="179" fontId="25" fillId="0" borderId="0" xfId="0" applyNumberFormat="1" applyFont="1" applyAlignment="1">
      <alignment horizontal="center"/>
    </xf>
    <xf numFmtId="176" fontId="25" fillId="0" borderId="0" xfId="0" applyNumberFormat="1" applyFont="1"/>
    <xf numFmtId="177" fontId="25" fillId="0" borderId="0" xfId="0" applyNumberFormat="1" applyFont="1"/>
    <xf numFmtId="178" fontId="25" fillId="0" borderId="0" xfId="0" applyNumberFormat="1" applyFont="1"/>
    <xf numFmtId="10" fontId="25" fillId="0" borderId="0" xfId="0" applyNumberFormat="1" applyFont="1"/>
    <xf numFmtId="176" fontId="26" fillId="6" borderId="0" xfId="0" applyNumberFormat="1" applyFont="1" applyFill="1" applyAlignment="1">
      <alignment horizontal="center" vertical="center"/>
    </xf>
    <xf numFmtId="176" fontId="26" fillId="7" borderId="0" xfId="0" applyNumberFormat="1" applyFont="1" applyFill="1" applyAlignment="1">
      <alignment horizontal="center" vertical="center"/>
    </xf>
    <xf numFmtId="180" fontId="25" fillId="0" borderId="0" xfId="0" applyNumberFormat="1" applyFont="1"/>
    <xf numFmtId="180" fontId="13" fillId="0" borderId="0" xfId="0" applyNumberFormat="1" applyFont="1"/>
    <xf numFmtId="176" fontId="16" fillId="0" borderId="0" xfId="0" applyNumberFormat="1" applyFont="1" applyAlignment="1">
      <alignment horizontal="center" vertical="center"/>
    </xf>
    <xf numFmtId="180" fontId="16" fillId="0" borderId="0" xfId="0" applyNumberFormat="1" applyFont="1" applyAlignment="1">
      <alignment horizontal="center" vertical="center"/>
    </xf>
    <xf numFmtId="182" fontId="25" fillId="0" borderId="0" xfId="0" applyNumberFormat="1" applyFont="1"/>
    <xf numFmtId="182" fontId="26" fillId="0" borderId="22" xfId="0" applyNumberFormat="1" applyFont="1" applyBorder="1" applyAlignment="1">
      <alignment horizontal="center" vertical="center"/>
    </xf>
    <xf numFmtId="10" fontId="26" fillId="0" borderId="22" xfId="0" applyNumberFormat="1" applyFont="1" applyBorder="1" applyAlignment="1">
      <alignment horizontal="center" vertical="center"/>
    </xf>
    <xf numFmtId="10" fontId="25" fillId="0" borderId="22" xfId="0" applyNumberFormat="1" applyFont="1" applyBorder="1"/>
    <xf numFmtId="182" fontId="25" fillId="0" borderId="0" xfId="0" applyNumberFormat="1" applyFont="1" applyAlignment="1">
      <alignment horizontal="center"/>
    </xf>
    <xf numFmtId="0" fontId="28" fillId="0" borderId="0" xfId="0" applyFont="1"/>
    <xf numFmtId="177" fontId="25" fillId="0" borderId="0" xfId="0" applyNumberFormat="1" applyFont="1" applyAlignment="1">
      <alignment horizontal="center"/>
    </xf>
    <xf numFmtId="177" fontId="16" fillId="0" borderId="22" xfId="0" applyNumberFormat="1" applyFont="1" applyBorder="1" applyAlignment="1">
      <alignment horizontal="center" vertical="center"/>
    </xf>
    <xf numFmtId="177" fontId="25" fillId="0" borderId="22" xfId="0" applyNumberFormat="1" applyFont="1" applyBorder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wrapText="1" shrinkToFit="1"/>
    </xf>
    <xf numFmtId="0" fontId="6" fillId="0" borderId="3" xfId="0" applyFont="1" applyBorder="1" applyAlignment="1">
      <alignment vertical="center" shrinkToFit="1"/>
    </xf>
    <xf numFmtId="0" fontId="6" fillId="0" borderId="8" xfId="0" applyFont="1" applyBorder="1" applyAlignment="1">
      <alignment vertical="center" shrinkToFit="1"/>
    </xf>
    <xf numFmtId="0" fontId="10" fillId="2" borderId="1" xfId="0" applyFont="1" applyFill="1" applyBorder="1" applyAlignment="1">
      <alignment horizontal="center" vertical="center" shrinkToFit="1"/>
    </xf>
    <xf numFmtId="0" fontId="10" fillId="2" borderId="4" xfId="0" applyFont="1" applyFill="1" applyBorder="1" applyAlignment="1">
      <alignment horizontal="center" vertical="center" shrinkToFit="1"/>
    </xf>
    <xf numFmtId="0" fontId="10" fillId="2" borderId="2" xfId="0" applyFont="1" applyFill="1" applyBorder="1" applyAlignment="1">
      <alignment horizontal="center" vertical="center" shrinkToFit="1"/>
    </xf>
    <xf numFmtId="0" fontId="10" fillId="2" borderId="3" xfId="0" applyFont="1" applyFill="1" applyBorder="1" applyAlignment="1">
      <alignment horizontal="center" vertical="center" shrinkToFit="1"/>
    </xf>
    <xf numFmtId="0" fontId="6" fillId="2" borderId="1" xfId="0" applyFont="1" applyFill="1" applyBorder="1" applyAlignment="1">
      <alignment horizontal="center" vertical="center" shrinkToFit="1"/>
    </xf>
    <xf numFmtId="0" fontId="10" fillId="2" borderId="16" xfId="0" applyFont="1" applyFill="1" applyBorder="1" applyAlignment="1">
      <alignment horizontal="center" shrinkToFit="1"/>
    </xf>
    <xf numFmtId="0" fontId="25" fillId="0" borderId="0" xfId="0" applyFont="1" applyAlignment="1">
      <alignment shrinkToFit="1"/>
    </xf>
    <xf numFmtId="0" fontId="25" fillId="4" borderId="0" xfId="0" applyFont="1" applyFill="1" applyAlignment="1">
      <alignment shrinkToFit="1"/>
    </xf>
    <xf numFmtId="0" fontId="27" fillId="0" borderId="0" xfId="0" applyFont="1" applyAlignment="1">
      <alignment shrinkToFit="1"/>
    </xf>
    <xf numFmtId="0" fontId="40" fillId="0" borderId="0" xfId="0" applyFont="1" applyAlignment="1">
      <alignment shrinkToFit="1"/>
    </xf>
    <xf numFmtId="0" fontId="25" fillId="0" borderId="22" xfId="0" applyFont="1" applyBorder="1" applyAlignment="1">
      <alignment shrinkToFit="1"/>
    </xf>
    <xf numFmtId="0" fontId="25" fillId="0" borderId="0" xfId="0" applyFont="1" applyAlignment="1">
      <alignment horizontal="center" shrinkToFit="1"/>
    </xf>
    <xf numFmtId="0" fontId="27" fillId="0" borderId="0" xfId="0" applyFont="1" applyAlignment="1">
      <alignment horizontal="center" shrinkToFit="1"/>
    </xf>
    <xf numFmtId="0" fontId="25" fillId="0" borderId="0" xfId="0" applyFont="1" applyAlignment="1">
      <alignment horizontal="center" vertical="center" shrinkToFit="1"/>
    </xf>
    <xf numFmtId="0" fontId="40" fillId="0" borderId="22" xfId="0" applyFont="1" applyBorder="1" applyAlignment="1">
      <alignment shrinkToFit="1"/>
    </xf>
    <xf numFmtId="0" fontId="27" fillId="4" borderId="0" xfId="0" applyFont="1" applyFill="1" applyAlignment="1">
      <alignment shrinkToFit="1"/>
    </xf>
    <xf numFmtId="0" fontId="44" fillId="0" borderId="0" xfId="0" applyFont="1"/>
    <xf numFmtId="0" fontId="46" fillId="0" borderId="0" xfId="0" applyFont="1"/>
    <xf numFmtId="10" fontId="40" fillId="0" borderId="0" xfId="0" applyNumberFormat="1" applyFont="1" applyAlignment="1">
      <alignment shrinkToFit="1"/>
    </xf>
    <xf numFmtId="0" fontId="41" fillId="0" borderId="0" xfId="0" applyFont="1"/>
    <xf numFmtId="0" fontId="47" fillId="0" borderId="22" xfId="0" applyFont="1" applyBorder="1" applyAlignment="1">
      <alignment horizontal="center" vertical="center" shrinkToFit="1"/>
    </xf>
    <xf numFmtId="0" fontId="47" fillId="8" borderId="22" xfId="0" applyFont="1" applyFill="1" applyBorder="1" applyAlignment="1">
      <alignment horizontal="center" vertical="center" shrinkToFit="1"/>
    </xf>
    <xf numFmtId="0" fontId="40" fillId="0" borderId="22" xfId="0" applyFont="1" applyBorder="1" applyAlignment="1">
      <alignment horizontal="center" shrinkToFit="1"/>
    </xf>
    <xf numFmtId="3" fontId="27" fillId="0" borderId="22" xfId="0" applyNumberFormat="1" applyFont="1" applyBorder="1" applyAlignment="1">
      <alignment shrinkToFit="1"/>
    </xf>
    <xf numFmtId="10" fontId="27" fillId="0" borderId="22" xfId="0" applyNumberFormat="1" applyFont="1" applyBorder="1" applyAlignment="1">
      <alignment shrinkToFit="1"/>
    </xf>
    <xf numFmtId="4" fontId="27" fillId="0" borderId="22" xfId="0" applyNumberFormat="1" applyFont="1" applyBorder="1" applyAlignment="1">
      <alignment horizontal="right" shrinkToFit="1"/>
    </xf>
    <xf numFmtId="0" fontId="40" fillId="0" borderId="22" xfId="0" applyFont="1" applyBorder="1" applyAlignment="1">
      <alignment horizontal="center" vertical="center" shrinkToFit="1"/>
    </xf>
    <xf numFmtId="0" fontId="48" fillId="0" borderId="22" xfId="0" applyFont="1" applyBorder="1" applyAlignment="1">
      <alignment horizont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right" shrinkToFit="1"/>
    </xf>
    <xf numFmtId="0" fontId="25" fillId="4" borderId="0" xfId="0" applyFont="1" applyFill="1" applyAlignment="1">
      <alignment horizontal="center" vertical="center" shrinkToFit="1"/>
    </xf>
    <xf numFmtId="0" fontId="25" fillId="4" borderId="0" xfId="0" applyFont="1" applyFill="1" applyAlignment="1">
      <alignment horizontal="center" shrinkToFit="1"/>
    </xf>
    <xf numFmtId="0" fontId="27" fillId="0" borderId="22" xfId="0" applyFont="1" applyBorder="1" applyAlignment="1">
      <alignment horizontal="center" vertical="center" shrinkToFit="1"/>
    </xf>
    <xf numFmtId="0" fontId="27" fillId="0" borderId="22" xfId="0" applyFont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7" fillId="4" borderId="22" xfId="0" applyFont="1" applyFill="1" applyBorder="1" applyAlignment="1">
      <alignment horizontal="center" shrinkToFit="1"/>
    </xf>
    <xf numFmtId="0" fontId="25" fillId="0" borderId="0" xfId="0" applyFont="1" applyAlignment="1">
      <alignment vertical="center" shrinkToFit="1"/>
    </xf>
    <xf numFmtId="0" fontId="40" fillId="2" borderId="22" xfId="0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27" fillId="0" borderId="22" xfId="0" applyFont="1" applyBorder="1" applyAlignment="1">
      <alignment shrinkToFit="1"/>
    </xf>
    <xf numFmtId="0" fontId="40" fillId="0" borderId="22" xfId="0" applyFont="1" applyBorder="1" applyAlignment="1">
      <alignment horizontal="right" shrinkToFit="1"/>
    </xf>
    <xf numFmtId="0" fontId="27" fillId="5" borderId="22" xfId="0" applyFont="1" applyFill="1" applyBorder="1" applyAlignment="1">
      <alignment horizontal="center" vertical="center" shrinkToFit="1"/>
    </xf>
    <xf numFmtId="0" fontId="27" fillId="5" borderId="22" xfId="0" applyFont="1" applyFill="1" applyBorder="1" applyAlignment="1">
      <alignment horizontal="center" shrinkToFit="1"/>
    </xf>
    <xf numFmtId="0" fontId="40" fillId="5" borderId="22" xfId="0" applyFont="1" applyFill="1" applyBorder="1" applyAlignment="1">
      <alignment horizontal="center" shrinkToFit="1"/>
    </xf>
    <xf numFmtId="0" fontId="25" fillId="5" borderId="22" xfId="0" applyFont="1" applyFill="1" applyBorder="1" applyAlignment="1">
      <alignment horizontal="center" shrinkToFit="1"/>
    </xf>
    <xf numFmtId="0" fontId="27" fillId="2" borderId="1" xfId="0" applyFont="1" applyFill="1" applyBorder="1" applyAlignment="1">
      <alignment horizontal="center" vertical="center" shrinkToFit="1"/>
    </xf>
    <xf numFmtId="0" fontId="27" fillId="0" borderId="3" xfId="0" applyFont="1" applyBorder="1" applyAlignment="1">
      <alignment vertical="center" shrinkToFit="1"/>
    </xf>
    <xf numFmtId="0" fontId="27" fillId="0" borderId="1" xfId="0" applyFont="1" applyBorder="1" applyAlignment="1">
      <alignment shrinkToFit="1"/>
    </xf>
    <xf numFmtId="0" fontId="27" fillId="0" borderId="8" xfId="0" applyFont="1" applyBorder="1" applyAlignment="1">
      <alignment vertical="center" shrinkToFit="1"/>
    </xf>
    <xf numFmtId="0" fontId="27" fillId="0" borderId="5" xfId="0" applyFont="1" applyBorder="1" applyAlignment="1">
      <alignment shrinkToFit="1"/>
    </xf>
    <xf numFmtId="0" fontId="25" fillId="0" borderId="0" xfId="0" applyFont="1" applyAlignment="1">
      <alignment wrapText="1" shrinkToFit="1"/>
    </xf>
    <xf numFmtId="0" fontId="25" fillId="0" borderId="0" xfId="0" applyFont="1" applyAlignment="1">
      <alignment horizontal="center" vertical="center" wrapText="1" shrinkToFit="1"/>
    </xf>
    <xf numFmtId="10" fontId="27" fillId="2" borderId="22" xfId="0" applyNumberFormat="1" applyFont="1" applyFill="1" applyBorder="1" applyAlignment="1">
      <alignment horizontal="center" vertical="center" shrinkToFit="1"/>
    </xf>
    <xf numFmtId="10" fontId="27" fillId="3" borderId="22" xfId="0" applyNumberFormat="1" applyFont="1" applyFill="1" applyBorder="1" applyAlignment="1">
      <alignment shrinkToFit="1"/>
    </xf>
    <xf numFmtId="0" fontId="27" fillId="2" borderId="23" xfId="0" applyFont="1" applyFill="1" applyBorder="1" applyAlignment="1">
      <alignment horizontal="center" vertical="center" shrinkToFit="1"/>
    </xf>
    <xf numFmtId="10" fontId="27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Border="1" applyAlignment="1">
      <alignment horizontal="center" vertical="center"/>
    </xf>
    <xf numFmtId="0" fontId="25" fillId="0" borderId="0" xfId="11" applyFont="1" applyAlignment="1">
      <alignment shrinkToFit="1"/>
    </xf>
    <xf numFmtId="0" fontId="25" fillId="4" borderId="0" xfId="11" applyFont="1" applyFill="1" applyAlignment="1">
      <alignment shrinkToFit="1"/>
    </xf>
    <xf numFmtId="0" fontId="41" fillId="0" borderId="0" xfId="11" applyFont="1" applyAlignment="1">
      <alignment shrinkToFit="1"/>
    </xf>
    <xf numFmtId="184" fontId="59" fillId="0" borderId="0" xfId="11" applyNumberFormat="1" applyFont="1" applyAlignment="1">
      <alignment shrinkToFit="1"/>
    </xf>
    <xf numFmtId="0" fontId="40" fillId="0" borderId="6" xfId="11" applyFont="1" applyBorder="1" applyAlignment="1">
      <alignment horizontal="center" shrinkToFit="1"/>
    </xf>
    <xf numFmtId="3" fontId="34" fillId="0" borderId="6" xfId="11" applyNumberFormat="1" applyFont="1" applyBorder="1" applyAlignment="1">
      <alignment shrinkToFit="1"/>
    </xf>
    <xf numFmtId="10" fontId="34" fillId="0" borderId="6" xfId="11" applyNumberFormat="1" applyFont="1" applyBorder="1" applyAlignment="1">
      <alignment shrinkToFit="1"/>
    </xf>
    <xf numFmtId="3" fontId="27" fillId="0" borderId="22" xfId="11" applyNumberFormat="1" applyFont="1" applyBorder="1" applyAlignment="1">
      <alignment shrinkToFit="1"/>
    </xf>
    <xf numFmtId="10" fontId="27" fillId="0" borderId="22" xfId="11" applyNumberFormat="1" applyFont="1" applyBorder="1" applyAlignment="1">
      <alignment shrinkToFit="1"/>
    </xf>
    <xf numFmtId="0" fontId="40" fillId="0" borderId="1" xfId="11" applyFont="1" applyBorder="1" applyAlignment="1">
      <alignment horizontal="center" shrinkToFit="1"/>
    </xf>
    <xf numFmtId="3" fontId="34" fillId="0" borderId="1" xfId="11" applyNumberFormat="1" applyFont="1" applyBorder="1" applyAlignment="1">
      <alignment shrinkToFit="1"/>
    </xf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83" fontId="0" fillId="0" borderId="22" xfId="0" applyNumberFormat="1" applyBorder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3" fillId="0" borderId="32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0" fontId="6" fillId="0" borderId="0" xfId="5"/>
    <xf numFmtId="0" fontId="61" fillId="8" borderId="30" xfId="5" applyFont="1" applyFill="1" applyBorder="1"/>
    <xf numFmtId="0" fontId="61" fillId="0" borderId="0" xfId="5" applyFont="1"/>
    <xf numFmtId="0" fontId="61" fillId="0" borderId="22" xfId="5" applyFont="1" applyBorder="1"/>
    <xf numFmtId="0" fontId="61" fillId="8" borderId="22" xfId="5" applyFont="1" applyFill="1" applyBorder="1"/>
    <xf numFmtId="185" fontId="25" fillId="0" borderId="0" xfId="0" applyNumberFormat="1" applyFont="1"/>
    <xf numFmtId="0" fontId="27" fillId="0" borderId="22" xfId="11" applyFont="1" applyBorder="1" applyAlignment="1">
      <alignment horizontal="center" vertical="center" shrinkToFit="1"/>
    </xf>
    <xf numFmtId="183" fontId="0" fillId="0" borderId="0" xfId="0" applyNumberFormat="1" applyAlignment="1">
      <alignment horizontal="center" vertical="center"/>
    </xf>
    <xf numFmtId="0" fontId="62" fillId="0" borderId="0" xfId="0" applyFont="1" applyAlignment="1">
      <alignment vertical="center"/>
    </xf>
    <xf numFmtId="0" fontId="58" fillId="2" borderId="22" xfId="0" applyFont="1" applyFill="1" applyBorder="1" applyAlignment="1">
      <alignment horizontal="center" vertical="center" shrinkToFit="1"/>
    </xf>
    <xf numFmtId="0" fontId="0" fillId="5" borderId="22" xfId="0" applyFill="1" applyBorder="1" applyAlignment="1">
      <alignment horizontal="center" vertical="center"/>
    </xf>
    <xf numFmtId="186" fontId="64" fillId="0" borderId="22" xfId="0" applyNumberFormat="1" applyFont="1" applyBorder="1"/>
    <xf numFmtId="186" fontId="25" fillId="0" borderId="0" xfId="0" applyNumberFormat="1" applyFont="1"/>
    <xf numFmtId="180" fontId="25" fillId="9" borderId="0" xfId="0" applyNumberFormat="1" applyFont="1" applyFill="1"/>
    <xf numFmtId="187" fontId="25" fillId="9" borderId="0" xfId="0" applyNumberFormat="1" applyFont="1" applyFill="1"/>
    <xf numFmtId="177" fontId="25" fillId="9" borderId="0" xfId="0" applyNumberFormat="1" applyFont="1" applyFill="1"/>
    <xf numFmtId="186" fontId="25" fillId="9" borderId="0" xfId="0" applyNumberFormat="1" applyFont="1" applyFill="1"/>
    <xf numFmtId="185" fontId="25" fillId="9" borderId="0" xfId="0" applyNumberFormat="1" applyFont="1" applyFill="1"/>
    <xf numFmtId="186" fontId="64" fillId="9" borderId="22" xfId="0" applyNumberFormat="1" applyFont="1" applyFill="1" applyBorder="1"/>
    <xf numFmtId="177" fontId="25" fillId="9" borderId="22" xfId="0" applyNumberFormat="1" applyFont="1" applyFill="1" applyBorder="1"/>
    <xf numFmtId="1" fontId="27" fillId="0" borderId="22" xfId="0" applyNumberFormat="1" applyFont="1" applyBorder="1" applyAlignment="1">
      <alignment horizontal="center" vertical="center" shrinkToFit="1"/>
    </xf>
    <xf numFmtId="0" fontId="66" fillId="0" borderId="22" xfId="0" applyFont="1" applyBorder="1" applyAlignment="1">
      <alignment horizontal="center" vertical="center" shrinkToFit="1"/>
    </xf>
    <xf numFmtId="0" fontId="67" fillId="0" borderId="22" xfId="0" applyFont="1" applyBorder="1" applyAlignment="1">
      <alignment horizontal="center" vertical="center" shrinkToFit="1"/>
    </xf>
    <xf numFmtId="0" fontId="68" fillId="0" borderId="22" xfId="0" applyFont="1" applyBorder="1" applyAlignment="1">
      <alignment horizontal="center" shrinkToFit="1"/>
    </xf>
    <xf numFmtId="1" fontId="27" fillId="0" borderId="22" xfId="0" applyNumberFormat="1" applyFont="1" applyBorder="1" applyAlignment="1">
      <alignment horizontal="center" shrinkToFit="1"/>
    </xf>
    <xf numFmtId="0" fontId="69" fillId="0" borderId="22" xfId="0" applyFont="1" applyBorder="1" applyAlignment="1">
      <alignment horizontal="center" vertical="center" shrinkToFit="1"/>
    </xf>
    <xf numFmtId="189" fontId="27" fillId="0" borderId="22" xfId="0" applyNumberFormat="1" applyFont="1" applyBorder="1" applyAlignment="1">
      <alignment shrinkToFit="1"/>
    </xf>
    <xf numFmtId="10" fontId="27" fillId="3" borderId="22" xfId="0" applyNumberFormat="1" applyFont="1" applyFill="1" applyBorder="1" applyAlignment="1">
      <alignment horizontal="center" shrinkToFit="1"/>
    </xf>
    <xf numFmtId="0" fontId="10" fillId="2" borderId="22" xfId="0" applyFont="1" applyFill="1" applyBorder="1" applyAlignment="1">
      <alignment horizontal="center" shrinkToFit="1"/>
    </xf>
    <xf numFmtId="183" fontId="27" fillId="3" borderId="18" xfId="0" applyNumberFormat="1" applyFont="1" applyFill="1" applyBorder="1" applyAlignment="1">
      <alignment shrinkToFit="1"/>
    </xf>
    <xf numFmtId="188" fontId="25" fillId="9" borderId="0" xfId="0" applyNumberFormat="1" applyFont="1" applyFill="1"/>
    <xf numFmtId="188" fontId="27" fillId="0" borderId="22" xfId="0" applyNumberFormat="1" applyFont="1" applyBorder="1" applyAlignment="1">
      <alignment shrinkToFit="1"/>
    </xf>
    <xf numFmtId="185" fontId="27" fillId="0" borderId="22" xfId="0" applyNumberFormat="1" applyFont="1" applyBorder="1" applyAlignment="1">
      <alignment shrinkToFit="1"/>
    </xf>
    <xf numFmtId="183" fontId="25" fillId="0" borderId="0" xfId="0" applyNumberFormat="1" applyFont="1" applyAlignment="1">
      <alignment shrinkToFit="1"/>
    </xf>
    <xf numFmtId="9" fontId="27" fillId="0" borderId="22" xfId="0" applyNumberFormat="1" applyFont="1" applyBorder="1" applyAlignment="1">
      <alignment shrinkToFit="1"/>
    </xf>
    <xf numFmtId="0" fontId="40" fillId="2" borderId="22" xfId="0" applyFont="1" applyFill="1" applyBorder="1" applyAlignment="1">
      <alignment horizontal="center" shrinkToFit="1"/>
    </xf>
    <xf numFmtId="10" fontId="25" fillId="11" borderId="22" xfId="0" applyNumberFormat="1" applyFont="1" applyFill="1" applyBorder="1"/>
    <xf numFmtId="177" fontId="65" fillId="11" borderId="0" xfId="0" applyNumberFormat="1" applyFont="1" applyFill="1"/>
    <xf numFmtId="177" fontId="65" fillId="0" borderId="0" xfId="0" applyNumberFormat="1" applyFont="1"/>
    <xf numFmtId="10" fontId="71" fillId="11" borderId="22" xfId="0" applyNumberFormat="1" applyFont="1" applyFill="1" applyBorder="1"/>
    <xf numFmtId="177" fontId="71" fillId="0" borderId="0" xfId="0" applyNumberFormat="1" applyFont="1"/>
    <xf numFmtId="10" fontId="71" fillId="0" borderId="0" xfId="0" applyNumberFormat="1" applyFont="1"/>
    <xf numFmtId="3" fontId="71" fillId="0" borderId="0" xfId="0" applyNumberFormat="1" applyFont="1"/>
    <xf numFmtId="186" fontId="64" fillId="11" borderId="22" xfId="0" applyNumberFormat="1" applyFont="1" applyFill="1" applyBorder="1"/>
    <xf numFmtId="3" fontId="27" fillId="12" borderId="22" xfId="0" applyNumberFormat="1" applyFont="1" applyFill="1" applyBorder="1" applyAlignment="1">
      <alignment shrinkToFit="1"/>
    </xf>
    <xf numFmtId="10" fontId="27" fillId="12" borderId="22" xfId="0" applyNumberFormat="1" applyFont="1" applyFill="1" applyBorder="1" applyAlignment="1">
      <alignment shrinkToFit="1"/>
    </xf>
    <xf numFmtId="183" fontId="27" fillId="0" borderId="22" xfId="0" applyNumberFormat="1" applyFont="1" applyBorder="1" applyAlignment="1">
      <alignment shrinkToFit="1"/>
    </xf>
    <xf numFmtId="3" fontId="27" fillId="0" borderId="22" xfId="0" applyNumberFormat="1" applyFont="1" applyBorder="1" applyAlignment="1">
      <alignment horizontal="right" shrinkToFit="1"/>
    </xf>
    <xf numFmtId="0" fontId="31" fillId="0" borderId="22" xfId="0" applyFont="1" applyBorder="1" applyAlignment="1">
      <alignment horizontal="center" vertical="center"/>
    </xf>
    <xf numFmtId="180" fontId="25" fillId="10" borderId="0" xfId="0" applyNumberFormat="1" applyFont="1" applyFill="1"/>
    <xf numFmtId="4" fontId="27" fillId="12" borderId="22" xfId="0" applyNumberFormat="1" applyFont="1" applyFill="1" applyBorder="1" applyAlignment="1">
      <alignment horizontal="right" shrinkToFit="1"/>
    </xf>
    <xf numFmtId="188" fontId="27" fillId="12" borderId="22" xfId="0" applyNumberFormat="1" applyFont="1" applyFill="1" applyBorder="1" applyAlignment="1">
      <alignment shrinkToFit="1"/>
    </xf>
    <xf numFmtId="185" fontId="27" fillId="12" borderId="22" xfId="0" applyNumberFormat="1" applyFont="1" applyFill="1" applyBorder="1" applyAlignment="1">
      <alignment shrinkToFit="1"/>
    </xf>
    <xf numFmtId="185" fontId="25" fillId="10" borderId="0" xfId="0" applyNumberFormat="1" applyFont="1" applyFill="1"/>
    <xf numFmtId="188" fontId="25" fillId="10" borderId="0" xfId="0" applyNumberFormat="1" applyFont="1" applyFill="1"/>
    <xf numFmtId="187" fontId="25" fillId="0" borderId="0" xfId="0" applyNumberFormat="1" applyFont="1"/>
    <xf numFmtId="188" fontId="25" fillId="0" borderId="0" xfId="0" applyNumberFormat="1" applyFont="1"/>
    <xf numFmtId="179" fontId="59" fillId="0" borderId="0" xfId="0" applyNumberFormat="1" applyFont="1" applyAlignment="1">
      <alignment horizontal="center"/>
    </xf>
    <xf numFmtId="176" fontId="41" fillId="0" borderId="0" xfId="0" applyNumberFormat="1" applyFont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6" fillId="3" borderId="1" xfId="0" applyNumberFormat="1" applyFont="1" applyFill="1" applyBorder="1" applyAlignment="1">
      <alignment shrinkToFit="1"/>
    </xf>
    <xf numFmtId="183" fontId="6" fillId="0" borderId="1" xfId="0" applyNumberFormat="1" applyFont="1" applyBorder="1" applyAlignment="1">
      <alignment shrinkToFit="1"/>
    </xf>
    <xf numFmtId="177" fontId="25" fillId="0" borderId="0" xfId="0" applyNumberFormat="1" applyFont="1" applyAlignment="1">
      <alignment horizontal="right"/>
    </xf>
    <xf numFmtId="183" fontId="27" fillId="12" borderId="22" xfId="0" applyNumberFormat="1" applyFont="1" applyFill="1" applyBorder="1" applyAlignment="1">
      <alignment shrinkToFit="1"/>
    </xf>
    <xf numFmtId="187" fontId="25" fillId="0" borderId="0" xfId="0" applyNumberFormat="1" applyFont="1" applyAlignment="1">
      <alignment vertical="center"/>
    </xf>
    <xf numFmtId="177" fontId="25" fillId="0" borderId="0" xfId="0" applyNumberFormat="1" applyFont="1" applyAlignment="1">
      <alignment vertical="center"/>
    </xf>
    <xf numFmtId="10" fontId="25" fillId="0" borderId="0" xfId="0" applyNumberFormat="1" applyFont="1" applyAlignment="1">
      <alignment vertical="center"/>
    </xf>
    <xf numFmtId="186" fontId="65" fillId="0" borderId="34" xfId="0" applyNumberFormat="1" applyFont="1" applyBorder="1" applyAlignment="1">
      <alignment vertical="center"/>
    </xf>
    <xf numFmtId="177" fontId="25" fillId="0" borderId="34" xfId="0" applyNumberFormat="1" applyFont="1" applyBorder="1"/>
    <xf numFmtId="0" fontId="25" fillId="0" borderId="37" xfId="0" applyFont="1" applyBorder="1" applyAlignment="1">
      <alignment vertical="center"/>
    </xf>
    <xf numFmtId="0" fontId="25" fillId="0" borderId="0" xfId="11" applyFont="1" applyAlignment="1">
      <alignment horizontal="center" vertical="center" shrinkToFit="1"/>
    </xf>
    <xf numFmtId="0" fontId="25" fillId="0" borderId="0" xfId="11" applyFont="1" applyAlignment="1">
      <alignment wrapText="1" shrinkToFit="1"/>
    </xf>
    <xf numFmtId="0" fontId="25" fillId="0" borderId="0" xfId="11" applyFont="1" applyAlignment="1">
      <alignment vertical="center" shrinkToFit="1"/>
    </xf>
    <xf numFmtId="0" fontId="23" fillId="0" borderId="0" xfId="11" applyAlignment="1">
      <alignment horizontal="center" vertical="center" shrinkToFit="1"/>
    </xf>
    <xf numFmtId="0" fontId="23" fillId="0" borderId="0" xfId="11" applyAlignment="1">
      <alignment shrinkToFit="1"/>
    </xf>
    <xf numFmtId="0" fontId="23" fillId="0" borderId="0" xfId="11" applyAlignment="1">
      <alignment wrapText="1" shrinkToFit="1"/>
    </xf>
    <xf numFmtId="0" fontId="23" fillId="0" borderId="0" xfId="11" applyAlignment="1">
      <alignment vertical="center" shrinkToFit="1"/>
    </xf>
    <xf numFmtId="0" fontId="3" fillId="0" borderId="0" xfId="14">
      <alignment vertical="center"/>
    </xf>
    <xf numFmtId="0" fontId="76" fillId="13" borderId="22" xfId="14" applyFont="1" applyFill="1" applyBorder="1" applyAlignment="1">
      <alignment horizontal="center" vertical="center" wrapText="1"/>
    </xf>
    <xf numFmtId="0" fontId="79" fillId="13" borderId="22" xfId="14" applyFont="1" applyFill="1" applyBorder="1" applyAlignment="1">
      <alignment horizontal="center" vertical="center"/>
    </xf>
    <xf numFmtId="190" fontId="80" fillId="0" borderId="22" xfId="5" applyNumberFormat="1" applyFont="1" applyBorder="1" applyAlignment="1">
      <alignment horizontal="center" vertical="center"/>
    </xf>
    <xf numFmtId="191" fontId="80" fillId="8" borderId="22" xfId="14" applyNumberFormat="1" applyFont="1" applyFill="1" applyBorder="1" applyAlignment="1">
      <alignment horizontal="center" vertical="center"/>
    </xf>
    <xf numFmtId="188" fontId="80" fillId="0" borderId="22" xfId="14" applyNumberFormat="1" applyFont="1" applyBorder="1" applyAlignment="1">
      <alignment horizontal="center" vertical="center"/>
    </xf>
    <xf numFmtId="191" fontId="80" fillId="8" borderId="22" xfId="15" applyNumberFormat="1" applyFont="1" applyFill="1" applyBorder="1" applyAlignment="1">
      <alignment horizontal="center" vertical="center"/>
    </xf>
    <xf numFmtId="188" fontId="80" fillId="0" borderId="22" xfId="3" applyNumberFormat="1" applyFont="1" applyBorder="1" applyAlignment="1">
      <alignment horizontal="center" vertical="center"/>
    </xf>
    <xf numFmtId="10" fontId="80" fillId="0" borderId="22" xfId="3" applyNumberFormat="1" applyFont="1" applyBorder="1" applyAlignment="1">
      <alignment horizontal="center" vertical="center"/>
    </xf>
    <xf numFmtId="191" fontId="80" fillId="8" borderId="22" xfId="3" applyNumberFormat="1" applyFont="1" applyFill="1" applyBorder="1" applyAlignment="1">
      <alignment horizontal="center" vertical="center"/>
    </xf>
    <xf numFmtId="192" fontId="80" fillId="8" borderId="22" xfId="14" applyNumberFormat="1" applyFont="1" applyFill="1" applyBorder="1" applyAlignment="1">
      <alignment horizontal="center" vertical="center"/>
    </xf>
    <xf numFmtId="10" fontId="80" fillId="0" borderId="22" xfId="14" applyNumberFormat="1" applyFont="1" applyBorder="1" applyAlignment="1">
      <alignment horizontal="center" vertical="center"/>
    </xf>
    <xf numFmtId="0" fontId="3" fillId="0" borderId="22" xfId="14" applyBorder="1">
      <alignment vertical="center"/>
    </xf>
    <xf numFmtId="190" fontId="81" fillId="0" borderId="22" xfId="5" applyNumberFormat="1" applyFont="1" applyBorder="1" applyAlignment="1">
      <alignment horizontal="center" vertical="center"/>
    </xf>
    <xf numFmtId="1" fontId="3" fillId="0" borderId="0" xfId="14" applyNumberFormat="1">
      <alignment vertical="center"/>
    </xf>
    <xf numFmtId="190" fontId="82" fillId="0" borderId="22" xfId="5" applyNumberFormat="1" applyFont="1" applyBorder="1" applyAlignment="1">
      <alignment horizontal="center" vertical="center"/>
    </xf>
    <xf numFmtId="3" fontId="3" fillId="0" borderId="0" xfId="14" applyNumberFormat="1">
      <alignment vertical="center"/>
    </xf>
    <xf numFmtId="188" fontId="82" fillId="0" borderId="22" xfId="17" applyNumberFormat="1" applyFont="1" applyBorder="1" applyAlignment="1">
      <alignment horizontal="center" vertical="center"/>
    </xf>
    <xf numFmtId="10" fontId="80" fillId="0" borderId="22" xfId="17" applyNumberFormat="1" applyFont="1" applyBorder="1" applyAlignment="1">
      <alignment horizontal="center" vertical="center"/>
    </xf>
    <xf numFmtId="191" fontId="80" fillId="8" borderId="22" xfId="17" applyNumberFormat="1" applyFont="1" applyFill="1" applyBorder="1" applyAlignment="1">
      <alignment horizontal="center" vertical="center"/>
    </xf>
    <xf numFmtId="0" fontId="80" fillId="0" borderId="0" xfId="14" applyFont="1">
      <alignment vertical="center"/>
    </xf>
    <xf numFmtId="0" fontId="27" fillId="2" borderId="22" xfId="0" applyFont="1" applyFill="1" applyBorder="1" applyAlignment="1">
      <alignment horizontal="center" shrinkToFit="1"/>
    </xf>
    <xf numFmtId="0" fontId="58" fillId="2" borderId="1" xfId="0" applyFont="1" applyFill="1" applyBorder="1" applyAlignment="1">
      <alignment horizontal="center" vertical="center" shrinkToFit="1"/>
    </xf>
    <xf numFmtId="0" fontId="28" fillId="0" borderId="0" xfId="11" applyFont="1"/>
    <xf numFmtId="0" fontId="28" fillId="0" borderId="0" xfId="11" applyFont="1" applyAlignment="1">
      <alignment vertical="center"/>
    </xf>
    <xf numFmtId="0" fontId="28" fillId="5" borderId="23" xfId="11" applyFont="1" applyFill="1" applyBorder="1" applyAlignment="1">
      <alignment horizontal="center" vertical="center"/>
    </xf>
    <xf numFmtId="0" fontId="28" fillId="0" borderId="22" xfId="11" applyFont="1" applyBorder="1" applyAlignment="1">
      <alignment horizontal="center" vertical="center"/>
    </xf>
    <xf numFmtId="0" fontId="28" fillId="0" borderId="22" xfId="11" applyFont="1" applyBorder="1" applyAlignment="1">
      <alignment horizontal="left" vertical="center"/>
    </xf>
    <xf numFmtId="193" fontId="34" fillId="0" borderId="22" xfId="11" applyNumberFormat="1" applyFont="1" applyBorder="1" applyAlignment="1">
      <alignment horizontal="center" vertical="center"/>
    </xf>
    <xf numFmtId="185" fontId="34" fillId="8" borderId="22" xfId="13" applyNumberFormat="1" applyFont="1" applyFill="1" applyBorder="1" applyAlignment="1">
      <alignment horizontal="center" vertical="center"/>
    </xf>
    <xf numFmtId="193" fontId="34" fillId="0" borderId="22" xfId="16" applyNumberFormat="1" applyFont="1" applyBorder="1" applyAlignment="1">
      <alignment horizontal="center" vertical="center"/>
    </xf>
    <xf numFmtId="193" fontId="34" fillId="8" borderId="22" xfId="11" applyNumberFormat="1" applyFont="1" applyFill="1" applyBorder="1" applyAlignment="1">
      <alignment horizontal="center" vertical="center"/>
    </xf>
    <xf numFmtId="0" fontId="95" fillId="0" borderId="22" xfId="11" applyFont="1" applyBorder="1" applyAlignment="1">
      <alignment horizontal="center" vertical="center"/>
    </xf>
    <xf numFmtId="0" fontId="34" fillId="0" borderId="22" xfId="11" applyFont="1" applyBorder="1" applyAlignment="1">
      <alignment horizontal="center" vertical="center"/>
    </xf>
    <xf numFmtId="0" fontId="90" fillId="0" borderId="22" xfId="11" applyFont="1" applyBorder="1" applyAlignment="1">
      <alignment horizontal="left" vertical="center"/>
    </xf>
    <xf numFmtId="0" fontId="89" fillId="0" borderId="0" xfId="11" applyFont="1" applyAlignment="1">
      <alignment horizontal="center" vertical="center"/>
    </xf>
    <xf numFmtId="1" fontId="28" fillId="0" borderId="44" xfId="11" applyNumberFormat="1" applyFont="1" applyBorder="1" applyAlignment="1">
      <alignment horizontal="center" vertical="center"/>
    </xf>
    <xf numFmtId="0" fontId="28" fillId="0" borderId="44" xfId="11" applyFont="1" applyBorder="1" applyAlignment="1">
      <alignment horizontal="center" vertical="center"/>
    </xf>
    <xf numFmtId="0" fontId="96" fillId="0" borderId="22" xfId="11" applyFont="1" applyBorder="1" applyAlignment="1">
      <alignment horizontal="center" vertical="center"/>
    </xf>
    <xf numFmtId="1" fontId="97" fillId="0" borderId="44" xfId="11" applyNumberFormat="1" applyFont="1" applyBorder="1" applyAlignment="1">
      <alignment horizontal="center" vertical="center"/>
    </xf>
    <xf numFmtId="0" fontId="28" fillId="0" borderId="0" xfId="11" applyFont="1" applyAlignment="1">
      <alignment horizontal="left" vertical="center"/>
    </xf>
    <xf numFmtId="0" fontId="89" fillId="0" borderId="0" xfId="11" applyFont="1" applyAlignment="1">
      <alignment horizontal="left" vertical="center"/>
    </xf>
    <xf numFmtId="0" fontId="96" fillId="0" borderId="0" xfId="11" applyFont="1" applyAlignment="1">
      <alignment horizontal="center" vertical="center"/>
    </xf>
    <xf numFmtId="0" fontId="95" fillId="0" borderId="0" xfId="11" applyFont="1" applyAlignment="1">
      <alignment horizontal="center" vertical="center"/>
    </xf>
    <xf numFmtId="0" fontId="28" fillId="0" borderId="0" xfId="11" applyFont="1" applyAlignment="1">
      <alignment horizontal="center"/>
    </xf>
    <xf numFmtId="0" fontId="91" fillId="0" borderId="22" xfId="11" applyFont="1" applyBorder="1" applyAlignment="1">
      <alignment horizontal="left" vertical="center"/>
    </xf>
    <xf numFmtId="0" fontId="34" fillId="0" borderId="22" xfId="11" applyFont="1" applyBorder="1" applyAlignment="1">
      <alignment horizontal="left" vertical="center"/>
    </xf>
    <xf numFmtId="0" fontId="95" fillId="0" borderId="22" xfId="11" applyFont="1" applyBorder="1" applyAlignment="1">
      <alignment horizontal="left" vertical="center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8" fillId="0" borderId="0" xfId="11" applyFont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2" xfId="19" applyFont="1" applyFill="1" applyBorder="1" applyAlignment="1">
      <alignment horizontal="center" vertical="center" wrapText="1"/>
    </xf>
    <xf numFmtId="0" fontId="34" fillId="5" borderId="22" xfId="19" applyFont="1" applyFill="1" applyBorder="1" applyAlignment="1">
      <alignment horizontal="center" vertical="center"/>
    </xf>
    <xf numFmtId="0" fontId="28" fillId="0" borderId="0" xfId="11" applyFont="1" applyAlignment="1">
      <alignment horizontal="left"/>
    </xf>
    <xf numFmtId="193" fontId="28" fillId="0" borderId="0" xfId="11" applyNumberFormat="1" applyFont="1"/>
    <xf numFmtId="185" fontId="28" fillId="0" borderId="0" xfId="11" applyNumberFormat="1" applyFont="1"/>
    <xf numFmtId="183" fontId="34" fillId="8" borderId="22" xfId="13" applyNumberFormat="1" applyFont="1" applyFill="1" applyBorder="1" applyAlignment="1">
      <alignment horizontal="center" vertical="center"/>
    </xf>
    <xf numFmtId="194" fontId="25" fillId="9" borderId="0" xfId="0" applyNumberFormat="1" applyFont="1" applyFill="1"/>
    <xf numFmtId="194" fontId="25" fillId="0" borderId="0" xfId="0" applyNumberFormat="1" applyFont="1"/>
    <xf numFmtId="194" fontId="25" fillId="0" borderId="0" xfId="0" applyNumberFormat="1" applyFont="1" applyAlignment="1">
      <alignment horizontal="right"/>
    </xf>
    <xf numFmtId="194" fontId="25" fillId="9" borderId="22" xfId="0" applyNumberFormat="1" applyFont="1" applyFill="1" applyBorder="1"/>
    <xf numFmtId="194" fontId="25" fillId="0" borderId="22" xfId="0" applyNumberFormat="1" applyFont="1" applyBorder="1"/>
    <xf numFmtId="188" fontId="1" fillId="0" borderId="0" xfId="3" applyNumberFormat="1" applyFont="1">
      <alignment vertical="center"/>
    </xf>
    <xf numFmtId="0" fontId="7" fillId="0" borderId="4" xfId="0" applyFont="1" applyBorder="1" applyAlignment="1">
      <alignment shrinkToFit="1"/>
    </xf>
    <xf numFmtId="0" fontId="8" fillId="0" borderId="2" xfId="0" applyFont="1" applyBorder="1" applyAlignment="1">
      <alignment shrinkToFit="1"/>
    </xf>
    <xf numFmtId="0" fontId="8" fillId="0" borderId="3" xfId="0" applyFont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10" fillId="0" borderId="4" xfId="0" applyFont="1" applyBorder="1" applyAlignment="1">
      <alignment shrinkToFit="1"/>
    </xf>
    <xf numFmtId="0" fontId="6" fillId="0" borderId="4" xfId="0" applyFont="1" applyBorder="1" applyAlignment="1">
      <alignment shrinkToFit="1"/>
    </xf>
    <xf numFmtId="0" fontId="6" fillId="0" borderId="9" xfId="0" applyFont="1" applyBorder="1" applyAlignment="1">
      <alignment shrinkToFit="1"/>
    </xf>
    <xf numFmtId="0" fontId="8" fillId="0" borderId="8" xfId="0" applyFont="1" applyBorder="1" applyAlignment="1">
      <alignment shrinkToFit="1"/>
    </xf>
    <xf numFmtId="0" fontId="10" fillId="0" borderId="12" xfId="0" applyFont="1" applyBorder="1" applyAlignment="1">
      <alignment shrinkToFit="1"/>
    </xf>
    <xf numFmtId="0" fontId="8" fillId="0" borderId="11" xfId="0" applyFont="1" applyBorder="1" applyAlignment="1">
      <alignment shrinkToFit="1"/>
    </xf>
    <xf numFmtId="0" fontId="8" fillId="0" borderId="10" xfId="0" applyFont="1" applyBorder="1" applyAlignment="1">
      <alignment shrinkToFit="1"/>
    </xf>
    <xf numFmtId="0" fontId="6" fillId="2" borderId="4" xfId="0" applyFont="1" applyFill="1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6" fillId="2" borderId="3" xfId="0" applyFont="1" applyFill="1" applyBorder="1" applyAlignment="1">
      <alignment shrinkToFit="1"/>
    </xf>
    <xf numFmtId="0" fontId="7" fillId="0" borderId="9" xfId="0" applyFont="1" applyBorder="1" applyAlignment="1">
      <alignment shrinkToFit="1"/>
    </xf>
    <xf numFmtId="0" fontId="8" fillId="0" borderId="13" xfId="0" applyFont="1" applyBorder="1" applyAlignment="1">
      <alignment shrinkToFit="1"/>
    </xf>
    <xf numFmtId="0" fontId="11" fillId="2" borderId="4" xfId="0" applyFont="1" applyFill="1" applyBorder="1" applyAlignment="1">
      <alignment shrinkToFit="1"/>
    </xf>
    <xf numFmtId="0" fontId="10" fillId="2" borderId="4" xfId="0" applyFont="1" applyFill="1" applyBorder="1" applyAlignment="1">
      <alignment shrinkToFit="1"/>
    </xf>
    <xf numFmtId="0" fontId="10" fillId="2" borderId="2" xfId="0" applyFont="1" applyFill="1" applyBorder="1" applyAlignment="1">
      <alignment shrinkToFit="1"/>
    </xf>
    <xf numFmtId="0" fontId="10" fillId="2" borderId="3" xfId="0" applyFont="1" applyFill="1" applyBorder="1" applyAlignment="1">
      <alignment shrinkToFit="1"/>
    </xf>
    <xf numFmtId="0" fontId="10" fillId="0" borderId="19" xfId="0" applyFont="1" applyBorder="1" applyAlignment="1">
      <alignment shrinkToFit="1"/>
    </xf>
    <xf numFmtId="0" fontId="8" fillId="0" borderId="20" xfId="0" applyFont="1" applyBorder="1" applyAlignment="1">
      <alignment shrinkToFit="1"/>
    </xf>
    <xf numFmtId="0" fontId="8" fillId="0" borderId="21" xfId="0" applyFont="1" applyBorder="1" applyAlignment="1">
      <alignment shrinkToFit="1"/>
    </xf>
    <xf numFmtId="0" fontId="6" fillId="0" borderId="0" xfId="0" applyFont="1" applyAlignment="1">
      <alignment shrinkToFit="1"/>
    </xf>
    <xf numFmtId="0" fontId="0" fillId="0" borderId="0" xfId="0" applyAlignment="1">
      <alignment shrinkToFit="1"/>
    </xf>
    <xf numFmtId="0" fontId="6" fillId="0" borderId="19" xfId="0" applyFont="1" applyBorder="1" applyAlignment="1">
      <alignment shrinkToFit="1"/>
    </xf>
    <xf numFmtId="0" fontId="11" fillId="2" borderId="3" xfId="0" applyFont="1" applyFill="1" applyBorder="1" applyAlignment="1">
      <alignment shrinkToFit="1"/>
    </xf>
    <xf numFmtId="0" fontId="37" fillId="0" borderId="0" xfId="0" applyFont="1" applyAlignment="1">
      <alignment horizontal="center" vertical="center" shrinkToFit="1"/>
    </xf>
    <xf numFmtId="0" fontId="47" fillId="8" borderId="22" xfId="0" applyFont="1" applyFill="1" applyBorder="1" applyAlignment="1">
      <alignment horizontal="center" vertical="center" shrinkToFit="1"/>
    </xf>
    <xf numFmtId="0" fontId="25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177" fontId="26" fillId="7" borderId="0" xfId="0" applyNumberFormat="1" applyFont="1" applyFill="1" applyAlignment="1">
      <alignment horizontal="center" vertical="center"/>
    </xf>
    <xf numFmtId="178" fontId="26" fillId="6" borderId="0" xfId="0" applyNumberFormat="1" applyFont="1" applyFill="1" applyAlignment="1">
      <alignment horizontal="center" vertical="center"/>
    </xf>
    <xf numFmtId="176" fontId="26" fillId="5" borderId="0" xfId="0" applyNumberFormat="1" applyFont="1" applyFill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 shrinkToFit="1"/>
    </xf>
    <xf numFmtId="178" fontId="26" fillId="0" borderId="0" xfId="0" applyNumberFormat="1" applyFont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187" fontId="25" fillId="0" borderId="0" xfId="0" applyNumberFormat="1" applyFont="1" applyAlignment="1">
      <alignment horizontal="center" vertical="center"/>
    </xf>
    <xf numFmtId="177" fontId="25" fillId="0" borderId="0" xfId="0" applyNumberFormat="1" applyFont="1" applyAlignment="1">
      <alignment horizontal="center" vertical="center"/>
    </xf>
    <xf numFmtId="185" fontId="2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80" fontId="25" fillId="0" borderId="0" xfId="0" applyNumberFormat="1" applyFont="1" applyAlignment="1">
      <alignment horizontal="center" vertical="center"/>
    </xf>
    <xf numFmtId="188" fontId="25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81" fontId="14" fillId="0" borderId="0" xfId="0" applyNumberFormat="1" applyFont="1" applyAlignment="1">
      <alignment horizontal="center" vertical="center"/>
    </xf>
    <xf numFmtId="10" fontId="14" fillId="5" borderId="0" xfId="0" applyNumberFormat="1" applyFont="1" applyFill="1" applyAlignment="1">
      <alignment horizontal="center" vertical="center"/>
    </xf>
    <xf numFmtId="10" fontId="14" fillId="0" borderId="0" xfId="0" applyNumberFormat="1" applyFont="1" applyAlignment="1">
      <alignment horizontal="center" vertical="center"/>
    </xf>
    <xf numFmtId="0" fontId="29" fillId="0" borderId="22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shrinkToFit="1"/>
    </xf>
    <xf numFmtId="182" fontId="27" fillId="0" borderId="22" xfId="0" applyNumberFormat="1" applyFont="1" applyBorder="1" applyAlignment="1">
      <alignment horizontal="center" vertical="center" shrinkToFit="1"/>
    </xf>
    <xf numFmtId="0" fontId="17" fillId="0" borderId="22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82" fontId="26" fillId="0" borderId="22" xfId="0" applyNumberFormat="1" applyFont="1" applyBorder="1" applyAlignment="1">
      <alignment horizontal="center" vertical="center"/>
    </xf>
    <xf numFmtId="186" fontId="65" fillId="0" borderId="32" xfId="0" applyNumberFormat="1" applyFont="1" applyBorder="1" applyAlignment="1">
      <alignment horizontal="center" vertical="center"/>
    </xf>
    <xf numFmtId="186" fontId="65" fillId="0" borderId="34" xfId="0" applyNumberFormat="1" applyFont="1" applyBorder="1" applyAlignment="1">
      <alignment horizontal="center" vertical="center"/>
    </xf>
    <xf numFmtId="177" fontId="26" fillId="0" borderId="22" xfId="0" applyNumberFormat="1" applyFont="1" applyBorder="1" applyAlignment="1">
      <alignment horizontal="center" vertical="center"/>
    </xf>
    <xf numFmtId="177" fontId="17" fillId="0" borderId="22" xfId="0" applyNumberFormat="1" applyFont="1" applyBorder="1" applyAlignment="1">
      <alignment horizontal="center" vertical="center"/>
    </xf>
    <xf numFmtId="177" fontId="29" fillId="0" borderId="22" xfId="0" applyNumberFormat="1" applyFont="1" applyBorder="1" applyAlignment="1">
      <alignment horizontal="center" vertical="center"/>
    </xf>
    <xf numFmtId="194" fontId="25" fillId="0" borderId="32" xfId="0" applyNumberFormat="1" applyFont="1" applyBorder="1" applyAlignment="1">
      <alignment horizontal="center" vertical="center"/>
    </xf>
    <xf numFmtId="194" fontId="25" fillId="0" borderId="34" xfId="0" applyNumberFormat="1" applyFont="1" applyBorder="1" applyAlignment="1">
      <alignment horizontal="center" vertical="center"/>
    </xf>
    <xf numFmtId="177" fontId="21" fillId="0" borderId="22" xfId="0" applyNumberFormat="1" applyFont="1" applyBorder="1" applyAlignment="1">
      <alignment horizontal="center" vertical="center" shrinkToFit="1"/>
    </xf>
    <xf numFmtId="177" fontId="27" fillId="0" borderId="22" xfId="0" applyNumberFormat="1" applyFont="1" applyBorder="1" applyAlignment="1">
      <alignment horizontal="center" vertical="center" shrinkToFit="1"/>
    </xf>
    <xf numFmtId="177" fontId="22" fillId="0" borderId="22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23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183" fontId="0" fillId="0" borderId="23" xfId="0" applyNumberFormat="1" applyBorder="1" applyAlignment="1">
      <alignment horizontal="center" vertical="center"/>
    </xf>
    <xf numFmtId="183" fontId="0" fillId="0" borderId="29" xfId="0" applyNumberFormat="1" applyBorder="1" applyAlignment="1">
      <alignment horizontal="center" vertical="center"/>
    </xf>
    <xf numFmtId="183" fontId="0" fillId="0" borderId="30" xfId="0" applyNumberFormat="1" applyBorder="1" applyAlignment="1">
      <alignment horizontal="center" vertical="center"/>
    </xf>
    <xf numFmtId="183" fontId="0" fillId="0" borderId="31" xfId="0" applyNumberFormat="1" applyBorder="1" applyAlignment="1">
      <alignment horizontal="center" vertical="center"/>
    </xf>
    <xf numFmtId="183" fontId="0" fillId="0" borderId="33" xfId="0" applyNumberFormat="1" applyBorder="1" applyAlignment="1">
      <alignment horizontal="center" vertical="center"/>
    </xf>
    <xf numFmtId="183" fontId="0" fillId="0" borderId="35" xfId="0" applyNumberFormat="1" applyBorder="1" applyAlignment="1">
      <alignment horizontal="center" vertical="center"/>
    </xf>
    <xf numFmtId="179" fontId="63" fillId="5" borderId="22" xfId="0" applyNumberFormat="1" applyFont="1" applyFill="1" applyBorder="1" applyAlignment="1">
      <alignment horizontal="center" vertical="center"/>
    </xf>
    <xf numFmtId="0" fontId="63" fillId="5" borderId="22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0" fontId="23" fillId="0" borderId="22" xfId="0" applyFont="1" applyBorder="1" applyAlignment="1">
      <alignment horizontal="center" vertical="center"/>
    </xf>
    <xf numFmtId="183" fontId="0" fillId="0" borderId="22" xfId="0" applyNumberFormat="1" applyBorder="1" applyAlignment="1">
      <alignment horizontal="center" vertical="center"/>
    </xf>
    <xf numFmtId="0" fontId="25" fillId="0" borderId="27" xfId="0" applyFont="1" applyBorder="1" applyAlignment="1">
      <alignment horizontal="left" shrinkToFit="1"/>
    </xf>
    <xf numFmtId="0" fontId="25" fillId="0" borderId="28" xfId="0" applyFont="1" applyBorder="1" applyAlignment="1">
      <alignment horizontal="left" shrinkToFit="1"/>
    </xf>
    <xf numFmtId="0" fontId="25" fillId="0" borderId="25" xfId="0" applyFont="1" applyBorder="1" applyAlignment="1">
      <alignment horizontal="left" shrinkToFit="1"/>
    </xf>
    <xf numFmtId="0" fontId="25" fillId="0" borderId="22" xfId="0" applyFont="1" applyBorder="1" applyAlignment="1">
      <alignment horizontal="center" vertical="center" shrinkToFit="1"/>
    </xf>
    <xf numFmtId="0" fontId="40" fillId="2" borderId="22" xfId="0" applyFont="1" applyFill="1" applyBorder="1" applyAlignment="1">
      <alignment horizontal="center" vertical="center" shrinkToFit="1"/>
    </xf>
    <xf numFmtId="0" fontId="51" fillId="0" borderId="22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left" vertical="top" wrapText="1" shrinkToFit="1"/>
    </xf>
    <xf numFmtId="0" fontId="84" fillId="0" borderId="32" xfId="0" applyFont="1" applyBorder="1" applyAlignment="1">
      <alignment horizontal="left" vertical="top" wrapText="1" shrinkToFit="1"/>
    </xf>
    <xf numFmtId="0" fontId="84" fillId="0" borderId="33" xfId="0" applyFont="1" applyBorder="1" applyAlignment="1">
      <alignment horizontal="left" vertical="top" wrapText="1" shrinkToFit="1"/>
    </xf>
    <xf numFmtId="0" fontId="84" fillId="0" borderId="34" xfId="0" applyFont="1" applyBorder="1" applyAlignment="1">
      <alignment horizontal="left" vertical="top" wrapText="1" shrinkToFit="1"/>
    </xf>
    <xf numFmtId="0" fontId="84" fillId="0" borderId="35" xfId="0" applyFont="1" applyBorder="1" applyAlignment="1">
      <alignment horizontal="left" vertical="top" wrapText="1" shrinkToFit="1"/>
    </xf>
    <xf numFmtId="0" fontId="84" fillId="0" borderId="36" xfId="0" applyFont="1" applyBorder="1" applyAlignment="1">
      <alignment horizontal="left" vertical="top" wrapText="1" shrinkToFit="1"/>
    </xf>
    <xf numFmtId="0" fontId="27" fillId="0" borderId="22" xfId="0" applyFont="1" applyBorder="1" applyAlignment="1">
      <alignment shrinkToFit="1"/>
    </xf>
    <xf numFmtId="0" fontId="51" fillId="0" borderId="22" xfId="0" applyFont="1" applyBorder="1" applyAlignment="1">
      <alignment shrinkToFit="1"/>
    </xf>
    <xf numFmtId="0" fontId="85" fillId="0" borderId="22" xfId="0" applyFont="1" applyBorder="1" applyAlignment="1">
      <alignment horizontal="left" vertical="center" wrapText="1"/>
    </xf>
    <xf numFmtId="0" fontId="74" fillId="0" borderId="27" xfId="0" applyFont="1" applyBorder="1" applyAlignment="1">
      <alignment horizontal="left" vertical="center" wrapText="1"/>
    </xf>
    <xf numFmtId="0" fontId="74" fillId="0" borderId="25" xfId="0" applyFont="1" applyBorder="1" applyAlignment="1">
      <alignment horizontal="left" vertical="center" wrapText="1"/>
    </xf>
    <xf numFmtId="0" fontId="25" fillId="0" borderId="27" xfId="0" applyFont="1" applyBorder="1" applyAlignment="1">
      <alignment horizontal="center" shrinkToFit="1"/>
    </xf>
    <xf numFmtId="0" fontId="25" fillId="0" borderId="25" xfId="0" applyFont="1" applyBorder="1" applyAlignment="1">
      <alignment horizontal="center" shrinkToFit="1"/>
    </xf>
    <xf numFmtId="0" fontId="40" fillId="0" borderId="22" xfId="0" applyFont="1" applyBorder="1" applyAlignment="1">
      <alignment shrinkToFit="1"/>
    </xf>
    <xf numFmtId="0" fontId="49" fillId="0" borderId="0" xfId="0" applyFont="1" applyAlignment="1">
      <alignment horizontal="left" vertical="center" shrinkToFit="1"/>
    </xf>
    <xf numFmtId="0" fontId="50" fillId="0" borderId="0" xfId="0" applyFont="1" applyAlignment="1">
      <alignment horizontal="left" vertical="center" shrinkToFit="1"/>
    </xf>
    <xf numFmtId="0" fontId="48" fillId="0" borderId="31" xfId="0" applyFont="1" applyBorder="1" applyAlignment="1">
      <alignment horizontal="left" vertical="top" wrapText="1"/>
    </xf>
    <xf numFmtId="0" fontId="72" fillId="0" borderId="32" xfId="0" applyFont="1" applyBorder="1" applyAlignment="1">
      <alignment horizontal="left" vertical="top" wrapText="1"/>
    </xf>
    <xf numFmtId="0" fontId="72" fillId="0" borderId="33" xfId="0" applyFont="1" applyBorder="1" applyAlignment="1">
      <alignment horizontal="left" vertical="top" wrapText="1"/>
    </xf>
    <xf numFmtId="0" fontId="72" fillId="0" borderId="34" xfId="0" applyFont="1" applyBorder="1" applyAlignment="1">
      <alignment horizontal="left" vertical="top" wrapText="1"/>
    </xf>
    <xf numFmtId="0" fontId="72" fillId="0" borderId="35" xfId="0" applyFont="1" applyBorder="1" applyAlignment="1">
      <alignment horizontal="left" vertical="top" wrapText="1"/>
    </xf>
    <xf numFmtId="0" fontId="72" fillId="0" borderId="36" xfId="0" applyFont="1" applyBorder="1" applyAlignment="1">
      <alignment horizontal="left" vertical="top" wrapText="1"/>
    </xf>
    <xf numFmtId="0" fontId="48" fillId="0" borderId="22" xfId="0" applyFont="1" applyBorder="1" applyAlignment="1">
      <alignment shrinkToFit="1"/>
    </xf>
    <xf numFmtId="0" fontId="48" fillId="0" borderId="27" xfId="0" applyFont="1" applyBorder="1" applyAlignment="1">
      <alignment horizontal="center" vertical="center" wrapText="1" shrinkToFit="1"/>
    </xf>
    <xf numFmtId="0" fontId="48" fillId="0" borderId="25" xfId="0" applyFont="1" applyBorder="1" applyAlignment="1">
      <alignment horizontal="center" vertical="center" wrapText="1" shrinkToFit="1"/>
    </xf>
    <xf numFmtId="0" fontId="48" fillId="0" borderId="35" xfId="0" applyFont="1" applyBorder="1" applyAlignment="1">
      <alignment horizontal="center" vertical="center" wrapText="1" shrinkToFit="1"/>
    </xf>
    <xf numFmtId="0" fontId="48" fillId="0" borderId="36" xfId="0" applyFont="1" applyBorder="1" applyAlignment="1">
      <alignment horizontal="center" vertical="center" wrapText="1" shrinkToFit="1"/>
    </xf>
    <xf numFmtId="0" fontId="40" fillId="2" borderId="22" xfId="0" applyFont="1" applyFill="1" applyBorder="1" applyAlignment="1">
      <alignment horizontal="center" shrinkToFit="1"/>
    </xf>
    <xf numFmtId="0" fontId="51" fillId="0" borderId="22" xfId="0" applyFont="1" applyBorder="1" applyAlignment="1">
      <alignment horizontal="center" shrinkToFit="1"/>
    </xf>
    <xf numFmtId="0" fontId="40" fillId="0" borderId="31" xfId="0" applyFont="1" applyBorder="1" applyAlignment="1">
      <alignment horizontal="left" wrapText="1" shrinkToFit="1"/>
    </xf>
    <xf numFmtId="0" fontId="40" fillId="0" borderId="32" xfId="0" applyFont="1" applyBorder="1" applyAlignment="1">
      <alignment horizontal="left" wrapText="1" shrinkToFit="1"/>
    </xf>
    <xf numFmtId="0" fontId="40" fillId="0" borderId="35" xfId="0" applyFont="1" applyBorder="1" applyAlignment="1">
      <alignment horizontal="left" wrapText="1" shrinkToFit="1"/>
    </xf>
    <xf numFmtId="0" fontId="40" fillId="0" borderId="36" xfId="0" applyFont="1" applyBorder="1" applyAlignment="1">
      <alignment horizontal="left" wrapText="1" shrinkToFit="1"/>
    </xf>
    <xf numFmtId="0" fontId="21" fillId="0" borderId="22" xfId="0" applyFont="1" applyBorder="1" applyAlignment="1">
      <alignment shrinkToFit="1"/>
    </xf>
    <xf numFmtId="0" fontId="21" fillId="0" borderId="31" xfId="0" applyFont="1" applyBorder="1" applyAlignment="1">
      <alignment horizontal="left" wrapText="1"/>
    </xf>
    <xf numFmtId="0" fontId="21" fillId="0" borderId="32" xfId="0" applyFont="1" applyBorder="1" applyAlignment="1">
      <alignment horizontal="left" wrapText="1"/>
    </xf>
    <xf numFmtId="0" fontId="21" fillId="0" borderId="33" xfId="0" applyFont="1" applyBorder="1" applyAlignment="1">
      <alignment horizontal="left" wrapText="1"/>
    </xf>
    <xf numFmtId="0" fontId="21" fillId="0" borderId="34" xfId="0" applyFont="1" applyBorder="1" applyAlignment="1">
      <alignment horizontal="left" wrapText="1"/>
    </xf>
    <xf numFmtId="0" fontId="21" fillId="0" borderId="35" xfId="0" applyFont="1" applyBorder="1" applyAlignment="1">
      <alignment horizontal="left" wrapText="1"/>
    </xf>
    <xf numFmtId="0" fontId="21" fillId="0" borderId="36" xfId="0" applyFont="1" applyBorder="1" applyAlignment="1">
      <alignment horizontal="left" wrapText="1"/>
    </xf>
    <xf numFmtId="0" fontId="21" fillId="0" borderId="27" xfId="0" applyFont="1" applyBorder="1" applyAlignment="1">
      <alignment vertical="center" shrinkToFit="1"/>
    </xf>
    <xf numFmtId="0" fontId="51" fillId="0" borderId="25" xfId="0" applyFont="1" applyBorder="1" applyAlignment="1">
      <alignment vertical="center" shrinkToFit="1"/>
    </xf>
    <xf numFmtId="0" fontId="51" fillId="0" borderId="27" xfId="0" applyFont="1" applyBorder="1" applyAlignment="1">
      <alignment horizontal="left" shrinkToFit="1"/>
    </xf>
    <xf numFmtId="0" fontId="51" fillId="0" borderId="28" xfId="0" applyFont="1" applyBorder="1" applyAlignment="1">
      <alignment horizontal="left" shrinkToFit="1"/>
    </xf>
    <xf numFmtId="0" fontId="51" fillId="0" borderId="25" xfId="0" applyFont="1" applyBorder="1" applyAlignment="1">
      <alignment horizontal="left" shrinkToFit="1"/>
    </xf>
    <xf numFmtId="0" fontId="48" fillId="0" borderId="31" xfId="0" applyFont="1" applyBorder="1" applyAlignment="1">
      <alignment horizontal="left" vertical="center" wrapText="1" shrinkToFit="1"/>
    </xf>
    <xf numFmtId="0" fontId="48" fillId="0" borderId="32" xfId="0" applyFont="1" applyBorder="1" applyAlignment="1">
      <alignment horizontal="left" vertical="center" wrapText="1" shrinkToFit="1"/>
    </xf>
    <xf numFmtId="0" fontId="48" fillId="0" borderId="33" xfId="0" applyFont="1" applyBorder="1" applyAlignment="1">
      <alignment horizontal="left" vertical="center" wrapText="1" shrinkToFit="1"/>
    </xf>
    <xf numFmtId="0" fontId="48" fillId="0" borderId="34" xfId="0" applyFont="1" applyBorder="1" applyAlignment="1">
      <alignment horizontal="left" vertical="center" wrapText="1" shrinkToFit="1"/>
    </xf>
    <xf numFmtId="0" fontId="48" fillId="0" borderId="35" xfId="0" applyFont="1" applyBorder="1" applyAlignment="1">
      <alignment horizontal="left" vertical="center" wrapText="1" shrinkToFit="1"/>
    </xf>
    <xf numFmtId="0" fontId="48" fillId="0" borderId="36" xfId="0" applyFont="1" applyBorder="1" applyAlignment="1">
      <alignment horizontal="left" vertical="center" wrapText="1" shrinkToFit="1"/>
    </xf>
    <xf numFmtId="0" fontId="74" fillId="0" borderId="31" xfId="0" applyFont="1" applyBorder="1" applyAlignment="1">
      <alignment horizontal="left" vertical="center" wrapText="1" shrinkToFit="1"/>
    </xf>
    <xf numFmtId="0" fontId="74" fillId="0" borderId="32" xfId="0" applyFont="1" applyBorder="1" applyAlignment="1">
      <alignment horizontal="left" vertical="center" wrapText="1" shrinkToFit="1"/>
    </xf>
    <xf numFmtId="0" fontId="74" fillId="0" borderId="35" xfId="0" applyFont="1" applyBorder="1" applyAlignment="1">
      <alignment horizontal="left" vertical="center" wrapText="1" shrinkToFit="1"/>
    </xf>
    <xf numFmtId="0" fontId="74" fillId="0" borderId="36" xfId="0" applyFont="1" applyBorder="1" applyAlignment="1">
      <alignment horizontal="left" vertical="center" wrapText="1" shrinkToFit="1"/>
    </xf>
    <xf numFmtId="0" fontId="48" fillId="0" borderId="35" xfId="0" applyFont="1" applyBorder="1" applyAlignment="1">
      <alignment horizontal="left" vertical="center" shrinkToFit="1"/>
    </xf>
    <xf numFmtId="0" fontId="48" fillId="0" borderId="36" xfId="0" applyFont="1" applyBorder="1" applyAlignment="1">
      <alignment horizontal="left" vertical="center" shrinkToFit="1"/>
    </xf>
    <xf numFmtId="0" fontId="70" fillId="0" borderId="27" xfId="0" applyFont="1" applyBorder="1" applyAlignment="1">
      <alignment horizontal="center" wrapText="1"/>
    </xf>
    <xf numFmtId="0" fontId="70" fillId="0" borderId="25" xfId="0" applyFont="1" applyBorder="1" applyAlignment="1">
      <alignment horizontal="center" wrapText="1"/>
    </xf>
    <xf numFmtId="0" fontId="40" fillId="0" borderId="27" xfId="0" applyFont="1" applyBorder="1" applyAlignment="1">
      <alignment shrinkToFit="1"/>
    </xf>
    <xf numFmtId="0" fontId="40" fillId="0" borderId="25" xfId="0" applyFont="1" applyBorder="1" applyAlignment="1">
      <alignment shrinkToFit="1"/>
    </xf>
    <xf numFmtId="0" fontId="27" fillId="0" borderId="27" xfId="0" applyFont="1" applyBorder="1" applyAlignment="1">
      <alignment horizontal="left" shrinkToFit="1"/>
    </xf>
    <xf numFmtId="0" fontId="27" fillId="0" borderId="28" xfId="0" applyFont="1" applyBorder="1" applyAlignment="1">
      <alignment horizontal="left" shrinkToFit="1"/>
    </xf>
    <xf numFmtId="0" fontId="27" fillId="0" borderId="25" xfId="0" applyFont="1" applyBorder="1" applyAlignment="1">
      <alignment horizontal="left" shrinkToFit="1"/>
    </xf>
    <xf numFmtId="0" fontId="48" fillId="0" borderId="27" xfId="0" applyFont="1" applyBorder="1" applyAlignment="1">
      <alignment shrinkToFit="1"/>
    </xf>
    <xf numFmtId="0" fontId="21" fillId="0" borderId="27" xfId="0" applyFont="1" applyBorder="1" applyAlignment="1">
      <alignment shrinkToFit="1"/>
    </xf>
    <xf numFmtId="0" fontId="27" fillId="0" borderId="25" xfId="0" applyFont="1" applyBorder="1" applyAlignment="1">
      <alignment shrinkToFit="1"/>
    </xf>
    <xf numFmtId="0" fontId="40" fillId="2" borderId="27" xfId="0" applyFont="1" applyFill="1" applyBorder="1" applyAlignment="1">
      <alignment horizontal="center" shrinkToFit="1"/>
    </xf>
    <xf numFmtId="0" fontId="40" fillId="2" borderId="25" xfId="0" applyFont="1" applyFill="1" applyBorder="1" applyAlignment="1">
      <alignment horizontal="center" shrinkToFit="1"/>
    </xf>
    <xf numFmtId="0" fontId="40" fillId="2" borderId="28" xfId="0" applyFont="1" applyFill="1" applyBorder="1" applyAlignment="1">
      <alignment horizontal="center" shrinkToFit="1"/>
    </xf>
    <xf numFmtId="0" fontId="25" fillId="0" borderId="23" xfId="0" applyFont="1" applyBorder="1" applyAlignment="1">
      <alignment horizontal="center" vertical="center" shrinkToFit="1"/>
    </xf>
    <xf numFmtId="0" fontId="25" fillId="0" borderId="29" xfId="0" applyFont="1" applyBorder="1" applyAlignment="1">
      <alignment horizontal="center" vertical="center" shrinkToFit="1"/>
    </xf>
    <xf numFmtId="0" fontId="25" fillId="0" borderId="30" xfId="0" applyFont="1" applyBorder="1" applyAlignment="1">
      <alignment horizontal="center" vertical="center" shrinkToFit="1"/>
    </xf>
    <xf numFmtId="0" fontId="40" fillId="2" borderId="23" xfId="0" applyFont="1" applyFill="1" applyBorder="1" applyAlignment="1">
      <alignment horizontal="center" vertical="center" shrinkToFit="1"/>
    </xf>
    <xf numFmtId="0" fontId="40" fillId="2" borderId="29" xfId="0" applyFont="1" applyFill="1" applyBorder="1" applyAlignment="1">
      <alignment horizontal="center" vertical="center" shrinkToFit="1"/>
    </xf>
    <xf numFmtId="0" fontId="40" fillId="2" borderId="30" xfId="0" applyFont="1" applyFill="1" applyBorder="1" applyAlignment="1">
      <alignment horizontal="center" vertical="center" shrinkToFit="1"/>
    </xf>
    <xf numFmtId="0" fontId="48" fillId="0" borderId="27" xfId="0" applyFont="1" applyBorder="1" applyAlignment="1">
      <alignment vertical="center" shrinkToFit="1"/>
    </xf>
    <xf numFmtId="0" fontId="40" fillId="0" borderId="25" xfId="0" applyFont="1" applyBorder="1" applyAlignment="1">
      <alignment vertical="center" shrinkToFit="1"/>
    </xf>
    <xf numFmtId="0" fontId="40" fillId="2" borderId="27" xfId="0" applyFont="1" applyFill="1" applyBorder="1" applyAlignment="1">
      <alignment horizontal="center" vertical="center" shrinkToFit="1"/>
    </xf>
    <xf numFmtId="0" fontId="40" fillId="2" borderId="25" xfId="0" applyFont="1" applyFill="1" applyBorder="1" applyAlignment="1">
      <alignment horizontal="center" vertical="center" shrinkToFit="1"/>
    </xf>
    <xf numFmtId="0" fontId="40" fillId="2" borderId="28" xfId="0" applyFont="1" applyFill="1" applyBorder="1" applyAlignment="1">
      <alignment horizontal="center" vertical="center" shrinkToFit="1"/>
    </xf>
    <xf numFmtId="0" fontId="40" fillId="0" borderId="28" xfId="0" applyFont="1" applyBorder="1" applyAlignment="1">
      <alignment shrinkToFit="1"/>
    </xf>
    <xf numFmtId="0" fontId="27" fillId="0" borderId="27" xfId="0" applyFont="1" applyBorder="1" applyAlignment="1">
      <alignment shrinkToFit="1"/>
    </xf>
    <xf numFmtId="0" fontId="27" fillId="0" borderId="28" xfId="0" applyFont="1" applyBorder="1" applyAlignment="1">
      <alignment shrinkToFit="1"/>
    </xf>
    <xf numFmtId="0" fontId="21" fillId="0" borderId="31" xfId="0" applyFont="1" applyBorder="1" applyAlignment="1">
      <alignment horizontal="left" vertical="center" shrinkToFit="1"/>
    </xf>
    <xf numFmtId="0" fontId="21" fillId="0" borderId="32" xfId="0" applyFont="1" applyBorder="1" applyAlignment="1">
      <alignment horizontal="left" vertical="center" shrinkToFit="1"/>
    </xf>
    <xf numFmtId="0" fontId="21" fillId="0" borderId="35" xfId="0" applyFont="1" applyBorder="1" applyAlignment="1">
      <alignment horizontal="left" vertical="center" shrinkToFit="1"/>
    </xf>
    <xf numFmtId="0" fontId="21" fillId="0" borderId="36" xfId="0" applyFont="1" applyBorder="1" applyAlignment="1">
      <alignment horizontal="left" vertical="center" shrinkToFit="1"/>
    </xf>
    <xf numFmtId="0" fontId="37" fillId="0" borderId="0" xfId="11" applyFont="1" applyAlignment="1">
      <alignment horizontal="center" vertical="center" shrinkToFit="1"/>
    </xf>
    <xf numFmtId="0" fontId="49" fillId="0" borderId="0" xfId="11" applyFont="1" applyAlignment="1">
      <alignment horizontal="left" vertical="center" shrinkToFit="1"/>
    </xf>
    <xf numFmtId="0" fontId="41" fillId="0" borderId="22" xfId="11" applyFont="1" applyBorder="1" applyAlignment="1">
      <alignment horizontal="center" vertical="center"/>
    </xf>
    <xf numFmtId="0" fontId="27" fillId="0" borderId="22" xfId="11" applyFont="1" applyBorder="1" applyAlignment="1">
      <alignment horizontal="center" vertical="center" shrinkToFit="1"/>
    </xf>
    <xf numFmtId="0" fontId="27" fillId="0" borderId="37" xfId="11" applyFont="1" applyBorder="1" applyAlignment="1">
      <alignment horizontal="center" vertical="center" shrinkToFit="1"/>
    </xf>
    <xf numFmtId="0" fontId="27" fillId="0" borderId="0" xfId="11" applyFont="1" applyAlignment="1">
      <alignment horizontal="center" vertical="center" shrinkToFit="1"/>
    </xf>
    <xf numFmtId="0" fontId="25" fillId="0" borderId="22" xfId="11" applyFont="1" applyBorder="1" applyAlignment="1">
      <alignment horizontal="center" vertical="center" shrinkToFit="1"/>
    </xf>
    <xf numFmtId="0" fontId="25" fillId="0" borderId="22" xfId="11" applyFont="1" applyBorder="1" applyAlignment="1">
      <alignment horizontal="center" shrinkToFit="1"/>
    </xf>
    <xf numFmtId="0" fontId="56" fillId="0" borderId="22" xfId="11" applyFont="1" applyBorder="1" applyAlignment="1">
      <alignment horizontal="center" vertical="center" shrinkToFit="1"/>
    </xf>
    <xf numFmtId="0" fontId="29" fillId="0" borderId="22" xfId="11" applyFont="1" applyBorder="1" applyAlignment="1">
      <alignment horizontal="center" vertical="center" shrinkToFit="1"/>
    </xf>
    <xf numFmtId="0" fontId="10" fillId="0" borderId="4" xfId="0" applyFont="1" applyBorder="1" applyAlignment="1">
      <alignment horizontal="center" shrinkToFit="1"/>
    </xf>
    <xf numFmtId="0" fontId="10" fillId="0" borderId="3" xfId="0" applyFont="1" applyBorder="1" applyAlignment="1">
      <alignment horizontal="center" shrinkToFit="1"/>
    </xf>
    <xf numFmtId="0" fontId="10" fillId="0" borderId="41" xfId="0" applyFont="1" applyBorder="1" applyAlignment="1">
      <alignment horizontal="center" shrinkToFit="1"/>
    </xf>
    <xf numFmtId="0" fontId="10" fillId="0" borderId="42" xfId="0" applyFont="1" applyBorder="1" applyAlignment="1">
      <alignment horizontal="center" shrinkToFit="1"/>
    </xf>
    <xf numFmtId="0" fontId="58" fillId="0" borderId="22" xfId="0" applyFont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27" fillId="8" borderId="22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shrinkToFit="1"/>
    </xf>
    <xf numFmtId="0" fontId="27" fillId="2" borderId="28" xfId="0" applyFont="1" applyFill="1" applyBorder="1" applyAlignment="1">
      <alignment horizontal="center" shrinkToFit="1"/>
    </xf>
    <xf numFmtId="0" fontId="27" fillId="2" borderId="25" xfId="0" applyFont="1" applyFill="1" applyBorder="1" applyAlignment="1">
      <alignment horizontal="center" shrinkToFit="1"/>
    </xf>
    <xf numFmtId="0" fontId="6" fillId="0" borderId="41" xfId="0" applyFont="1" applyBorder="1" applyAlignment="1">
      <alignment shrinkToFit="1"/>
    </xf>
    <xf numFmtId="0" fontId="6" fillId="0" borderId="43" xfId="0" applyFont="1" applyBorder="1" applyAlignment="1">
      <alignment shrinkToFit="1"/>
    </xf>
    <xf numFmtId="0" fontId="6" fillId="0" borderId="42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0" fillId="2" borderId="4" xfId="0" applyFont="1" applyFill="1" applyBorder="1" applyAlignment="1">
      <alignment horizontal="center" vertical="center" shrinkToFit="1"/>
    </xf>
    <xf numFmtId="0" fontId="40" fillId="2" borderId="3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5" fillId="0" borderId="23" xfId="0" applyFont="1" applyBorder="1" applyAlignment="1">
      <alignment horizontal="center" vertical="center" wrapText="1" shrinkToFit="1"/>
    </xf>
    <xf numFmtId="0" fontId="25" fillId="0" borderId="29" xfId="0" applyFont="1" applyBorder="1" applyAlignment="1">
      <alignment horizontal="center" vertical="center" wrapText="1" shrinkToFit="1"/>
    </xf>
    <xf numFmtId="0" fontId="25" fillId="0" borderId="30" xfId="0" applyFont="1" applyBorder="1" applyAlignment="1">
      <alignment horizontal="center" vertical="center" wrapText="1" shrinkToFit="1"/>
    </xf>
    <xf numFmtId="0" fontId="27" fillId="2" borderId="4" xfId="0" applyFont="1" applyFill="1" applyBorder="1" applyAlignment="1">
      <alignment horizontal="center" vertical="center" shrinkToFit="1"/>
    </xf>
    <xf numFmtId="0" fontId="27" fillId="2" borderId="2" xfId="0" applyFont="1" applyFill="1" applyBorder="1" applyAlignment="1">
      <alignment horizontal="center" vertical="center" shrinkToFit="1"/>
    </xf>
    <xf numFmtId="0" fontId="27" fillId="2" borderId="3" xfId="0" applyFont="1" applyFill="1" applyBorder="1" applyAlignment="1">
      <alignment horizontal="center" vertical="center" shrinkToFit="1"/>
    </xf>
    <xf numFmtId="0" fontId="27" fillId="2" borderId="27" xfId="0" applyFont="1" applyFill="1" applyBorder="1" applyAlignment="1">
      <alignment horizontal="center" vertical="center" shrinkToFit="1"/>
    </xf>
    <xf numFmtId="0" fontId="27" fillId="2" borderId="28" xfId="0" applyFont="1" applyFill="1" applyBorder="1" applyAlignment="1">
      <alignment horizontal="center" vertical="center" shrinkToFit="1"/>
    </xf>
    <xf numFmtId="0" fontId="27" fillId="2" borderId="25" xfId="0" applyFont="1" applyFill="1" applyBorder="1" applyAlignment="1">
      <alignment horizontal="center" vertical="center" shrinkToFit="1"/>
    </xf>
    <xf numFmtId="0" fontId="27" fillId="2" borderId="35" xfId="0" applyFont="1" applyFill="1" applyBorder="1" applyAlignment="1">
      <alignment horizontal="center" vertical="center" shrinkToFit="1"/>
    </xf>
    <xf numFmtId="0" fontId="27" fillId="2" borderId="26" xfId="0" applyFont="1" applyFill="1" applyBorder="1" applyAlignment="1">
      <alignment horizontal="center" vertical="center" shrinkToFit="1"/>
    </xf>
    <xf numFmtId="0" fontId="27" fillId="2" borderId="36" xfId="0" applyFont="1" applyFill="1" applyBorder="1" applyAlignment="1">
      <alignment horizontal="center" vertical="center" shrinkToFit="1"/>
    </xf>
    <xf numFmtId="0" fontId="6" fillId="0" borderId="3" xfId="0" applyFont="1" applyBorder="1" applyAlignment="1">
      <alignment horizontal="center" shrinkToFit="1"/>
    </xf>
    <xf numFmtId="0" fontId="6" fillId="0" borderId="4" xfId="0" applyFont="1" applyBorder="1" applyAlignment="1">
      <alignment horizont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shrinkToFit="1"/>
    </xf>
    <xf numFmtId="0" fontId="6" fillId="2" borderId="4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11" fillId="2" borderId="4" xfId="0" applyFont="1" applyFill="1" applyBorder="1" applyAlignment="1">
      <alignment horizontal="center" vertical="center" shrinkToFit="1"/>
    </xf>
    <xf numFmtId="0" fontId="11" fillId="2" borderId="3" xfId="0" applyFont="1" applyFill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 wrapText="1" shrinkToFit="1"/>
    </xf>
    <xf numFmtId="0" fontId="6" fillId="2" borderId="22" xfId="0" applyFont="1" applyFill="1" applyBorder="1" applyAlignment="1">
      <alignment horizontal="center" shrinkToFit="1"/>
    </xf>
    <xf numFmtId="0" fontId="6" fillId="2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6" fillId="2" borderId="39" xfId="0" applyFont="1" applyFill="1" applyBorder="1" applyAlignment="1">
      <alignment horizontal="center" shrinkToFit="1"/>
    </xf>
    <xf numFmtId="0" fontId="6" fillId="2" borderId="2" xfId="0" applyFont="1" applyFill="1" applyBorder="1" applyAlignment="1">
      <alignment horizontal="center" shrinkToFit="1"/>
    </xf>
    <xf numFmtId="0" fontId="6" fillId="2" borderId="3" xfId="0" applyFont="1" applyFill="1" applyBorder="1" applyAlignment="1">
      <alignment horizontal="center" shrinkToFit="1"/>
    </xf>
    <xf numFmtId="0" fontId="6" fillId="2" borderId="0" xfId="0" applyFont="1" applyFill="1" applyAlignment="1">
      <alignment horizontal="center" vertical="center" shrinkToFit="1"/>
    </xf>
    <xf numFmtId="0" fontId="6" fillId="2" borderId="40" xfId="0" applyFont="1" applyFill="1" applyBorder="1" applyAlignment="1">
      <alignment horizontal="center" vertical="center" shrinkToFit="1"/>
    </xf>
    <xf numFmtId="0" fontId="58" fillId="0" borderId="22" xfId="11" applyFont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27" fillId="8" borderId="22" xfId="11" applyFont="1" applyFill="1" applyBorder="1" applyAlignment="1">
      <alignment horizontal="center" vertical="center" shrinkToFit="1"/>
    </xf>
    <xf numFmtId="0" fontId="58" fillId="8" borderId="22" xfId="11" applyFont="1" applyFill="1" applyBorder="1" applyAlignment="1">
      <alignment horizontal="center" vertical="center" shrinkToFit="1"/>
    </xf>
    <xf numFmtId="0" fontId="27" fillId="2" borderId="22" xfId="0" applyFont="1" applyFill="1" applyBorder="1" applyAlignment="1">
      <alignment horizontal="center" vertical="center" shrinkToFit="1"/>
    </xf>
    <xf numFmtId="0" fontId="49" fillId="0" borderId="26" xfId="0" applyFont="1" applyBorder="1" applyAlignment="1">
      <alignment horizontal="left" vertical="center" shrinkToFit="1"/>
    </xf>
    <xf numFmtId="0" fontId="27" fillId="2" borderId="23" xfId="0" applyFont="1" applyFill="1" applyBorder="1" applyAlignment="1">
      <alignment horizontal="center" vertical="center" shrinkToFit="1"/>
    </xf>
    <xf numFmtId="0" fontId="27" fillId="2" borderId="33" xfId="0" applyFont="1" applyFill="1" applyBorder="1" applyAlignment="1">
      <alignment horizontal="center" vertical="center" shrinkToFit="1"/>
    </xf>
    <xf numFmtId="0" fontId="27" fillId="2" borderId="0" xfId="0" applyFont="1" applyFill="1" applyAlignment="1">
      <alignment horizontal="center" vertical="center" shrinkToFit="1"/>
    </xf>
    <xf numFmtId="0" fontId="27" fillId="0" borderId="0" xfId="0" applyFont="1" applyAlignment="1">
      <alignment horizontal="center" shrinkToFit="1"/>
    </xf>
    <xf numFmtId="0" fontId="27" fillId="0" borderId="38" xfId="0" applyFont="1" applyBorder="1" applyAlignment="1">
      <alignment horizontal="center" shrinkToFit="1"/>
    </xf>
    <xf numFmtId="0" fontId="27" fillId="2" borderId="29" xfId="0" applyFont="1" applyFill="1" applyBorder="1" applyAlignment="1">
      <alignment horizontal="center" vertical="center" shrinkToFit="1"/>
    </xf>
    <xf numFmtId="0" fontId="94" fillId="0" borderId="31" xfId="11" applyFont="1" applyBorder="1" applyAlignment="1">
      <alignment horizontal="center" vertical="center"/>
    </xf>
    <xf numFmtId="0" fontId="94" fillId="0" borderId="32" xfId="11" applyFont="1" applyBorder="1" applyAlignment="1">
      <alignment horizontal="center" vertical="center"/>
    </xf>
    <xf numFmtId="0" fontId="94" fillId="0" borderId="33" xfId="11" applyFont="1" applyBorder="1" applyAlignment="1">
      <alignment horizontal="center" vertical="center"/>
    </xf>
    <xf numFmtId="0" fontId="94" fillId="0" borderId="34" xfId="11" applyFont="1" applyBorder="1" applyAlignment="1">
      <alignment horizontal="center" vertical="center"/>
    </xf>
    <xf numFmtId="0" fontId="94" fillId="0" borderId="35" xfId="11" applyFont="1" applyBorder="1" applyAlignment="1">
      <alignment horizontal="center" vertical="center"/>
    </xf>
    <xf numFmtId="0" fontId="94" fillId="0" borderId="36" xfId="11" applyFont="1" applyBorder="1" applyAlignment="1">
      <alignment horizontal="center" vertical="center"/>
    </xf>
    <xf numFmtId="0" fontId="28" fillId="0" borderId="0" xfId="11" applyFont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4" fillId="5" borderId="22" xfId="19" applyFont="1" applyFill="1" applyBorder="1" applyAlignment="1">
      <alignment horizontal="center" vertical="center"/>
    </xf>
    <xf numFmtId="0" fontId="34" fillId="5" borderId="22" xfId="19" applyFont="1" applyFill="1" applyBorder="1" applyAlignment="1">
      <alignment horizontal="center" vertical="center" wrapText="1"/>
    </xf>
    <xf numFmtId="0" fontId="92" fillId="5" borderId="22" xfId="19" applyFont="1" applyFill="1" applyBorder="1" applyAlignment="1">
      <alignment horizontal="center"/>
    </xf>
    <xf numFmtId="0" fontId="86" fillId="0" borderId="26" xfId="11" applyFont="1" applyBorder="1" applyAlignment="1">
      <alignment horizontal="center" vertical="center"/>
    </xf>
    <xf numFmtId="0" fontId="88" fillId="0" borderId="26" xfId="11" applyFont="1" applyBorder="1" applyAlignment="1">
      <alignment horizontal="center" vertical="center"/>
    </xf>
    <xf numFmtId="0" fontId="89" fillId="5" borderId="31" xfId="11" applyFont="1" applyFill="1" applyBorder="1" applyAlignment="1">
      <alignment horizontal="center" vertical="center"/>
    </xf>
    <xf numFmtId="0" fontId="28" fillId="5" borderId="32" xfId="11" applyFont="1" applyFill="1" applyBorder="1" applyAlignment="1">
      <alignment horizontal="center" vertical="center"/>
    </xf>
    <xf numFmtId="0" fontId="28" fillId="5" borderId="33" xfId="11" applyFont="1" applyFill="1" applyBorder="1" applyAlignment="1">
      <alignment horizontal="center" vertical="center"/>
    </xf>
    <xf numFmtId="0" fontId="28" fillId="5" borderId="34" xfId="11" applyFont="1" applyFill="1" applyBorder="1" applyAlignment="1">
      <alignment horizontal="center" vertical="center"/>
    </xf>
    <xf numFmtId="0" fontId="28" fillId="5" borderId="35" xfId="11" applyFont="1" applyFill="1" applyBorder="1" applyAlignment="1">
      <alignment horizontal="center" vertical="center"/>
    </xf>
    <xf numFmtId="0" fontId="28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90" fillId="5" borderId="23" xfId="5" applyFont="1" applyFill="1" applyBorder="1" applyAlignment="1">
      <alignment horizontal="left" vertical="center"/>
    </xf>
    <xf numFmtId="0" fontId="90" fillId="5" borderId="29" xfId="5" applyFont="1" applyFill="1" applyBorder="1" applyAlignment="1">
      <alignment horizontal="left" vertical="center"/>
    </xf>
    <xf numFmtId="0" fontId="90" fillId="5" borderId="30" xfId="5" applyFont="1" applyFill="1" applyBorder="1" applyAlignment="1">
      <alignment horizontal="left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92" fillId="5" borderId="27" xfId="19" applyFont="1" applyFill="1" applyBorder="1" applyAlignment="1">
      <alignment horizontal="center"/>
    </xf>
    <xf numFmtId="0" fontId="92" fillId="5" borderId="28" xfId="19" applyFont="1" applyFill="1" applyBorder="1" applyAlignment="1">
      <alignment horizontal="center"/>
    </xf>
    <xf numFmtId="0" fontId="92" fillId="5" borderId="25" xfId="19" applyFont="1" applyFill="1" applyBorder="1" applyAlignment="1">
      <alignment horizontal="center"/>
    </xf>
    <xf numFmtId="0" fontId="91" fillId="5" borderId="23" xfId="5" applyFont="1" applyFill="1" applyBorder="1" applyAlignment="1">
      <alignment horizontal="center" vertical="center"/>
    </xf>
    <xf numFmtId="0" fontId="91" fillId="5" borderId="29" xfId="5" applyFont="1" applyFill="1" applyBorder="1" applyAlignment="1">
      <alignment horizontal="center" vertical="center"/>
    </xf>
    <xf numFmtId="0" fontId="91" fillId="5" borderId="30" xfId="5" applyFont="1" applyFill="1" applyBorder="1" applyAlignment="1">
      <alignment horizontal="center" vertical="center"/>
    </xf>
    <xf numFmtId="0" fontId="83" fillId="8" borderId="0" xfId="5" applyFont="1" applyFill="1" applyAlignment="1">
      <alignment horizontal="left" vertical="center"/>
    </xf>
    <xf numFmtId="191" fontId="80" fillId="0" borderId="23" xfId="14" applyNumberFormat="1" applyFont="1" applyBorder="1" applyAlignment="1">
      <alignment horizontal="center" vertical="center"/>
    </xf>
    <xf numFmtId="191" fontId="80" fillId="0" borderId="29" xfId="14" applyNumberFormat="1" applyFont="1" applyBorder="1" applyAlignment="1">
      <alignment horizontal="center" vertical="center"/>
    </xf>
    <xf numFmtId="191" fontId="80" fillId="0" borderId="30" xfId="14" applyNumberFormat="1" applyFont="1" applyBorder="1" applyAlignment="1">
      <alignment horizontal="center" vertical="center"/>
    </xf>
    <xf numFmtId="191" fontId="35" fillId="0" borderId="22" xfId="14" applyNumberFormat="1" applyFont="1" applyBorder="1" applyAlignment="1">
      <alignment horizontal="center" vertical="center"/>
    </xf>
    <xf numFmtId="0" fontId="35" fillId="0" borderId="22" xfId="14" applyFont="1" applyBorder="1" applyAlignment="1">
      <alignment horizontal="center" vertical="center"/>
    </xf>
    <xf numFmtId="0" fontId="75" fillId="5" borderId="22" xfId="14" applyFont="1" applyFill="1" applyBorder="1" applyAlignment="1">
      <alignment horizontal="center" vertical="center"/>
    </xf>
    <xf numFmtId="0" fontId="76" fillId="13" borderId="22" xfId="14" applyFont="1" applyFill="1" applyBorder="1" applyAlignment="1">
      <alignment horizontal="center" vertical="center" wrapText="1"/>
    </xf>
    <xf numFmtId="0" fontId="79" fillId="13" borderId="27" xfId="14" applyFont="1" applyFill="1" applyBorder="1" applyAlignment="1">
      <alignment horizontal="center" vertical="center"/>
    </xf>
    <xf numFmtId="0" fontId="79" fillId="13" borderId="28" xfId="14" applyFont="1" applyFill="1" applyBorder="1" applyAlignment="1">
      <alignment horizontal="center" vertical="center"/>
    </xf>
    <xf numFmtId="0" fontId="79" fillId="13" borderId="25" xfId="14" applyFont="1" applyFill="1" applyBorder="1" applyAlignment="1">
      <alignment horizontal="center" vertical="center"/>
    </xf>
    <xf numFmtId="0" fontId="35" fillId="5" borderId="22" xfId="5" applyFont="1" applyFill="1" applyBorder="1" applyAlignment="1">
      <alignment horizontal="center"/>
    </xf>
  </cellXfs>
  <cellStyles count="20">
    <cellStyle name="一般" xfId="0" builtinId="0"/>
    <cellStyle name="一般 2" xfId="1" xr:uid="{00000000-0005-0000-0000-000001000000}"/>
    <cellStyle name="一般 2 2 2" xfId="9" xr:uid="{00000000-0005-0000-0000-000002000000}"/>
    <cellStyle name="一般 2 2 30 2 2 30 2" xfId="4" xr:uid="{00000000-0005-0000-0000-000003000000}"/>
    <cellStyle name="一般 2 2 30 2 2 30 2 2" xfId="12" xr:uid="{00000000-0005-0000-0000-000004000000}"/>
    <cellStyle name="一般 2 2 30 2 2 30 2 2 2" xfId="14" xr:uid="{00000000-0005-0000-0000-000005000000}"/>
    <cellStyle name="一般 2 2 30 2 2 30 2 2 2 2" xfId="18" xr:uid="{00000000-0005-0000-0000-000006000000}"/>
    <cellStyle name="一般 2 2 30 2 2 30 2 2 2 3" xfId="19" xr:uid="{00000000-0005-0000-0000-000007000000}"/>
    <cellStyle name="一般 2 2 30 2 3 2" xfId="6" xr:uid="{00000000-0005-0000-0000-000008000000}"/>
    <cellStyle name="一般 2 2 30 2 3 2 2 2" xfId="15" xr:uid="{00000000-0005-0000-0000-000009000000}"/>
    <cellStyle name="一般 2 2 30 3 30" xfId="7" xr:uid="{00000000-0005-0000-0000-00000A000000}"/>
    <cellStyle name="一般 3" xfId="11" xr:uid="{00000000-0005-0000-0000-00000B000000}"/>
    <cellStyle name="一般 4" xfId="5" xr:uid="{00000000-0005-0000-0000-00000C000000}"/>
    <cellStyle name="千分位 2" xfId="2" xr:uid="{00000000-0005-0000-0000-00000D000000}"/>
    <cellStyle name="千分位 3" xfId="16" xr:uid="{00000000-0005-0000-0000-00000E000000}"/>
    <cellStyle name="百分比 2" xfId="8" xr:uid="{00000000-0005-0000-0000-00000F000000}"/>
    <cellStyle name="百分比 2 2" xfId="10" xr:uid="{00000000-0005-0000-0000-000010000000}"/>
    <cellStyle name="百分比 2 2 2" xfId="17" xr:uid="{00000000-0005-0000-0000-000011000000}"/>
    <cellStyle name="百分比 3" xfId="3" xr:uid="{00000000-0005-0000-0000-000012000000}"/>
    <cellStyle name="百分比 4" xfId="13" xr:uid="{00000000-0005-0000-0000-000013000000}"/>
  </cellStyles>
  <dxfs count="42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2.xml"/><Relationship Id="rId37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090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CHENG191/Desktop/&#29983;&#29986;&#26085;&#22577;(&#24037;&#24288;&#23492;)/&#26185;&#27427;/114.09/&#21322;&#25104;&#21697;/2025-0901-0926&#26185;&#27427;&#21322;&#25104;&#21697;&#22577;&#24290;&#31649;&#29702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47">
          <cell r="P47">
            <v>13</v>
          </cell>
          <cell r="Q47">
            <v>1412.9999999999993</v>
          </cell>
          <cell r="R47">
            <v>108.69230769230764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>
        <row r="52">
          <cell r="P52" t="str">
            <v/>
          </cell>
          <cell r="Q52" t="str">
            <v/>
          </cell>
          <cell r="R52" t="str">
            <v/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1-30合計  "/>
      <sheetName val="分析標準表"/>
      <sheetName val="合計"/>
      <sheetName val="0926分析標準表"/>
      <sheetName val="工作表12"/>
      <sheetName val="0926合計"/>
      <sheetName val="0925分析標準表"/>
      <sheetName val="0925合計"/>
      <sheetName val="0924分析標準表"/>
      <sheetName val="0924合計"/>
      <sheetName val="0923分析標準表"/>
      <sheetName val="0923合計"/>
      <sheetName val="0922分析標準表"/>
      <sheetName val="0922合計"/>
      <sheetName val="0921分析標準表"/>
      <sheetName val="0921合計"/>
      <sheetName val="0920分析標準表"/>
      <sheetName val="0920合計"/>
      <sheetName val="0919分析標準表"/>
      <sheetName val="0919合計"/>
      <sheetName val="0918分析標準表"/>
      <sheetName val="0918合計"/>
      <sheetName val="0917分析標準表"/>
      <sheetName val="0917合計"/>
      <sheetName val="0916分析標準表"/>
      <sheetName val="0916合計"/>
      <sheetName val="0915分析標準表"/>
      <sheetName val="0915合計"/>
      <sheetName val="0914分析標準表"/>
      <sheetName val="0914合計"/>
      <sheetName val="0913分析標準表"/>
      <sheetName val="0913合計"/>
      <sheetName val="0912分析標準表"/>
      <sheetName val="0912合計"/>
      <sheetName val="0911分析標準表"/>
      <sheetName val="0911合計"/>
      <sheetName val="0910分析標準表"/>
      <sheetName val="0910合計"/>
      <sheetName val="0909分析標準表"/>
      <sheetName val="0909合計"/>
      <sheetName val="0908分析標準表"/>
      <sheetName val="0908合計"/>
      <sheetName val="0907分析標準表"/>
      <sheetName val="0907合計"/>
      <sheetName val="0906分析標準表"/>
      <sheetName val="0906合計"/>
      <sheetName val="0905分析標準表"/>
      <sheetName val="0905合計"/>
      <sheetName val="0904分析標準表"/>
      <sheetName val="0904合計"/>
      <sheetName val="0903分析標準表"/>
      <sheetName val="0903合計"/>
      <sheetName val="0902分析標準表"/>
      <sheetName val="0902合計"/>
      <sheetName val="0901分析標準表"/>
      <sheetName val="0901合計"/>
    </sheetNames>
    <sheetDataSet>
      <sheetData sheetId="0"/>
      <sheetData sheetId="1"/>
      <sheetData sheetId="2"/>
      <sheetData sheetId="3">
        <row r="3">
          <cell r="C3">
            <v>5961019.8708410496</v>
          </cell>
        </row>
        <row r="5">
          <cell r="D5">
            <v>14839</v>
          </cell>
          <cell r="F5">
            <v>16567.181794638873</v>
          </cell>
          <cell r="H5">
            <v>1406.2560000000001</v>
          </cell>
          <cell r="J5">
            <v>2975.3351799999987</v>
          </cell>
          <cell r="L5">
            <v>2695.2749999999996</v>
          </cell>
        </row>
      </sheetData>
      <sheetData sheetId="4"/>
      <sheetData sheetId="5"/>
      <sheetData sheetId="6">
        <row r="3">
          <cell r="C3">
            <v>6856328.86259712</v>
          </cell>
        </row>
        <row r="5">
          <cell r="D5">
            <v>16730</v>
          </cell>
          <cell r="F5">
            <v>16436.403903160943</v>
          </cell>
          <cell r="H5">
            <v>1366.8390000000002</v>
          </cell>
          <cell r="J5">
            <v>3429.1446099999998</v>
          </cell>
          <cell r="L5">
            <v>2889.5330000000004</v>
          </cell>
        </row>
      </sheetData>
      <sheetData sheetId="7"/>
      <sheetData sheetId="8">
        <row r="3">
          <cell r="C3">
            <v>7251454.06167934</v>
          </cell>
        </row>
        <row r="5">
          <cell r="D5">
            <v>17829</v>
          </cell>
          <cell r="F5">
            <v>16125.161475148878</v>
          </cell>
          <cell r="H5">
            <v>1460.8700000000001</v>
          </cell>
          <cell r="J5">
            <v>4416.3536199999944</v>
          </cell>
          <cell r="L5">
            <v>3205.027</v>
          </cell>
        </row>
      </sheetData>
      <sheetData sheetId="9"/>
      <sheetData sheetId="10">
        <row r="3">
          <cell r="C3">
            <v>7541214.9776042597</v>
          </cell>
        </row>
        <row r="5">
          <cell r="D5">
            <v>18826</v>
          </cell>
          <cell r="F5">
            <v>15907.374685301027</v>
          </cell>
          <cell r="H5">
            <v>1636.152</v>
          </cell>
          <cell r="J5">
            <v>3862.2285599999991</v>
          </cell>
          <cell r="L5">
            <v>2567.9549999999999</v>
          </cell>
        </row>
      </sheetData>
      <sheetData sheetId="11"/>
      <sheetData sheetId="12">
        <row r="3">
          <cell r="C3">
            <v>7784991.1528484002</v>
          </cell>
        </row>
        <row r="5">
          <cell r="D5">
            <v>19467</v>
          </cell>
          <cell r="F5">
            <v>17143.871784544179</v>
          </cell>
          <cell r="H5">
            <v>1519.7640000000001</v>
          </cell>
          <cell r="J5">
            <v>3886.2089000000055</v>
          </cell>
          <cell r="L5">
            <v>3069.3179999999998</v>
          </cell>
        </row>
      </sheetData>
      <sheetData sheetId="13"/>
      <sheetData sheetId="14">
        <row r="3">
          <cell r="C3">
            <v>7936215.0310503002</v>
          </cell>
        </row>
        <row r="5">
          <cell r="D5">
            <v>19690</v>
          </cell>
          <cell r="F5">
            <v>18630.779662896144</v>
          </cell>
          <cell r="H5">
            <v>1619.3459999999998</v>
          </cell>
          <cell r="J5">
            <v>3719.6652799999983</v>
          </cell>
          <cell r="L5">
            <v>3201.0889999999995</v>
          </cell>
        </row>
      </sheetData>
      <sheetData sheetId="15"/>
      <sheetData sheetId="16">
        <row r="3">
          <cell r="C3">
            <v>6600072.9273014199</v>
          </cell>
        </row>
        <row r="5">
          <cell r="D5">
            <v>16259</v>
          </cell>
          <cell r="F5">
            <v>16251.637558967161</v>
          </cell>
          <cell r="H5">
            <v>1440.415</v>
          </cell>
          <cell r="J5">
            <v>3231.4683799999966</v>
          </cell>
          <cell r="L5">
            <v>2307.8389999999999</v>
          </cell>
        </row>
      </sheetData>
      <sheetData sheetId="17"/>
      <sheetData sheetId="18">
        <row r="3">
          <cell r="C3">
            <v>6279863.6699158102</v>
          </cell>
        </row>
        <row r="5">
          <cell r="D5">
            <v>15438</v>
          </cell>
          <cell r="F5">
            <v>16120.322504411948</v>
          </cell>
          <cell r="H5">
            <v>1667.481</v>
          </cell>
          <cell r="J5">
            <v>3302.5847200000012</v>
          </cell>
          <cell r="L5">
            <v>2720.288</v>
          </cell>
        </row>
      </sheetData>
      <sheetData sheetId="19"/>
      <sheetData sheetId="20">
        <row r="3">
          <cell r="C3">
            <v>7531608.1932463404</v>
          </cell>
        </row>
        <row r="5">
          <cell r="D5">
            <v>18698</v>
          </cell>
          <cell r="F5">
            <v>18481.128170976554</v>
          </cell>
          <cell r="H5">
            <v>1621.8700000000003</v>
          </cell>
          <cell r="J5">
            <v>5512.5264699999971</v>
          </cell>
          <cell r="L5">
            <v>2401.1000000000004</v>
          </cell>
        </row>
      </sheetData>
      <sheetData sheetId="21"/>
      <sheetData sheetId="22">
        <row r="3">
          <cell r="C3">
            <v>8083594.4723844901</v>
          </cell>
        </row>
        <row r="5">
          <cell r="D5">
            <v>20280</v>
          </cell>
          <cell r="F5">
            <v>19171.383092097989</v>
          </cell>
          <cell r="H5">
            <v>1726.5120000000002</v>
          </cell>
          <cell r="J5">
            <v>4888.1827699999913</v>
          </cell>
          <cell r="L5">
            <v>2290.5389999999998</v>
          </cell>
        </row>
      </sheetData>
      <sheetData sheetId="23"/>
      <sheetData sheetId="24">
        <row r="3">
          <cell r="C3">
            <v>8772861.1918196809</v>
          </cell>
        </row>
        <row r="5">
          <cell r="D5">
            <v>21944</v>
          </cell>
          <cell r="F5">
            <v>20188.317567362079</v>
          </cell>
          <cell r="H5">
            <v>1655.4130000000002</v>
          </cell>
          <cell r="J5">
            <v>4482.2092599999905</v>
          </cell>
          <cell r="L5">
            <v>3239.0279999999993</v>
          </cell>
        </row>
      </sheetData>
      <sheetData sheetId="25"/>
      <sheetData sheetId="26">
        <row r="3">
          <cell r="C3">
            <v>7855519.1132663004</v>
          </cell>
        </row>
        <row r="5">
          <cell r="D5">
            <v>19610</v>
          </cell>
          <cell r="F5">
            <v>20123.141623695545</v>
          </cell>
          <cell r="H5">
            <v>1633.617</v>
          </cell>
          <cell r="J5">
            <v>4542.5848399999913</v>
          </cell>
          <cell r="L5">
            <v>2472.694</v>
          </cell>
        </row>
      </sheetData>
      <sheetData sheetId="27"/>
      <sheetData sheetId="28">
        <row r="3">
          <cell r="C3">
            <v>7807286.1960600596</v>
          </cell>
        </row>
        <row r="5">
          <cell r="D5">
            <v>19554</v>
          </cell>
          <cell r="F5">
            <v>18170.223483010599</v>
          </cell>
          <cell r="H5">
            <v>1618.7539999999999</v>
          </cell>
          <cell r="J5">
            <v>3977.2563299999993</v>
          </cell>
          <cell r="L5">
            <v>2976.0859999999998</v>
          </cell>
        </row>
      </sheetData>
      <sheetData sheetId="29"/>
      <sheetData sheetId="30">
        <row r="3">
          <cell r="C3">
            <v>6573407.1009384803</v>
          </cell>
        </row>
        <row r="5">
          <cell r="D5">
            <v>16054</v>
          </cell>
          <cell r="F5">
            <v>18746.181209784019</v>
          </cell>
          <cell r="H5">
            <v>1601.8059999999998</v>
          </cell>
          <cell r="J5">
            <v>3932.6062900000052</v>
          </cell>
          <cell r="L5">
            <v>2180.1559999999999</v>
          </cell>
        </row>
      </sheetData>
      <sheetData sheetId="31"/>
      <sheetData sheetId="32">
        <row r="3">
          <cell r="C3">
            <v>6201910</v>
          </cell>
        </row>
        <row r="5">
          <cell r="D5">
            <v>15319</v>
          </cell>
          <cell r="F5">
            <v>16238.440008806558</v>
          </cell>
          <cell r="H5">
            <v>1498.6130000000003</v>
          </cell>
          <cell r="J5">
            <v>4120.2408699999978</v>
          </cell>
          <cell r="L5">
            <v>2482.6669999999999</v>
          </cell>
        </row>
      </sheetData>
      <sheetData sheetId="33"/>
      <sheetData sheetId="34">
        <row r="3">
          <cell r="C3">
            <v>6951549</v>
          </cell>
        </row>
        <row r="5">
          <cell r="D5">
            <v>17040</v>
          </cell>
          <cell r="F5">
            <v>18185.496696663664</v>
          </cell>
          <cell r="H5">
            <v>1531.479</v>
          </cell>
          <cell r="J5">
            <v>4600.222840000004</v>
          </cell>
          <cell r="L5">
            <v>2144.0030000000006</v>
          </cell>
        </row>
      </sheetData>
      <sheetData sheetId="35"/>
      <sheetData sheetId="36">
        <row r="3">
          <cell r="C3">
            <v>7470587</v>
          </cell>
        </row>
        <row r="5">
          <cell r="D5">
            <v>18609</v>
          </cell>
          <cell r="F5">
            <v>17756.216302658173</v>
          </cell>
          <cell r="H5">
            <v>1745.5630000000001</v>
          </cell>
          <cell r="J5">
            <v>4787.9780999999994</v>
          </cell>
          <cell r="L5">
            <v>2597.3760000000002</v>
          </cell>
        </row>
      </sheetData>
      <sheetData sheetId="37"/>
      <sheetData sheetId="38">
        <row r="3">
          <cell r="C3">
            <v>7841669</v>
          </cell>
        </row>
        <row r="5">
          <cell r="D5">
            <v>19640</v>
          </cell>
          <cell r="F5">
            <v>18304.887845551704</v>
          </cell>
          <cell r="H5">
            <v>1630.8240000000001</v>
          </cell>
          <cell r="J5">
            <v>4706.8070799999932</v>
          </cell>
          <cell r="L5">
            <v>2470.8249999999998</v>
          </cell>
        </row>
      </sheetData>
      <sheetData sheetId="39"/>
      <sheetData sheetId="40">
        <row r="3">
          <cell r="C3">
            <v>7444110.1818003897</v>
          </cell>
        </row>
        <row r="5">
          <cell r="D5">
            <v>18140</v>
          </cell>
          <cell r="F5">
            <v>17026.152987485399</v>
          </cell>
          <cell r="H5">
            <v>1511.9930000000002</v>
          </cell>
          <cell r="J5">
            <v>4357.5023100000053</v>
          </cell>
          <cell r="L5">
            <v>2832.7940000000003</v>
          </cell>
        </row>
      </sheetData>
      <sheetData sheetId="41"/>
      <sheetData sheetId="42">
        <row r="3">
          <cell r="C3">
            <v>7431735.9455581903</v>
          </cell>
        </row>
        <row r="5">
          <cell r="D5">
            <v>18444</v>
          </cell>
          <cell r="F5">
            <v>18764.334996042362</v>
          </cell>
          <cell r="H5">
            <v>1445.288</v>
          </cell>
          <cell r="J5">
            <v>4427.8308900000002</v>
          </cell>
          <cell r="L5">
            <v>2749.6240000000003</v>
          </cell>
        </row>
      </sheetData>
      <sheetData sheetId="43"/>
      <sheetData sheetId="44">
        <row r="3">
          <cell r="C3">
            <v>6200391.4017871898</v>
          </cell>
        </row>
        <row r="5">
          <cell r="D5">
            <v>15451</v>
          </cell>
          <cell r="F5">
            <v>17959.668709250822</v>
          </cell>
          <cell r="H5">
            <v>1455.6889999999999</v>
          </cell>
          <cell r="J5">
            <v>4238.835810000005</v>
          </cell>
          <cell r="L5">
            <v>2736.1210000000001</v>
          </cell>
        </row>
      </sheetData>
      <sheetData sheetId="45"/>
      <sheetData sheetId="46">
        <row r="3">
          <cell r="C3">
            <v>5838294</v>
          </cell>
        </row>
        <row r="5">
          <cell r="D5">
            <v>14661</v>
          </cell>
          <cell r="F5">
            <v>16523.845462971727</v>
          </cell>
          <cell r="H5">
            <v>1409.78</v>
          </cell>
          <cell r="J5">
            <v>4830.0334831147793</v>
          </cell>
          <cell r="L5">
            <v>2620.6470000000004</v>
          </cell>
        </row>
      </sheetData>
      <sheetData sheetId="47"/>
      <sheetData sheetId="48">
        <row r="3">
          <cell r="C3">
            <v>6635859</v>
          </cell>
        </row>
        <row r="5">
          <cell r="D5">
            <v>16595</v>
          </cell>
          <cell r="F5">
            <v>20314.95142431571</v>
          </cell>
          <cell r="H5">
            <v>1389.931</v>
          </cell>
          <cell r="J5">
            <v>5773.8425999999972</v>
          </cell>
          <cell r="L5">
            <v>2350.049</v>
          </cell>
        </row>
      </sheetData>
      <sheetData sheetId="49"/>
      <sheetData sheetId="50">
        <row r="3">
          <cell r="C3">
            <v>7280331</v>
          </cell>
        </row>
        <row r="5">
          <cell r="D5">
            <v>17732</v>
          </cell>
          <cell r="F5">
            <v>18911.598026080897</v>
          </cell>
          <cell r="H5">
            <v>1447.9350000000002</v>
          </cell>
          <cell r="J5">
            <v>5997.0070599999908</v>
          </cell>
          <cell r="L5">
            <v>2578.7200000000003</v>
          </cell>
        </row>
      </sheetData>
      <sheetData sheetId="51"/>
      <sheetData sheetId="52">
        <row r="3">
          <cell r="C3">
            <v>7751866.2050477397</v>
          </cell>
        </row>
        <row r="5">
          <cell r="D5">
            <v>19443</v>
          </cell>
          <cell r="F5">
            <v>23159.367163939969</v>
          </cell>
          <cell r="H5">
            <v>1538.9590000000003</v>
          </cell>
          <cell r="J5">
            <v>8706.0231400000102</v>
          </cell>
          <cell r="L5">
            <v>2579.453</v>
          </cell>
        </row>
      </sheetData>
      <sheetData sheetId="53"/>
      <sheetData sheetId="54">
        <row r="3">
          <cell r="C3">
            <v>7140830.1391874002</v>
          </cell>
        </row>
        <row r="5">
          <cell r="D5">
            <v>17493</v>
          </cell>
          <cell r="F5">
            <v>15425.990995078968</v>
          </cell>
          <cell r="H5">
            <v>1396.329</v>
          </cell>
          <cell r="J5">
            <v>2117.9641100000049</v>
          </cell>
          <cell r="L5">
            <v>2518.7649999999999</v>
          </cell>
        </row>
      </sheetData>
      <sheetData sheetId="5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8" t="s">
        <v>0</v>
      </c>
      <c r="C2" s="47" t="s">
        <v>1</v>
      </c>
      <c r="D2" s="5" t="s">
        <v>2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0" t="s">
        <v>3</v>
      </c>
      <c r="B4" s="67"/>
      <c r="C4" s="67"/>
      <c r="D4" s="67"/>
      <c r="E4" s="61" t="s">
        <v>4</v>
      </c>
      <c r="G4" s="60" t="s">
        <v>5</v>
      </c>
      <c r="H4" s="67"/>
      <c r="I4" s="67"/>
      <c r="J4" s="67"/>
      <c r="K4" s="67"/>
      <c r="M4" s="60" t="s">
        <v>6</v>
      </c>
      <c r="N4" s="67"/>
      <c r="O4" s="67"/>
      <c r="P4" s="67"/>
      <c r="Q4" s="67"/>
      <c r="R4" s="67"/>
      <c r="S4" s="60" t="s">
        <v>7</v>
      </c>
      <c r="T4" s="67"/>
      <c r="U4" s="67"/>
      <c r="V4" s="67"/>
      <c r="W4" s="67"/>
    </row>
    <row r="5" spans="1:23" ht="15.75" customHeight="1">
      <c r="A5" s="7"/>
      <c r="B5" s="49" t="s">
        <v>8</v>
      </c>
      <c r="C5" s="7" t="s">
        <v>9</v>
      </c>
      <c r="D5" s="7" t="s">
        <v>10</v>
      </c>
      <c r="E5" s="7" t="s">
        <v>11</v>
      </c>
      <c r="G5" s="7"/>
      <c r="H5" s="49" t="s">
        <v>12</v>
      </c>
      <c r="I5" s="49" t="s">
        <v>8</v>
      </c>
      <c r="J5" s="49" t="s">
        <v>13</v>
      </c>
      <c r="K5" s="7" t="s">
        <v>11</v>
      </c>
      <c r="L5" s="62" t="s">
        <v>14</v>
      </c>
      <c r="M5" s="7"/>
      <c r="N5" s="49" t="s">
        <v>8</v>
      </c>
      <c r="O5" s="49" t="s">
        <v>15</v>
      </c>
      <c r="P5" s="49" t="s">
        <v>13</v>
      </c>
      <c r="Q5" s="49" t="s">
        <v>16</v>
      </c>
      <c r="R5" s="67"/>
      <c r="S5" s="7"/>
      <c r="T5" s="49" t="s">
        <v>8</v>
      </c>
      <c r="U5" s="49" t="s">
        <v>15</v>
      </c>
      <c r="V5" s="49" t="s">
        <v>13</v>
      </c>
      <c r="W5" s="49" t="s">
        <v>16</v>
      </c>
    </row>
    <row r="6" spans="1:23" ht="15.75" customHeight="1">
      <c r="A6" s="49" t="s">
        <v>17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49" t="s">
        <v>18</v>
      </c>
      <c r="H6" s="11">
        <v>110</v>
      </c>
      <c r="I6" s="11">
        <v>100</v>
      </c>
      <c r="J6" s="11">
        <v>90</v>
      </c>
      <c r="K6" s="12"/>
      <c r="L6" s="62" t="s">
        <v>19</v>
      </c>
      <c r="M6" s="49" t="s">
        <v>20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49" t="s">
        <v>20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49" t="s">
        <v>21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3" t="s">
        <v>22</v>
      </c>
      <c r="H7" s="14">
        <v>0.8</v>
      </c>
      <c r="I7" s="14">
        <v>0.85</v>
      </c>
      <c r="J7" s="14">
        <v>0.81</v>
      </c>
      <c r="K7" s="14">
        <v>0.84</v>
      </c>
      <c r="L7" s="66" t="s">
        <v>23</v>
      </c>
      <c r="M7" s="49" t="s">
        <v>24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49" t="s">
        <v>24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25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49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2" t="s">
        <v>27</v>
      </c>
      <c r="M8" s="49" t="s">
        <v>28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49" t="s">
        <v>28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29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49" t="s">
        <v>30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2" t="s">
        <v>31</v>
      </c>
      <c r="M9" s="49" t="s">
        <v>32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49" t="s">
        <v>32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49" t="s">
        <v>33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49" t="s">
        <v>34</v>
      </c>
      <c r="H10" s="14">
        <v>0.95</v>
      </c>
      <c r="I10" s="14">
        <v>0.9</v>
      </c>
      <c r="J10" s="14">
        <v>0.92</v>
      </c>
      <c r="K10" s="14">
        <v>0.91</v>
      </c>
      <c r="L10" s="66" t="s">
        <v>35</v>
      </c>
      <c r="M10" s="49" t="s">
        <v>36</v>
      </c>
      <c r="N10" s="9" t="s">
        <v>37</v>
      </c>
      <c r="O10" s="13" t="str">
        <f t="shared" si="1"/>
        <v/>
      </c>
      <c r="P10" s="4" t="s">
        <v>38</v>
      </c>
      <c r="Q10" s="13" t="str">
        <f t="shared" si="2"/>
        <v/>
      </c>
      <c r="S10" s="49" t="s">
        <v>36</v>
      </c>
      <c r="T10" s="9" t="s">
        <v>37</v>
      </c>
      <c r="U10" s="13" t="str">
        <f t="shared" si="3"/>
        <v/>
      </c>
      <c r="V10" s="4" t="s">
        <v>38</v>
      </c>
      <c r="W10" s="13" t="str">
        <f t="shared" si="4"/>
        <v/>
      </c>
    </row>
    <row r="11" spans="1:23" ht="15.75" customHeight="1">
      <c r="A11" s="49" t="s">
        <v>39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49" t="s">
        <v>40</v>
      </c>
      <c r="H11" s="14">
        <v>0.8</v>
      </c>
      <c r="I11" s="14">
        <v>0.85</v>
      </c>
      <c r="J11" s="14">
        <v>1</v>
      </c>
      <c r="K11" s="14">
        <v>0.92</v>
      </c>
      <c r="L11" s="62" t="s">
        <v>41</v>
      </c>
      <c r="M11" s="49" t="s">
        <v>42</v>
      </c>
      <c r="N11" s="9" t="s">
        <v>37</v>
      </c>
      <c r="O11" s="13" t="str">
        <f t="shared" si="1"/>
        <v/>
      </c>
      <c r="P11" s="4" t="s">
        <v>38</v>
      </c>
      <c r="Q11" s="13" t="str">
        <f t="shared" si="2"/>
        <v/>
      </c>
      <c r="S11" s="49" t="s">
        <v>42</v>
      </c>
      <c r="T11" s="9" t="s">
        <v>37</v>
      </c>
      <c r="U11" s="13" t="str">
        <f t="shared" si="3"/>
        <v/>
      </c>
      <c r="V11" s="4" t="s">
        <v>38</v>
      </c>
      <c r="W11" s="13" t="str">
        <f t="shared" si="4"/>
        <v/>
      </c>
    </row>
    <row r="12" spans="1:23" ht="15.75" customHeight="1">
      <c r="M12" s="49" t="s">
        <v>43</v>
      </c>
      <c r="N12" s="9" t="s">
        <v>37</v>
      </c>
      <c r="O12" s="13" t="str">
        <f t="shared" si="1"/>
        <v/>
      </c>
      <c r="P12" s="4" t="s">
        <v>38</v>
      </c>
      <c r="Q12" s="13" t="str">
        <f t="shared" si="2"/>
        <v/>
      </c>
      <c r="S12" s="49" t="s">
        <v>43</v>
      </c>
      <c r="T12" s="9" t="s">
        <v>37</v>
      </c>
      <c r="U12" s="13" t="str">
        <f t="shared" si="3"/>
        <v/>
      </c>
      <c r="V12" s="4" t="s">
        <v>38</v>
      </c>
      <c r="W12" s="13" t="str">
        <f t="shared" si="4"/>
        <v/>
      </c>
    </row>
    <row r="13" spans="1:23" ht="15.75" customHeight="1">
      <c r="A13" s="60" t="s">
        <v>44</v>
      </c>
      <c r="B13" s="67"/>
      <c r="C13" s="67"/>
      <c r="D13" s="67"/>
      <c r="E13" s="67"/>
      <c r="F13" s="67"/>
      <c r="M13" s="49" t="s">
        <v>45</v>
      </c>
      <c r="N13" s="9" t="s">
        <v>37</v>
      </c>
      <c r="O13" s="13" t="str">
        <f t="shared" si="1"/>
        <v/>
      </c>
      <c r="P13" s="4" t="s">
        <v>38</v>
      </c>
      <c r="Q13" s="13" t="str">
        <f t="shared" si="2"/>
        <v/>
      </c>
      <c r="S13" s="49" t="s">
        <v>45</v>
      </c>
      <c r="T13" s="9" t="s">
        <v>37</v>
      </c>
      <c r="U13" s="13" t="str">
        <f t="shared" si="3"/>
        <v/>
      </c>
      <c r="V13" s="4" t="s">
        <v>38</v>
      </c>
      <c r="W13" s="13" t="str">
        <f t="shared" si="4"/>
        <v/>
      </c>
    </row>
    <row r="14" spans="1:23" ht="12.75">
      <c r="A14" s="7"/>
      <c r="B14" s="49" t="s">
        <v>8</v>
      </c>
      <c r="C14" s="7" t="s">
        <v>9</v>
      </c>
      <c r="D14" s="7" t="s">
        <v>10</v>
      </c>
      <c r="E14" s="7" t="s">
        <v>11</v>
      </c>
      <c r="F14" s="67"/>
      <c r="G14" s="7"/>
      <c r="H14" s="49" t="s">
        <v>8</v>
      </c>
      <c r="I14" s="7" t="s">
        <v>9</v>
      </c>
      <c r="J14" s="7" t="s">
        <v>10</v>
      </c>
      <c r="K14" s="7" t="s">
        <v>11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49" t="s">
        <v>20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49" t="s">
        <v>36</v>
      </c>
      <c r="H15" s="4"/>
      <c r="I15" s="4"/>
      <c r="J15" s="16">
        <f>H15-I15</f>
        <v>0</v>
      </c>
      <c r="K15" s="17"/>
      <c r="M15" s="60" t="s">
        <v>46</v>
      </c>
      <c r="N15" s="67"/>
      <c r="O15" s="67"/>
      <c r="P15" s="67"/>
      <c r="Q15" s="67"/>
      <c r="R15" s="67"/>
      <c r="S15" s="67"/>
    </row>
    <row r="16" spans="1:23" ht="15.75" customHeight="1">
      <c r="A16" s="49" t="s">
        <v>24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49" t="s">
        <v>42</v>
      </c>
      <c r="H16" s="4"/>
      <c r="I16" s="4"/>
      <c r="J16" s="16">
        <f>H16-I16</f>
        <v>0</v>
      </c>
      <c r="K16" s="17"/>
      <c r="M16" s="18"/>
      <c r="N16" s="46" t="s">
        <v>47</v>
      </c>
      <c r="O16" s="19"/>
      <c r="P16" s="58" t="s">
        <v>48</v>
      </c>
      <c r="Q16" s="19"/>
      <c r="R16" s="51" t="s">
        <v>49</v>
      </c>
      <c r="S16" s="19"/>
    </row>
    <row r="17" spans="1:27" ht="15.75" customHeight="1">
      <c r="A17" s="49" t="s">
        <v>28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49" t="s">
        <v>43</v>
      </c>
      <c r="H17" s="4"/>
      <c r="I17" s="4"/>
      <c r="J17" s="16">
        <f>H17-I17</f>
        <v>0</v>
      </c>
      <c r="K17" s="17"/>
      <c r="M17" s="20"/>
      <c r="N17" s="21" t="s">
        <v>50</v>
      </c>
      <c r="O17" s="50" t="s">
        <v>15</v>
      </c>
      <c r="P17" s="8" t="s">
        <v>50</v>
      </c>
      <c r="Q17" s="50" t="s">
        <v>15</v>
      </c>
      <c r="R17" s="8" t="s">
        <v>50</v>
      </c>
      <c r="S17" s="50" t="s">
        <v>15</v>
      </c>
    </row>
    <row r="18" spans="1:27" ht="15.75" customHeight="1">
      <c r="A18" s="49" t="s">
        <v>32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49" t="s">
        <v>45</v>
      </c>
      <c r="H18" s="4"/>
      <c r="I18" s="4"/>
      <c r="J18" s="16">
        <f>H18-I18</f>
        <v>0</v>
      </c>
      <c r="K18" s="17"/>
      <c r="M18" s="49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49" t="s">
        <v>30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0" t="s">
        <v>51</v>
      </c>
      <c r="B20" s="67"/>
      <c r="C20" s="63"/>
      <c r="D20" s="67"/>
      <c r="E20" s="67"/>
      <c r="F20" s="63"/>
      <c r="G20" s="63"/>
      <c r="H20" s="63"/>
      <c r="I20" s="63"/>
      <c r="J20" s="67"/>
      <c r="K20" s="67"/>
    </row>
    <row r="21" spans="1:27" ht="15.75" customHeight="1">
      <c r="A21" s="18"/>
      <c r="B21" s="49" t="s">
        <v>52</v>
      </c>
      <c r="C21" s="331" t="s">
        <v>53</v>
      </c>
      <c r="D21" s="329"/>
      <c r="E21" s="330"/>
      <c r="F21" s="49" t="s">
        <v>54</v>
      </c>
      <c r="G21" s="49" t="s">
        <v>55</v>
      </c>
      <c r="H21" s="49" t="s">
        <v>56</v>
      </c>
      <c r="I21" s="8" t="s">
        <v>57</v>
      </c>
      <c r="J21" s="344" t="s">
        <v>58</v>
      </c>
      <c r="K21" s="330"/>
      <c r="M21" s="60" t="s">
        <v>59</v>
      </c>
      <c r="N21" s="67"/>
      <c r="O21" s="63"/>
      <c r="P21" s="67"/>
      <c r="Q21" s="67"/>
      <c r="R21" s="63"/>
      <c r="S21" s="63"/>
      <c r="T21" s="63"/>
      <c r="U21" s="63"/>
      <c r="V21" s="63"/>
      <c r="W21" s="63"/>
      <c r="X21" s="63"/>
      <c r="Y21" s="63"/>
      <c r="Z21" s="67"/>
      <c r="AA21" s="67"/>
    </row>
    <row r="22" spans="1:27" ht="15.75" customHeight="1">
      <c r="A22" s="52" t="s">
        <v>20</v>
      </c>
      <c r="B22" s="6">
        <v>1</v>
      </c>
      <c r="C22" s="333" t="s">
        <v>60</v>
      </c>
      <c r="D22" s="329"/>
      <c r="E22" s="330"/>
      <c r="F22" s="4">
        <v>3</v>
      </c>
      <c r="G22" s="4">
        <v>3000</v>
      </c>
      <c r="H22" s="4">
        <v>1000</v>
      </c>
      <c r="I22" s="4">
        <v>10</v>
      </c>
      <c r="J22" s="332" t="s">
        <v>61</v>
      </c>
      <c r="K22" s="330"/>
      <c r="M22" s="52" t="s">
        <v>26</v>
      </c>
      <c r="N22" s="57" t="s">
        <v>52</v>
      </c>
      <c r="O22" s="339" t="s">
        <v>53</v>
      </c>
      <c r="P22" s="329"/>
      <c r="Q22" s="330"/>
      <c r="R22" s="345" t="s">
        <v>62</v>
      </c>
      <c r="S22" s="329"/>
      <c r="T22" s="330"/>
      <c r="U22" s="57" t="s">
        <v>63</v>
      </c>
      <c r="V22" s="57" t="s">
        <v>27</v>
      </c>
      <c r="W22" s="57" t="s">
        <v>64</v>
      </c>
      <c r="X22" s="8" t="s">
        <v>50</v>
      </c>
      <c r="Y22" s="8" t="s">
        <v>57</v>
      </c>
      <c r="Z22" s="344" t="s">
        <v>58</v>
      </c>
      <c r="AA22" s="330"/>
    </row>
    <row r="23" spans="1:27" ht="15.75" customHeight="1">
      <c r="A23" s="23"/>
      <c r="B23" s="6">
        <v>2</v>
      </c>
      <c r="C23" s="328"/>
      <c r="D23" s="329"/>
      <c r="E23" s="330"/>
      <c r="F23" s="4"/>
      <c r="G23" s="4"/>
      <c r="H23" s="4"/>
      <c r="I23" s="4"/>
      <c r="J23" s="328"/>
      <c r="K23" s="330"/>
      <c r="M23" s="56" t="s">
        <v>48</v>
      </c>
      <c r="N23" s="24">
        <v>1</v>
      </c>
      <c r="O23" s="332" t="s">
        <v>65</v>
      </c>
      <c r="P23" s="329"/>
      <c r="Q23" s="330"/>
      <c r="R23" s="332" t="s">
        <v>66</v>
      </c>
      <c r="S23" s="329"/>
      <c r="T23" s="330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332" t="s">
        <v>67</v>
      </c>
      <c r="AA23" s="330"/>
    </row>
    <row r="24" spans="1:27" ht="15.75" customHeight="1">
      <c r="A24" s="23"/>
      <c r="B24" s="6">
        <v>3</v>
      </c>
      <c r="C24" s="328"/>
      <c r="D24" s="329"/>
      <c r="E24" s="330"/>
      <c r="F24" s="4"/>
      <c r="G24" s="4"/>
      <c r="H24" s="4"/>
      <c r="I24" s="4"/>
      <c r="J24" s="328"/>
      <c r="K24" s="330"/>
      <c r="M24" s="25"/>
      <c r="N24" s="24">
        <v>2</v>
      </c>
      <c r="O24" s="333"/>
      <c r="P24" s="329"/>
      <c r="Q24" s="330"/>
      <c r="R24" s="333"/>
      <c r="S24" s="329"/>
      <c r="T24" s="330"/>
      <c r="U24" s="4"/>
      <c r="V24" s="14"/>
      <c r="W24" s="4"/>
      <c r="X24" s="16">
        <f>W24*U24</f>
        <v>0</v>
      </c>
      <c r="Y24" s="4"/>
      <c r="Z24" s="333"/>
      <c r="AA24" s="330"/>
    </row>
    <row r="25" spans="1:27" ht="15.75" customHeight="1">
      <c r="A25" s="23"/>
      <c r="B25" s="6">
        <v>4</v>
      </c>
      <c r="C25" s="328"/>
      <c r="D25" s="329"/>
      <c r="E25" s="330"/>
      <c r="F25" s="4"/>
      <c r="G25" s="4"/>
      <c r="H25" s="4"/>
      <c r="I25" s="4"/>
      <c r="J25" s="328"/>
      <c r="K25" s="330"/>
      <c r="M25" s="25"/>
      <c r="N25" s="24">
        <v>3</v>
      </c>
      <c r="O25" s="333"/>
      <c r="P25" s="329"/>
      <c r="Q25" s="330"/>
      <c r="R25" s="333"/>
      <c r="S25" s="329"/>
      <c r="T25" s="330"/>
      <c r="U25" s="4"/>
      <c r="V25" s="14"/>
      <c r="W25" s="4"/>
      <c r="X25" s="16">
        <f>W25*U25</f>
        <v>0</v>
      </c>
      <c r="Y25" s="4"/>
      <c r="Z25" s="333"/>
      <c r="AA25" s="330"/>
    </row>
    <row r="26" spans="1:27" ht="15.75" customHeight="1">
      <c r="A26" s="23"/>
      <c r="B26" s="26">
        <v>5</v>
      </c>
      <c r="C26" s="342"/>
      <c r="D26" s="338"/>
      <c r="E26" s="335"/>
      <c r="F26" s="27"/>
      <c r="G26" s="27"/>
      <c r="H26" s="27"/>
      <c r="I26" s="27"/>
      <c r="J26" s="342"/>
      <c r="K26" s="335"/>
      <c r="M26" s="25"/>
      <c r="N26" s="24">
        <v>4</v>
      </c>
      <c r="O26" s="333"/>
      <c r="P26" s="329"/>
      <c r="Q26" s="330"/>
      <c r="R26" s="333"/>
      <c r="S26" s="329"/>
      <c r="T26" s="330"/>
      <c r="U26" s="4"/>
      <c r="V26" s="14"/>
      <c r="W26" s="4"/>
      <c r="X26" s="16">
        <f>W26*U26</f>
        <v>0</v>
      </c>
      <c r="Y26" s="4"/>
      <c r="Z26" s="333"/>
      <c r="AA26" s="330"/>
    </row>
    <row r="27" spans="1:27" ht="15.75" customHeight="1">
      <c r="A27" s="23"/>
      <c r="B27" s="69" t="s">
        <v>68</v>
      </c>
      <c r="C27" s="336" t="s">
        <v>69</v>
      </c>
      <c r="D27" s="343"/>
      <c r="E27" s="337"/>
      <c r="F27" s="28">
        <v>4</v>
      </c>
      <c r="G27" s="28">
        <v>2800</v>
      </c>
      <c r="H27" s="28">
        <v>700</v>
      </c>
      <c r="I27" s="28" t="s">
        <v>70</v>
      </c>
      <c r="J27" s="336" t="s">
        <v>71</v>
      </c>
      <c r="K27" s="337"/>
      <c r="M27" s="25"/>
      <c r="N27" s="29">
        <v>5</v>
      </c>
      <c r="O27" s="334"/>
      <c r="P27" s="338"/>
      <c r="Q27" s="335"/>
      <c r="R27" s="334"/>
      <c r="S27" s="338"/>
      <c r="T27" s="335"/>
      <c r="U27" s="27"/>
      <c r="V27" s="30"/>
      <c r="W27" s="27"/>
      <c r="X27" s="31">
        <f>W27*U27</f>
        <v>0</v>
      </c>
      <c r="Y27" s="4"/>
      <c r="Z27" s="334"/>
      <c r="AA27" s="335"/>
    </row>
    <row r="28" spans="1:27" ht="15.75" customHeight="1">
      <c r="A28" s="23"/>
      <c r="B28" s="70" t="s">
        <v>72</v>
      </c>
      <c r="C28" s="328"/>
      <c r="D28" s="329"/>
      <c r="E28" s="330"/>
      <c r="F28" s="4"/>
      <c r="G28" s="4"/>
      <c r="H28" s="4"/>
      <c r="I28" s="4"/>
      <c r="J28" s="328"/>
      <c r="K28" s="330"/>
      <c r="M28" s="32"/>
      <c r="N28" s="55"/>
      <c r="O28" s="340"/>
      <c r="P28" s="329"/>
      <c r="Q28" s="329"/>
      <c r="R28" s="340"/>
      <c r="S28" s="329"/>
      <c r="T28" s="329"/>
      <c r="U28" s="59" t="s">
        <v>73</v>
      </c>
      <c r="V28" s="33">
        <f>X28/N18</f>
        <v>8.3333333333333329E-2</v>
      </c>
      <c r="W28" s="59" t="s">
        <v>74</v>
      </c>
      <c r="X28" s="34">
        <f>SUM(X23:X27)</f>
        <v>100</v>
      </c>
      <c r="Y28" s="45"/>
      <c r="Z28" s="340"/>
      <c r="AA28" s="330"/>
    </row>
    <row r="29" spans="1:27" ht="15.75" customHeight="1">
      <c r="A29" s="23"/>
      <c r="B29" s="70" t="s">
        <v>75</v>
      </c>
      <c r="C29" s="328"/>
      <c r="D29" s="329"/>
      <c r="E29" s="330"/>
      <c r="F29" s="4"/>
      <c r="G29" s="4"/>
      <c r="H29" s="4"/>
      <c r="I29" s="4"/>
      <c r="J29" s="328"/>
      <c r="K29" s="330"/>
      <c r="M29" s="56" t="s">
        <v>49</v>
      </c>
      <c r="N29" s="24">
        <v>1</v>
      </c>
      <c r="O29" s="353" t="s">
        <v>76</v>
      </c>
      <c r="P29" s="349"/>
      <c r="Q29" s="350"/>
      <c r="R29" s="348" t="s">
        <v>77</v>
      </c>
      <c r="S29" s="349"/>
      <c r="T29" s="350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348" t="s">
        <v>78</v>
      </c>
      <c r="AA29" s="350"/>
    </row>
    <row r="30" spans="1:27" ht="15.75" customHeight="1">
      <c r="A30" s="23"/>
      <c r="B30" s="70" t="s">
        <v>79</v>
      </c>
      <c r="C30" s="328"/>
      <c r="D30" s="329"/>
      <c r="E30" s="330"/>
      <c r="F30" s="4"/>
      <c r="G30" s="4"/>
      <c r="H30" s="4"/>
      <c r="I30" s="4"/>
      <c r="J30" s="328"/>
      <c r="K30" s="330"/>
      <c r="M30" s="25"/>
      <c r="N30" s="24">
        <v>2</v>
      </c>
      <c r="O30" s="333"/>
      <c r="P30" s="329"/>
      <c r="Q30" s="330"/>
      <c r="R30" s="333"/>
      <c r="S30" s="329"/>
      <c r="T30" s="330"/>
      <c r="U30" s="4"/>
      <c r="V30" s="14"/>
      <c r="W30" s="4"/>
      <c r="X30" s="16">
        <f>W30*U30</f>
        <v>0</v>
      </c>
      <c r="Y30" s="4"/>
      <c r="Z30" s="333"/>
      <c r="AA30" s="330"/>
    </row>
    <row r="31" spans="1:27" ht="15.75" customHeight="1">
      <c r="A31" s="20"/>
      <c r="B31" s="70" t="s">
        <v>80</v>
      </c>
      <c r="C31" s="328"/>
      <c r="D31" s="329"/>
      <c r="E31" s="330"/>
      <c r="F31" s="4"/>
      <c r="G31" s="4"/>
      <c r="H31" s="4"/>
      <c r="I31" s="4"/>
      <c r="J31" s="328"/>
      <c r="K31" s="330"/>
      <c r="M31" s="25"/>
      <c r="N31" s="24">
        <v>3</v>
      </c>
      <c r="O31" s="333"/>
      <c r="P31" s="329"/>
      <c r="Q31" s="330"/>
      <c r="R31" s="333"/>
      <c r="S31" s="329"/>
      <c r="T31" s="330"/>
      <c r="U31" s="4"/>
      <c r="V31" s="14"/>
      <c r="W31" s="4"/>
      <c r="X31" s="16">
        <f>W31*U31</f>
        <v>0</v>
      </c>
      <c r="Y31" s="4"/>
      <c r="Z31" s="333"/>
      <c r="AA31" s="330"/>
    </row>
    <row r="32" spans="1:27" ht="15.75" customHeight="1">
      <c r="A32" s="67"/>
      <c r="M32" s="25"/>
      <c r="N32" s="24">
        <v>4</v>
      </c>
      <c r="O32" s="333"/>
      <c r="P32" s="329"/>
      <c r="Q32" s="330"/>
      <c r="R32" s="333"/>
      <c r="S32" s="329"/>
      <c r="T32" s="330"/>
      <c r="U32" s="4"/>
      <c r="V32" s="14"/>
      <c r="W32" s="4"/>
      <c r="X32" s="16">
        <f>W32*U32</f>
        <v>0</v>
      </c>
      <c r="Y32" s="4"/>
      <c r="Z32" s="333"/>
      <c r="AA32" s="330"/>
    </row>
    <row r="33" spans="1:27" ht="15.75" customHeight="1">
      <c r="A33" s="18"/>
      <c r="B33" s="49" t="s">
        <v>52</v>
      </c>
      <c r="C33" s="331" t="s">
        <v>53</v>
      </c>
      <c r="D33" s="329"/>
      <c r="E33" s="330"/>
      <c r="F33" s="49" t="s">
        <v>54</v>
      </c>
      <c r="G33" s="49" t="s">
        <v>55</v>
      </c>
      <c r="H33" s="49" t="s">
        <v>56</v>
      </c>
      <c r="I33" s="8" t="s">
        <v>57</v>
      </c>
      <c r="J33" s="344" t="s">
        <v>58</v>
      </c>
      <c r="K33" s="330"/>
      <c r="M33" s="25"/>
      <c r="N33" s="29">
        <v>5</v>
      </c>
      <c r="O33" s="333"/>
      <c r="P33" s="329"/>
      <c r="Q33" s="330"/>
      <c r="R33" s="333"/>
      <c r="S33" s="329"/>
      <c r="T33" s="330"/>
      <c r="U33" s="27"/>
      <c r="V33" s="30"/>
      <c r="W33" s="27"/>
      <c r="X33" s="31">
        <f>W33*U33</f>
        <v>0</v>
      </c>
      <c r="Y33" s="4"/>
      <c r="Z33" s="333"/>
      <c r="AA33" s="330"/>
    </row>
    <row r="34" spans="1:27" ht="15.75" customHeight="1">
      <c r="A34" s="52" t="s">
        <v>24</v>
      </c>
      <c r="B34" s="6">
        <v>1</v>
      </c>
      <c r="C34" s="332" t="s">
        <v>81</v>
      </c>
      <c r="D34" s="329"/>
      <c r="E34" s="330"/>
      <c r="F34" s="4">
        <v>3</v>
      </c>
      <c r="G34" s="4">
        <v>2500</v>
      </c>
      <c r="H34" s="4">
        <v>833.33</v>
      </c>
      <c r="I34" s="4">
        <v>20</v>
      </c>
      <c r="J34" s="332" t="s">
        <v>82</v>
      </c>
      <c r="K34" s="330"/>
      <c r="M34" s="68"/>
      <c r="N34" s="45"/>
      <c r="O34" s="340"/>
      <c r="P34" s="329"/>
      <c r="Q34" s="329"/>
      <c r="R34" s="340"/>
      <c r="S34" s="329"/>
      <c r="T34" s="329"/>
      <c r="U34" s="59" t="s">
        <v>73</v>
      </c>
      <c r="V34" s="33">
        <f>X34/N18</f>
        <v>0.23125000000000001</v>
      </c>
      <c r="W34" s="59" t="s">
        <v>74</v>
      </c>
      <c r="X34" s="34">
        <f>SUM(X29:X33)</f>
        <v>277.5</v>
      </c>
      <c r="Y34" s="45"/>
      <c r="Z34" s="340"/>
      <c r="AA34" s="330"/>
    </row>
    <row r="35" spans="1:27" ht="15.75" customHeight="1">
      <c r="A35" s="23"/>
      <c r="B35" s="6">
        <v>2</v>
      </c>
      <c r="C35" s="333"/>
      <c r="D35" s="329"/>
      <c r="E35" s="330"/>
      <c r="F35" s="4"/>
      <c r="G35" s="4"/>
      <c r="H35" s="4"/>
      <c r="I35" s="4"/>
      <c r="J35" s="333"/>
      <c r="K35" s="330"/>
      <c r="M35" s="1"/>
      <c r="N35" s="1"/>
      <c r="O35" s="351"/>
      <c r="P35" s="352"/>
      <c r="Q35" s="352"/>
      <c r="R35" s="351"/>
      <c r="S35" s="352"/>
      <c r="T35" s="352"/>
      <c r="U35" s="1"/>
      <c r="V35" s="38"/>
      <c r="W35" s="1"/>
      <c r="X35" s="1"/>
      <c r="Y35" s="351"/>
      <c r="Z35" s="352"/>
      <c r="AA35" s="352"/>
    </row>
    <row r="36" spans="1:27" ht="15.75" customHeight="1">
      <c r="A36" s="23"/>
      <c r="B36" s="6">
        <v>3</v>
      </c>
      <c r="C36" s="333"/>
      <c r="D36" s="329"/>
      <c r="E36" s="330"/>
      <c r="F36" s="4"/>
      <c r="G36" s="4"/>
      <c r="H36" s="4"/>
      <c r="I36" s="4"/>
      <c r="J36" s="333"/>
      <c r="K36" s="330"/>
      <c r="M36" s="52" t="s">
        <v>30</v>
      </c>
      <c r="N36" s="57" t="s">
        <v>52</v>
      </c>
      <c r="O36" s="339" t="s">
        <v>53</v>
      </c>
      <c r="P36" s="340"/>
      <c r="Q36" s="341"/>
      <c r="R36" s="345" t="s">
        <v>62</v>
      </c>
      <c r="S36" s="346"/>
      <c r="T36" s="347"/>
      <c r="U36" s="57" t="s">
        <v>63</v>
      </c>
      <c r="V36" s="57" t="s">
        <v>27</v>
      </c>
      <c r="W36" s="57" t="s">
        <v>64</v>
      </c>
      <c r="X36" s="8" t="s">
        <v>50</v>
      </c>
      <c r="Y36" s="8" t="s">
        <v>57</v>
      </c>
      <c r="Z36" s="344" t="s">
        <v>58</v>
      </c>
      <c r="AA36" s="354"/>
    </row>
    <row r="37" spans="1:27" ht="15.75" customHeight="1">
      <c r="A37" s="23"/>
      <c r="B37" s="6">
        <v>4</v>
      </c>
      <c r="C37" s="333"/>
      <c r="D37" s="329"/>
      <c r="E37" s="330"/>
      <c r="F37" s="4"/>
      <c r="G37" s="4"/>
      <c r="H37" s="4"/>
      <c r="I37" s="4"/>
      <c r="J37" s="333"/>
      <c r="K37" s="330"/>
      <c r="M37" s="56" t="s">
        <v>48</v>
      </c>
      <c r="N37" s="24">
        <v>1</v>
      </c>
      <c r="O37" s="332" t="s">
        <v>83</v>
      </c>
      <c r="P37" s="329"/>
      <c r="Q37" s="330"/>
      <c r="R37" s="332" t="s">
        <v>84</v>
      </c>
      <c r="S37" s="329"/>
      <c r="T37" s="330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332" t="s">
        <v>85</v>
      </c>
      <c r="AA37" s="330"/>
    </row>
    <row r="38" spans="1:27" ht="15.75" customHeight="1">
      <c r="A38" s="23"/>
      <c r="B38" s="26">
        <v>5</v>
      </c>
      <c r="C38" s="334"/>
      <c r="D38" s="338"/>
      <c r="E38" s="335"/>
      <c r="F38" s="27"/>
      <c r="G38" s="27"/>
      <c r="H38" s="27"/>
      <c r="I38" s="27"/>
      <c r="J38" s="334"/>
      <c r="K38" s="335"/>
      <c r="M38" s="25"/>
      <c r="N38" s="24">
        <v>2</v>
      </c>
      <c r="O38" s="333"/>
      <c r="P38" s="329"/>
      <c r="Q38" s="330"/>
      <c r="R38" s="333"/>
      <c r="S38" s="329"/>
      <c r="T38" s="330"/>
      <c r="U38" s="4"/>
      <c r="V38" s="14"/>
      <c r="W38" s="4"/>
      <c r="X38" s="16">
        <f>W38*U38</f>
        <v>0</v>
      </c>
      <c r="Y38" s="4"/>
      <c r="Z38" s="333"/>
      <c r="AA38" s="330"/>
    </row>
    <row r="39" spans="1:27" ht="14.25">
      <c r="A39" s="23"/>
      <c r="B39" s="69" t="s">
        <v>68</v>
      </c>
      <c r="C39" s="336" t="s">
        <v>86</v>
      </c>
      <c r="D39" s="343"/>
      <c r="E39" s="337"/>
      <c r="F39" s="28">
        <v>7</v>
      </c>
      <c r="G39" s="28">
        <v>2200</v>
      </c>
      <c r="H39" s="28">
        <v>314.29000000000002</v>
      </c>
      <c r="I39" s="28">
        <v>-15</v>
      </c>
      <c r="J39" s="336" t="s">
        <v>87</v>
      </c>
      <c r="K39" s="337"/>
      <c r="M39" s="25"/>
      <c r="N39" s="24">
        <v>3</v>
      </c>
      <c r="O39" s="333"/>
      <c r="P39" s="329"/>
      <c r="Q39" s="330"/>
      <c r="R39" s="333"/>
      <c r="S39" s="329"/>
      <c r="T39" s="330"/>
      <c r="U39" s="4"/>
      <c r="V39" s="14"/>
      <c r="W39" s="4"/>
      <c r="X39" s="16">
        <f>W39*U39</f>
        <v>0</v>
      </c>
      <c r="Y39" s="4"/>
      <c r="Z39" s="333"/>
      <c r="AA39" s="330"/>
    </row>
    <row r="40" spans="1:27" ht="14.25">
      <c r="A40" s="23"/>
      <c r="B40" s="70" t="s">
        <v>72</v>
      </c>
      <c r="C40" s="333"/>
      <c r="D40" s="329"/>
      <c r="E40" s="330"/>
      <c r="F40" s="4"/>
      <c r="G40" s="4"/>
      <c r="H40" s="4"/>
      <c r="I40" s="4"/>
      <c r="J40" s="333"/>
      <c r="K40" s="330"/>
      <c r="M40" s="25"/>
      <c r="N40" s="24">
        <v>4</v>
      </c>
      <c r="O40" s="333"/>
      <c r="P40" s="329"/>
      <c r="Q40" s="330"/>
      <c r="R40" s="333"/>
      <c r="S40" s="329"/>
      <c r="T40" s="330"/>
      <c r="U40" s="4"/>
      <c r="V40" s="14"/>
      <c r="W40" s="4"/>
      <c r="X40" s="16">
        <f>W40*U40</f>
        <v>0</v>
      </c>
      <c r="Y40" s="4"/>
      <c r="Z40" s="333"/>
      <c r="AA40" s="330"/>
    </row>
    <row r="41" spans="1:27" ht="14.25">
      <c r="A41" s="23"/>
      <c r="B41" s="70" t="s">
        <v>75</v>
      </c>
      <c r="C41" s="333"/>
      <c r="D41" s="329"/>
      <c r="E41" s="330"/>
      <c r="F41" s="4"/>
      <c r="G41" s="4"/>
      <c r="H41" s="4"/>
      <c r="I41" s="4"/>
      <c r="J41" s="333"/>
      <c r="K41" s="330"/>
      <c r="M41" s="25"/>
      <c r="N41" s="29">
        <v>5</v>
      </c>
      <c r="O41" s="334"/>
      <c r="P41" s="338"/>
      <c r="Q41" s="335"/>
      <c r="R41" s="334"/>
      <c r="S41" s="338"/>
      <c r="T41" s="335"/>
      <c r="U41" s="27"/>
      <c r="V41" s="30"/>
      <c r="W41" s="27"/>
      <c r="X41" s="31">
        <f>W41*U41</f>
        <v>0</v>
      </c>
      <c r="Y41" s="4"/>
      <c r="Z41" s="333"/>
      <c r="AA41" s="330"/>
    </row>
    <row r="42" spans="1:27" ht="14.25">
      <c r="A42" s="23"/>
      <c r="B42" s="70" t="s">
        <v>79</v>
      </c>
      <c r="C42" s="333"/>
      <c r="D42" s="329"/>
      <c r="E42" s="330"/>
      <c r="F42" s="4"/>
      <c r="G42" s="4"/>
      <c r="H42" s="4"/>
      <c r="I42" s="4"/>
      <c r="J42" s="333"/>
      <c r="K42" s="330"/>
      <c r="M42" s="32"/>
      <c r="N42" s="54"/>
      <c r="O42" s="340"/>
      <c r="P42" s="329"/>
      <c r="Q42" s="329"/>
      <c r="R42" s="340"/>
      <c r="S42" s="329"/>
      <c r="T42" s="329"/>
      <c r="U42" s="59" t="s">
        <v>73</v>
      </c>
      <c r="V42" s="33">
        <f>X42/N19</f>
        <v>5.5555555555555552E-2</v>
      </c>
      <c r="W42" s="59" t="s">
        <v>74</v>
      </c>
      <c r="X42" s="34">
        <f>SUM(X37:X41)</f>
        <v>250</v>
      </c>
      <c r="Y42" s="45"/>
      <c r="Z42" s="340"/>
      <c r="AA42" s="330"/>
    </row>
    <row r="43" spans="1:27" ht="14.25">
      <c r="A43" s="20"/>
      <c r="B43" s="70" t="s">
        <v>80</v>
      </c>
      <c r="C43" s="333"/>
      <c r="D43" s="329"/>
      <c r="E43" s="330"/>
      <c r="F43" s="4"/>
      <c r="G43" s="4"/>
      <c r="H43" s="4"/>
      <c r="I43" s="4"/>
      <c r="J43" s="333"/>
      <c r="K43" s="330"/>
      <c r="M43" s="56" t="s">
        <v>49</v>
      </c>
      <c r="N43" s="24">
        <v>1</v>
      </c>
      <c r="O43" s="332" t="s">
        <v>83</v>
      </c>
      <c r="P43" s="329"/>
      <c r="Q43" s="330"/>
      <c r="R43" s="348" t="s">
        <v>88</v>
      </c>
      <c r="S43" s="349"/>
      <c r="T43" s="350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332" t="s">
        <v>89</v>
      </c>
      <c r="AA43" s="330"/>
    </row>
    <row r="44" spans="1:27" ht="14.25">
      <c r="A44" s="67"/>
      <c r="M44" s="25"/>
      <c r="N44" s="24">
        <v>2</v>
      </c>
      <c r="O44" s="333"/>
      <c r="P44" s="329"/>
      <c r="Q44" s="330"/>
      <c r="R44" s="333"/>
      <c r="S44" s="329"/>
      <c r="T44" s="330"/>
      <c r="U44" s="4"/>
      <c r="V44" s="14"/>
      <c r="W44" s="4"/>
      <c r="X44" s="37">
        <f>W44*U44</f>
        <v>0</v>
      </c>
      <c r="Y44" s="4"/>
      <c r="Z44" s="333"/>
      <c r="AA44" s="330"/>
    </row>
    <row r="45" spans="1:27" ht="14.25">
      <c r="A45" s="18"/>
      <c r="B45" s="49" t="s">
        <v>52</v>
      </c>
      <c r="C45" s="331" t="s">
        <v>53</v>
      </c>
      <c r="D45" s="329"/>
      <c r="E45" s="330"/>
      <c r="F45" s="49" t="s">
        <v>54</v>
      </c>
      <c r="G45" s="49" t="s">
        <v>55</v>
      </c>
      <c r="H45" s="49" t="s">
        <v>56</v>
      </c>
      <c r="I45" s="8" t="s">
        <v>57</v>
      </c>
      <c r="J45" s="344" t="s">
        <v>58</v>
      </c>
      <c r="K45" s="330"/>
      <c r="M45" s="25"/>
      <c r="N45" s="24">
        <v>3</v>
      </c>
      <c r="O45" s="333"/>
      <c r="P45" s="329"/>
      <c r="Q45" s="330"/>
      <c r="R45" s="333"/>
      <c r="S45" s="329"/>
      <c r="T45" s="330"/>
      <c r="U45" s="4"/>
      <c r="V45" s="14"/>
      <c r="W45" s="4"/>
      <c r="X45" s="37">
        <f>W45*U45</f>
        <v>0</v>
      </c>
      <c r="Y45" s="4"/>
      <c r="Z45" s="333"/>
      <c r="AA45" s="330"/>
    </row>
    <row r="46" spans="1:27" ht="14.25">
      <c r="A46" s="52" t="s">
        <v>28</v>
      </c>
      <c r="B46" s="6">
        <v>1</v>
      </c>
      <c r="C46" s="332" t="s">
        <v>65</v>
      </c>
      <c r="D46" s="329"/>
      <c r="E46" s="330"/>
      <c r="F46" s="4">
        <v>15</v>
      </c>
      <c r="G46" s="4">
        <v>1200</v>
      </c>
      <c r="H46" s="4">
        <v>80</v>
      </c>
      <c r="I46" s="4">
        <v>5</v>
      </c>
      <c r="J46" s="332" t="s">
        <v>90</v>
      </c>
      <c r="K46" s="330"/>
      <c r="M46" s="25"/>
      <c r="N46" s="24">
        <v>4</v>
      </c>
      <c r="O46" s="333"/>
      <c r="P46" s="329"/>
      <c r="Q46" s="330"/>
      <c r="R46" s="333"/>
      <c r="S46" s="329"/>
      <c r="T46" s="330"/>
      <c r="U46" s="4"/>
      <c r="V46" s="14"/>
      <c r="W46" s="4"/>
      <c r="X46" s="37">
        <f>W46*U46</f>
        <v>0</v>
      </c>
      <c r="Y46" s="4"/>
      <c r="Z46" s="333"/>
      <c r="AA46" s="330"/>
    </row>
    <row r="47" spans="1:27" ht="14.25">
      <c r="A47" s="23"/>
      <c r="B47" s="6">
        <v>2</v>
      </c>
      <c r="C47" s="333"/>
      <c r="D47" s="329"/>
      <c r="E47" s="330"/>
      <c r="F47" s="4"/>
      <c r="G47" s="4"/>
      <c r="H47" s="4"/>
      <c r="I47" s="4"/>
      <c r="J47" s="333"/>
      <c r="K47" s="330"/>
      <c r="M47" s="25"/>
      <c r="N47" s="29">
        <v>5</v>
      </c>
      <c r="O47" s="333"/>
      <c r="P47" s="329"/>
      <c r="Q47" s="330"/>
      <c r="R47" s="333"/>
      <c r="S47" s="329"/>
      <c r="T47" s="330"/>
      <c r="U47" s="27"/>
      <c r="V47" s="30"/>
      <c r="W47" s="27"/>
      <c r="X47" s="40">
        <f>W47*U47</f>
        <v>0</v>
      </c>
      <c r="Y47" s="4"/>
      <c r="Z47" s="333"/>
      <c r="AA47" s="330"/>
    </row>
    <row r="48" spans="1:27" ht="14.25">
      <c r="A48" s="23"/>
      <c r="B48" s="6">
        <v>3</v>
      </c>
      <c r="C48" s="333"/>
      <c r="D48" s="329"/>
      <c r="E48" s="330"/>
      <c r="F48" s="4"/>
      <c r="G48" s="4"/>
      <c r="H48" s="4"/>
      <c r="I48" s="4"/>
      <c r="J48" s="333"/>
      <c r="K48" s="330"/>
      <c r="M48" s="68"/>
      <c r="N48" s="45"/>
      <c r="O48" s="340"/>
      <c r="P48" s="329"/>
      <c r="Q48" s="329"/>
      <c r="R48" s="340"/>
      <c r="S48" s="329"/>
      <c r="T48" s="329"/>
      <c r="U48" s="59" t="s">
        <v>73</v>
      </c>
      <c r="V48" s="33">
        <f>X48/N19</f>
        <v>0.13333333333333333</v>
      </c>
      <c r="W48" s="59" t="s">
        <v>74</v>
      </c>
      <c r="X48" s="34">
        <f>SUM(X43:X47)</f>
        <v>600</v>
      </c>
      <c r="Y48" s="45"/>
      <c r="Z48" s="340"/>
      <c r="AA48" s="330"/>
    </row>
    <row r="49" spans="1:27" ht="14.25">
      <c r="A49" s="23"/>
      <c r="B49" s="6">
        <v>4</v>
      </c>
      <c r="C49" s="333"/>
      <c r="D49" s="329"/>
      <c r="E49" s="330"/>
      <c r="F49" s="4"/>
      <c r="G49" s="4"/>
      <c r="H49" s="4"/>
      <c r="I49" s="4"/>
      <c r="J49" s="333"/>
      <c r="K49" s="330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34"/>
      <c r="D50" s="338"/>
      <c r="E50" s="335"/>
      <c r="F50" s="27"/>
      <c r="G50" s="27"/>
      <c r="H50" s="27"/>
      <c r="I50" s="27"/>
      <c r="J50" s="334"/>
      <c r="K50" s="335"/>
      <c r="M50" s="64" t="s">
        <v>91</v>
      </c>
      <c r="N50" s="66"/>
      <c r="O50" s="66"/>
      <c r="P50" s="66"/>
      <c r="Q50" s="66"/>
      <c r="R50" s="66"/>
      <c r="S50" s="66"/>
      <c r="T50" s="66"/>
      <c r="U50" s="66"/>
      <c r="V50" s="65"/>
      <c r="W50" s="66"/>
      <c r="X50" s="66"/>
      <c r="Y50" s="66"/>
      <c r="Z50" s="66"/>
      <c r="AA50" s="66"/>
    </row>
    <row r="51" spans="1:27" ht="14.25">
      <c r="A51" s="23"/>
      <c r="B51" s="69" t="s">
        <v>68</v>
      </c>
      <c r="C51" s="336" t="s">
        <v>83</v>
      </c>
      <c r="D51" s="343"/>
      <c r="E51" s="337"/>
      <c r="F51" s="28">
        <v>18</v>
      </c>
      <c r="G51" s="28">
        <v>800</v>
      </c>
      <c r="H51" s="28">
        <v>44.44</v>
      </c>
      <c r="I51" s="28">
        <v>-15</v>
      </c>
      <c r="J51" s="336" t="s">
        <v>92</v>
      </c>
      <c r="K51" s="337"/>
      <c r="M51" s="8"/>
      <c r="N51" s="8" t="s">
        <v>93</v>
      </c>
      <c r="O51" s="339" t="s">
        <v>53</v>
      </c>
      <c r="P51" s="340"/>
      <c r="Q51" s="341"/>
      <c r="R51" s="345" t="s">
        <v>62</v>
      </c>
      <c r="S51" s="346"/>
      <c r="T51" s="347"/>
      <c r="U51" s="57" t="s">
        <v>63</v>
      </c>
      <c r="V51" s="39" t="s">
        <v>94</v>
      </c>
      <c r="W51" s="57" t="s">
        <v>95</v>
      </c>
      <c r="X51" s="8" t="s">
        <v>10</v>
      </c>
      <c r="Y51" s="339" t="s">
        <v>96</v>
      </c>
      <c r="Z51" s="340"/>
      <c r="AA51" s="341"/>
    </row>
    <row r="52" spans="1:27" ht="14.25">
      <c r="A52" s="23"/>
      <c r="B52" s="70" t="s">
        <v>72</v>
      </c>
      <c r="C52" s="333"/>
      <c r="D52" s="329"/>
      <c r="E52" s="330"/>
      <c r="F52" s="4"/>
      <c r="G52" s="4"/>
      <c r="H52" s="4"/>
      <c r="I52" s="4"/>
      <c r="J52" s="333"/>
      <c r="K52" s="330"/>
      <c r="M52" s="56" t="s">
        <v>48</v>
      </c>
      <c r="N52" s="24">
        <v>1</v>
      </c>
      <c r="O52" s="332" t="s">
        <v>83</v>
      </c>
      <c r="P52" s="329"/>
      <c r="Q52" s="330"/>
      <c r="R52" s="348" t="s">
        <v>88</v>
      </c>
      <c r="S52" s="349"/>
      <c r="T52" s="350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332" t="s">
        <v>97</v>
      </c>
      <c r="Z52" s="329"/>
      <c r="AA52" s="330"/>
    </row>
    <row r="53" spans="1:27" ht="14.25">
      <c r="A53" s="23"/>
      <c r="B53" s="70" t="s">
        <v>75</v>
      </c>
      <c r="C53" s="333"/>
      <c r="D53" s="329"/>
      <c r="E53" s="330"/>
      <c r="F53" s="4"/>
      <c r="G53" s="4"/>
      <c r="H53" s="4"/>
      <c r="I53" s="4"/>
      <c r="J53" s="333"/>
      <c r="K53" s="330"/>
      <c r="M53" s="25"/>
      <c r="N53" s="29">
        <v>2</v>
      </c>
      <c r="O53" s="334"/>
      <c r="P53" s="338"/>
      <c r="Q53" s="335"/>
      <c r="R53" s="334"/>
      <c r="S53" s="338"/>
      <c r="T53" s="335"/>
      <c r="U53" s="27"/>
      <c r="V53" s="30"/>
      <c r="W53" s="30"/>
      <c r="X53" s="41">
        <f>W53-V53</f>
        <v>0</v>
      </c>
      <c r="Y53" s="334"/>
      <c r="Z53" s="338"/>
      <c r="AA53" s="335"/>
    </row>
    <row r="54" spans="1:27" ht="14.25">
      <c r="A54" s="23"/>
      <c r="B54" s="70" t="s">
        <v>79</v>
      </c>
      <c r="C54" s="333"/>
      <c r="D54" s="329"/>
      <c r="E54" s="330"/>
      <c r="F54" s="4"/>
      <c r="G54" s="4"/>
      <c r="H54" s="4"/>
      <c r="I54" s="4"/>
      <c r="J54" s="333"/>
      <c r="K54" s="330"/>
      <c r="M54" s="56" t="s">
        <v>49</v>
      </c>
      <c r="N54" s="42">
        <v>1</v>
      </c>
      <c r="O54" s="336" t="s">
        <v>98</v>
      </c>
      <c r="P54" s="343"/>
      <c r="Q54" s="337"/>
      <c r="R54" s="336" t="s">
        <v>99</v>
      </c>
      <c r="S54" s="343"/>
      <c r="T54" s="337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336" t="s">
        <v>100</v>
      </c>
      <c r="Z54" s="343"/>
      <c r="AA54" s="337"/>
    </row>
    <row r="55" spans="1:27" ht="14.25">
      <c r="A55" s="20"/>
      <c r="B55" s="70" t="s">
        <v>80</v>
      </c>
      <c r="C55" s="333"/>
      <c r="D55" s="329"/>
      <c r="E55" s="330"/>
      <c r="F55" s="4"/>
      <c r="G55" s="4"/>
      <c r="H55" s="4"/>
      <c r="I55" s="4"/>
      <c r="J55" s="333"/>
      <c r="K55" s="330"/>
      <c r="M55" s="22"/>
      <c r="N55" s="24">
        <v>2</v>
      </c>
      <c r="O55" s="333"/>
      <c r="P55" s="329"/>
      <c r="Q55" s="330"/>
      <c r="R55" s="333"/>
      <c r="S55" s="329"/>
      <c r="T55" s="330"/>
      <c r="U55" s="4"/>
      <c r="V55" s="14"/>
      <c r="W55" s="14"/>
      <c r="X55" s="13">
        <f>W55-V55</f>
        <v>0</v>
      </c>
      <c r="Y55" s="333"/>
      <c r="Z55" s="329"/>
      <c r="AA55" s="330"/>
    </row>
  </sheetData>
  <mergeCells count="162"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</mergeCells>
  <phoneticPr fontId="9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outlinePr summaryBelow="0" summaryRight="0"/>
  </sheetPr>
  <dimension ref="A1:L38"/>
  <sheetViews>
    <sheetView zoomScale="90" zoomScaleNormal="90" zoomScaleSheetLayoutView="115" workbookViewId="0">
      <selection activeCell="H7" sqref="H7"/>
    </sheetView>
  </sheetViews>
  <sheetFormatPr defaultColWidth="12.5703125" defaultRowHeight="15.75" customHeight="1"/>
  <cols>
    <col min="1" max="1" width="27.42578125" style="115" bestFit="1" customWidth="1"/>
    <col min="2" max="2" width="12.5703125" style="115" customWidth="1"/>
    <col min="3" max="4" width="12.5703125" style="115"/>
    <col min="5" max="5" width="16.42578125" style="115" customWidth="1"/>
    <col min="6" max="6" width="2.42578125" style="115" customWidth="1"/>
    <col min="7" max="7" width="24.85546875" style="115" bestFit="1" customWidth="1"/>
    <col min="8" max="10" width="12.5703125" style="115"/>
    <col min="11" max="11" width="16.42578125" style="115" customWidth="1"/>
    <col min="12" max="12" width="12.5703125" style="116"/>
    <col min="13" max="16384" width="12.5703125" style="115"/>
  </cols>
  <sheetData>
    <row r="1" spans="1:12" ht="15.75" customHeight="1">
      <c r="A1" s="355" t="s">
        <v>101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115"/>
    </row>
    <row r="2" spans="1:12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</row>
    <row r="3" spans="1:12" ht="21.6" customHeight="1">
      <c r="A3" s="129" t="s">
        <v>0</v>
      </c>
      <c r="B3" s="130">
        <v>9</v>
      </c>
      <c r="C3" s="129" t="s">
        <v>102</v>
      </c>
      <c r="D3" s="356" t="s">
        <v>103</v>
      </c>
      <c r="E3" s="356"/>
      <c r="F3" s="116"/>
      <c r="G3" s="124"/>
      <c r="H3" s="116"/>
      <c r="I3" s="116"/>
      <c r="J3" s="116"/>
      <c r="K3" s="116"/>
    </row>
    <row r="4" spans="1:12" ht="15.75" customHeight="1">
      <c r="A4" s="125" t="s">
        <v>104</v>
      </c>
      <c r="E4" s="118" t="s">
        <v>4</v>
      </c>
      <c r="G4" s="126" t="s">
        <v>5</v>
      </c>
      <c r="L4" s="115"/>
    </row>
    <row r="5" spans="1:12" s="120" customFormat="1" ht="15.75" customHeight="1">
      <c r="A5" s="136" t="s">
        <v>105</v>
      </c>
      <c r="B5" s="131" t="s">
        <v>8</v>
      </c>
      <c r="C5" s="131" t="s">
        <v>9</v>
      </c>
      <c r="D5" s="131" t="s">
        <v>10</v>
      </c>
      <c r="E5" s="131" t="s">
        <v>11</v>
      </c>
      <c r="G5" s="136" t="s">
        <v>105</v>
      </c>
      <c r="H5" s="131" t="s">
        <v>12</v>
      </c>
      <c r="I5" s="131" t="s">
        <v>8</v>
      </c>
      <c r="J5" s="131" t="s">
        <v>13</v>
      </c>
      <c r="K5" s="131" t="s">
        <v>11</v>
      </c>
      <c r="L5" s="121" t="s">
        <v>14</v>
      </c>
    </row>
    <row r="6" spans="1:12" ht="18" customHeight="1">
      <c r="A6" s="123" t="s">
        <v>17</v>
      </c>
      <c r="B6" s="132">
        <f>'（１）收支狀況'!H5/1000</f>
        <v>214950.446</v>
      </c>
      <c r="C6" s="230">
        <v>212376.15</v>
      </c>
      <c r="D6" s="132">
        <f t="shared" ref="D6:D11" si="0">B6-C6</f>
        <v>2574.2960000000021</v>
      </c>
      <c r="E6" s="132">
        <f t="shared" ref="E6:E11" si="1">B6</f>
        <v>214950.446</v>
      </c>
      <c r="G6" s="123" t="s">
        <v>106</v>
      </c>
      <c r="H6" s="233">
        <v>366</v>
      </c>
      <c r="I6" s="134">
        <f>'（２）ＫＰＩ達成進度'!H5</f>
        <v>330.69214552972534</v>
      </c>
      <c r="J6" s="236">
        <v>331.32088360675885</v>
      </c>
      <c r="K6" s="134">
        <f t="shared" ref="K6:K11" si="2">I6</f>
        <v>330.69214552972534</v>
      </c>
      <c r="L6" s="117" t="s">
        <v>107</v>
      </c>
    </row>
    <row r="7" spans="1:12" ht="18" customHeight="1">
      <c r="A7" s="123" t="s">
        <v>21</v>
      </c>
      <c r="B7" s="132">
        <f>'（４）訂單數量構成比'!H7</f>
        <v>6718847</v>
      </c>
      <c r="C7" s="230">
        <v>6558055</v>
      </c>
      <c r="D7" s="132">
        <f t="shared" si="0"/>
        <v>160792</v>
      </c>
      <c r="E7" s="132">
        <f t="shared" si="1"/>
        <v>6718847</v>
      </c>
      <c r="G7" s="123" t="s">
        <v>108</v>
      </c>
      <c r="H7" s="220">
        <v>0.8</v>
      </c>
      <c r="I7" s="133">
        <f>'（２）ＫＰＩ達成進度'!K5</f>
        <v>0.90353045226700912</v>
      </c>
      <c r="J7" s="231">
        <v>0.90524831586546117</v>
      </c>
      <c r="K7" s="133">
        <f t="shared" si="2"/>
        <v>0.90353045226700912</v>
      </c>
      <c r="L7" s="117" t="s">
        <v>23</v>
      </c>
    </row>
    <row r="8" spans="1:12" ht="18" customHeight="1">
      <c r="A8" s="123" t="s">
        <v>25</v>
      </c>
      <c r="B8" s="132">
        <f>'（１）收支狀況'!N5/1000</f>
        <v>143048.94399999999</v>
      </c>
      <c r="C8" s="230">
        <v>139088.163</v>
      </c>
      <c r="D8" s="132">
        <f>B8-C8</f>
        <v>3960.7809999999881</v>
      </c>
      <c r="E8" s="132">
        <f t="shared" si="1"/>
        <v>143048.94399999999</v>
      </c>
      <c r="G8" s="123" t="s">
        <v>109</v>
      </c>
      <c r="H8" s="217">
        <v>2.5000000000000001E-3</v>
      </c>
      <c r="I8" s="217">
        <f>'（２）ＫＰＩ達成進度'!N5</f>
        <v>2.4902513354862249E-3</v>
      </c>
      <c r="J8" s="237">
        <v>2.4946244239327812E-3</v>
      </c>
      <c r="K8" s="217">
        <f t="shared" si="2"/>
        <v>2.4902513354862249E-3</v>
      </c>
      <c r="L8" s="117" t="s">
        <v>27</v>
      </c>
    </row>
    <row r="9" spans="1:12" ht="18" customHeight="1">
      <c r="A9" s="123" t="s">
        <v>29</v>
      </c>
      <c r="B9" s="133">
        <f>'（１）收支狀況'!Q5</f>
        <v>0.66549731187810612</v>
      </c>
      <c r="C9" s="231">
        <v>0.6549142311883891</v>
      </c>
      <c r="D9" s="133">
        <f t="shared" si="0"/>
        <v>1.0583080689717028E-2</v>
      </c>
      <c r="E9" s="133">
        <f t="shared" si="1"/>
        <v>0.66549731187810612</v>
      </c>
      <c r="G9" s="123" t="s">
        <v>110</v>
      </c>
      <c r="H9" s="217">
        <v>2.5999999999999999E-3</v>
      </c>
      <c r="I9" s="217">
        <f>'（２）ＫＰＩ達成進度'!Q5</f>
        <v>2.4983099408011733E-3</v>
      </c>
      <c r="J9" s="237">
        <v>2.3789152192140828E-3</v>
      </c>
      <c r="K9" s="217">
        <f t="shared" si="2"/>
        <v>2.4983099408011733E-3</v>
      </c>
      <c r="L9" s="117" t="s">
        <v>31</v>
      </c>
    </row>
    <row r="10" spans="1:12" ht="18" customHeight="1">
      <c r="A10" s="123" t="s">
        <v>33</v>
      </c>
      <c r="B10" s="132">
        <f>'（１）收支狀況'!T5/1000</f>
        <v>30228.426976666669</v>
      </c>
      <c r="C10" s="230">
        <v>30146.176500666668</v>
      </c>
      <c r="D10" s="132">
        <f t="shared" si="0"/>
        <v>82.250476000001072</v>
      </c>
      <c r="E10" s="132">
        <f t="shared" si="1"/>
        <v>30228.426976666669</v>
      </c>
      <c r="G10" s="123" t="s">
        <v>111</v>
      </c>
      <c r="H10" s="218">
        <v>0.8</v>
      </c>
      <c r="I10" s="218">
        <f>'（２）ＫＰＩ達成進度'!T5</f>
        <v>0.91666666666666707</v>
      </c>
      <c r="J10" s="238">
        <v>0.91666666666666707</v>
      </c>
      <c r="K10" s="218">
        <f t="shared" si="2"/>
        <v>0.91666666666666707</v>
      </c>
      <c r="L10" s="117" t="s">
        <v>35</v>
      </c>
    </row>
    <row r="11" spans="1:12" ht="18" customHeight="1">
      <c r="A11" s="123" t="s">
        <v>39</v>
      </c>
      <c r="B11" s="133">
        <f>'（１）收支狀況'!W5</f>
        <v>0.14062974764270397</v>
      </c>
      <c r="C11" s="231">
        <v>0.14194709010718326</v>
      </c>
      <c r="D11" s="133">
        <f t="shared" si="0"/>
        <v>-1.3173424644792875E-3</v>
      </c>
      <c r="E11" s="133">
        <f t="shared" si="1"/>
        <v>0.14062974764270397</v>
      </c>
      <c r="G11" s="123" t="s">
        <v>112</v>
      </c>
      <c r="H11" s="218">
        <v>1</v>
      </c>
      <c r="I11" s="133">
        <f>'（２）ＫＰＩ達成進度'!W5</f>
        <v>0.76729999999999987</v>
      </c>
      <c r="J11" s="231">
        <v>0.67912903225806442</v>
      </c>
      <c r="K11" s="133">
        <f t="shared" si="2"/>
        <v>0.76729999999999987</v>
      </c>
      <c r="L11" s="117" t="s">
        <v>41</v>
      </c>
    </row>
    <row r="12" spans="1:12" ht="9.6" customHeight="1">
      <c r="L12" s="115"/>
    </row>
    <row r="13" spans="1:12" ht="15.75" customHeight="1">
      <c r="A13" s="125" t="s">
        <v>6</v>
      </c>
      <c r="G13" s="125" t="s">
        <v>7</v>
      </c>
      <c r="L13" s="115"/>
    </row>
    <row r="14" spans="1:12" s="122" customFormat="1" ht="12">
      <c r="A14" s="135"/>
      <c r="B14" s="135" t="s">
        <v>8</v>
      </c>
      <c r="C14" s="135" t="s">
        <v>15</v>
      </c>
      <c r="D14" s="135" t="s">
        <v>13</v>
      </c>
      <c r="E14" s="135" t="s">
        <v>16</v>
      </c>
      <c r="G14" s="135"/>
      <c r="H14" s="135" t="s">
        <v>8</v>
      </c>
      <c r="I14" s="135" t="s">
        <v>15</v>
      </c>
      <c r="J14" s="135" t="s">
        <v>13</v>
      </c>
      <c r="K14" s="135" t="s">
        <v>16</v>
      </c>
    </row>
    <row r="15" spans="1:12" ht="18" customHeight="1">
      <c r="A15" s="123" t="s">
        <v>113</v>
      </c>
      <c r="B15" s="132">
        <f>'（３）業績構成比'!M46/1000</f>
        <v>46595.405701115604</v>
      </c>
      <c r="C15" s="133">
        <f>IFERROR(B15/$B$6,"")</f>
        <v>0.21677277981137849</v>
      </c>
      <c r="D15" s="231">
        <v>0.19048549479871965</v>
      </c>
      <c r="E15" s="133">
        <f>IFERROR(C15-D15,"")</f>
        <v>2.628728501265884E-2</v>
      </c>
      <c r="G15" s="123" t="s">
        <v>114</v>
      </c>
      <c r="H15" s="132">
        <f>'（４）訂單數量構成比'!M46</f>
        <v>2422911</v>
      </c>
      <c r="I15" s="133">
        <f t="shared" ref="I15:I23" si="3">IFERROR(H15/$B$7,"")</f>
        <v>0.36061410536659044</v>
      </c>
      <c r="J15" s="231">
        <v>0.3319345446172684</v>
      </c>
      <c r="K15" s="133">
        <f t="shared" ref="K15:K23" si="4">IFERROR(I15-J15,"")</f>
        <v>2.8679560749322042E-2</v>
      </c>
      <c r="L15" s="115"/>
    </row>
    <row r="16" spans="1:12" ht="18" customHeight="1">
      <c r="A16" s="123" t="s">
        <v>115</v>
      </c>
      <c r="B16" s="132">
        <f>'（３）業績構成比'!S46/1000</f>
        <v>7790.6950890086327</v>
      </c>
      <c r="C16" s="133">
        <f t="shared" ref="C16:C23" si="5">IFERROR(B16/$B$6,"")</f>
        <v>3.6244144797022815E-2</v>
      </c>
      <c r="D16" s="231">
        <v>4.0020750239819727E-2</v>
      </c>
      <c r="E16" s="133">
        <f t="shared" ref="E16:E23" si="6">IFERROR(C16-D16,"")</f>
        <v>-3.7766054427969126E-3</v>
      </c>
      <c r="G16" s="123" t="s">
        <v>115</v>
      </c>
      <c r="H16" s="132">
        <f>'（４）訂單數量構成比'!S47</f>
        <v>308052</v>
      </c>
      <c r="I16" s="133">
        <f t="shared" si="3"/>
        <v>4.5848938069284806E-2</v>
      </c>
      <c r="J16" s="231">
        <v>5.0408543386720607E-2</v>
      </c>
      <c r="K16" s="133">
        <f t="shared" si="4"/>
        <v>-4.5596053174358012E-3</v>
      </c>
      <c r="L16" s="115"/>
    </row>
    <row r="17" spans="1:12" ht="18" customHeight="1">
      <c r="A17" s="123" t="s">
        <v>116</v>
      </c>
      <c r="B17" s="132">
        <f>'（３）業績構成比'!U46/1000</f>
        <v>18799.98389068653</v>
      </c>
      <c r="C17" s="133">
        <f t="shared" si="5"/>
        <v>8.7461944092391095E-2</v>
      </c>
      <c r="D17" s="231">
        <v>9.8025494354577192E-2</v>
      </c>
      <c r="E17" s="133">
        <f t="shared" si="6"/>
        <v>-1.0563550262186097E-2</v>
      </c>
      <c r="G17" s="123" t="s">
        <v>117</v>
      </c>
      <c r="H17" s="132">
        <f>'（４）訂單數量構成比'!U46</f>
        <v>574632</v>
      </c>
      <c r="I17" s="133">
        <f t="shared" si="3"/>
        <v>8.5525388507879399E-2</v>
      </c>
      <c r="J17" s="231">
        <v>9.7549349616616515E-2</v>
      </c>
      <c r="K17" s="133">
        <f t="shared" si="4"/>
        <v>-1.2023961108737116E-2</v>
      </c>
      <c r="L17" s="115"/>
    </row>
    <row r="18" spans="1:12" ht="18" customHeight="1">
      <c r="A18" s="123" t="s">
        <v>118</v>
      </c>
      <c r="B18" s="132">
        <f>'（３）業績構成比'!W46/1000</f>
        <v>395.54576770883529</v>
      </c>
      <c r="C18" s="133">
        <f t="shared" si="5"/>
        <v>1.8401718864488204E-3</v>
      </c>
      <c r="D18" s="231">
        <v>2.3157870783418926E-3</v>
      </c>
      <c r="E18" s="133">
        <f t="shared" si="6"/>
        <v>-4.7561519189307216E-4</v>
      </c>
      <c r="G18" s="123" t="s">
        <v>119</v>
      </c>
      <c r="H18" s="132">
        <f>'（４）訂單數量構成比'!W46</f>
        <v>14916</v>
      </c>
      <c r="I18" s="133">
        <f t="shared" si="3"/>
        <v>2.2200237630057656E-3</v>
      </c>
      <c r="J18" s="231">
        <v>2.7738407195426083E-3</v>
      </c>
      <c r="K18" s="133">
        <f t="shared" si="4"/>
        <v>-5.5381695653684273E-4</v>
      </c>
      <c r="L18" s="115"/>
    </row>
    <row r="19" spans="1:12" ht="18" customHeight="1">
      <c r="A19" s="123" t="s">
        <v>120</v>
      </c>
      <c r="B19" s="132">
        <f>'（３）業績構成比'!AC46/1000</f>
        <v>53640.655499814828</v>
      </c>
      <c r="C19" s="133">
        <f t="shared" si="5"/>
        <v>0.24954893789713201</v>
      </c>
      <c r="D19" s="231">
        <v>0.26645165188277636</v>
      </c>
      <c r="E19" s="133">
        <f t="shared" si="6"/>
        <v>-1.6902713985644358E-2</v>
      </c>
      <c r="G19" s="123" t="s">
        <v>121</v>
      </c>
      <c r="H19" s="132">
        <f>'（４）訂單數量構成比'!AC46</f>
        <v>1318893</v>
      </c>
      <c r="I19" s="133">
        <f t="shared" si="3"/>
        <v>0.19629751949999755</v>
      </c>
      <c r="J19" s="231">
        <v>0.2096606387107153</v>
      </c>
      <c r="K19" s="133">
        <f t="shared" si="4"/>
        <v>-1.3363119210717755E-2</v>
      </c>
      <c r="L19" s="115"/>
    </row>
    <row r="20" spans="1:12" ht="18" customHeight="1">
      <c r="A20" s="123" t="s">
        <v>122</v>
      </c>
      <c r="B20" s="132">
        <f>'（３）業績構成比'!AE46/1000</f>
        <v>23966.440306284894</v>
      </c>
      <c r="C20" s="133">
        <f t="shared" si="5"/>
        <v>0.11149751373991053</v>
      </c>
      <c r="D20" s="231">
        <v>0.11880394760612771</v>
      </c>
      <c r="E20" s="133">
        <f t="shared" si="6"/>
        <v>-7.3064338662171824E-3</v>
      </c>
      <c r="G20" s="123" t="s">
        <v>123</v>
      </c>
      <c r="H20" s="132">
        <f>'（４）訂單數量構成比'!AE46</f>
        <v>432423</v>
      </c>
      <c r="I20" s="133">
        <f t="shared" si="3"/>
        <v>6.4359703383631145E-2</v>
      </c>
      <c r="J20" s="231">
        <v>6.9473342324820386E-2</v>
      </c>
      <c r="K20" s="133">
        <f t="shared" si="4"/>
        <v>-5.1136389411892413E-3</v>
      </c>
      <c r="L20" s="115"/>
    </row>
    <row r="21" spans="1:12" ht="18" customHeight="1">
      <c r="A21" s="123" t="s">
        <v>124</v>
      </c>
      <c r="B21" s="132">
        <f>'（３）業績構成比'!AG46/1000</f>
        <v>32518.381096114874</v>
      </c>
      <c r="C21" s="133">
        <f>IFERROR(B21/$B$6,"")</f>
        <v>0.15128315247187193</v>
      </c>
      <c r="D21" s="231">
        <v>0.13107603010243102</v>
      </c>
      <c r="E21" s="133">
        <f>IFERROR(C21-D21,"")</f>
        <v>2.0207122369440916E-2</v>
      </c>
      <c r="G21" s="123" t="s">
        <v>125</v>
      </c>
      <c r="H21" s="132">
        <f>'（４）訂單數量構成比'!AG46</f>
        <v>664479</v>
      </c>
      <c r="I21" s="133">
        <f>IFERROR(H21/$B$7,"")</f>
        <v>9.8897772192163322E-2</v>
      </c>
      <c r="J21" s="231">
        <v>8.7948484726035392E-2</v>
      </c>
      <c r="K21" s="133">
        <f>IFERROR(I21-J21,"")</f>
        <v>1.094928746612793E-2</v>
      </c>
      <c r="L21" s="115"/>
    </row>
    <row r="22" spans="1:12" ht="18" customHeight="1">
      <c r="A22" s="123" t="s">
        <v>126</v>
      </c>
      <c r="B22" s="132">
        <f>'（３）業績構成比'!AI46/1000</f>
        <v>17756.916135957199</v>
      </c>
      <c r="C22" s="133">
        <f t="shared" si="5"/>
        <v>8.2609347718949136E-2</v>
      </c>
      <c r="D22" s="231">
        <v>9.1535407774179067E-2</v>
      </c>
      <c r="E22" s="133">
        <f t="shared" si="6"/>
        <v>-8.9260600552299313E-3</v>
      </c>
      <c r="G22" s="123" t="s">
        <v>127</v>
      </c>
      <c r="H22" s="132">
        <f>'（４）訂單數量構成比'!AI46</f>
        <v>483623</v>
      </c>
      <c r="I22" s="133">
        <f t="shared" si="3"/>
        <v>7.1980058483248691E-2</v>
      </c>
      <c r="J22" s="231">
        <v>7.9981640898101641E-2</v>
      </c>
      <c r="K22" s="133">
        <f t="shared" si="4"/>
        <v>-8.0015824148529507E-3</v>
      </c>
      <c r="L22" s="115"/>
    </row>
    <row r="23" spans="1:12" ht="18" customHeight="1">
      <c r="A23" s="123" t="s">
        <v>128</v>
      </c>
      <c r="B23" s="132">
        <f>'（３）業績構成比'!AK46/1000</f>
        <v>13486.422513308617</v>
      </c>
      <c r="C23" s="133">
        <f t="shared" si="5"/>
        <v>6.2742007584895246E-2</v>
      </c>
      <c r="D23" s="231">
        <v>6.1285436163027458E-2</v>
      </c>
      <c r="E23" s="133">
        <f t="shared" si="6"/>
        <v>1.4565714218677875E-3</v>
      </c>
      <c r="G23" s="123" t="s">
        <v>129</v>
      </c>
      <c r="H23" s="132">
        <f>'（４）訂單數量構成比'!AK46</f>
        <v>498918</v>
      </c>
      <c r="I23" s="133">
        <f t="shared" si="3"/>
        <v>7.4256490734198891E-2</v>
      </c>
      <c r="J23" s="231">
        <v>7.026961500017917E-2</v>
      </c>
      <c r="K23" s="133">
        <f t="shared" si="4"/>
        <v>3.9868757340197208E-3</v>
      </c>
      <c r="L23" s="115"/>
    </row>
    <row r="24" spans="1:12" ht="15.75" customHeight="1">
      <c r="C24" s="127">
        <f>SUM(C15:C23)</f>
        <v>1.0000000000000002</v>
      </c>
      <c r="D24" s="127">
        <f>SUM(D15:D23)</f>
        <v>1</v>
      </c>
      <c r="I24" s="127">
        <f>SUM(I15:I23)</f>
        <v>1</v>
      </c>
      <c r="J24" s="127">
        <f>SUM(J15:J23)</f>
        <v>1.0000000000000002</v>
      </c>
      <c r="L24" s="115"/>
    </row>
    <row r="25" spans="1:12" ht="9.6" customHeight="1">
      <c r="A25" s="128"/>
      <c r="L25" s="115"/>
    </row>
    <row r="26" spans="1:12" ht="15.75" customHeight="1">
      <c r="A26" s="125" t="s">
        <v>130</v>
      </c>
      <c r="L26" s="115"/>
    </row>
    <row r="27" spans="1:12" ht="15.75" customHeight="1">
      <c r="A27" s="123" t="s">
        <v>131</v>
      </c>
      <c r="B27" s="123" t="s">
        <v>8</v>
      </c>
      <c r="C27" s="123" t="s">
        <v>9</v>
      </c>
      <c r="D27" s="123" t="s">
        <v>10</v>
      </c>
      <c r="E27" s="123" t="s">
        <v>11</v>
      </c>
      <c r="L27" s="115"/>
    </row>
    <row r="28" spans="1:12" ht="18" customHeight="1">
      <c r="A28" s="123" t="s">
        <v>114</v>
      </c>
      <c r="B28" s="232">
        <f>'（５-1）品群別人時生產性（18℃-飯糰）'!$C$1</f>
        <v>715.79668386678588</v>
      </c>
      <c r="C28" s="249">
        <v>717.52753492795955</v>
      </c>
      <c r="D28" s="212">
        <f t="shared" ref="D28:D36" si="7">B28-C28</f>
        <v>-1.7308510611736665</v>
      </c>
      <c r="E28" s="232">
        <f>R28</f>
        <v>0</v>
      </c>
      <c r="G28" s="137"/>
      <c r="H28" s="137"/>
      <c r="I28" s="137"/>
      <c r="L28" s="115"/>
    </row>
    <row r="29" spans="1:12" ht="18" customHeight="1">
      <c r="A29" s="123" t="s">
        <v>132</v>
      </c>
      <c r="B29" s="232">
        <f>'（５-2）品群別人時生產性（18-壽司手卷)'!$C$1</f>
        <v>205.53713152186845</v>
      </c>
      <c r="C29" s="249">
        <v>197.63271688630809</v>
      </c>
      <c r="D29" s="212">
        <f t="shared" si="7"/>
        <v>7.9044146355603573</v>
      </c>
      <c r="E29" s="232">
        <f t="shared" ref="E29:E36" si="8">R29</f>
        <v>0</v>
      </c>
      <c r="G29" s="138"/>
      <c r="H29" s="138"/>
      <c r="I29" s="138"/>
      <c r="L29" s="115"/>
    </row>
    <row r="30" spans="1:12" ht="18" customHeight="1">
      <c r="A30" s="123" t="s">
        <v>117</v>
      </c>
      <c r="B30" s="232">
        <f>'（５-3）品群別人時生產性（4℃-飯糰)'!$C$1</f>
        <v>252.79277117046172</v>
      </c>
      <c r="C30" s="249">
        <v>240.45857137830325</v>
      </c>
      <c r="D30" s="212">
        <f t="shared" si="7"/>
        <v>12.334199792158472</v>
      </c>
      <c r="E30" s="232">
        <f t="shared" si="8"/>
        <v>0</v>
      </c>
      <c r="L30" s="115"/>
    </row>
    <row r="31" spans="1:12" ht="18" customHeight="1">
      <c r="A31" s="123" t="s">
        <v>119</v>
      </c>
      <c r="B31" s="232">
        <f>'（５-4）品群別人時生產性（4℃-壽司手卷)'!$C$1</f>
        <v>109.37945387945386</v>
      </c>
      <c r="C31" s="249">
        <v>106.86512290813759</v>
      </c>
      <c r="D31" s="212">
        <f t="shared" si="7"/>
        <v>2.5143309713162694</v>
      </c>
      <c r="E31" s="232">
        <f t="shared" si="8"/>
        <v>0</v>
      </c>
      <c r="L31" s="115"/>
    </row>
    <row r="32" spans="1:12" ht="18" customHeight="1">
      <c r="A32" s="123" t="s">
        <v>121</v>
      </c>
      <c r="B32" s="232">
        <f>'（５-5）品群別人時生產性(主食) '!$C$1</f>
        <v>89.000698412187703</v>
      </c>
      <c r="C32" s="249">
        <v>89.310428404733287</v>
      </c>
      <c r="D32" s="212">
        <f t="shared" si="7"/>
        <v>-0.30972999254558431</v>
      </c>
      <c r="E32" s="232">
        <f t="shared" si="8"/>
        <v>0</v>
      </c>
      <c r="L32" s="115"/>
    </row>
    <row r="33" spans="1:12" ht="18" customHeight="1">
      <c r="A33" s="123" t="s">
        <v>123</v>
      </c>
      <c r="B33" s="232">
        <f>'（５-6）品群別人時生產性(便當)'!$C$1</f>
        <v>67.441398667040502</v>
      </c>
      <c r="C33" s="249">
        <v>65.67274245927976</v>
      </c>
      <c r="D33" s="212">
        <f t="shared" si="7"/>
        <v>1.7686562077607419</v>
      </c>
      <c r="E33" s="232">
        <f t="shared" si="8"/>
        <v>0</v>
      </c>
      <c r="L33" s="115"/>
    </row>
    <row r="34" spans="1:12" ht="18" customHeight="1">
      <c r="A34" s="123" t="s">
        <v>125</v>
      </c>
      <c r="B34" s="232">
        <f>'（５-7）品群別人時生產性(熱食義麵) '!$C$1</f>
        <v>85.187632176465982</v>
      </c>
      <c r="C34" s="249">
        <v>75.478569021952779</v>
      </c>
      <c r="D34" s="212">
        <f t="shared" si="7"/>
        <v>9.7090631545132027</v>
      </c>
      <c r="E34" s="232">
        <f t="shared" si="8"/>
        <v>0</v>
      </c>
      <c r="L34" s="115"/>
    </row>
    <row r="35" spans="1:12" ht="18" customHeight="1">
      <c r="A35" s="123" t="s">
        <v>127</v>
      </c>
      <c r="B35" s="232">
        <f>'（５-8）品群別人時生產性(季節調理麵) '!$C$1</f>
        <v>117.44063187806404</v>
      </c>
      <c r="C35" s="249">
        <v>114.50557202660302</v>
      </c>
      <c r="D35" s="212">
        <f t="shared" si="7"/>
        <v>2.9350598514610198</v>
      </c>
      <c r="E35" s="232">
        <f t="shared" si="8"/>
        <v>0</v>
      </c>
      <c r="L35" s="115"/>
    </row>
    <row r="36" spans="1:12" ht="18" customHeight="1">
      <c r="A36" s="119" t="s">
        <v>129</v>
      </c>
      <c r="B36" s="232">
        <f>'（５-9）品群別人時生產性(微波小吃)'!$C$1</f>
        <v>111.67402265160882</v>
      </c>
      <c r="C36" s="249">
        <v>99.648342041865732</v>
      </c>
      <c r="D36" s="212">
        <f t="shared" si="7"/>
        <v>12.025680609743091</v>
      </c>
      <c r="E36" s="232">
        <f t="shared" si="8"/>
        <v>0</v>
      </c>
      <c r="L36" s="115"/>
    </row>
    <row r="37" spans="1:12" ht="15.75" customHeight="1">
      <c r="L37" s="115"/>
    </row>
    <row r="38" spans="1:12" ht="15.75" customHeight="1">
      <c r="L38" s="115"/>
    </row>
  </sheetData>
  <mergeCells count="2">
    <mergeCell ref="A1:K2"/>
    <mergeCell ref="D3:E3"/>
  </mergeCells>
  <phoneticPr fontId="12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bottomRight" activeCell="I5" sqref="I5:I34"/>
      <selection pane="bottomLeft" activeCell="A5" sqref="A5"/>
      <selection pane="topRight" activeCell="F1" sqref="F1"/>
    </sheetView>
  </sheetViews>
  <sheetFormatPr defaultColWidth="8.85546875" defaultRowHeight="12"/>
  <cols>
    <col min="1" max="1" width="8.85546875" style="75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19.5703125" style="83" customWidth="1"/>
    <col min="9" max="13" width="19.5703125" style="84" customWidth="1"/>
    <col min="14" max="14" width="19.5703125" style="85" customWidth="1"/>
    <col min="15" max="17" width="19.5703125" style="86" customWidth="1"/>
    <col min="18" max="20" width="19.5703125" style="85" customWidth="1"/>
    <col min="21" max="21" width="19.5703125" style="86" customWidth="1"/>
    <col min="22" max="23" width="19.5703125" style="75" customWidth="1"/>
    <col min="24" max="16384" width="8.85546875" style="75"/>
  </cols>
  <sheetData>
    <row r="2" spans="2:23" ht="38.1" customHeight="1">
      <c r="B2" s="359" t="s">
        <v>133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</row>
    <row r="3" spans="2:23" s="78" customFormat="1" ht="23.45" customHeight="1">
      <c r="B3" s="79"/>
      <c r="C3" s="363" t="s">
        <v>134</v>
      </c>
      <c r="D3" s="364" t="s">
        <v>135</v>
      </c>
      <c r="E3" s="364"/>
      <c r="F3" s="362" t="s">
        <v>136</v>
      </c>
      <c r="G3" s="362"/>
      <c r="H3" s="362"/>
      <c r="I3" s="360" t="s">
        <v>137</v>
      </c>
      <c r="J3" s="360"/>
      <c r="K3" s="360"/>
      <c r="L3" s="361" t="s">
        <v>138</v>
      </c>
      <c r="M3" s="361"/>
      <c r="N3" s="361"/>
      <c r="O3" s="358" t="s">
        <v>139</v>
      </c>
      <c r="P3" s="358"/>
      <c r="Q3" s="358"/>
      <c r="R3" s="365" t="s">
        <v>140</v>
      </c>
      <c r="S3" s="365"/>
      <c r="T3" s="365"/>
      <c r="U3" s="358" t="s">
        <v>141</v>
      </c>
      <c r="V3" s="358"/>
      <c r="W3" s="358"/>
    </row>
    <row r="4" spans="2:23" s="78" customFormat="1" ht="23.45" customHeight="1">
      <c r="B4" s="79"/>
      <c r="C4" s="363"/>
      <c r="D4" s="364"/>
      <c r="E4" s="364"/>
      <c r="F4" s="76" t="s">
        <v>142</v>
      </c>
      <c r="G4" s="76" t="s">
        <v>143</v>
      </c>
      <c r="H4" s="76" t="s">
        <v>144</v>
      </c>
      <c r="I4" s="88" t="s">
        <v>142</v>
      </c>
      <c r="J4" s="88" t="s">
        <v>143</v>
      </c>
      <c r="K4" s="88" t="s">
        <v>144</v>
      </c>
      <c r="L4" s="87" t="s">
        <v>142</v>
      </c>
      <c r="M4" s="87" t="s">
        <v>143</v>
      </c>
      <c r="N4" s="87" t="s">
        <v>144</v>
      </c>
      <c r="O4" s="81" t="s">
        <v>142</v>
      </c>
      <c r="P4" s="81" t="s">
        <v>143</v>
      </c>
      <c r="Q4" s="244" t="s">
        <v>145</v>
      </c>
      <c r="R4" s="81" t="s">
        <v>142</v>
      </c>
      <c r="S4" s="81" t="s">
        <v>143</v>
      </c>
      <c r="T4" s="81" t="s">
        <v>144</v>
      </c>
      <c r="U4" s="81" t="s">
        <v>142</v>
      </c>
      <c r="V4" s="81" t="s">
        <v>143</v>
      </c>
      <c r="W4" s="244" t="s">
        <v>145</v>
      </c>
    </row>
    <row r="5" spans="2:23">
      <c r="B5" s="79"/>
      <c r="C5" s="357" t="s">
        <v>146</v>
      </c>
      <c r="D5" s="243">
        <v>45901</v>
      </c>
      <c r="E5" s="243" t="s">
        <v>147</v>
      </c>
      <c r="F5" s="200">
        <v>7106225</v>
      </c>
      <c r="G5" s="241">
        <f>SUM(F5)</f>
        <v>7106225</v>
      </c>
      <c r="H5" s="367">
        <f>SUM(F5:F34)</f>
        <v>214950446</v>
      </c>
      <c r="I5" s="322">
        <v>222309</v>
      </c>
      <c r="J5" s="84">
        <f>SUM(I5)</f>
        <v>222309</v>
      </c>
      <c r="K5" s="368">
        <f>SUM(I5:I34)</f>
        <v>6718847</v>
      </c>
      <c r="L5" s="200">
        <v>4605313</v>
      </c>
      <c r="M5" s="241">
        <f>SUM(L5)</f>
        <v>4605313</v>
      </c>
      <c r="N5" s="367">
        <f>SUM(L5:L34)</f>
        <v>143048944</v>
      </c>
      <c r="O5" s="86">
        <f t="shared" ref="O5:O34" si="0">L5/F5</f>
        <v>0.64806743383441978</v>
      </c>
      <c r="P5" s="86">
        <f>M5/G5</f>
        <v>0.64806743383441978</v>
      </c>
      <c r="Q5" s="366">
        <f>N5/H5</f>
        <v>0.66549731187810612</v>
      </c>
      <c r="R5" s="202">
        <v>1095433.3750000002</v>
      </c>
      <c r="S5" s="241">
        <f>SUM(R5)</f>
        <v>1095433.3750000002</v>
      </c>
      <c r="T5" s="367">
        <f>SUM(R5:R34)</f>
        <v>30228426.97666667</v>
      </c>
      <c r="U5" s="86">
        <f t="shared" ref="U5:U34" si="1">R5/F5</f>
        <v>0.15415123711956774</v>
      </c>
      <c r="V5" s="86">
        <f>S5/G5</f>
        <v>0.15415123711956774</v>
      </c>
      <c r="W5" s="366">
        <f>T5/H5</f>
        <v>0.14062974764270397</v>
      </c>
    </row>
    <row r="6" spans="2:23">
      <c r="B6" s="79"/>
      <c r="C6" s="357"/>
      <c r="D6" s="82">
        <v>45902</v>
      </c>
      <c r="E6" s="82" t="s">
        <v>148</v>
      </c>
      <c r="F6" s="200">
        <v>7727458</v>
      </c>
      <c r="G6" s="241">
        <f>SUM(F6:F12)</f>
        <v>48362935</v>
      </c>
      <c r="H6" s="367"/>
      <c r="I6" s="322">
        <v>240560</v>
      </c>
      <c r="J6" s="84">
        <f>SUM(I6:I12)</f>
        <v>1525242</v>
      </c>
      <c r="K6" s="368"/>
      <c r="L6" s="200">
        <v>5097967</v>
      </c>
      <c r="M6" s="241">
        <f>SUM(L6:L12)</f>
        <v>32268260</v>
      </c>
      <c r="N6" s="367"/>
      <c r="O6" s="86">
        <f t="shared" si="0"/>
        <v>0.65972108809908769</v>
      </c>
      <c r="P6" s="86">
        <f>M6/G6</f>
        <v>0.66721054046864603</v>
      </c>
      <c r="Q6" s="366"/>
      <c r="R6" s="202">
        <v>1023560.0333333334</v>
      </c>
      <c r="S6" s="241">
        <f>SUM(R6:R12)</f>
        <v>6899291.4783333344</v>
      </c>
      <c r="T6" s="367"/>
      <c r="U6" s="86">
        <f t="shared" si="1"/>
        <v>0.13245753433190235</v>
      </c>
      <c r="V6" s="86">
        <f>S6/G6</f>
        <v>0.14265659183697876</v>
      </c>
      <c r="W6" s="366"/>
    </row>
    <row r="7" spans="2:23">
      <c r="B7" s="79"/>
      <c r="C7" s="357"/>
      <c r="D7" s="82">
        <v>45903</v>
      </c>
      <c r="E7" s="82" t="s">
        <v>149</v>
      </c>
      <c r="F7" s="200">
        <v>7254649</v>
      </c>
      <c r="G7" s="241"/>
      <c r="H7" s="367"/>
      <c r="I7" s="322">
        <v>228856</v>
      </c>
      <c r="K7" s="368"/>
      <c r="L7" s="200">
        <v>4732982</v>
      </c>
      <c r="M7" s="241"/>
      <c r="N7" s="367"/>
      <c r="O7" s="86">
        <f t="shared" si="0"/>
        <v>0.65240675324195563</v>
      </c>
      <c r="Q7" s="366"/>
      <c r="R7" s="202">
        <v>972528.4933333334</v>
      </c>
      <c r="S7" s="241"/>
      <c r="T7" s="367"/>
      <c r="U7" s="86">
        <f t="shared" si="1"/>
        <v>0.13405589895987158</v>
      </c>
      <c r="V7" s="86"/>
      <c r="W7" s="366"/>
    </row>
    <row r="8" spans="2:23">
      <c r="B8" s="79"/>
      <c r="C8" s="357"/>
      <c r="D8" s="82">
        <v>45904</v>
      </c>
      <c r="E8" s="82" t="s">
        <v>150</v>
      </c>
      <c r="F8" s="200">
        <v>6602059</v>
      </c>
      <c r="G8" s="241"/>
      <c r="H8" s="367"/>
      <c r="I8" s="322">
        <v>210018</v>
      </c>
      <c r="K8" s="368"/>
      <c r="L8" s="200">
        <v>4508652</v>
      </c>
      <c r="M8" s="241"/>
      <c r="N8" s="367"/>
      <c r="O8" s="86">
        <f t="shared" si="0"/>
        <v>0.68291604179847532</v>
      </c>
      <c r="Q8" s="366"/>
      <c r="R8" s="202">
        <v>956492.6316666666</v>
      </c>
      <c r="S8" s="241"/>
      <c r="T8" s="367"/>
      <c r="U8" s="86">
        <f t="shared" si="1"/>
        <v>0.14487792848665343</v>
      </c>
      <c r="V8" s="86"/>
      <c r="W8" s="366"/>
    </row>
    <row r="9" spans="2:23">
      <c r="B9" s="79"/>
      <c r="C9" s="357"/>
      <c r="D9" s="82">
        <v>45905</v>
      </c>
      <c r="E9" s="82" t="s">
        <v>151</v>
      </c>
      <c r="F9" s="200">
        <v>5807177</v>
      </c>
      <c r="G9" s="241"/>
      <c r="H9" s="367"/>
      <c r="I9" s="322">
        <v>186157</v>
      </c>
      <c r="K9" s="368"/>
      <c r="L9" s="200">
        <v>3980697</v>
      </c>
      <c r="M9" s="241"/>
      <c r="N9" s="367"/>
      <c r="O9" s="86">
        <f t="shared" si="0"/>
        <v>0.68547884798414105</v>
      </c>
      <c r="Q9" s="366"/>
      <c r="R9" s="202">
        <v>958646.77500000014</v>
      </c>
      <c r="S9" s="241"/>
      <c r="T9" s="367"/>
      <c r="U9" s="86">
        <f t="shared" si="1"/>
        <v>0.16507965488222592</v>
      </c>
      <c r="V9" s="86"/>
      <c r="W9" s="366"/>
    </row>
    <row r="10" spans="2:23">
      <c r="B10" s="79"/>
      <c r="C10" s="357"/>
      <c r="D10" s="82">
        <v>45906</v>
      </c>
      <c r="E10" s="82" t="s">
        <v>152</v>
      </c>
      <c r="F10" s="200">
        <v>6167669</v>
      </c>
      <c r="G10" s="241"/>
      <c r="H10" s="367"/>
      <c r="I10" s="322">
        <v>195008</v>
      </c>
      <c r="K10" s="368"/>
      <c r="L10" s="200">
        <v>4408224</v>
      </c>
      <c r="M10" s="241"/>
      <c r="N10" s="367"/>
      <c r="O10" s="86">
        <f t="shared" si="0"/>
        <v>0.71473096237816913</v>
      </c>
      <c r="Q10" s="366"/>
      <c r="R10" s="202">
        <v>956801.78000000026</v>
      </c>
      <c r="S10" s="241"/>
      <c r="T10" s="367"/>
      <c r="U10" s="86">
        <f t="shared" si="1"/>
        <v>0.1551318301938707</v>
      </c>
      <c r="V10" s="86"/>
      <c r="W10" s="366"/>
    </row>
    <row r="11" spans="2:23">
      <c r="B11" s="79"/>
      <c r="C11" s="357"/>
      <c r="D11" s="82">
        <v>45907</v>
      </c>
      <c r="E11" s="82" t="s">
        <v>153</v>
      </c>
      <c r="F11" s="200">
        <v>7394780</v>
      </c>
      <c r="G11" s="241"/>
      <c r="H11" s="367"/>
      <c r="I11" s="322">
        <v>233163</v>
      </c>
      <c r="K11" s="368"/>
      <c r="L11" s="200">
        <v>4698661</v>
      </c>
      <c r="M11" s="241"/>
      <c r="N11" s="367"/>
      <c r="O11" s="86">
        <f t="shared" si="0"/>
        <v>0.63540240548062277</v>
      </c>
      <c r="Q11" s="366"/>
      <c r="R11" s="202">
        <v>1006559.1350000002</v>
      </c>
      <c r="S11" s="241"/>
      <c r="T11" s="367"/>
      <c r="U11" s="86">
        <f t="shared" si="1"/>
        <v>0.13611752276605935</v>
      </c>
      <c r="V11" s="86"/>
      <c r="W11" s="366"/>
    </row>
    <row r="12" spans="2:23">
      <c r="B12" s="79"/>
      <c r="C12" s="357"/>
      <c r="D12" s="82">
        <v>45908</v>
      </c>
      <c r="E12" s="82" t="s">
        <v>147</v>
      </c>
      <c r="F12" s="200">
        <v>7409143</v>
      </c>
      <c r="G12" s="241"/>
      <c r="H12" s="367"/>
      <c r="I12" s="322">
        <v>231480</v>
      </c>
      <c r="K12" s="368"/>
      <c r="L12" s="200">
        <v>4841077</v>
      </c>
      <c r="M12" s="241"/>
      <c r="N12" s="367"/>
      <c r="O12" s="86">
        <f t="shared" si="0"/>
        <v>0.65339230191669939</v>
      </c>
      <c r="Q12" s="366"/>
      <c r="R12" s="202">
        <v>1024702.6300000001</v>
      </c>
      <c r="S12" s="241"/>
      <c r="T12" s="367"/>
      <c r="U12" s="86">
        <f t="shared" si="1"/>
        <v>0.13830245009443065</v>
      </c>
      <c r="V12" s="86"/>
      <c r="W12" s="366"/>
    </row>
    <row r="13" spans="2:23">
      <c r="B13" s="79"/>
      <c r="C13" s="357"/>
      <c r="D13" s="243">
        <v>45909</v>
      </c>
      <c r="E13" s="243" t="s">
        <v>148</v>
      </c>
      <c r="F13" s="200">
        <v>7807316</v>
      </c>
      <c r="G13" s="241">
        <f>SUM(F13:F19)</f>
        <v>50470102</v>
      </c>
      <c r="H13" s="367"/>
      <c r="I13" s="322">
        <v>241607</v>
      </c>
      <c r="J13" s="84">
        <f>SUM(I13:I19)</f>
        <v>1578863</v>
      </c>
      <c r="K13" s="368"/>
      <c r="L13" s="200">
        <v>5229407</v>
      </c>
      <c r="M13" s="241">
        <f>SUM(L13:L19)</f>
        <v>33526646</v>
      </c>
      <c r="N13" s="367"/>
      <c r="O13" s="86">
        <f t="shared" si="0"/>
        <v>0.66980854880217477</v>
      </c>
      <c r="P13" s="86">
        <f>M13/G13</f>
        <v>0.66428726456705001</v>
      </c>
      <c r="Q13" s="366"/>
      <c r="R13" s="202">
        <v>1040763.4683333333</v>
      </c>
      <c r="S13" s="241">
        <f>SUM(R13:R19)</f>
        <v>7096955.3066666676</v>
      </c>
      <c r="T13" s="367"/>
      <c r="U13" s="86">
        <f t="shared" si="1"/>
        <v>0.1333061795287053</v>
      </c>
      <c r="V13" s="86">
        <f>S13/G13</f>
        <v>0.14061701929325737</v>
      </c>
      <c r="W13" s="366"/>
    </row>
    <row r="14" spans="2:23">
      <c r="B14" s="79"/>
      <c r="C14" s="357"/>
      <c r="D14" s="243">
        <v>45910</v>
      </c>
      <c r="E14" s="243" t="s">
        <v>149</v>
      </c>
      <c r="F14" s="200">
        <v>7436383</v>
      </c>
      <c r="G14" s="241"/>
      <c r="H14" s="367"/>
      <c r="I14" s="322">
        <v>233099</v>
      </c>
      <c r="K14" s="368"/>
      <c r="L14" s="200">
        <v>5087998</v>
      </c>
      <c r="M14" s="241"/>
      <c r="N14" s="367"/>
      <c r="O14" s="86">
        <f t="shared" si="0"/>
        <v>0.68420332841920595</v>
      </c>
      <c r="Q14" s="366"/>
      <c r="R14" s="202">
        <v>1020093.8133333335</v>
      </c>
      <c r="S14" s="241"/>
      <c r="T14" s="367"/>
      <c r="U14" s="86">
        <f t="shared" si="1"/>
        <v>0.13717607247143315</v>
      </c>
      <c r="V14" s="86"/>
      <c r="W14" s="366"/>
    </row>
    <row r="15" spans="2:23">
      <c r="B15" s="79"/>
      <c r="C15" s="357"/>
      <c r="D15" s="243">
        <v>45911</v>
      </c>
      <c r="E15" s="243" t="s">
        <v>150</v>
      </c>
      <c r="F15" s="200">
        <v>6919680</v>
      </c>
      <c r="G15" s="241"/>
      <c r="H15" s="367"/>
      <c r="I15" s="322">
        <v>217145</v>
      </c>
      <c r="K15" s="368"/>
      <c r="L15" s="200">
        <v>4531913</v>
      </c>
      <c r="M15" s="241"/>
      <c r="N15" s="367"/>
      <c r="O15" s="86">
        <f t="shared" si="0"/>
        <v>0.65493100837032925</v>
      </c>
      <c r="Q15" s="366"/>
      <c r="R15" s="202">
        <v>1005473.1916666667</v>
      </c>
      <c r="S15" s="241"/>
      <c r="T15" s="367"/>
      <c r="U15" s="86">
        <f t="shared" si="1"/>
        <v>0.14530631353858367</v>
      </c>
      <c r="V15" s="86"/>
      <c r="W15" s="366"/>
    </row>
    <row r="16" spans="2:23">
      <c r="B16" s="79"/>
      <c r="C16" s="357"/>
      <c r="D16" s="243">
        <v>45912</v>
      </c>
      <c r="E16" s="243" t="s">
        <v>151</v>
      </c>
      <c r="F16" s="200">
        <v>6171958</v>
      </c>
      <c r="G16" s="241"/>
      <c r="H16" s="367"/>
      <c r="I16" s="322">
        <v>194357</v>
      </c>
      <c r="K16" s="368"/>
      <c r="L16" s="200">
        <v>4199696</v>
      </c>
      <c r="M16" s="241"/>
      <c r="N16" s="367"/>
      <c r="O16" s="86">
        <f t="shared" si="0"/>
        <v>0.68044792268515109</v>
      </c>
      <c r="Q16" s="366"/>
      <c r="R16" s="202">
        <v>1018213.6800000002</v>
      </c>
      <c r="S16" s="241"/>
      <c r="T16" s="367"/>
      <c r="U16" s="86">
        <f t="shared" si="1"/>
        <v>0.1649741751321056</v>
      </c>
      <c r="V16" s="86"/>
      <c r="W16" s="366"/>
    </row>
    <row r="17" spans="2:23">
      <c r="B17" s="79"/>
      <c r="C17" s="357"/>
      <c r="D17" s="243">
        <v>45913</v>
      </c>
      <c r="E17" s="243" t="s">
        <v>152</v>
      </c>
      <c r="F17" s="200">
        <v>6541355</v>
      </c>
      <c r="G17" s="241"/>
      <c r="H17" s="367"/>
      <c r="I17" s="322">
        <v>204761</v>
      </c>
      <c r="K17" s="368"/>
      <c r="L17" s="200">
        <v>4410753</v>
      </c>
      <c r="M17" s="241"/>
      <c r="N17" s="367"/>
      <c r="O17" s="86">
        <f t="shared" si="0"/>
        <v>0.67428736095197406</v>
      </c>
      <c r="Q17" s="366"/>
      <c r="R17" s="202">
        <v>974340.70500000007</v>
      </c>
      <c r="S17" s="241"/>
      <c r="T17" s="367"/>
      <c r="U17" s="86">
        <f t="shared" si="1"/>
        <v>0.14895089855236415</v>
      </c>
      <c r="V17" s="86"/>
      <c r="W17" s="366"/>
    </row>
    <row r="18" spans="2:23">
      <c r="B18" s="79"/>
      <c r="C18" s="357"/>
      <c r="D18" s="243">
        <v>45914</v>
      </c>
      <c r="E18" s="243" t="s">
        <v>153</v>
      </c>
      <c r="F18" s="200">
        <v>7771753</v>
      </c>
      <c r="G18" s="241"/>
      <c r="H18" s="367"/>
      <c r="I18" s="322">
        <v>242926</v>
      </c>
      <c r="K18" s="368"/>
      <c r="L18" s="200">
        <v>4852648</v>
      </c>
      <c r="M18" s="241"/>
      <c r="N18" s="367"/>
      <c r="O18" s="86">
        <f t="shared" si="0"/>
        <v>0.62439555142835856</v>
      </c>
      <c r="Q18" s="366"/>
      <c r="R18" s="202">
        <v>1009884.8333333333</v>
      </c>
      <c r="S18" s="241"/>
      <c r="T18" s="367"/>
      <c r="U18" s="86">
        <f t="shared" si="1"/>
        <v>0.12994299141176172</v>
      </c>
      <c r="V18" s="86"/>
      <c r="W18" s="366"/>
    </row>
    <row r="19" spans="2:23">
      <c r="B19" s="79"/>
      <c r="C19" s="357"/>
      <c r="D19" s="243">
        <v>45915</v>
      </c>
      <c r="E19" s="243" t="s">
        <v>147</v>
      </c>
      <c r="F19" s="200">
        <v>7821657</v>
      </c>
      <c r="G19" s="241"/>
      <c r="H19" s="367"/>
      <c r="I19" s="322">
        <v>244968</v>
      </c>
      <c r="K19" s="368"/>
      <c r="L19" s="200">
        <v>5214231</v>
      </c>
      <c r="M19" s="241"/>
      <c r="N19" s="367"/>
      <c r="O19" s="86">
        <f t="shared" si="0"/>
        <v>0.66664020168616445</v>
      </c>
      <c r="Q19" s="366"/>
      <c r="R19" s="202">
        <v>1028185.6150000002</v>
      </c>
      <c r="S19" s="241"/>
      <c r="T19" s="367"/>
      <c r="U19" s="86">
        <f t="shared" si="1"/>
        <v>0.13145368238469166</v>
      </c>
      <c r="V19" s="86"/>
      <c r="W19" s="366"/>
    </row>
    <row r="20" spans="2:23">
      <c r="B20" s="79"/>
      <c r="C20" s="357"/>
      <c r="D20" s="82">
        <v>45916</v>
      </c>
      <c r="E20" s="82" t="s">
        <v>148</v>
      </c>
      <c r="F20" s="200">
        <v>8739776</v>
      </c>
      <c r="G20" s="241">
        <f>SUM(F20:F26)</f>
        <v>52767858</v>
      </c>
      <c r="H20" s="367"/>
      <c r="I20" s="322">
        <v>270682</v>
      </c>
      <c r="J20" s="84">
        <f>SUM(I20:I26)</f>
        <v>1647661</v>
      </c>
      <c r="K20" s="368"/>
      <c r="L20" s="200">
        <v>5918635</v>
      </c>
      <c r="M20" s="241">
        <f>SUM(L20:L26)</f>
        <v>35250361</v>
      </c>
      <c r="N20" s="367"/>
      <c r="O20" s="86">
        <f t="shared" si="0"/>
        <v>0.67720671559545687</v>
      </c>
      <c r="P20" s="86">
        <f>M20/G20</f>
        <v>0.6680271350032817</v>
      </c>
      <c r="Q20" s="366"/>
      <c r="R20" s="202">
        <v>1056954.4050000003</v>
      </c>
      <c r="S20" s="241">
        <f>SUM(R20:R26)</f>
        <v>7079608.2349999994</v>
      </c>
      <c r="T20" s="367"/>
      <c r="U20" s="86">
        <f t="shared" si="1"/>
        <v>0.12093609779014934</v>
      </c>
      <c r="V20" s="86">
        <f>S20/G20</f>
        <v>0.134165162341818</v>
      </c>
      <c r="W20" s="366"/>
    </row>
    <row r="21" spans="2:23">
      <c r="B21" s="79"/>
      <c r="C21" s="357"/>
      <c r="D21" s="82">
        <v>45917</v>
      </c>
      <c r="E21" s="82" t="s">
        <v>149</v>
      </c>
      <c r="F21" s="200">
        <v>8050591</v>
      </c>
      <c r="G21" s="241"/>
      <c r="H21" s="367"/>
      <c r="I21" s="322">
        <v>252399</v>
      </c>
      <c r="K21" s="368"/>
      <c r="L21" s="200">
        <v>5489287</v>
      </c>
      <c r="M21" s="241"/>
      <c r="N21" s="367"/>
      <c r="O21" s="86">
        <f t="shared" si="0"/>
        <v>0.68184894748720937</v>
      </c>
      <c r="Q21" s="366"/>
      <c r="R21" s="202">
        <v>1030644.5316666665</v>
      </c>
      <c r="S21" s="241"/>
      <c r="T21" s="367"/>
      <c r="U21" s="86">
        <f t="shared" si="1"/>
        <v>0.12802097779736499</v>
      </c>
      <c r="V21" s="86"/>
      <c r="W21" s="366"/>
    </row>
    <row r="22" spans="2:23">
      <c r="B22" s="79"/>
      <c r="C22" s="357"/>
      <c r="D22" s="82">
        <v>45918</v>
      </c>
      <c r="E22" s="82" t="s">
        <v>150</v>
      </c>
      <c r="F22" s="200">
        <v>7502711</v>
      </c>
      <c r="G22" s="241"/>
      <c r="H22" s="367"/>
      <c r="I22" s="322">
        <v>235694</v>
      </c>
      <c r="K22" s="368"/>
      <c r="L22" s="200">
        <v>5027758</v>
      </c>
      <c r="M22" s="241"/>
      <c r="N22" s="367"/>
      <c r="O22" s="86">
        <f t="shared" si="0"/>
        <v>0.67012550530068393</v>
      </c>
      <c r="Q22" s="366"/>
      <c r="R22" s="202">
        <v>996673.93333333335</v>
      </c>
      <c r="S22" s="241"/>
      <c r="T22" s="367"/>
      <c r="U22" s="86">
        <f t="shared" si="1"/>
        <v>0.13284183988072223</v>
      </c>
      <c r="V22" s="86"/>
      <c r="W22" s="366"/>
    </row>
    <row r="23" spans="2:23">
      <c r="B23" s="79"/>
      <c r="C23" s="357"/>
      <c r="D23" s="82">
        <v>45919</v>
      </c>
      <c r="E23" s="82" t="s">
        <v>151</v>
      </c>
      <c r="F23" s="200">
        <v>6251144</v>
      </c>
      <c r="G23" s="241"/>
      <c r="H23" s="367"/>
      <c r="I23" s="322">
        <v>198052</v>
      </c>
      <c r="K23" s="368"/>
      <c r="L23" s="200">
        <v>4162561</v>
      </c>
      <c r="M23" s="241"/>
      <c r="N23" s="367"/>
      <c r="O23" s="86">
        <f t="shared" si="0"/>
        <v>0.66588787588319831</v>
      </c>
      <c r="Q23" s="366"/>
      <c r="R23" s="202">
        <v>966712.45500000007</v>
      </c>
      <c r="S23" s="241"/>
      <c r="T23" s="367"/>
      <c r="U23" s="86">
        <f t="shared" si="1"/>
        <v>0.15464568645355156</v>
      </c>
      <c r="V23" s="86"/>
      <c r="W23" s="366"/>
    </row>
    <row r="24" spans="2:23">
      <c r="B24" s="79"/>
      <c r="C24" s="357"/>
      <c r="D24" s="82">
        <v>45920</v>
      </c>
      <c r="E24" s="82" t="s">
        <v>152</v>
      </c>
      <c r="F24" s="200">
        <v>6569112</v>
      </c>
      <c r="G24" s="241"/>
      <c r="H24" s="367"/>
      <c r="I24" s="322">
        <v>203622</v>
      </c>
      <c r="K24" s="368"/>
      <c r="L24" s="200">
        <v>4548804</v>
      </c>
      <c r="M24" s="241"/>
      <c r="N24" s="367"/>
      <c r="O24" s="86">
        <f t="shared" si="0"/>
        <v>0.69245340922791387</v>
      </c>
      <c r="Q24" s="366"/>
      <c r="R24" s="202">
        <v>976560.6016666668</v>
      </c>
      <c r="S24" s="241"/>
      <c r="T24" s="367"/>
      <c r="U24" s="86">
        <f t="shared" si="1"/>
        <v>0.14865945376889095</v>
      </c>
      <c r="V24" s="86"/>
      <c r="W24" s="366"/>
    </row>
    <row r="25" spans="2:23">
      <c r="B25" s="79"/>
      <c r="C25" s="357"/>
      <c r="D25" s="82">
        <v>45921</v>
      </c>
      <c r="E25" s="82" t="s">
        <v>153</v>
      </c>
      <c r="F25" s="200">
        <v>7902663</v>
      </c>
      <c r="G25" s="241"/>
      <c r="H25" s="367"/>
      <c r="I25" s="322">
        <v>246024</v>
      </c>
      <c r="K25" s="368"/>
      <c r="L25" s="200">
        <v>5008494</v>
      </c>
      <c r="M25" s="241"/>
      <c r="N25" s="367"/>
      <c r="O25" s="86">
        <f t="shared" si="0"/>
        <v>0.63377294463904132</v>
      </c>
      <c r="Q25" s="366"/>
      <c r="R25" s="202">
        <v>1038544.4533333334</v>
      </c>
      <c r="S25" s="241"/>
      <c r="T25" s="367"/>
      <c r="U25" s="86">
        <f t="shared" si="1"/>
        <v>0.13141702402510816</v>
      </c>
      <c r="V25" s="86"/>
      <c r="W25" s="366"/>
    </row>
    <row r="26" spans="2:23">
      <c r="B26" s="79"/>
      <c r="C26" s="357"/>
      <c r="D26" s="82">
        <v>45922</v>
      </c>
      <c r="E26" s="82" t="s">
        <v>147</v>
      </c>
      <c r="F26" s="200">
        <v>7751861</v>
      </c>
      <c r="G26" s="241"/>
      <c r="H26" s="367"/>
      <c r="I26" s="322">
        <v>241188</v>
      </c>
      <c r="K26" s="368"/>
      <c r="L26" s="200">
        <v>5094822</v>
      </c>
      <c r="M26" s="241"/>
      <c r="N26" s="367"/>
      <c r="O26" s="86">
        <f t="shared" si="0"/>
        <v>0.65723856503618938</v>
      </c>
      <c r="Q26" s="366"/>
      <c r="R26" s="202">
        <v>1013517.855</v>
      </c>
      <c r="S26" s="241"/>
      <c r="T26" s="367"/>
      <c r="U26" s="86">
        <f t="shared" si="1"/>
        <v>0.13074510172460521</v>
      </c>
      <c r="V26" s="86"/>
      <c r="W26" s="366"/>
    </row>
    <row r="27" spans="2:23">
      <c r="B27" s="79"/>
      <c r="C27" s="357"/>
      <c r="D27" s="243">
        <v>45923</v>
      </c>
      <c r="E27" s="243" t="s">
        <v>148</v>
      </c>
      <c r="F27" s="200">
        <v>7508635</v>
      </c>
      <c r="G27" s="241">
        <f>SUM(F27:F33)</f>
        <v>47691357</v>
      </c>
      <c r="H27" s="367"/>
      <c r="I27" s="322">
        <v>234687</v>
      </c>
      <c r="J27" s="84">
        <f>SUM(I27:I33)</f>
        <v>1482932</v>
      </c>
      <c r="K27" s="368"/>
      <c r="L27" s="200">
        <v>5149118</v>
      </c>
      <c r="M27" s="241">
        <f>SUM(L27:L33)</f>
        <v>31914989</v>
      </c>
      <c r="N27" s="367"/>
      <c r="O27" s="86">
        <f t="shared" si="0"/>
        <v>0.68575952886243641</v>
      </c>
      <c r="P27" s="86">
        <f>M27/G27</f>
        <v>0.66919859294421002</v>
      </c>
      <c r="Q27" s="366"/>
      <c r="R27" s="202">
        <v>1010855.6483333332</v>
      </c>
      <c r="S27" s="241">
        <f>SUM(R27:R33)</f>
        <v>6973605.9933333332</v>
      </c>
      <c r="T27" s="367"/>
      <c r="U27" s="86">
        <f t="shared" si="1"/>
        <v>0.1346257539930138</v>
      </c>
      <c r="V27" s="86">
        <f>S27/G27</f>
        <v>0.1462236856320388</v>
      </c>
      <c r="W27" s="366"/>
    </row>
    <row r="28" spans="2:23">
      <c r="B28" s="79"/>
      <c r="C28" s="357"/>
      <c r="D28" s="243">
        <v>45924</v>
      </c>
      <c r="E28" s="243" t="s">
        <v>149</v>
      </c>
      <c r="F28" s="200">
        <v>7219231</v>
      </c>
      <c r="G28" s="241"/>
      <c r="H28" s="367"/>
      <c r="I28" s="322">
        <v>226259</v>
      </c>
      <c r="K28" s="368"/>
      <c r="L28" s="200">
        <v>4655445</v>
      </c>
      <c r="M28" s="241"/>
      <c r="N28" s="367"/>
      <c r="O28" s="86">
        <f t="shared" si="0"/>
        <v>0.64486716105912112</v>
      </c>
      <c r="Q28" s="366"/>
      <c r="R28" s="202">
        <v>993200.61333333328</v>
      </c>
      <c r="S28" s="241"/>
      <c r="T28" s="367"/>
      <c r="U28" s="86">
        <f t="shared" si="1"/>
        <v>0.13757706511030515</v>
      </c>
      <c r="V28" s="86"/>
      <c r="W28" s="366"/>
    </row>
    <row r="29" spans="2:23">
      <c r="B29" s="79"/>
      <c r="C29" s="357"/>
      <c r="D29" s="243">
        <v>45925</v>
      </c>
      <c r="E29" s="243" t="s">
        <v>150</v>
      </c>
      <c r="F29" s="200">
        <v>6826680</v>
      </c>
      <c r="G29" s="241"/>
      <c r="H29" s="367"/>
      <c r="I29" s="322">
        <v>212221</v>
      </c>
      <c r="K29" s="368"/>
      <c r="L29" s="200">
        <v>4511936</v>
      </c>
      <c r="M29" s="241"/>
      <c r="N29" s="367"/>
      <c r="O29" s="86">
        <f t="shared" si="0"/>
        <v>0.66092683412727704</v>
      </c>
      <c r="Q29" s="366"/>
      <c r="R29" s="202">
        <v>972958.20166666666</v>
      </c>
      <c r="S29" s="241"/>
      <c r="T29" s="367"/>
      <c r="U29" s="86">
        <f t="shared" si="1"/>
        <v>0.14252289570723495</v>
      </c>
      <c r="V29" s="86"/>
      <c r="W29" s="366"/>
    </row>
    <row r="30" spans="2:23">
      <c r="B30" s="79"/>
      <c r="C30" s="357"/>
      <c r="D30" s="243">
        <v>45926</v>
      </c>
      <c r="E30" s="243" t="s">
        <v>151</v>
      </c>
      <c r="F30" s="200">
        <v>5933194</v>
      </c>
      <c r="G30" s="241"/>
      <c r="H30" s="367"/>
      <c r="I30" s="322">
        <v>184225</v>
      </c>
      <c r="K30" s="368"/>
      <c r="L30" s="200">
        <v>4180675</v>
      </c>
      <c r="M30" s="241"/>
      <c r="N30" s="367"/>
      <c r="O30" s="86">
        <f t="shared" si="0"/>
        <v>0.70462469287200113</v>
      </c>
      <c r="Q30" s="366"/>
      <c r="R30" s="202">
        <v>958197.17500000005</v>
      </c>
      <c r="S30" s="241"/>
      <c r="T30" s="367"/>
      <c r="U30" s="86">
        <f t="shared" si="1"/>
        <v>0.16149769837291686</v>
      </c>
      <c r="V30" s="86"/>
      <c r="W30" s="366"/>
    </row>
    <row r="31" spans="2:23">
      <c r="B31" s="79"/>
      <c r="C31" s="357"/>
      <c r="D31" s="243">
        <v>45927</v>
      </c>
      <c r="E31" s="243" t="s">
        <v>152</v>
      </c>
      <c r="F31" s="200">
        <v>6011714</v>
      </c>
      <c r="G31" s="241"/>
      <c r="H31" s="367"/>
      <c r="I31" s="322">
        <v>185335</v>
      </c>
      <c r="K31" s="368"/>
      <c r="L31" s="200">
        <v>4112564</v>
      </c>
      <c r="M31" s="241"/>
      <c r="N31" s="367"/>
      <c r="O31" s="86">
        <f t="shared" si="0"/>
        <v>0.68409175819075896</v>
      </c>
      <c r="Q31" s="366"/>
      <c r="R31" s="202">
        <v>973238.32000000007</v>
      </c>
      <c r="S31" s="241"/>
      <c r="T31" s="367"/>
      <c r="U31" s="86">
        <f t="shared" si="1"/>
        <v>0.16189032279313356</v>
      </c>
      <c r="V31" s="86"/>
      <c r="W31" s="366"/>
    </row>
    <row r="32" spans="2:23">
      <c r="B32" s="79"/>
      <c r="C32" s="357"/>
      <c r="D32" s="243">
        <v>45928</v>
      </c>
      <c r="E32" s="243" t="s">
        <v>153</v>
      </c>
      <c r="F32" s="200">
        <v>6495139</v>
      </c>
      <c r="G32" s="241"/>
      <c r="H32" s="367"/>
      <c r="I32" s="322">
        <v>199570</v>
      </c>
      <c r="K32" s="368"/>
      <c r="L32" s="200">
        <v>4398458</v>
      </c>
      <c r="M32" s="241"/>
      <c r="N32" s="367"/>
      <c r="O32" s="86">
        <f t="shared" si="0"/>
        <v>0.67719228179720248</v>
      </c>
      <c r="Q32" s="366"/>
      <c r="R32" s="202">
        <v>1007639.1016666668</v>
      </c>
      <c r="S32" s="241"/>
      <c r="T32" s="367"/>
      <c r="U32" s="86">
        <f t="shared" si="1"/>
        <v>0.15513741917866067</v>
      </c>
      <c r="V32" s="86"/>
      <c r="W32" s="366"/>
    </row>
    <row r="33" spans="2:23">
      <c r="B33" s="79"/>
      <c r="C33" s="357"/>
      <c r="D33" s="243">
        <v>45929</v>
      </c>
      <c r="E33" s="243" t="s">
        <v>147</v>
      </c>
      <c r="F33" s="200">
        <v>7696764</v>
      </c>
      <c r="G33" s="241"/>
      <c r="H33" s="367"/>
      <c r="I33" s="322">
        <v>240635</v>
      </c>
      <c r="K33" s="368"/>
      <c r="L33" s="200">
        <v>4906793</v>
      </c>
      <c r="M33" s="241"/>
      <c r="N33" s="367"/>
      <c r="O33" s="86">
        <f t="shared" si="0"/>
        <v>0.63751376552535588</v>
      </c>
      <c r="Q33" s="366"/>
      <c r="R33" s="202">
        <v>1057516.9333333336</v>
      </c>
      <c r="S33" s="241"/>
      <c r="T33" s="367"/>
      <c r="U33" s="86">
        <f t="shared" si="1"/>
        <v>0.13739760415329527</v>
      </c>
      <c r="V33" s="86"/>
      <c r="W33" s="366"/>
    </row>
    <row r="34" spans="2:23">
      <c r="B34" s="79"/>
      <c r="C34" s="357"/>
      <c r="D34" s="82">
        <v>45930</v>
      </c>
      <c r="E34" s="82" t="s">
        <v>148</v>
      </c>
      <c r="F34" s="200">
        <v>8551969</v>
      </c>
      <c r="G34" s="241">
        <f>SUM(F34:F40)</f>
        <v>8551969</v>
      </c>
      <c r="H34" s="367"/>
      <c r="I34" s="322">
        <v>261840</v>
      </c>
      <c r="J34" s="84">
        <f>SUM(I34:I40)</f>
        <v>261840</v>
      </c>
      <c r="K34" s="368"/>
      <c r="L34" s="200">
        <v>5483375</v>
      </c>
      <c r="M34" s="241">
        <f>SUM(L34:L40)</f>
        <v>5483375</v>
      </c>
      <c r="N34" s="367"/>
      <c r="O34" s="86">
        <f t="shared" si="0"/>
        <v>0.64118274984392487</v>
      </c>
      <c r="P34" s="86">
        <f>M34/G34</f>
        <v>0.64118274984392487</v>
      </c>
      <c r="Q34" s="366"/>
      <c r="R34" s="202">
        <v>1083532.5883333336</v>
      </c>
      <c r="S34" s="241">
        <f>SUM(R34:R40)</f>
        <v>1083532.5883333336</v>
      </c>
      <c r="T34" s="367"/>
      <c r="U34" s="86">
        <f t="shared" si="1"/>
        <v>0.12669977970375401</v>
      </c>
      <c r="V34" s="86">
        <f>S34/G34</f>
        <v>0.12669977970375401</v>
      </c>
      <c r="W34" s="366"/>
    </row>
    <row r="35" spans="2:23">
      <c r="B35" s="79"/>
      <c r="C35" s="357"/>
      <c r="D35" s="82"/>
      <c r="E35" s="82"/>
      <c r="F35" s="200"/>
      <c r="G35" s="241"/>
      <c r="H35" s="250"/>
      <c r="I35" s="201"/>
      <c r="K35" s="251"/>
      <c r="L35" s="200"/>
      <c r="M35" s="241"/>
      <c r="N35" s="250"/>
      <c r="Q35" s="252"/>
      <c r="R35" s="202"/>
      <c r="S35" s="241"/>
      <c r="T35" s="250"/>
      <c r="V35" s="86"/>
      <c r="W35" s="252"/>
    </row>
    <row r="36" spans="2:23">
      <c r="B36" s="79"/>
      <c r="D36" s="82"/>
      <c r="E36" s="82"/>
      <c r="F36" s="200"/>
      <c r="G36" s="241"/>
      <c r="I36" s="201"/>
      <c r="L36" s="200"/>
      <c r="M36" s="241"/>
      <c r="N36" s="83"/>
      <c r="Q36" s="83"/>
      <c r="R36" s="202"/>
      <c r="S36" s="241"/>
      <c r="T36" s="83"/>
      <c r="V36" s="86"/>
      <c r="W36" s="83"/>
    </row>
    <row r="37" spans="2:23">
      <c r="B37" s="79"/>
      <c r="D37" s="82"/>
      <c r="E37" s="82"/>
      <c r="F37" s="200"/>
      <c r="G37" s="241"/>
      <c r="I37" s="201"/>
      <c r="L37" s="200"/>
      <c r="M37" s="241"/>
      <c r="N37" s="83"/>
      <c r="Q37" s="83"/>
      <c r="R37" s="202"/>
      <c r="S37" s="241"/>
      <c r="T37" s="83"/>
      <c r="V37" s="86"/>
      <c r="W37" s="83"/>
    </row>
    <row r="38" spans="2:23">
      <c r="B38" s="79"/>
      <c r="D38" s="82"/>
      <c r="E38" s="82"/>
      <c r="F38" s="200"/>
      <c r="G38" s="241"/>
      <c r="I38" s="201"/>
      <c r="L38" s="200"/>
      <c r="M38" s="241"/>
      <c r="N38" s="83"/>
      <c r="Q38" s="83"/>
      <c r="R38" s="202"/>
      <c r="S38" s="241"/>
      <c r="T38" s="83"/>
      <c r="V38" s="86"/>
      <c r="W38" s="83"/>
    </row>
    <row r="39" spans="2:23">
      <c r="B39" s="79"/>
      <c r="D39" s="82"/>
      <c r="E39" s="82"/>
      <c r="F39" s="200"/>
      <c r="G39" s="241"/>
      <c r="I39" s="201"/>
      <c r="L39" s="200"/>
      <c r="M39" s="241"/>
      <c r="N39" s="83"/>
      <c r="Q39" s="83"/>
      <c r="R39" s="202"/>
      <c r="S39" s="241"/>
      <c r="T39" s="83"/>
      <c r="V39" s="86"/>
      <c r="W39" s="83"/>
    </row>
    <row r="40" spans="2:23">
      <c r="B40" s="79"/>
      <c r="D40" s="82"/>
      <c r="E40" s="82"/>
      <c r="F40" s="200"/>
      <c r="G40" s="241"/>
      <c r="I40" s="201"/>
      <c r="L40" s="200"/>
      <c r="M40" s="241"/>
      <c r="N40" s="83"/>
      <c r="Q40" s="83"/>
      <c r="R40" s="202"/>
      <c r="S40" s="241"/>
      <c r="T40" s="83"/>
      <c r="V40" s="86"/>
      <c r="W40" s="83"/>
    </row>
    <row r="41" spans="2:23">
      <c r="B41" s="79"/>
      <c r="D41" s="82"/>
      <c r="E41" s="82"/>
      <c r="G41" s="241"/>
      <c r="M41" s="241"/>
      <c r="N41" s="83"/>
      <c r="Q41" s="83"/>
      <c r="S41" s="241"/>
      <c r="T41" s="83"/>
      <c r="V41" s="86"/>
      <c r="W41" s="83"/>
    </row>
    <row r="42" spans="2:23">
      <c r="B42" s="79"/>
      <c r="D42" s="82"/>
      <c r="E42" s="82"/>
      <c r="G42" s="241"/>
      <c r="M42" s="241"/>
      <c r="N42" s="83"/>
      <c r="Q42" s="83"/>
      <c r="S42" s="241"/>
      <c r="T42" s="83"/>
      <c r="V42" s="86"/>
      <c r="W42" s="83"/>
    </row>
    <row r="43" spans="2:23">
      <c r="B43" s="79"/>
      <c r="D43" s="82"/>
      <c r="E43" s="82"/>
      <c r="G43" s="241"/>
      <c r="M43" s="241"/>
      <c r="N43" s="83"/>
      <c r="Q43" s="83"/>
      <c r="S43" s="241"/>
      <c r="T43" s="83"/>
      <c r="V43" s="86"/>
      <c r="W43" s="83"/>
    </row>
    <row r="44" spans="2:23">
      <c r="B44" s="79"/>
      <c r="M44" s="83"/>
      <c r="S44" s="83"/>
    </row>
    <row r="45" spans="2:23">
      <c r="B45" s="79"/>
      <c r="M45" s="83"/>
    </row>
    <row r="46" spans="2:23">
      <c r="B46" s="79"/>
      <c r="M46" s="83"/>
    </row>
    <row r="47" spans="2:23">
      <c r="B47" s="79"/>
      <c r="M47" s="83"/>
    </row>
    <row r="48" spans="2:23">
      <c r="B48" s="79"/>
      <c r="M48" s="83"/>
    </row>
    <row r="49" spans="2:13">
      <c r="B49" s="79"/>
      <c r="M49" s="83"/>
    </row>
    <row r="50" spans="2:13">
      <c r="M50" s="83"/>
    </row>
    <row r="51" spans="2:13">
      <c r="M51" s="83"/>
    </row>
    <row r="52" spans="2:13">
      <c r="M52" s="83"/>
    </row>
    <row r="53" spans="2:13">
      <c r="M53" s="83"/>
    </row>
    <row r="54" spans="2:13">
      <c r="M54" s="83"/>
    </row>
    <row r="55" spans="2:13">
      <c r="M55" s="83"/>
    </row>
    <row r="56" spans="2:13">
      <c r="M56" s="83"/>
    </row>
    <row r="57" spans="2:13">
      <c r="M57" s="83"/>
    </row>
  </sheetData>
  <mergeCells count="16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  <mergeCell ref="W5:W34"/>
    <mergeCell ref="H5:H34"/>
    <mergeCell ref="K5:K34"/>
    <mergeCell ref="N5:N34"/>
    <mergeCell ref="Q5:Q34"/>
    <mergeCell ref="T5:T34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bottomRight" activeCell="F34" sqref="F34"/>
      <selection pane="bottomLeft" activeCell="A5" sqref="A5"/>
      <selection pane="topRight" activeCell="F1" sqref="F1"/>
    </sheetView>
  </sheetViews>
  <sheetFormatPr defaultColWidth="8.85546875" defaultRowHeight="12"/>
  <cols>
    <col min="1" max="1" width="4.42578125" style="73" customWidth="1"/>
    <col min="2" max="2" width="12.5703125" style="80" customWidth="1"/>
    <col min="3" max="3" width="8.85546875" style="75"/>
    <col min="4" max="4" width="17.42578125" style="78" customWidth="1"/>
    <col min="5" max="5" width="4.42578125" style="78" customWidth="1"/>
    <col min="6" max="8" width="25.5703125" style="90" customWidth="1"/>
    <col min="9" max="11" width="15" style="72" customWidth="1"/>
    <col min="12" max="17" width="14.5703125" style="72" customWidth="1"/>
    <col min="18" max="21" width="14.140625" style="72" customWidth="1"/>
    <col min="22" max="23" width="14.140625" style="73" customWidth="1"/>
    <col min="24" max="16384" width="8.85546875" style="73"/>
  </cols>
  <sheetData>
    <row r="1" spans="2:23">
      <c r="B1" s="80" t="s">
        <v>154</v>
      </c>
      <c r="C1" s="75">
        <v>366</v>
      </c>
    </row>
    <row r="2" spans="2:23" ht="38.1" customHeight="1">
      <c r="B2" s="359" t="s">
        <v>155</v>
      </c>
      <c r="C2" s="373"/>
      <c r="D2" s="373"/>
      <c r="E2" s="373"/>
      <c r="F2" s="373"/>
      <c r="G2" s="373"/>
      <c r="H2" s="373"/>
      <c r="I2" s="373"/>
      <c r="J2" s="373"/>
      <c r="K2" s="373"/>
      <c r="L2" s="373"/>
      <c r="M2" s="373"/>
      <c r="N2" s="373"/>
      <c r="O2" s="373"/>
      <c r="P2" s="373"/>
      <c r="Q2" s="373"/>
      <c r="R2" s="373"/>
      <c r="S2" s="373"/>
      <c r="T2" s="373"/>
      <c r="U2" s="373"/>
    </row>
    <row r="3" spans="2:23" s="71" customFormat="1" ht="23.45" customHeight="1">
      <c r="B3" s="79"/>
      <c r="C3" s="363" t="s">
        <v>134</v>
      </c>
      <c r="D3" s="364" t="s">
        <v>135</v>
      </c>
      <c r="E3" s="364"/>
      <c r="F3" s="374" t="s">
        <v>156</v>
      </c>
      <c r="G3" s="374"/>
      <c r="H3" s="374"/>
      <c r="I3" s="376" t="s">
        <v>157</v>
      </c>
      <c r="J3" s="376"/>
      <c r="K3" s="376"/>
      <c r="L3" s="375" t="s">
        <v>158</v>
      </c>
      <c r="M3" s="375"/>
      <c r="N3" s="375"/>
      <c r="O3" s="375" t="s">
        <v>159</v>
      </c>
      <c r="P3" s="375"/>
      <c r="Q3" s="375"/>
      <c r="R3" s="375" t="s">
        <v>160</v>
      </c>
      <c r="S3" s="375"/>
      <c r="T3" s="375"/>
      <c r="U3" s="375" t="s">
        <v>161</v>
      </c>
      <c r="V3" s="375"/>
      <c r="W3" s="375"/>
    </row>
    <row r="4" spans="2:23" ht="15.75">
      <c r="B4" s="79"/>
      <c r="C4" s="363"/>
      <c r="D4" s="364"/>
      <c r="E4" s="364"/>
      <c r="F4" s="81" t="s">
        <v>142</v>
      </c>
      <c r="G4" s="92" t="s">
        <v>162</v>
      </c>
      <c r="H4" s="92" t="s">
        <v>163</v>
      </c>
      <c r="I4" s="81" t="s">
        <v>142</v>
      </c>
      <c r="J4" s="91" t="s">
        <v>162</v>
      </c>
      <c r="K4" s="91" t="s">
        <v>163</v>
      </c>
      <c r="L4" s="81" t="s">
        <v>142</v>
      </c>
      <c r="M4" s="91" t="s">
        <v>162</v>
      </c>
      <c r="N4" s="91" t="s">
        <v>163</v>
      </c>
      <c r="O4" s="81" t="s">
        <v>142</v>
      </c>
      <c r="P4" s="91" t="s">
        <v>162</v>
      </c>
      <c r="Q4" s="91" t="s">
        <v>163</v>
      </c>
      <c r="R4" s="81" t="s">
        <v>142</v>
      </c>
      <c r="S4" s="91" t="s">
        <v>162</v>
      </c>
      <c r="T4" s="91" t="s">
        <v>163</v>
      </c>
      <c r="U4" s="81" t="s">
        <v>142</v>
      </c>
      <c r="V4" s="91" t="s">
        <v>162</v>
      </c>
      <c r="W4" s="91" t="s">
        <v>163</v>
      </c>
    </row>
    <row r="5" spans="2:23" ht="14.45" customHeight="1">
      <c r="B5" s="79"/>
      <c r="D5" s="243">
        <v>45901</v>
      </c>
      <c r="E5" s="243" t="s">
        <v>147</v>
      </c>
      <c r="F5" s="199">
        <v>337.8</v>
      </c>
      <c r="G5" s="89">
        <f>AVERAGE(F5)</f>
        <v>337.8</v>
      </c>
      <c r="H5" s="371">
        <f>AVERAGE(F5:F34)</f>
        <v>330.69214552972534</v>
      </c>
      <c r="I5" s="86">
        <f>F5/$C$1</f>
        <v>0.92295081967213122</v>
      </c>
      <c r="J5" s="191">
        <f>AVERAGE(I5)</f>
        <v>0.92295081967213122</v>
      </c>
      <c r="K5" s="369">
        <f>AVERAGE(I5:I34)</f>
        <v>0.90353045226700912</v>
      </c>
      <c r="L5" s="216">
        <v>2.4616445440441303E-3</v>
      </c>
      <c r="M5" s="242">
        <f>AVERAGE(L5)</f>
        <v>2.4616445440441303E-3</v>
      </c>
      <c r="N5" s="372">
        <f>AVERAGE(L5:L34)</f>
        <v>2.4902513354862249E-3</v>
      </c>
      <c r="O5" s="216">
        <v>2.170771541159894E-3</v>
      </c>
      <c r="P5" s="242">
        <f>AVERAGE(O5)</f>
        <v>2.170771541159894E-3</v>
      </c>
      <c r="Q5" s="372">
        <f>AVERAGE(O5:O34)</f>
        <v>2.4983099408011733E-3</v>
      </c>
      <c r="R5" s="203">
        <v>0.91666666666666663</v>
      </c>
      <c r="S5" s="191">
        <f>AVERAGE(R5)</f>
        <v>0.91666666666666663</v>
      </c>
      <c r="T5" s="369">
        <f>AVERAGE(R5:R99)</f>
        <v>0.91666666666666707</v>
      </c>
      <c r="U5" s="203">
        <v>0.72199999999999998</v>
      </c>
      <c r="V5" s="191">
        <f>AVERAGE(U5)</f>
        <v>0.72199999999999998</v>
      </c>
      <c r="W5" s="369">
        <f>AVERAGE(U5:U99)</f>
        <v>0.76729999999999987</v>
      </c>
    </row>
    <row r="6" spans="2:23" ht="14.45" customHeight="1">
      <c r="B6" s="79"/>
      <c r="D6" s="82">
        <v>45902</v>
      </c>
      <c r="E6" s="82" t="s">
        <v>148</v>
      </c>
      <c r="F6" s="199">
        <v>331.8</v>
      </c>
      <c r="G6" s="89">
        <f>AVERAGE(F6:F12)</f>
        <v>335.12857142857143</v>
      </c>
      <c r="H6" s="371"/>
      <c r="I6" s="86">
        <f t="shared" ref="I6:I34" si="0">F6/$C$1</f>
        <v>0.90655737704918038</v>
      </c>
      <c r="J6" s="191">
        <f>AVERAGE(I6:I12)</f>
        <v>0.91565183450429366</v>
      </c>
      <c r="K6" s="370"/>
      <c r="L6" s="216">
        <v>2.5160926141559099E-3</v>
      </c>
      <c r="M6" s="242">
        <f>AVERAGE(L6:L12)</f>
        <v>2.4923201889164096E-3</v>
      </c>
      <c r="N6" s="370"/>
      <c r="O6" s="216">
        <v>2.9970227161299316E-3</v>
      </c>
      <c r="P6" s="242">
        <f>AVERAGE(O6:O12)</f>
        <v>2.7533909780660709E-3</v>
      </c>
      <c r="Q6" s="370"/>
      <c r="R6" s="203">
        <v>0.91666666666666663</v>
      </c>
      <c r="S6" s="191">
        <f>AVERAGE(R6:R12)</f>
        <v>0.91666666666666674</v>
      </c>
      <c r="T6" s="370"/>
      <c r="U6" s="203">
        <v>0.72299999999999998</v>
      </c>
      <c r="V6" s="191">
        <f>AVERAGE(U6:U12)</f>
        <v>0.73357142857142854</v>
      </c>
      <c r="W6" s="370"/>
    </row>
    <row r="7" spans="2:23" ht="14.45" customHeight="1">
      <c r="B7" s="79"/>
      <c r="D7" s="82">
        <v>45903</v>
      </c>
      <c r="E7" s="82" t="s">
        <v>149</v>
      </c>
      <c r="F7" s="199">
        <v>331.8</v>
      </c>
      <c r="G7" s="89"/>
      <c r="H7" s="371"/>
      <c r="I7" s="86">
        <f t="shared" si="0"/>
        <v>0.90655737704918038</v>
      </c>
      <c r="J7" s="191"/>
      <c r="K7" s="370"/>
      <c r="L7" s="216">
        <v>2.4442257647475435E-3</v>
      </c>
      <c r="M7" s="242"/>
      <c r="N7" s="370"/>
      <c r="O7" s="216">
        <v>2.6068246756088265E-3</v>
      </c>
      <c r="P7" s="242"/>
      <c r="Q7" s="370"/>
      <c r="R7" s="203">
        <v>0.91666666666666663</v>
      </c>
      <c r="S7" s="191"/>
      <c r="T7" s="370"/>
      <c r="U7" s="203">
        <v>0.72299999999999998</v>
      </c>
      <c r="V7" s="191"/>
      <c r="W7" s="370"/>
    </row>
    <row r="8" spans="2:23" ht="14.45" customHeight="1">
      <c r="B8" s="79"/>
      <c r="D8" s="82">
        <v>45904</v>
      </c>
      <c r="E8" s="82" t="s">
        <v>150</v>
      </c>
      <c r="F8" s="199">
        <v>333.6</v>
      </c>
      <c r="G8" s="89"/>
      <c r="H8" s="371"/>
      <c r="I8" s="86">
        <f t="shared" si="0"/>
        <v>0.91147540983606568</v>
      </c>
      <c r="J8" s="191"/>
      <c r="K8" s="370"/>
      <c r="L8" s="216">
        <v>2.5136097693159057E-3</v>
      </c>
      <c r="M8" s="242"/>
      <c r="N8" s="370"/>
      <c r="O8" s="216">
        <v>3.0770629926687582E-3</v>
      </c>
      <c r="P8" s="242"/>
      <c r="Q8" s="370"/>
      <c r="R8" s="203">
        <v>0.91666666666666663</v>
      </c>
      <c r="S8" s="191"/>
      <c r="T8" s="370"/>
      <c r="U8" s="203">
        <v>0.73</v>
      </c>
      <c r="V8" s="191"/>
      <c r="W8" s="370"/>
    </row>
    <row r="9" spans="2:23" ht="14.45" customHeight="1">
      <c r="B9" s="79"/>
      <c r="D9" s="82">
        <v>45905</v>
      </c>
      <c r="E9" s="82" t="s">
        <v>151</v>
      </c>
      <c r="F9" s="199">
        <v>339</v>
      </c>
      <c r="G9" s="89"/>
      <c r="H9" s="371"/>
      <c r="I9" s="86">
        <f t="shared" si="0"/>
        <v>0.92622950819672134</v>
      </c>
      <c r="J9" s="191"/>
      <c r="K9" s="370"/>
      <c r="L9" s="216">
        <v>2.5246346030093451E-3</v>
      </c>
      <c r="M9" s="242"/>
      <c r="N9" s="370"/>
      <c r="O9" s="216">
        <v>2.8454179135527862E-3</v>
      </c>
      <c r="P9" s="242"/>
      <c r="Q9" s="370"/>
      <c r="R9" s="203">
        <v>0.91666666666666663</v>
      </c>
      <c r="S9" s="191"/>
      <c r="T9" s="370"/>
      <c r="U9" s="203">
        <v>0.73499999999999999</v>
      </c>
      <c r="V9" s="191"/>
      <c r="W9" s="370"/>
    </row>
    <row r="10" spans="2:23" ht="14.45" customHeight="1">
      <c r="B10" s="79"/>
      <c r="D10" s="82">
        <v>45906</v>
      </c>
      <c r="E10" s="82" t="s">
        <v>152</v>
      </c>
      <c r="F10" s="199">
        <v>335.7</v>
      </c>
      <c r="G10" s="89"/>
      <c r="H10" s="371"/>
      <c r="I10" s="86">
        <f t="shared" si="0"/>
        <v>0.91721311475409828</v>
      </c>
      <c r="J10" s="191"/>
      <c r="K10" s="370"/>
      <c r="L10" s="216">
        <v>2.5051603774456769E-3</v>
      </c>
      <c r="M10" s="242"/>
      <c r="N10" s="370"/>
      <c r="O10" s="216">
        <v>2.9119054069293962E-3</v>
      </c>
      <c r="P10" s="242"/>
      <c r="Q10" s="370"/>
      <c r="R10" s="203">
        <v>0.91666666666666663</v>
      </c>
      <c r="S10" s="191"/>
      <c r="T10" s="370"/>
      <c r="U10" s="203">
        <v>0.74</v>
      </c>
      <c r="V10" s="191"/>
      <c r="W10" s="370"/>
    </row>
    <row r="11" spans="2:23" ht="14.45" customHeight="1">
      <c r="B11" s="79"/>
      <c r="D11" s="82">
        <v>45907</v>
      </c>
      <c r="E11" s="82" t="s">
        <v>153</v>
      </c>
      <c r="F11" s="199">
        <v>335.9</v>
      </c>
      <c r="G11" s="89"/>
      <c r="H11" s="371"/>
      <c r="I11" s="86">
        <f t="shared" si="0"/>
        <v>0.91775956284153004</v>
      </c>
      <c r="J11" s="191"/>
      <c r="K11" s="370"/>
      <c r="L11" s="216">
        <v>2.4941918488447256E-3</v>
      </c>
      <c r="M11" s="242"/>
      <c r="N11" s="370"/>
      <c r="O11" s="216">
        <v>2.5375109193299006E-3</v>
      </c>
      <c r="P11" s="242"/>
      <c r="Q11" s="370"/>
      <c r="R11" s="203">
        <v>0.91666666666666663</v>
      </c>
      <c r="S11" s="191"/>
      <c r="T11" s="370"/>
      <c r="U11" s="203">
        <v>0.74199999999999999</v>
      </c>
      <c r="V11" s="191"/>
      <c r="W11" s="370"/>
    </row>
    <row r="12" spans="2:23" ht="14.45" customHeight="1">
      <c r="B12" s="79"/>
      <c r="D12" s="82">
        <v>45908</v>
      </c>
      <c r="E12" s="82" t="s">
        <v>147</v>
      </c>
      <c r="F12" s="199">
        <v>338.1</v>
      </c>
      <c r="G12" s="89"/>
      <c r="H12" s="371"/>
      <c r="I12" s="86">
        <f t="shared" si="0"/>
        <v>0.92377049180327875</v>
      </c>
      <c r="J12" s="191"/>
      <c r="K12" s="370"/>
      <c r="L12" s="216">
        <v>2.4483263448957593E-3</v>
      </c>
      <c r="M12" s="242"/>
      <c r="N12" s="370"/>
      <c r="O12" s="216">
        <v>2.2979922222428964E-3</v>
      </c>
      <c r="P12" s="242"/>
      <c r="Q12" s="370"/>
      <c r="R12" s="203">
        <v>0.91666666666666663</v>
      </c>
      <c r="S12" s="191"/>
      <c r="T12" s="370"/>
      <c r="U12" s="203">
        <v>0.74199999999999999</v>
      </c>
      <c r="V12" s="191"/>
      <c r="W12" s="370"/>
    </row>
    <row r="13" spans="2:23" ht="14.45" customHeight="1">
      <c r="B13" s="79"/>
      <c r="D13" s="243">
        <v>45909</v>
      </c>
      <c r="E13" s="243" t="s">
        <v>148</v>
      </c>
      <c r="F13" s="199">
        <v>331.71014073861716</v>
      </c>
      <c r="G13" s="89">
        <f>AVERAGE(F13:F19)</f>
        <v>335.39904588334076</v>
      </c>
      <c r="H13" s="371"/>
      <c r="I13" s="86">
        <f t="shared" si="0"/>
        <v>0.90631185994157692</v>
      </c>
      <c r="J13" s="191">
        <f>AVERAGE(I13:I19)</f>
        <v>0.91639083574683255</v>
      </c>
      <c r="K13" s="370"/>
      <c r="L13" s="216">
        <v>2.5155892242609366E-3</v>
      </c>
      <c r="M13" s="242">
        <f>AVERAGE(L13:L19)</f>
        <v>2.491428167610811E-3</v>
      </c>
      <c r="N13" s="370"/>
      <c r="O13" s="216">
        <v>2.3445813959050337E-3</v>
      </c>
      <c r="P13" s="242">
        <f>AVERAGE(O13:O19)</f>
        <v>2.5382772805232416E-3</v>
      </c>
      <c r="Q13" s="370"/>
      <c r="R13" s="203">
        <v>0.91666666666666663</v>
      </c>
      <c r="S13" s="191">
        <f>AVERAGE(R13:R19)</f>
        <v>0.91666666666666674</v>
      </c>
      <c r="T13" s="370"/>
      <c r="U13" s="203">
        <v>0.74199999999999999</v>
      </c>
      <c r="V13" s="191">
        <f>AVERAGE(U13:U19)</f>
        <v>0.75442857142857156</v>
      </c>
      <c r="W13" s="370"/>
    </row>
    <row r="14" spans="2:23" ht="14.45" customHeight="1">
      <c r="B14" s="79"/>
      <c r="D14" s="243">
        <v>45910</v>
      </c>
      <c r="E14" s="243" t="s">
        <v>149</v>
      </c>
      <c r="F14" s="199">
        <v>331.2696075912761</v>
      </c>
      <c r="G14" s="89"/>
      <c r="H14" s="371"/>
      <c r="I14" s="86">
        <f t="shared" si="0"/>
        <v>0.90510821746250303</v>
      </c>
      <c r="J14" s="191"/>
      <c r="K14" s="370"/>
      <c r="L14" s="216">
        <v>2.5024262467385019E-3</v>
      </c>
      <c r="M14" s="242"/>
      <c r="N14" s="370"/>
      <c r="O14" s="216">
        <v>2.3877490310354071E-3</v>
      </c>
      <c r="P14" s="242"/>
      <c r="Q14" s="370"/>
      <c r="R14" s="203">
        <v>0.91666666666666663</v>
      </c>
      <c r="S14" s="191"/>
      <c r="T14" s="370"/>
      <c r="U14" s="203">
        <v>0.75</v>
      </c>
      <c r="V14" s="191"/>
      <c r="W14" s="370"/>
    </row>
    <row r="15" spans="2:23" ht="14.45" customHeight="1">
      <c r="B15" s="79"/>
      <c r="D15" s="243">
        <v>45911</v>
      </c>
      <c r="E15" s="243" t="s">
        <v>150</v>
      </c>
      <c r="F15" s="199">
        <v>338.0729444065089</v>
      </c>
      <c r="G15" s="89"/>
      <c r="H15" s="371"/>
      <c r="I15" s="86">
        <f t="shared" si="0"/>
        <v>0.92369656941669098</v>
      </c>
      <c r="J15" s="191"/>
      <c r="K15" s="370"/>
      <c r="L15" s="216">
        <v>2.4625416204217534E-3</v>
      </c>
      <c r="M15" s="242"/>
      <c r="N15" s="370"/>
      <c r="O15" s="216">
        <v>2.6280834802568419E-3</v>
      </c>
      <c r="P15" s="242"/>
      <c r="Q15" s="370"/>
      <c r="R15" s="203">
        <v>0.91666666666666663</v>
      </c>
      <c r="S15" s="191"/>
      <c r="T15" s="370"/>
      <c r="U15" s="203">
        <v>0.753</v>
      </c>
      <c r="V15" s="191"/>
      <c r="W15" s="370"/>
    </row>
    <row r="16" spans="2:23" ht="14.45" customHeight="1">
      <c r="B16" s="79"/>
      <c r="D16" s="243">
        <v>45912</v>
      </c>
      <c r="E16" s="243" t="s">
        <v>151</v>
      </c>
      <c r="F16" s="199">
        <v>337.65311954679834</v>
      </c>
      <c r="G16" s="89"/>
      <c r="H16" s="371"/>
      <c r="I16" s="86">
        <f t="shared" si="0"/>
        <v>0.92254950695846538</v>
      </c>
      <c r="J16" s="191"/>
      <c r="K16" s="370"/>
      <c r="L16" s="216">
        <v>2.4820324441611561E-3</v>
      </c>
      <c r="M16" s="242"/>
      <c r="N16" s="370"/>
      <c r="O16" s="216">
        <v>2.6310029991789569E-3</v>
      </c>
      <c r="P16" s="242"/>
      <c r="Q16" s="370"/>
      <c r="R16" s="203">
        <v>0.91666666666666663</v>
      </c>
      <c r="S16" s="191"/>
      <c r="T16" s="370"/>
      <c r="U16" s="203">
        <v>0.754</v>
      </c>
      <c r="V16" s="191"/>
      <c r="W16" s="370"/>
    </row>
    <row r="17" spans="2:23" ht="14.45" customHeight="1">
      <c r="B17" s="79"/>
      <c r="D17" s="243">
        <v>45913</v>
      </c>
      <c r="E17" s="243" t="s">
        <v>152</v>
      </c>
      <c r="F17" s="199">
        <v>329.85969431753125</v>
      </c>
      <c r="G17" s="89"/>
      <c r="H17" s="371"/>
      <c r="I17" s="86">
        <f t="shared" si="0"/>
        <v>0.90125599540309087</v>
      </c>
      <c r="J17" s="191"/>
      <c r="K17" s="370"/>
      <c r="L17" s="216">
        <v>2.454231577402541E-3</v>
      </c>
      <c r="M17" s="242"/>
      <c r="N17" s="370"/>
      <c r="O17" s="216">
        <v>2.8657948100636673E-3</v>
      </c>
      <c r="P17" s="242"/>
      <c r="Q17" s="370"/>
      <c r="R17" s="203">
        <v>0.91666666666666663</v>
      </c>
      <c r="S17" s="191"/>
      <c r="T17" s="370"/>
      <c r="U17" s="203">
        <v>0.76</v>
      </c>
      <c r="V17" s="191"/>
      <c r="W17" s="370"/>
    </row>
    <row r="18" spans="2:23" ht="14.45" customHeight="1">
      <c r="B18" s="79"/>
      <c r="D18" s="243">
        <v>45914</v>
      </c>
      <c r="E18" s="243" t="s">
        <v>153</v>
      </c>
      <c r="F18" s="199">
        <v>335.39869069636433</v>
      </c>
      <c r="G18" s="89"/>
      <c r="H18" s="371"/>
      <c r="I18" s="86">
        <f t="shared" si="0"/>
        <v>0.91638986529061295</v>
      </c>
      <c r="J18" s="191"/>
      <c r="K18" s="370"/>
      <c r="L18" s="216">
        <v>2.5160346706849792E-3</v>
      </c>
      <c r="M18" s="242"/>
      <c r="N18" s="370"/>
      <c r="O18" s="216">
        <v>2.3379826254141889E-3</v>
      </c>
      <c r="P18" s="242"/>
      <c r="Q18" s="370"/>
      <c r="R18" s="203">
        <v>0.91666666666666663</v>
      </c>
      <c r="S18" s="191"/>
      <c r="T18" s="370"/>
      <c r="U18" s="203">
        <v>0.76</v>
      </c>
      <c r="V18" s="191"/>
      <c r="W18" s="370"/>
    </row>
    <row r="19" spans="2:23" ht="14.45" customHeight="1">
      <c r="B19" s="79"/>
      <c r="D19" s="243">
        <v>45915</v>
      </c>
      <c r="E19" s="243" t="s">
        <v>147</v>
      </c>
      <c r="F19" s="199">
        <v>343.82912388628915</v>
      </c>
      <c r="G19" s="89"/>
      <c r="H19" s="371"/>
      <c r="I19" s="86">
        <f t="shared" si="0"/>
        <v>0.93942383575488841</v>
      </c>
      <c r="J19" s="191"/>
      <c r="K19" s="370"/>
      <c r="L19" s="216">
        <v>2.5071413896058086E-3</v>
      </c>
      <c r="M19" s="242"/>
      <c r="N19" s="370"/>
      <c r="O19" s="216">
        <v>2.5727466218085945E-3</v>
      </c>
      <c r="P19" s="242"/>
      <c r="Q19" s="370"/>
      <c r="R19" s="203">
        <v>0.91666666666666663</v>
      </c>
      <c r="S19" s="191"/>
      <c r="T19" s="370"/>
      <c r="U19" s="203">
        <v>0.76200000000000001</v>
      </c>
      <c r="V19" s="191"/>
      <c r="W19" s="370"/>
    </row>
    <row r="20" spans="2:23" ht="14.45" customHeight="1">
      <c r="B20" s="79"/>
      <c r="D20" s="82">
        <v>45916</v>
      </c>
      <c r="E20" s="82" t="s">
        <v>148</v>
      </c>
      <c r="F20" s="199">
        <v>334.89269312624998</v>
      </c>
      <c r="G20" s="89">
        <f>AVERAGE(F20:F26)</f>
        <v>327.79321477444722</v>
      </c>
      <c r="H20" s="371"/>
      <c r="I20" s="86">
        <f t="shared" si="0"/>
        <v>0.91500735826844259</v>
      </c>
      <c r="J20" s="191">
        <f>AVERAGE(I20:I26)</f>
        <v>0.89560987643291579</v>
      </c>
      <c r="K20" s="370"/>
      <c r="L20" s="216">
        <v>2.5108194992640542E-3</v>
      </c>
      <c r="M20" s="242">
        <f>AVERAGE(L20:L26)</f>
        <v>2.4956549000432989E-3</v>
      </c>
      <c r="N20" s="370"/>
      <c r="O20" s="216">
        <v>2.3099353538765842E-3</v>
      </c>
      <c r="P20" s="242">
        <f>AVERAGE(O20:O26)</f>
        <v>2.39662843997175E-3</v>
      </c>
      <c r="Q20" s="370"/>
      <c r="R20" s="203">
        <v>0.91666666666666663</v>
      </c>
      <c r="S20" s="191">
        <f>AVERAGE(R20:R26)</f>
        <v>0.91666666666666674</v>
      </c>
      <c r="T20" s="370"/>
      <c r="U20" s="203">
        <v>0.76200000000000001</v>
      </c>
      <c r="V20" s="191">
        <f>AVERAGE(U20:U26)</f>
        <v>0.77642857142857136</v>
      </c>
      <c r="W20" s="370"/>
    </row>
    <row r="21" spans="2:23" ht="14.45" customHeight="1">
      <c r="B21" s="79"/>
      <c r="D21" s="82">
        <v>45917</v>
      </c>
      <c r="E21" s="82" t="s">
        <v>149</v>
      </c>
      <c r="F21" s="199">
        <v>324.97889008994059</v>
      </c>
      <c r="G21" s="89"/>
      <c r="H21" s="371"/>
      <c r="I21" s="86">
        <f t="shared" si="0"/>
        <v>0.88792046472661368</v>
      </c>
      <c r="J21" s="191"/>
      <c r="K21" s="370"/>
      <c r="L21" s="216">
        <v>2.5190697179871637E-3</v>
      </c>
      <c r="M21" s="242"/>
      <c r="N21" s="370"/>
      <c r="O21" s="216">
        <v>2.3813634417768821E-3</v>
      </c>
      <c r="P21" s="242"/>
      <c r="Q21" s="370"/>
      <c r="R21" s="203">
        <v>0.91666666666666663</v>
      </c>
      <c r="S21" s="191"/>
      <c r="T21" s="370"/>
      <c r="U21" s="203">
        <v>0.76800000000000002</v>
      </c>
      <c r="V21" s="191"/>
      <c r="W21" s="370"/>
    </row>
    <row r="22" spans="2:23" ht="14.45" customHeight="1">
      <c r="B22" s="79"/>
      <c r="D22" s="82">
        <v>45918</v>
      </c>
      <c r="E22" s="82" t="s">
        <v>150</v>
      </c>
      <c r="F22" s="199">
        <v>323.74465576753545</v>
      </c>
      <c r="G22" s="89"/>
      <c r="H22" s="371"/>
      <c r="I22" s="86">
        <f t="shared" si="0"/>
        <v>0.88454823980200947</v>
      </c>
      <c r="J22" s="191"/>
      <c r="K22" s="370"/>
      <c r="L22" s="216">
        <v>2.4921658317906686E-3</v>
      </c>
      <c r="M22" s="242"/>
      <c r="N22" s="370"/>
      <c r="O22" s="216">
        <v>2.4632600364023821E-3</v>
      </c>
      <c r="P22" s="242"/>
      <c r="Q22" s="370"/>
      <c r="R22" s="203">
        <v>0.91666666666666663</v>
      </c>
      <c r="S22" s="191"/>
      <c r="T22" s="370"/>
      <c r="U22" s="203">
        <v>0.77</v>
      </c>
      <c r="V22" s="191"/>
      <c r="W22" s="370"/>
    </row>
    <row r="23" spans="2:23" ht="14.45" customHeight="1">
      <c r="B23" s="79"/>
      <c r="D23" s="82">
        <v>45919</v>
      </c>
      <c r="E23" s="82" t="s">
        <v>151</v>
      </c>
      <c r="F23" s="199">
        <v>332.39570298476673</v>
      </c>
      <c r="G23" s="89"/>
      <c r="H23" s="371"/>
      <c r="I23" s="86">
        <f t="shared" si="0"/>
        <v>0.90818498083269594</v>
      </c>
      <c r="J23" s="191"/>
      <c r="K23" s="370"/>
      <c r="L23" s="216">
        <v>2.4696279592983299E-3</v>
      </c>
      <c r="M23" s="242"/>
      <c r="N23" s="370"/>
      <c r="O23" s="216">
        <v>2.5787795808914255E-3</v>
      </c>
      <c r="P23" s="242"/>
      <c r="Q23" s="370"/>
      <c r="R23" s="203">
        <v>0.91666666666666663</v>
      </c>
      <c r="S23" s="191"/>
      <c r="T23" s="370"/>
      <c r="U23" s="203">
        <v>0.77500000000000002</v>
      </c>
      <c r="V23" s="191"/>
      <c r="W23" s="370"/>
    </row>
    <row r="24" spans="2:23" ht="14.45" customHeight="1">
      <c r="B24" s="79"/>
      <c r="D24" s="82">
        <v>45920</v>
      </c>
      <c r="E24" s="82" t="s">
        <v>152</v>
      </c>
      <c r="F24" s="199">
        <v>326.80147111996007</v>
      </c>
      <c r="G24" s="89"/>
      <c r="H24" s="371"/>
      <c r="I24" s="86">
        <f t="shared" si="0"/>
        <v>0.89290019431683076</v>
      </c>
      <c r="J24" s="191"/>
      <c r="K24" s="370"/>
      <c r="L24" s="216">
        <v>2.4750681675087898E-3</v>
      </c>
      <c r="M24" s="242"/>
      <c r="N24" s="370"/>
      <c r="O24" s="216">
        <v>2.4739474009526949E-3</v>
      </c>
      <c r="P24" s="242"/>
      <c r="Q24" s="370"/>
      <c r="R24" s="203">
        <v>0.91666666666666663</v>
      </c>
      <c r="S24" s="191"/>
      <c r="T24" s="370"/>
      <c r="U24" s="203">
        <v>0.78</v>
      </c>
      <c r="V24" s="191"/>
      <c r="W24" s="370"/>
    </row>
    <row r="25" spans="2:23" ht="14.45" customHeight="1">
      <c r="B25" s="79"/>
      <c r="D25" s="82">
        <v>45921</v>
      </c>
      <c r="E25" s="82" t="s">
        <v>153</v>
      </c>
      <c r="F25" s="199">
        <v>325.53909033267746</v>
      </c>
      <c r="G25" s="89"/>
      <c r="H25" s="371"/>
      <c r="I25" s="86">
        <f t="shared" si="0"/>
        <v>0.88945106648272532</v>
      </c>
      <c r="J25" s="191"/>
      <c r="K25" s="370"/>
      <c r="L25" s="216">
        <v>2.4915651850521778E-3</v>
      </c>
      <c r="M25" s="242"/>
      <c r="N25" s="370"/>
      <c r="O25" s="216">
        <v>2.3575318424809643E-3</v>
      </c>
      <c r="P25" s="242"/>
      <c r="Q25" s="370"/>
      <c r="R25" s="203">
        <v>0.91666666666666663</v>
      </c>
      <c r="S25" s="191"/>
      <c r="T25" s="370"/>
      <c r="U25" s="203">
        <v>0.79</v>
      </c>
      <c r="V25" s="191"/>
      <c r="W25" s="370"/>
    </row>
    <row r="26" spans="2:23" ht="14.45" customHeight="1">
      <c r="B26" s="79"/>
      <c r="D26" s="82">
        <v>45922</v>
      </c>
      <c r="E26" s="82" t="s">
        <v>147</v>
      </c>
      <c r="F26" s="199">
        <v>326.2</v>
      </c>
      <c r="G26" s="89"/>
      <c r="H26" s="371"/>
      <c r="I26" s="86">
        <f t="shared" si="0"/>
        <v>0.89125683060109284</v>
      </c>
      <c r="J26" s="191"/>
      <c r="K26" s="370"/>
      <c r="L26" s="216">
        <v>2.5112679394019063E-3</v>
      </c>
      <c r="M26" s="242"/>
      <c r="N26" s="370"/>
      <c r="O26" s="216">
        <v>2.2115814234213152E-3</v>
      </c>
      <c r="P26" s="242"/>
      <c r="Q26" s="370"/>
      <c r="R26" s="203">
        <v>0.91666666666666663</v>
      </c>
      <c r="S26" s="191"/>
      <c r="T26" s="370"/>
      <c r="U26" s="203">
        <v>0.79</v>
      </c>
      <c r="V26" s="191"/>
      <c r="W26" s="370"/>
    </row>
    <row r="27" spans="2:23" ht="14.45" customHeight="1">
      <c r="B27" s="79"/>
      <c r="D27" s="243">
        <v>45923</v>
      </c>
      <c r="E27" s="243" t="s">
        <v>148</v>
      </c>
      <c r="F27" s="199">
        <v>324.00943659971909</v>
      </c>
      <c r="G27" s="89">
        <f>AVERAGE(F27:F33)</f>
        <v>326.24550589817773</v>
      </c>
      <c r="H27" s="371"/>
      <c r="I27" s="86">
        <f t="shared" si="0"/>
        <v>0.885271684698686</v>
      </c>
      <c r="J27" s="191">
        <f>AVERAGE(I27:I33)</f>
        <v>0.89138116365622333</v>
      </c>
      <c r="K27" s="370"/>
      <c r="L27" s="216">
        <v>2.5072466566826062E-3</v>
      </c>
      <c r="M27" s="242">
        <f>AVERAGE(L27:L33)</f>
        <v>2.4801854795592905E-3</v>
      </c>
      <c r="N27" s="370"/>
      <c r="O27" s="216">
        <v>2.1185441408859301E-3</v>
      </c>
      <c r="P27" s="242">
        <f>AVERAGE(O27:O33)</f>
        <v>2.4024262918639085E-3</v>
      </c>
      <c r="Q27" s="370"/>
      <c r="R27" s="203">
        <v>0.91666666666666663</v>
      </c>
      <c r="S27" s="191">
        <f>AVERAGE(R27:R33)</f>
        <v>0.91666666666666674</v>
      </c>
      <c r="T27" s="370"/>
      <c r="U27" s="203">
        <v>0.79500000000000004</v>
      </c>
      <c r="V27" s="191">
        <f>AVERAGE(U27:U33)</f>
        <v>0.80514285714285727</v>
      </c>
      <c r="W27" s="370"/>
    </row>
    <row r="28" spans="2:23" ht="14.45" customHeight="1">
      <c r="B28" s="79"/>
      <c r="D28" s="243">
        <v>45924</v>
      </c>
      <c r="E28" s="243" t="s">
        <v>149</v>
      </c>
      <c r="F28" s="199">
        <v>327.05523696286429</v>
      </c>
      <c r="G28" s="89"/>
      <c r="H28" s="371"/>
      <c r="I28" s="86">
        <f t="shared" si="0"/>
        <v>0.89359354361438326</v>
      </c>
      <c r="J28" s="191"/>
      <c r="K28" s="370"/>
      <c r="L28" s="216">
        <v>2.4696536237723936E-3</v>
      </c>
      <c r="M28" s="242"/>
      <c r="N28" s="370"/>
      <c r="O28" s="216">
        <v>2.2336397706554725E-3</v>
      </c>
      <c r="P28" s="242"/>
      <c r="Q28" s="370"/>
      <c r="R28" s="203">
        <v>0.91666666666666663</v>
      </c>
      <c r="S28" s="191"/>
      <c r="T28" s="370"/>
      <c r="U28" s="203">
        <v>0.8</v>
      </c>
      <c r="V28" s="191"/>
      <c r="W28" s="370"/>
    </row>
    <row r="29" spans="2:23" ht="14.45" customHeight="1">
      <c r="B29" s="79"/>
      <c r="D29" s="243">
        <v>45925</v>
      </c>
      <c r="E29" s="243" t="s">
        <v>150</v>
      </c>
      <c r="F29" s="199">
        <v>326.86454780782282</v>
      </c>
      <c r="G29" s="89"/>
      <c r="H29" s="371"/>
      <c r="I29" s="86">
        <f t="shared" si="0"/>
        <v>0.89307253499405137</v>
      </c>
      <c r="J29" s="191"/>
      <c r="K29" s="370"/>
      <c r="L29" s="216">
        <v>2.4506788072679547E-3</v>
      </c>
      <c r="M29" s="242"/>
      <c r="N29" s="370"/>
      <c r="O29" s="216">
        <v>2.4076716505183988E-3</v>
      </c>
      <c r="P29" s="242"/>
      <c r="Q29" s="370"/>
      <c r="R29" s="203">
        <v>0.91666666666666663</v>
      </c>
      <c r="S29" s="191"/>
      <c r="T29" s="370"/>
      <c r="U29" s="203">
        <v>0.80500000000000005</v>
      </c>
      <c r="V29" s="191"/>
      <c r="W29" s="370"/>
    </row>
    <row r="30" spans="2:23" ht="14.45" customHeight="1">
      <c r="B30" s="79"/>
      <c r="D30" s="243">
        <v>45926</v>
      </c>
      <c r="E30" s="243" t="s">
        <v>151</v>
      </c>
      <c r="F30" s="199">
        <v>325.69823020958785</v>
      </c>
      <c r="G30" s="89"/>
      <c r="H30" s="371"/>
      <c r="I30" s="86">
        <f t="shared" si="0"/>
        <v>0.88988587488958426</v>
      </c>
      <c r="J30" s="191"/>
      <c r="K30" s="370"/>
      <c r="L30" s="216">
        <v>2.5010137878518721E-3</v>
      </c>
      <c r="M30" s="242"/>
      <c r="N30" s="370"/>
      <c r="O30" s="216">
        <v>2.7922872224705399E-3</v>
      </c>
      <c r="P30" s="242"/>
      <c r="Q30" s="370"/>
      <c r="R30" s="203">
        <v>0.91666666666666663</v>
      </c>
      <c r="S30" s="191"/>
      <c r="T30" s="370"/>
      <c r="U30" s="203">
        <v>0.80700000000000005</v>
      </c>
      <c r="V30" s="191"/>
      <c r="W30" s="370"/>
    </row>
    <row r="31" spans="2:23" ht="14.45" customHeight="1">
      <c r="B31" s="79"/>
      <c r="D31" s="243">
        <v>45927</v>
      </c>
      <c r="E31" s="243" t="s">
        <v>152</v>
      </c>
      <c r="F31" s="199">
        <v>322.46826669522562</v>
      </c>
      <c r="G31" s="89"/>
      <c r="H31" s="371"/>
      <c r="I31" s="86">
        <f t="shared" si="0"/>
        <v>0.88106083796509738</v>
      </c>
      <c r="J31" s="191"/>
      <c r="K31" s="370"/>
      <c r="L31" s="216">
        <v>2.4939642837300642E-3</v>
      </c>
      <c r="M31" s="242"/>
      <c r="N31" s="370"/>
      <c r="O31" s="216">
        <v>2.6543178867125083E-3</v>
      </c>
      <c r="P31" s="242"/>
      <c r="Q31" s="370"/>
      <c r="R31" s="203">
        <v>0.91666666666666663</v>
      </c>
      <c r="S31" s="191"/>
      <c r="T31" s="370"/>
      <c r="U31" s="203">
        <v>0.80900000000000005</v>
      </c>
      <c r="V31" s="191"/>
      <c r="W31" s="370"/>
    </row>
    <row r="32" spans="2:23" ht="14.45" customHeight="1">
      <c r="B32" s="79"/>
      <c r="D32" s="243">
        <v>45928</v>
      </c>
      <c r="E32" s="243" t="s">
        <v>153</v>
      </c>
      <c r="F32" s="199">
        <v>324.92282301202448</v>
      </c>
      <c r="G32" s="89"/>
      <c r="H32" s="371"/>
      <c r="I32" s="86">
        <f t="shared" si="0"/>
        <v>0.88776727598913796</v>
      </c>
      <c r="J32" s="191"/>
      <c r="K32" s="370"/>
      <c r="L32" s="216">
        <v>2.4894001498659227E-3</v>
      </c>
      <c r="M32" s="242"/>
      <c r="N32" s="370"/>
      <c r="O32" s="216">
        <v>2.4833956594308452E-3</v>
      </c>
      <c r="P32" s="242"/>
      <c r="Q32" s="370"/>
      <c r="R32" s="203">
        <v>0.91666666666666663</v>
      </c>
      <c r="S32" s="191"/>
      <c r="T32" s="370"/>
      <c r="U32" s="203">
        <v>0.81</v>
      </c>
      <c r="V32" s="191"/>
      <c r="W32" s="370"/>
    </row>
    <row r="33" spans="2:23" ht="14.45" customHeight="1">
      <c r="B33" s="79"/>
      <c r="D33" s="243">
        <v>45929</v>
      </c>
      <c r="E33" s="243" t="s">
        <v>147</v>
      </c>
      <c r="F33" s="199">
        <v>332.7</v>
      </c>
      <c r="G33" s="89"/>
      <c r="H33" s="371"/>
      <c r="I33" s="86">
        <f t="shared" si="0"/>
        <v>0.90901639344262297</v>
      </c>
      <c r="J33" s="191"/>
      <c r="K33" s="370"/>
      <c r="L33" s="216">
        <v>2.4493410477442207E-3</v>
      </c>
      <c r="M33" s="242"/>
      <c r="N33" s="370"/>
      <c r="O33" s="216">
        <v>2.1271277123736678E-3</v>
      </c>
      <c r="P33" s="242"/>
      <c r="Q33" s="370"/>
      <c r="R33" s="203">
        <v>0.91666666666666663</v>
      </c>
      <c r="S33" s="191"/>
      <c r="T33" s="370"/>
      <c r="U33" s="203">
        <v>0.81</v>
      </c>
      <c r="V33" s="191"/>
      <c r="W33" s="370"/>
    </row>
    <row r="34" spans="2:23" ht="14.45" customHeight="1">
      <c r="B34" s="79"/>
      <c r="D34" s="82">
        <v>45930</v>
      </c>
      <c r="E34" s="82" t="s">
        <v>148</v>
      </c>
      <c r="F34" s="199">
        <v>311</v>
      </c>
      <c r="G34" s="89">
        <f>AVERAGE(F34:F40)</f>
        <v>311</v>
      </c>
      <c r="H34" s="371"/>
      <c r="I34" s="86">
        <f t="shared" si="0"/>
        <v>0.84972677595628421</v>
      </c>
      <c r="J34" s="191">
        <f>AVERAGE(I34:I40)</f>
        <v>0.84972677595628421</v>
      </c>
      <c r="K34" s="370"/>
      <c r="L34" s="216">
        <v>2.5287743676339334E-3</v>
      </c>
      <c r="M34" s="242">
        <f>AVERAGE(L34:L40)</f>
        <v>2.5287743676339334E-3</v>
      </c>
      <c r="N34" s="370"/>
      <c r="O34" s="216">
        <v>2.1434657499005095E-3</v>
      </c>
      <c r="P34" s="242">
        <f>AVERAGE(O34:O40)</f>
        <v>2.1434657499005095E-3</v>
      </c>
      <c r="Q34" s="370"/>
      <c r="R34" s="203">
        <v>0.91666666666666663</v>
      </c>
      <c r="S34" s="191">
        <f>AVERAGE(R34:R40)</f>
        <v>0.91666666666666663</v>
      </c>
      <c r="T34" s="370"/>
      <c r="U34" s="203">
        <v>0.81</v>
      </c>
      <c r="V34" s="191">
        <f>AVERAGE(U34:U40)</f>
        <v>0.81</v>
      </c>
      <c r="W34" s="370"/>
    </row>
    <row r="35" spans="2:23">
      <c r="B35" s="79"/>
      <c r="D35" s="82"/>
      <c r="E35" s="82"/>
      <c r="F35" s="199"/>
      <c r="G35" s="89"/>
      <c r="H35" s="89"/>
      <c r="I35" s="86"/>
      <c r="J35" s="191"/>
      <c r="K35" s="191"/>
      <c r="L35" s="216"/>
      <c r="M35" s="86"/>
      <c r="N35" s="242"/>
      <c r="O35" s="216"/>
      <c r="P35" s="86"/>
      <c r="Q35" s="242"/>
      <c r="R35" s="203"/>
      <c r="S35" s="191"/>
      <c r="T35" s="191"/>
      <c r="U35" s="203"/>
      <c r="V35" s="191"/>
      <c r="W35" s="191"/>
    </row>
    <row r="36" spans="2:23">
      <c r="B36" s="79"/>
      <c r="D36" s="82"/>
      <c r="E36" s="82"/>
      <c r="F36" s="199"/>
      <c r="G36" s="89"/>
      <c r="H36" s="89"/>
      <c r="I36" s="86"/>
      <c r="J36" s="191"/>
      <c r="K36" s="83"/>
      <c r="L36" s="216"/>
      <c r="M36" s="86"/>
      <c r="N36" s="86"/>
      <c r="O36" s="216"/>
      <c r="P36" s="86"/>
      <c r="Q36" s="86"/>
      <c r="R36" s="203"/>
      <c r="S36" s="191"/>
      <c r="T36" s="191"/>
      <c r="U36" s="203"/>
      <c r="V36" s="191"/>
      <c r="W36" s="191"/>
    </row>
    <row r="37" spans="2:23">
      <c r="B37" s="79"/>
      <c r="D37" s="82"/>
      <c r="E37" s="82"/>
      <c r="F37" s="199"/>
      <c r="G37" s="89"/>
      <c r="H37" s="89"/>
      <c r="I37" s="86"/>
      <c r="J37" s="191"/>
      <c r="K37" s="83"/>
      <c r="L37" s="216"/>
      <c r="M37" s="86"/>
      <c r="N37" s="86"/>
      <c r="O37" s="216"/>
      <c r="P37" s="86"/>
      <c r="Q37" s="86"/>
      <c r="R37" s="203"/>
      <c r="S37" s="191"/>
      <c r="T37" s="191"/>
      <c r="U37" s="203"/>
      <c r="V37" s="191"/>
      <c r="W37" s="191"/>
    </row>
    <row r="38" spans="2:23">
      <c r="B38" s="79"/>
      <c r="D38" s="82"/>
      <c r="E38" s="82"/>
      <c r="F38" s="199"/>
      <c r="G38" s="89"/>
      <c r="H38" s="89"/>
      <c r="I38" s="86"/>
      <c r="J38" s="191"/>
      <c r="K38" s="83"/>
      <c r="L38" s="216"/>
      <c r="M38" s="86"/>
      <c r="N38" s="86"/>
      <c r="O38" s="216"/>
      <c r="P38" s="86"/>
      <c r="Q38" s="86"/>
      <c r="R38" s="203"/>
      <c r="S38" s="191"/>
      <c r="T38" s="191"/>
      <c r="U38" s="203"/>
      <c r="V38" s="191"/>
      <c r="W38" s="191"/>
    </row>
    <row r="39" spans="2:23">
      <c r="B39" s="79"/>
      <c r="D39" s="82"/>
      <c r="E39" s="82"/>
      <c r="F39" s="199"/>
      <c r="G39" s="89"/>
      <c r="H39" s="89"/>
      <c r="I39" s="86"/>
      <c r="J39" s="191"/>
      <c r="K39" s="83"/>
      <c r="L39" s="216"/>
      <c r="M39" s="86"/>
      <c r="N39" s="86"/>
      <c r="O39" s="216"/>
      <c r="P39" s="86"/>
      <c r="Q39" s="86"/>
      <c r="R39" s="203"/>
      <c r="S39" s="191"/>
      <c r="T39" s="191"/>
      <c r="U39" s="203"/>
      <c r="V39" s="191"/>
      <c r="W39" s="191"/>
    </row>
    <row r="40" spans="2:23">
      <c r="B40" s="79"/>
      <c r="D40" s="82"/>
      <c r="E40" s="82"/>
      <c r="F40" s="199"/>
      <c r="G40" s="89"/>
      <c r="H40" s="89"/>
      <c r="I40" s="86"/>
      <c r="J40" s="191"/>
      <c r="K40" s="83"/>
      <c r="L40" s="216"/>
      <c r="M40" s="86"/>
      <c r="N40" s="86"/>
      <c r="O40" s="216"/>
      <c r="P40" s="86"/>
      <c r="Q40" s="86"/>
      <c r="R40" s="203"/>
      <c r="S40" s="191"/>
      <c r="T40" s="191"/>
      <c r="U40" s="203"/>
      <c r="V40" s="191"/>
      <c r="W40" s="191"/>
    </row>
    <row r="41" spans="2:23">
      <c r="B41" s="79"/>
      <c r="D41" s="82"/>
      <c r="E41" s="82"/>
      <c r="F41" s="235"/>
      <c r="G41" s="89"/>
      <c r="H41" s="89"/>
      <c r="I41" s="86"/>
      <c r="J41" s="191"/>
      <c r="K41" s="83"/>
      <c r="L41" s="240"/>
      <c r="M41" s="86"/>
      <c r="N41" s="86"/>
      <c r="O41" s="240"/>
      <c r="P41" s="86"/>
      <c r="Q41" s="86"/>
      <c r="R41" s="239"/>
      <c r="S41" s="191"/>
      <c r="T41" s="191"/>
      <c r="U41" s="239"/>
      <c r="V41" s="191"/>
      <c r="W41" s="191"/>
    </row>
    <row r="42" spans="2:23">
      <c r="B42" s="79"/>
      <c r="D42" s="82"/>
      <c r="E42" s="82"/>
      <c r="F42" s="235"/>
      <c r="G42" s="89"/>
      <c r="H42" s="89"/>
      <c r="I42" s="86"/>
      <c r="J42" s="191"/>
      <c r="K42" s="83"/>
      <c r="L42" s="240"/>
      <c r="M42" s="86"/>
      <c r="N42" s="86"/>
      <c r="O42" s="240"/>
      <c r="P42" s="86"/>
      <c r="Q42" s="86"/>
      <c r="R42" s="239"/>
      <c r="S42" s="191"/>
      <c r="T42" s="191"/>
      <c r="U42" s="239"/>
      <c r="V42" s="191"/>
      <c r="W42" s="191"/>
    </row>
    <row r="43" spans="2:23">
      <c r="B43" s="79"/>
      <c r="D43" s="82"/>
      <c r="E43" s="82"/>
      <c r="F43" s="235"/>
      <c r="G43" s="89"/>
      <c r="H43" s="89"/>
      <c r="I43" s="86"/>
      <c r="J43" s="191"/>
      <c r="K43" s="83"/>
      <c r="L43" s="240"/>
      <c r="M43" s="86"/>
      <c r="N43" s="86"/>
      <c r="O43" s="240"/>
      <c r="P43" s="86"/>
      <c r="Q43" s="86"/>
      <c r="R43" s="239"/>
      <c r="S43" s="191"/>
      <c r="T43" s="191"/>
      <c r="U43" s="239"/>
      <c r="V43" s="191"/>
      <c r="W43" s="191"/>
    </row>
    <row r="44" spans="2:23">
      <c r="B44" s="79"/>
    </row>
    <row r="45" spans="2:23">
      <c r="B45" s="79"/>
    </row>
    <row r="46" spans="2:23">
      <c r="B46" s="79"/>
    </row>
    <row r="47" spans="2:23">
      <c r="B47" s="79"/>
    </row>
    <row r="48" spans="2:23">
      <c r="B48" s="79"/>
    </row>
    <row r="49" spans="2:2">
      <c r="B49" s="79"/>
    </row>
  </sheetData>
  <mergeCells count="15">
    <mergeCell ref="B2:U2"/>
    <mergeCell ref="F3:H3"/>
    <mergeCell ref="L3:N3"/>
    <mergeCell ref="R3:T3"/>
    <mergeCell ref="C3:C4"/>
    <mergeCell ref="D3:E4"/>
    <mergeCell ref="I3:K3"/>
    <mergeCell ref="O3:Q3"/>
    <mergeCell ref="U3:W3"/>
    <mergeCell ref="W5:W34"/>
    <mergeCell ref="H5:H34"/>
    <mergeCell ref="K5:K34"/>
    <mergeCell ref="N5:N34"/>
    <mergeCell ref="Q5:Q34"/>
    <mergeCell ref="T5:T34"/>
  </mergeCells>
  <phoneticPr fontId="1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CC"/>
  </sheetPr>
  <dimension ref="A2:AT102"/>
  <sheetViews>
    <sheetView zoomScale="115" zoomScaleNormal="115" workbookViewId="0">
      <pane xSplit="5" ySplit="6" topLeftCell="F7" activePane="bottomRight" state="frozen"/>
      <selection pane="bottomRight" activeCell="M47" sqref="M47:AL47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7" customWidth="1"/>
    <col min="9" max="9" width="10.5703125" style="93" customWidth="1"/>
    <col min="10" max="10" width="10.5703125" style="86" customWidth="1"/>
    <col min="11" max="11" width="10.5703125" style="93" customWidth="1"/>
    <col min="12" max="14" width="10.5703125" style="86" customWidth="1"/>
    <col min="15" max="15" width="10.5703125" style="93" customWidth="1"/>
    <col min="16" max="16" width="10.5703125" style="86" customWidth="1"/>
    <col min="17" max="17" width="10.5703125" style="93" customWidth="1"/>
    <col min="18" max="18" width="10.5703125" style="86" customWidth="1"/>
    <col min="19" max="19" width="10.5703125" style="93" customWidth="1"/>
    <col min="20" max="20" width="10.5703125" style="86" customWidth="1"/>
    <col min="21" max="21" width="10.5703125" style="93" customWidth="1"/>
    <col min="22" max="22" width="10.5703125" style="86" customWidth="1"/>
    <col min="23" max="23" width="10.5703125" style="93" customWidth="1"/>
    <col min="24" max="24" width="10.5703125" style="86" customWidth="1"/>
    <col min="25" max="25" width="10.5703125" style="93" customWidth="1"/>
    <col min="26" max="26" width="10.5703125" style="86" customWidth="1"/>
    <col min="27" max="27" width="10.5703125" style="93" customWidth="1"/>
    <col min="28" max="28" width="10.5703125" style="86" customWidth="1"/>
    <col min="29" max="29" width="10.5703125" style="93" customWidth="1"/>
    <col min="30" max="30" width="10.5703125" style="86" customWidth="1"/>
    <col min="31" max="31" width="10.5703125" style="93" customWidth="1"/>
    <col min="32" max="32" width="10.5703125" style="86" customWidth="1"/>
    <col min="33" max="33" width="10.42578125" style="93" customWidth="1"/>
    <col min="34" max="34" width="10.42578125" style="86" customWidth="1"/>
    <col min="35" max="35" width="10.42578125" style="93" customWidth="1"/>
    <col min="36" max="36" width="10.42578125" style="86" customWidth="1"/>
    <col min="37" max="37" width="10.42578125" style="93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9" t="s">
        <v>164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</row>
    <row r="3" spans="1:38" ht="25.35" customHeight="1">
      <c r="B3" s="79"/>
      <c r="C3" s="378" t="s">
        <v>165</v>
      </c>
      <c r="D3" s="379" t="s">
        <v>135</v>
      </c>
      <c r="E3" s="379"/>
      <c r="F3" s="380" t="s">
        <v>166</v>
      </c>
      <c r="G3" s="380"/>
      <c r="H3" s="380"/>
      <c r="I3" s="381" t="s">
        <v>167</v>
      </c>
      <c r="J3" s="381"/>
      <c r="K3" s="381"/>
      <c r="L3" s="381"/>
      <c r="M3" s="381"/>
      <c r="N3" s="381"/>
      <c r="O3" s="381"/>
      <c r="P3" s="381"/>
      <c r="Q3" s="381"/>
      <c r="R3" s="381"/>
      <c r="S3" s="381"/>
      <c r="T3" s="381"/>
      <c r="U3" s="381"/>
      <c r="V3" s="381"/>
      <c r="W3" s="381"/>
      <c r="X3" s="381"/>
      <c r="Y3" s="381"/>
      <c r="Z3" s="381"/>
      <c r="AA3" s="381"/>
      <c r="AB3" s="381"/>
      <c r="AC3" s="381"/>
      <c r="AD3" s="381"/>
      <c r="AE3" s="381"/>
      <c r="AF3" s="381"/>
      <c r="AG3" s="381"/>
      <c r="AH3" s="381"/>
      <c r="AI3" s="381"/>
      <c r="AJ3" s="381"/>
      <c r="AK3" s="381"/>
      <c r="AL3" s="381"/>
    </row>
    <row r="4" spans="1:38" ht="25.35" customHeight="1">
      <c r="B4" s="79"/>
      <c r="C4" s="378"/>
      <c r="D4" s="379"/>
      <c r="E4" s="379"/>
      <c r="F4" s="380"/>
      <c r="G4" s="380"/>
      <c r="H4" s="380"/>
      <c r="I4" s="377" t="s">
        <v>168</v>
      </c>
      <c r="J4" s="377"/>
      <c r="K4" s="377"/>
      <c r="L4" s="377"/>
      <c r="M4" s="377"/>
      <c r="N4" s="377"/>
      <c r="O4" s="377" t="s">
        <v>169</v>
      </c>
      <c r="P4" s="377"/>
      <c r="Q4" s="377"/>
      <c r="R4" s="377"/>
      <c r="S4" s="377"/>
      <c r="T4" s="377"/>
      <c r="U4" s="377" t="s">
        <v>170</v>
      </c>
      <c r="V4" s="377"/>
      <c r="W4" s="377" t="s">
        <v>171</v>
      </c>
      <c r="X4" s="377"/>
      <c r="Y4" s="377" t="s">
        <v>172</v>
      </c>
      <c r="Z4" s="377"/>
      <c r="AA4" s="377"/>
      <c r="AB4" s="377"/>
      <c r="AC4" s="377"/>
      <c r="AD4" s="377"/>
      <c r="AE4" s="377" t="s">
        <v>173</v>
      </c>
      <c r="AF4" s="377"/>
      <c r="AG4" s="377" t="s">
        <v>174</v>
      </c>
      <c r="AH4" s="377"/>
      <c r="AI4" s="377" t="s">
        <v>175</v>
      </c>
      <c r="AJ4" s="377"/>
      <c r="AK4" s="377" t="s">
        <v>176</v>
      </c>
      <c r="AL4" s="377"/>
    </row>
    <row r="5" spans="1:38" ht="25.35" customHeight="1">
      <c r="B5" s="79"/>
      <c r="C5" s="378"/>
      <c r="D5" s="379"/>
      <c r="E5" s="379"/>
      <c r="F5" s="383" t="s">
        <v>142</v>
      </c>
      <c r="G5" s="383" t="s">
        <v>143</v>
      </c>
      <c r="H5" s="383" t="s">
        <v>144</v>
      </c>
      <c r="I5" s="377" t="s">
        <v>177</v>
      </c>
      <c r="J5" s="377"/>
      <c r="K5" s="377" t="s">
        <v>178</v>
      </c>
      <c r="L5" s="377"/>
      <c r="M5" s="382" t="s">
        <v>179</v>
      </c>
      <c r="N5" s="377"/>
      <c r="O5" s="377" t="s">
        <v>177</v>
      </c>
      <c r="P5" s="377"/>
      <c r="Q5" s="377" t="s">
        <v>178</v>
      </c>
      <c r="R5" s="377"/>
      <c r="S5" s="382" t="s">
        <v>179</v>
      </c>
      <c r="T5" s="377"/>
      <c r="U5" s="377" t="s">
        <v>177</v>
      </c>
      <c r="V5" s="377"/>
      <c r="W5" s="377" t="s">
        <v>177</v>
      </c>
      <c r="X5" s="377"/>
      <c r="Y5" s="377" t="s">
        <v>177</v>
      </c>
      <c r="Z5" s="377"/>
      <c r="AA5" s="377" t="s">
        <v>178</v>
      </c>
      <c r="AB5" s="377"/>
      <c r="AC5" s="382" t="s">
        <v>179</v>
      </c>
      <c r="AD5" s="377"/>
      <c r="AE5" s="377" t="s">
        <v>177</v>
      </c>
      <c r="AF5" s="377"/>
      <c r="AG5" s="377" t="s">
        <v>177</v>
      </c>
      <c r="AH5" s="377"/>
      <c r="AI5" s="377" t="s">
        <v>177</v>
      </c>
      <c r="AJ5" s="377"/>
      <c r="AK5" s="377" t="s">
        <v>177</v>
      </c>
      <c r="AL5" s="377"/>
    </row>
    <row r="6" spans="1:38" s="78" customFormat="1" ht="23.45" customHeight="1">
      <c r="B6" s="79"/>
      <c r="C6" s="378"/>
      <c r="D6" s="379"/>
      <c r="E6" s="379"/>
      <c r="F6" s="383"/>
      <c r="G6" s="383"/>
      <c r="H6" s="383"/>
      <c r="I6" s="94" t="s">
        <v>180</v>
      </c>
      <c r="J6" s="95" t="s">
        <v>181</v>
      </c>
      <c r="K6" s="94" t="s">
        <v>180</v>
      </c>
      <c r="L6" s="95" t="s">
        <v>181</v>
      </c>
      <c r="M6" s="94" t="s">
        <v>180</v>
      </c>
      <c r="N6" s="95" t="s">
        <v>181</v>
      </c>
      <c r="O6" s="94" t="s">
        <v>180</v>
      </c>
      <c r="P6" s="95" t="s">
        <v>181</v>
      </c>
      <c r="Q6" s="94" t="s">
        <v>180</v>
      </c>
      <c r="R6" s="95" t="s">
        <v>181</v>
      </c>
      <c r="S6" s="94" t="s">
        <v>180</v>
      </c>
      <c r="T6" s="95" t="s">
        <v>181</v>
      </c>
      <c r="U6" s="94" t="s">
        <v>180</v>
      </c>
      <c r="V6" s="95" t="s">
        <v>181</v>
      </c>
      <c r="W6" s="94" t="s">
        <v>180</v>
      </c>
      <c r="X6" s="95" t="s">
        <v>181</v>
      </c>
      <c r="Y6" s="94" t="s">
        <v>180</v>
      </c>
      <c r="Z6" s="95" t="s">
        <v>181</v>
      </c>
      <c r="AA6" s="94" t="s">
        <v>180</v>
      </c>
      <c r="AB6" s="95" t="s">
        <v>181</v>
      </c>
      <c r="AC6" s="94" t="s">
        <v>180</v>
      </c>
      <c r="AD6" s="95" t="s">
        <v>181</v>
      </c>
      <c r="AE6" s="94" t="s">
        <v>180</v>
      </c>
      <c r="AF6" s="95" t="s">
        <v>181</v>
      </c>
      <c r="AG6" s="94" t="s">
        <v>180</v>
      </c>
      <c r="AH6" s="95" t="s">
        <v>181</v>
      </c>
      <c r="AI6" s="94" t="s">
        <v>180</v>
      </c>
      <c r="AJ6" s="95" t="s">
        <v>181</v>
      </c>
      <c r="AK6" s="94" t="s">
        <v>180</v>
      </c>
      <c r="AL6" s="95" t="s">
        <v>181</v>
      </c>
    </row>
    <row r="7" spans="1:38" ht="12">
      <c r="B7" s="79"/>
      <c r="C7" s="357" t="s">
        <v>146</v>
      </c>
      <c r="D7" s="243">
        <v>45901</v>
      </c>
      <c r="E7" s="243" t="s">
        <v>147</v>
      </c>
      <c r="F7" s="198">
        <f>SUM(M7,S7,U7,W7,AC7,AE7,AG7,AI7,AK7)</f>
        <v>7106224.9999999991</v>
      </c>
      <c r="G7" s="241">
        <f>SUM(F7)</f>
        <v>7106224.9999999991</v>
      </c>
      <c r="H7" s="384">
        <f>SUM(F7:F37)</f>
        <v>214950446</v>
      </c>
      <c r="I7" s="204">
        <v>564796.27004784881</v>
      </c>
      <c r="J7" s="96">
        <f t="shared" ref="J7:J14" si="0">I7/F7</f>
        <v>7.9479086300792465E-2</v>
      </c>
      <c r="K7" s="204">
        <v>844516.5411630926</v>
      </c>
      <c r="L7" s="96">
        <f t="shared" ref="L7:L14" si="1">K7/F7</f>
        <v>0.11884179591317369</v>
      </c>
      <c r="M7" s="197">
        <f t="shared" ref="M7:M14" si="2">SUM(I7+K7)</f>
        <v>1409312.8112109415</v>
      </c>
      <c r="N7" s="96">
        <f t="shared" ref="N7:N14" si="3">M7/F7</f>
        <v>0.19832088221396615</v>
      </c>
      <c r="O7" s="204">
        <v>178305.27193870369</v>
      </c>
      <c r="P7" s="96">
        <f t="shared" ref="P7:P14" si="4">O7/F7</f>
        <v>2.5091419415892928E-2</v>
      </c>
      <c r="Q7" s="204">
        <v>117312.59658624978</v>
      </c>
      <c r="R7" s="96">
        <f t="shared" ref="R7:R14" si="5">Q7/$F7</f>
        <v>1.6508426989892636E-2</v>
      </c>
      <c r="S7" s="197">
        <f t="shared" ref="S7:S14" si="6">SUM(O7+Q7)</f>
        <v>295617.86852495349</v>
      </c>
      <c r="T7" s="96">
        <f t="shared" ref="T7:T14" si="7">S7/F7</f>
        <v>4.1599846405785568E-2</v>
      </c>
      <c r="U7" s="204">
        <v>664869.30287734128</v>
      </c>
      <c r="V7" s="96">
        <f t="shared" ref="V7:V14" si="8">U7/F7</f>
        <v>9.3561532723399746E-2</v>
      </c>
      <c r="W7" s="204">
        <v>11130.398369067578</v>
      </c>
      <c r="X7" s="96">
        <f t="shared" ref="X7:X14" si="9">W7/F7</f>
        <v>1.5662884821501682E-3</v>
      </c>
      <c r="Y7" s="204">
        <v>724213.71104631107</v>
      </c>
      <c r="Z7" s="96">
        <f t="shared" ref="Z7:Z14" si="10">Y7/F7</f>
        <v>0.10191257820380176</v>
      </c>
      <c r="AA7" s="204">
        <v>1252569.5001830829</v>
      </c>
      <c r="AB7" s="96">
        <f t="shared" ref="AB7:AB14" si="11">AA7/$F7</f>
        <v>0.17626369840289086</v>
      </c>
      <c r="AC7" s="197">
        <f t="shared" ref="AC7:AC14" si="12">SUM(Y7+AA7)</f>
        <v>1976783.211229394</v>
      </c>
      <c r="AD7" s="96">
        <f t="shared" ref="AD7:AD14" si="13">AC7/F7</f>
        <v>0.27817627660669264</v>
      </c>
      <c r="AE7" s="204">
        <v>761029.93730087741</v>
      </c>
      <c r="AF7" s="96">
        <f t="shared" ref="AF7:AF14" si="14">AE7/F7</f>
        <v>0.10709341982569895</v>
      </c>
      <c r="AG7" s="204">
        <v>885640.41441111383</v>
      </c>
      <c r="AH7" s="96">
        <f t="shared" ref="AH7:AH14" si="15">AG7/F7</f>
        <v>0.12462881690505352</v>
      </c>
      <c r="AI7" s="204">
        <v>609386.05881614168</v>
      </c>
      <c r="AJ7" s="96">
        <f t="shared" ref="AJ7:AJ14" si="16">AI7/F7</f>
        <v>8.5753836786217966E-2</v>
      </c>
      <c r="AK7" s="204">
        <v>492454.99726016948</v>
      </c>
      <c r="AL7" s="96">
        <f t="shared" ref="AL7:AL14" si="17">AK7/F7</f>
        <v>6.929910005103547E-2</v>
      </c>
    </row>
    <row r="8" spans="1:38" ht="12">
      <c r="B8" s="79"/>
      <c r="C8" s="357"/>
      <c r="D8" s="82">
        <v>45902</v>
      </c>
      <c r="E8" s="82" t="s">
        <v>148</v>
      </c>
      <c r="F8" s="198">
        <f t="shared" ref="F8:F36" si="18">SUM(M8,S8,U8,W8,AC8,AE8,AG8,AI8,AK8)</f>
        <v>7727458</v>
      </c>
      <c r="G8" s="241">
        <f>SUM(F8:F14)</f>
        <v>48362935</v>
      </c>
      <c r="H8" s="385"/>
      <c r="I8" s="204">
        <v>895945.02185481729</v>
      </c>
      <c r="J8" s="96">
        <f t="shared" si="0"/>
        <v>0.11594304645263906</v>
      </c>
      <c r="K8" s="204">
        <v>864483.49468027567</v>
      </c>
      <c r="L8" s="96">
        <f t="shared" si="1"/>
        <v>0.11187165231830126</v>
      </c>
      <c r="M8" s="197">
        <f t="shared" si="2"/>
        <v>1760428.5165350931</v>
      </c>
      <c r="N8" s="96">
        <f t="shared" si="3"/>
        <v>0.22781469877094035</v>
      </c>
      <c r="O8" s="204">
        <v>173390.15809776782</v>
      </c>
      <c r="P8" s="96">
        <f t="shared" si="4"/>
        <v>2.2438188353500959E-2</v>
      </c>
      <c r="Q8" s="204">
        <v>117719.68171027655</v>
      </c>
      <c r="R8" s="96">
        <f t="shared" si="5"/>
        <v>1.5233946494471604E-2</v>
      </c>
      <c r="S8" s="197">
        <f t="shared" si="6"/>
        <v>291109.83980804437</v>
      </c>
      <c r="T8" s="96">
        <f t="shared" si="7"/>
        <v>3.7672134847972563E-2</v>
      </c>
      <c r="U8" s="204">
        <v>654432.76618672616</v>
      </c>
      <c r="V8" s="96">
        <f t="shared" si="8"/>
        <v>8.4689268603818507E-2</v>
      </c>
      <c r="W8" s="204">
        <v>12158.13690565877</v>
      </c>
      <c r="X8" s="96">
        <f t="shared" si="9"/>
        <v>1.5733682286799579E-3</v>
      </c>
      <c r="Y8" s="204">
        <v>698241.8750627588</v>
      </c>
      <c r="Z8" s="96">
        <f t="shared" si="10"/>
        <v>9.0358546764376949E-2</v>
      </c>
      <c r="AA8" s="204">
        <v>1229944.197478238</v>
      </c>
      <c r="AB8" s="96">
        <f t="shared" si="11"/>
        <v>0.1591654328600994</v>
      </c>
      <c r="AC8" s="197">
        <f t="shared" si="12"/>
        <v>1928186.0725409968</v>
      </c>
      <c r="AD8" s="96">
        <f t="shared" si="13"/>
        <v>0.24952397962447637</v>
      </c>
      <c r="AE8" s="204">
        <v>774796.36252046062</v>
      </c>
      <c r="AF8" s="96">
        <f t="shared" si="14"/>
        <v>0.10026536055200308</v>
      </c>
      <c r="AG8" s="204">
        <v>1240057.6748251717</v>
      </c>
      <c r="AH8" s="96">
        <f t="shared" si="15"/>
        <v>0.16047420443115598</v>
      </c>
      <c r="AI8" s="204">
        <v>592076.66564673779</v>
      </c>
      <c r="AJ8" s="96">
        <f t="shared" si="16"/>
        <v>7.6619849068961327E-2</v>
      </c>
      <c r="AK8" s="204">
        <v>474211.96503111022</v>
      </c>
      <c r="AL8" s="96">
        <f t="shared" si="17"/>
        <v>6.1367135871991829E-2</v>
      </c>
    </row>
    <row r="9" spans="1:38" ht="12">
      <c r="B9" s="79"/>
      <c r="C9" s="357"/>
      <c r="D9" s="82">
        <v>45903</v>
      </c>
      <c r="E9" s="82" t="s">
        <v>149</v>
      </c>
      <c r="F9" s="198">
        <f t="shared" si="18"/>
        <v>7254649</v>
      </c>
      <c r="G9" s="241"/>
      <c r="H9" s="385"/>
      <c r="I9" s="204">
        <v>853934.48144132481</v>
      </c>
      <c r="J9" s="96">
        <f t="shared" si="0"/>
        <v>0.11770858678915062</v>
      </c>
      <c r="K9" s="204">
        <v>849068.34424354509</v>
      </c>
      <c r="L9" s="96">
        <f t="shared" si="1"/>
        <v>0.11703782557137431</v>
      </c>
      <c r="M9" s="197">
        <f t="shared" si="2"/>
        <v>1703002.8256848699</v>
      </c>
      <c r="N9" s="96">
        <f t="shared" si="3"/>
        <v>0.23474641236052493</v>
      </c>
      <c r="O9" s="204">
        <v>161410.07296267204</v>
      </c>
      <c r="P9" s="96">
        <f t="shared" si="4"/>
        <v>2.2249191237601162E-2</v>
      </c>
      <c r="Q9" s="204">
        <v>115119.30525695346</v>
      </c>
      <c r="R9" s="96">
        <f t="shared" si="5"/>
        <v>1.586834942075812E-2</v>
      </c>
      <c r="S9" s="197">
        <f t="shared" si="6"/>
        <v>276529.37821962551</v>
      </c>
      <c r="T9" s="96">
        <f t="shared" si="7"/>
        <v>3.8117540658359282E-2</v>
      </c>
      <c r="U9" s="204">
        <v>629174.44992639963</v>
      </c>
      <c r="V9" s="96">
        <f t="shared" si="8"/>
        <v>8.6727069762630782E-2</v>
      </c>
      <c r="W9" s="204">
        <v>11437.042135412441</v>
      </c>
      <c r="X9" s="96">
        <f t="shared" si="9"/>
        <v>1.5765121283486548E-3</v>
      </c>
      <c r="Y9" s="204">
        <v>665754.8201271788</v>
      </c>
      <c r="Z9" s="96">
        <f t="shared" si="10"/>
        <v>9.1769404712368413E-2</v>
      </c>
      <c r="AA9" s="204">
        <v>1124097.9310420207</v>
      </c>
      <c r="AB9" s="96">
        <f t="shared" si="11"/>
        <v>0.15494863101468048</v>
      </c>
      <c r="AC9" s="197">
        <f t="shared" si="12"/>
        <v>1789852.7511691996</v>
      </c>
      <c r="AD9" s="96">
        <f t="shared" si="13"/>
        <v>0.2467180357270489</v>
      </c>
      <c r="AE9" s="204">
        <v>742015.9358736705</v>
      </c>
      <c r="AF9" s="96">
        <f t="shared" si="14"/>
        <v>0.10228143854701592</v>
      </c>
      <c r="AG9" s="204">
        <v>1057877.4620749927</v>
      </c>
      <c r="AH9" s="96">
        <f t="shared" si="15"/>
        <v>0.14582062648034283</v>
      </c>
      <c r="AI9" s="204">
        <v>574185.35629958881</v>
      </c>
      <c r="AJ9" s="96">
        <f t="shared" si="16"/>
        <v>7.914722770179354E-2</v>
      </c>
      <c r="AK9" s="204">
        <v>470573.79861624161</v>
      </c>
      <c r="AL9" s="96">
        <f t="shared" si="17"/>
        <v>6.4865136633935228E-2</v>
      </c>
    </row>
    <row r="10" spans="1:38" ht="12">
      <c r="B10" s="79"/>
      <c r="C10" s="357"/>
      <c r="D10" s="82">
        <v>45904</v>
      </c>
      <c r="E10" s="82" t="s">
        <v>150</v>
      </c>
      <c r="F10" s="198">
        <f t="shared" si="18"/>
        <v>6602058.9999999991</v>
      </c>
      <c r="G10" s="241"/>
      <c r="H10" s="385"/>
      <c r="I10" s="204">
        <v>766879.8295513296</v>
      </c>
      <c r="J10" s="96">
        <f t="shared" si="0"/>
        <v>0.11615767589343411</v>
      </c>
      <c r="K10" s="204">
        <v>783941.3262372117</v>
      </c>
      <c r="L10" s="96">
        <f t="shared" si="1"/>
        <v>0.11874194493524093</v>
      </c>
      <c r="M10" s="197">
        <f t="shared" si="2"/>
        <v>1550821.1557885413</v>
      </c>
      <c r="N10" s="96">
        <f t="shared" si="3"/>
        <v>0.23489962082867505</v>
      </c>
      <c r="O10" s="204">
        <v>152373.3627694915</v>
      </c>
      <c r="P10" s="96">
        <f t="shared" si="4"/>
        <v>2.3079672988304333E-2</v>
      </c>
      <c r="Q10" s="204">
        <v>116613.79335836833</v>
      </c>
      <c r="R10" s="96">
        <f t="shared" si="5"/>
        <v>1.7663246171894003E-2</v>
      </c>
      <c r="S10" s="197">
        <f t="shared" si="6"/>
        <v>268987.15612785984</v>
      </c>
      <c r="T10" s="96">
        <f t="shared" si="7"/>
        <v>4.0742919160198336E-2</v>
      </c>
      <c r="U10" s="204">
        <v>592627.72346288012</v>
      </c>
      <c r="V10" s="96">
        <f t="shared" si="8"/>
        <v>8.976407564108109E-2</v>
      </c>
      <c r="W10" s="204">
        <v>11154.125371774713</v>
      </c>
      <c r="X10" s="96">
        <f t="shared" si="9"/>
        <v>1.6894919254394295E-3</v>
      </c>
      <c r="Y10" s="204">
        <v>623826.76329390204</v>
      </c>
      <c r="Z10" s="96">
        <f t="shared" si="10"/>
        <v>9.4489728627675421E-2</v>
      </c>
      <c r="AA10" s="204">
        <v>912090.60356497345</v>
      </c>
      <c r="AB10" s="96">
        <f t="shared" si="11"/>
        <v>0.138152446617786</v>
      </c>
      <c r="AC10" s="197">
        <f t="shared" si="12"/>
        <v>1535917.3668588754</v>
      </c>
      <c r="AD10" s="96">
        <f t="shared" si="13"/>
        <v>0.23264217524546138</v>
      </c>
      <c r="AE10" s="204">
        <v>686539.58391751151</v>
      </c>
      <c r="AF10" s="96">
        <f t="shared" si="14"/>
        <v>0.10398870775276495</v>
      </c>
      <c r="AG10" s="204">
        <v>974352.73253173218</v>
      </c>
      <c r="AH10" s="96">
        <f t="shared" si="15"/>
        <v>0.14758316042491174</v>
      </c>
      <c r="AI10" s="204">
        <v>542486.8982181251</v>
      </c>
      <c r="AJ10" s="96">
        <f t="shared" si="16"/>
        <v>8.2169350231211982E-2</v>
      </c>
      <c r="AK10" s="204">
        <v>439172.25772269932</v>
      </c>
      <c r="AL10" s="96">
        <f t="shared" si="17"/>
        <v>6.6520498790256094E-2</v>
      </c>
    </row>
    <row r="11" spans="1:38" ht="12">
      <c r="B11" s="79"/>
      <c r="C11" s="357"/>
      <c r="D11" s="82">
        <v>45905</v>
      </c>
      <c r="E11" s="82" t="s">
        <v>151</v>
      </c>
      <c r="F11" s="198">
        <f t="shared" si="18"/>
        <v>5807177.0000000009</v>
      </c>
      <c r="G11" s="241"/>
      <c r="H11" s="385"/>
      <c r="I11" s="204">
        <v>700967.78191338049</v>
      </c>
      <c r="J11" s="96">
        <f t="shared" si="0"/>
        <v>0.12070714943136404</v>
      </c>
      <c r="K11" s="204">
        <v>734957.28866221954</v>
      </c>
      <c r="L11" s="96">
        <f t="shared" si="1"/>
        <v>0.12656016661145672</v>
      </c>
      <c r="M11" s="197">
        <f t="shared" si="2"/>
        <v>1435925.0705756</v>
      </c>
      <c r="N11" s="96">
        <f t="shared" si="3"/>
        <v>0.24726731604282076</v>
      </c>
      <c r="O11" s="204">
        <v>119243.5158736647</v>
      </c>
      <c r="P11" s="96">
        <f t="shared" si="4"/>
        <v>2.0533818045095693E-2</v>
      </c>
      <c r="Q11" s="204">
        <v>97402.176993135727</v>
      </c>
      <c r="R11" s="96">
        <f t="shared" si="5"/>
        <v>1.6772723991904451E-2</v>
      </c>
      <c r="S11" s="197">
        <f t="shared" si="6"/>
        <v>216645.69286680041</v>
      </c>
      <c r="T11" s="96">
        <f t="shared" si="7"/>
        <v>3.7306542037000144E-2</v>
      </c>
      <c r="U11" s="204">
        <v>509402.49105089885</v>
      </c>
      <c r="V11" s="96">
        <f t="shared" si="8"/>
        <v>8.7719470415814557E-2</v>
      </c>
      <c r="W11" s="204">
        <v>9800.5843294107362</v>
      </c>
      <c r="X11" s="96">
        <f t="shared" si="9"/>
        <v>1.6876675757275411E-3</v>
      </c>
      <c r="Y11" s="204">
        <v>552530.00086749927</v>
      </c>
      <c r="Z11" s="96">
        <f t="shared" si="10"/>
        <v>9.5146058208230813E-2</v>
      </c>
      <c r="AA11" s="204">
        <v>872926.26236349822</v>
      </c>
      <c r="AB11" s="96">
        <f t="shared" si="11"/>
        <v>0.15031852178149521</v>
      </c>
      <c r="AC11" s="197">
        <f t="shared" si="12"/>
        <v>1425456.2632309976</v>
      </c>
      <c r="AD11" s="96">
        <f t="shared" si="13"/>
        <v>0.24546457998972607</v>
      </c>
      <c r="AE11" s="204">
        <v>565244.89907216455</v>
      </c>
      <c r="AF11" s="96">
        <f t="shared" si="14"/>
        <v>9.7335572701187589E-2</v>
      </c>
      <c r="AG11" s="204">
        <v>792265.17271445296</v>
      </c>
      <c r="AH11" s="96">
        <f t="shared" si="15"/>
        <v>0.13642862490922059</v>
      </c>
      <c r="AI11" s="204">
        <v>534404.30954584363</v>
      </c>
      <c r="AJ11" s="96">
        <f t="shared" si="16"/>
        <v>9.2024801301190506E-2</v>
      </c>
      <c r="AK11" s="204">
        <v>318032.5166138318</v>
      </c>
      <c r="AL11" s="96">
        <f t="shared" si="17"/>
        <v>5.4765425027312194E-2</v>
      </c>
    </row>
    <row r="12" spans="1:38" ht="12">
      <c r="B12" s="79"/>
      <c r="C12" s="357"/>
      <c r="D12" s="82">
        <v>45906</v>
      </c>
      <c r="E12" s="82" t="s">
        <v>152</v>
      </c>
      <c r="F12" s="198">
        <f t="shared" si="18"/>
        <v>6167669.0000000009</v>
      </c>
      <c r="G12" s="241"/>
      <c r="H12" s="385"/>
      <c r="I12" s="204">
        <v>686612.50312752288</v>
      </c>
      <c r="J12" s="96">
        <f t="shared" si="0"/>
        <v>0.11132447333466222</v>
      </c>
      <c r="K12" s="204">
        <v>794389.29108657711</v>
      </c>
      <c r="L12" s="96">
        <f t="shared" si="1"/>
        <v>0.1287989499901141</v>
      </c>
      <c r="M12" s="197">
        <f t="shared" si="2"/>
        <v>1481001.7942141001</v>
      </c>
      <c r="N12" s="96">
        <f t="shared" si="3"/>
        <v>0.24012342332477632</v>
      </c>
      <c r="O12" s="204">
        <v>117355.57416161375</v>
      </c>
      <c r="P12" s="96">
        <f t="shared" si="4"/>
        <v>1.9027540901046042E-2</v>
      </c>
      <c r="Q12" s="204">
        <v>97295.734102843882</v>
      </c>
      <c r="R12" s="96">
        <f t="shared" si="5"/>
        <v>1.5775122514331406E-2</v>
      </c>
      <c r="S12" s="197">
        <f t="shared" si="6"/>
        <v>214651.30826445762</v>
      </c>
      <c r="T12" s="96">
        <f t="shared" si="7"/>
        <v>3.4802663415377445E-2</v>
      </c>
      <c r="U12" s="204">
        <v>510856.35382599407</v>
      </c>
      <c r="V12" s="96">
        <f t="shared" si="8"/>
        <v>8.2828107965261105E-2</v>
      </c>
      <c r="W12" s="204">
        <v>10781.210577613198</v>
      </c>
      <c r="X12" s="96">
        <f t="shared" si="9"/>
        <v>1.7480202938278944E-3</v>
      </c>
      <c r="Y12" s="204">
        <v>593184.79404934752</v>
      </c>
      <c r="Z12" s="96">
        <f t="shared" si="10"/>
        <v>9.6176496185081825E-2</v>
      </c>
      <c r="AA12" s="204">
        <v>1000410.8272963532</v>
      </c>
      <c r="AB12" s="96">
        <f t="shared" si="11"/>
        <v>0.16220241833606067</v>
      </c>
      <c r="AC12" s="197">
        <f t="shared" si="12"/>
        <v>1593595.6213457007</v>
      </c>
      <c r="AD12" s="96">
        <f t="shared" si="13"/>
        <v>0.25837891452114248</v>
      </c>
      <c r="AE12" s="204">
        <v>611938.26799833286</v>
      </c>
      <c r="AF12" s="96">
        <f t="shared" si="14"/>
        <v>9.9217105846363146E-2</v>
      </c>
      <c r="AG12" s="204">
        <v>879693.66110324161</v>
      </c>
      <c r="AH12" s="96">
        <f t="shared" si="15"/>
        <v>0.14262984299307266</v>
      </c>
      <c r="AI12" s="204">
        <v>526676.21307572233</v>
      </c>
      <c r="AJ12" s="96">
        <f t="shared" si="16"/>
        <v>8.5393073635391628E-2</v>
      </c>
      <c r="AK12" s="204">
        <v>338474.56959483767</v>
      </c>
      <c r="AL12" s="96">
        <f t="shared" si="17"/>
        <v>5.4878848004787158E-2</v>
      </c>
    </row>
    <row r="13" spans="1:38" ht="12">
      <c r="B13" s="79"/>
      <c r="C13" s="357"/>
      <c r="D13" s="82">
        <v>45907</v>
      </c>
      <c r="E13" s="82" t="s">
        <v>153</v>
      </c>
      <c r="F13" s="198">
        <f t="shared" si="18"/>
        <v>7394780.0000000009</v>
      </c>
      <c r="G13" s="241"/>
      <c r="H13" s="385"/>
      <c r="I13" s="204">
        <v>869357.48802530079</v>
      </c>
      <c r="J13" s="96">
        <f t="shared" si="0"/>
        <v>0.11756367167451914</v>
      </c>
      <c r="K13" s="204">
        <v>860695.51284405577</v>
      </c>
      <c r="L13" s="96">
        <f t="shared" si="1"/>
        <v>0.11639230820173901</v>
      </c>
      <c r="M13" s="197">
        <f t="shared" si="2"/>
        <v>1730053.0008693566</v>
      </c>
      <c r="N13" s="96">
        <f t="shared" si="3"/>
        <v>0.23395597987625816</v>
      </c>
      <c r="O13" s="204">
        <v>167431.93186351052</v>
      </c>
      <c r="P13" s="96">
        <f t="shared" si="4"/>
        <v>2.2641908462930675E-2</v>
      </c>
      <c r="Q13" s="204">
        <v>114451.34715081632</v>
      </c>
      <c r="R13" s="96">
        <f t="shared" si="5"/>
        <v>1.5477316046023858E-2</v>
      </c>
      <c r="S13" s="197">
        <f t="shared" si="6"/>
        <v>281883.27901432686</v>
      </c>
      <c r="T13" s="96">
        <f t="shared" si="7"/>
        <v>3.8119224508954538E-2</v>
      </c>
      <c r="U13" s="204">
        <v>662934.91588169825</v>
      </c>
      <c r="V13" s="96">
        <f t="shared" si="8"/>
        <v>8.9649038359721073E-2</v>
      </c>
      <c r="W13" s="204">
        <v>14838.642813986213</v>
      </c>
      <c r="X13" s="96">
        <f t="shared" si="9"/>
        <v>2.0066374948255676E-3</v>
      </c>
      <c r="Y13" s="204">
        <v>707930.81974924006</v>
      </c>
      <c r="Z13" s="96">
        <f t="shared" si="10"/>
        <v>9.5733858174176914E-2</v>
      </c>
      <c r="AA13" s="204">
        <v>1130952.3641188948</v>
      </c>
      <c r="AB13" s="96">
        <f t="shared" si="11"/>
        <v>0.15293928475477223</v>
      </c>
      <c r="AC13" s="197">
        <f t="shared" si="12"/>
        <v>1838883.1838681349</v>
      </c>
      <c r="AD13" s="96">
        <f t="shared" si="13"/>
        <v>0.24867314292894915</v>
      </c>
      <c r="AE13" s="204">
        <v>778191.0641184689</v>
      </c>
      <c r="AF13" s="96">
        <f t="shared" si="14"/>
        <v>0.10523518808111516</v>
      </c>
      <c r="AG13" s="204">
        <v>1065808.7960687354</v>
      </c>
      <c r="AH13" s="96">
        <f t="shared" si="15"/>
        <v>0.14412988568540719</v>
      </c>
      <c r="AI13" s="204">
        <v>611514.13093732484</v>
      </c>
      <c r="AJ13" s="96">
        <f t="shared" si="16"/>
        <v>8.2695378488247762E-2</v>
      </c>
      <c r="AK13" s="204">
        <v>410672.98642796936</v>
      </c>
      <c r="AL13" s="96">
        <f t="shared" si="17"/>
        <v>5.5535524576521451E-2</v>
      </c>
    </row>
    <row r="14" spans="1:38" ht="12">
      <c r="B14" s="79"/>
      <c r="C14" s="357"/>
      <c r="D14" s="82">
        <v>45908</v>
      </c>
      <c r="E14" s="82" t="s">
        <v>147</v>
      </c>
      <c r="F14" s="198">
        <f t="shared" si="18"/>
        <v>7409143</v>
      </c>
      <c r="G14" s="241"/>
      <c r="H14" s="385"/>
      <c r="I14" s="204">
        <v>814238.04462370218</v>
      </c>
      <c r="J14" s="96">
        <f t="shared" si="0"/>
        <v>0.10989638675130203</v>
      </c>
      <c r="K14" s="204">
        <v>872064.47307271545</v>
      </c>
      <c r="L14" s="96">
        <f t="shared" si="1"/>
        <v>0.117701125902512</v>
      </c>
      <c r="M14" s="197">
        <f t="shared" si="2"/>
        <v>1686302.5176964176</v>
      </c>
      <c r="N14" s="96">
        <f t="shared" si="3"/>
        <v>0.22759751265381403</v>
      </c>
      <c r="O14" s="204">
        <v>153939.37669214242</v>
      </c>
      <c r="P14" s="96">
        <f t="shared" si="4"/>
        <v>2.077694771070587E-2</v>
      </c>
      <c r="Q14" s="204">
        <v>112956.70990239808</v>
      </c>
      <c r="R14" s="96">
        <f t="shared" si="5"/>
        <v>1.524558372033015E-2</v>
      </c>
      <c r="S14" s="197">
        <f t="shared" si="6"/>
        <v>266896.08659454051</v>
      </c>
      <c r="T14" s="96">
        <f t="shared" si="7"/>
        <v>3.6022531431036023E-2</v>
      </c>
      <c r="U14" s="204">
        <v>654977.90804619738</v>
      </c>
      <c r="V14" s="96">
        <f t="shared" si="8"/>
        <v>8.8401304718534565E-2</v>
      </c>
      <c r="W14" s="204">
        <v>13888.573381399774</v>
      </c>
      <c r="X14" s="96">
        <f t="shared" si="9"/>
        <v>1.8745181975027036E-3</v>
      </c>
      <c r="Y14" s="204">
        <v>727257.57424210629</v>
      </c>
      <c r="Z14" s="96">
        <f t="shared" si="10"/>
        <v>9.8156773899775757E-2</v>
      </c>
      <c r="AA14" s="204">
        <v>1200713.725101338</v>
      </c>
      <c r="AB14" s="96">
        <f t="shared" si="11"/>
        <v>0.16205838179953308</v>
      </c>
      <c r="AC14" s="197">
        <f t="shared" si="12"/>
        <v>1927971.2993434444</v>
      </c>
      <c r="AD14" s="96">
        <f t="shared" si="13"/>
        <v>0.26021515569930886</v>
      </c>
      <c r="AE14" s="204">
        <v>815554.0721211934</v>
      </c>
      <c r="AF14" s="96">
        <f t="shared" si="14"/>
        <v>0.11007400884571851</v>
      </c>
      <c r="AG14" s="204">
        <v>1043881.1024898164</v>
      </c>
      <c r="AH14" s="96">
        <f t="shared" si="15"/>
        <v>0.14089093738504122</v>
      </c>
      <c r="AI14" s="204">
        <v>588183.1618937524</v>
      </c>
      <c r="AJ14" s="96">
        <f t="shared" si="16"/>
        <v>7.9386126289336348E-2</v>
      </c>
      <c r="AK14" s="204">
        <v>411488.2784332381</v>
      </c>
      <c r="AL14" s="96">
        <f t="shared" si="17"/>
        <v>5.5537904779707735E-2</v>
      </c>
    </row>
    <row r="15" spans="1:38" ht="12">
      <c r="B15" s="79"/>
      <c r="C15" s="357"/>
      <c r="D15" s="243">
        <v>45909</v>
      </c>
      <c r="E15" s="243" t="s">
        <v>148</v>
      </c>
      <c r="F15" s="198">
        <f t="shared" si="18"/>
        <v>7807316</v>
      </c>
      <c r="G15" s="241">
        <f>SUM(F15:F21)</f>
        <v>50470102</v>
      </c>
      <c r="H15" s="385"/>
      <c r="I15" s="204">
        <v>935505.98117920221</v>
      </c>
      <c r="J15" s="96">
        <f t="shared" ref="J15:J36" si="19">I15/F15</f>
        <v>0.11982427522841425</v>
      </c>
      <c r="K15" s="204">
        <v>859055.75034170342</v>
      </c>
      <c r="L15" s="96">
        <f t="shared" ref="L15:L36" si="20">K15/F15</f>
        <v>0.11003214809567122</v>
      </c>
      <c r="M15" s="197">
        <f t="shared" ref="M15:M36" si="21">SUM(I15+K15)</f>
        <v>1794561.7315209056</v>
      </c>
      <c r="N15" s="96">
        <f t="shared" ref="N15:N36" si="22">M15/F15</f>
        <v>0.22985642332408546</v>
      </c>
      <c r="O15" s="204">
        <v>145071.4195694692</v>
      </c>
      <c r="P15" s="96">
        <f t="shared" ref="P15:P36" si="23">O15/F15</f>
        <v>1.8581471477453867E-2</v>
      </c>
      <c r="Q15" s="204">
        <v>109329.73621002937</v>
      </c>
      <c r="R15" s="96">
        <f t="shared" ref="R15:R36" si="24">Q15/$F15</f>
        <v>1.4003498284177221E-2</v>
      </c>
      <c r="S15" s="197">
        <f t="shared" ref="S15:S36" si="25">SUM(O15+Q15)</f>
        <v>254401.15577949857</v>
      </c>
      <c r="T15" s="96">
        <f t="shared" ref="T15:T36" si="26">S15/F15</f>
        <v>3.258496976163109E-2</v>
      </c>
      <c r="U15" s="204">
        <v>640272.04797369102</v>
      </c>
      <c r="V15" s="96">
        <f t="shared" ref="V15:V36" si="27">U15/F15</f>
        <v>8.2009239535544745E-2</v>
      </c>
      <c r="W15" s="204">
        <v>12461.268940562757</v>
      </c>
      <c r="X15" s="96">
        <f t="shared" ref="X15:X36" si="28">W15/F15</f>
        <v>1.5961015207483285E-3</v>
      </c>
      <c r="Y15" s="204">
        <v>723855.47018692677</v>
      </c>
      <c r="Z15" s="96">
        <f t="shared" ref="Z15:Z36" si="29">Y15/F15</f>
        <v>9.2715021421821114E-2</v>
      </c>
      <c r="AA15" s="204">
        <v>1170755.2382698802</v>
      </c>
      <c r="AB15" s="96">
        <f t="shared" ref="AB15:AB36" si="30">AA15/$F15</f>
        <v>0.14995617421785928</v>
      </c>
      <c r="AC15" s="197">
        <f t="shared" ref="AC15:AC36" si="31">SUM(Y15+AA15)</f>
        <v>1894610.7084568068</v>
      </c>
      <c r="AD15" s="96">
        <f t="shared" ref="AD15:AD36" si="32">AC15/F15</f>
        <v>0.24267119563968037</v>
      </c>
      <c r="AE15" s="204">
        <v>818962.8763339388</v>
      </c>
      <c r="AF15" s="96">
        <f t="shared" ref="AF15:AF36" si="33">AE15/F15</f>
        <v>0.10489685268713843</v>
      </c>
      <c r="AG15" s="204">
        <v>1405614.5800909617</v>
      </c>
      <c r="AH15" s="96">
        <f t="shared" ref="AH15:AH36" si="34">AG15/F15</f>
        <v>0.180038130913487</v>
      </c>
      <c r="AI15" s="204">
        <v>589547.64933144127</v>
      </c>
      <c r="AJ15" s="96">
        <f t="shared" ref="AJ15:AJ36" si="35">AI15/F15</f>
        <v>7.551220538933498E-2</v>
      </c>
      <c r="AK15" s="204">
        <v>396883.98157219274</v>
      </c>
      <c r="AL15" s="96">
        <f t="shared" ref="AL15:AL36" si="36">AK15/F15</f>
        <v>5.0834881228349504E-2</v>
      </c>
    </row>
    <row r="16" spans="1:38" ht="12">
      <c r="B16" s="79"/>
      <c r="C16" s="357"/>
      <c r="D16" s="243">
        <v>45910</v>
      </c>
      <c r="E16" s="243" t="s">
        <v>149</v>
      </c>
      <c r="F16" s="198">
        <f t="shared" si="18"/>
        <v>7436383.0000000009</v>
      </c>
      <c r="G16" s="241"/>
      <c r="H16" s="385"/>
      <c r="I16" s="204">
        <v>922704.53890393488</v>
      </c>
      <c r="J16" s="96">
        <f t="shared" si="19"/>
        <v>0.12407974937599836</v>
      </c>
      <c r="K16" s="204">
        <v>846234.40090901754</v>
      </c>
      <c r="L16" s="96">
        <f t="shared" si="20"/>
        <v>0.11379650576214505</v>
      </c>
      <c r="M16" s="197">
        <f t="shared" si="21"/>
        <v>1768938.9398129524</v>
      </c>
      <c r="N16" s="96">
        <f t="shared" si="22"/>
        <v>0.23787625513814339</v>
      </c>
      <c r="O16" s="204">
        <v>137693.84931643619</v>
      </c>
      <c r="P16" s="96">
        <f t="shared" si="23"/>
        <v>1.8516239590730624E-2</v>
      </c>
      <c r="Q16" s="204">
        <v>106359.15592934881</v>
      </c>
      <c r="R16" s="96">
        <f t="shared" si="24"/>
        <v>1.4302538738167305E-2</v>
      </c>
      <c r="S16" s="197">
        <f t="shared" si="25"/>
        <v>244053.005245785</v>
      </c>
      <c r="T16" s="96">
        <f t="shared" si="26"/>
        <v>3.281877832889793E-2</v>
      </c>
      <c r="U16" s="204">
        <v>637306.63827161433</v>
      </c>
      <c r="V16" s="96">
        <f t="shared" si="27"/>
        <v>8.5701158516393552E-2</v>
      </c>
      <c r="W16" s="204">
        <v>10391.164944558581</v>
      </c>
      <c r="X16" s="96">
        <f t="shared" si="28"/>
        <v>1.3973412806412176E-3</v>
      </c>
      <c r="Y16" s="204">
        <v>672768.71253671206</v>
      </c>
      <c r="Z16" s="96">
        <f t="shared" si="29"/>
        <v>9.0469884692156388E-2</v>
      </c>
      <c r="AA16" s="204">
        <v>1063595.0134060008</v>
      </c>
      <c r="AB16" s="96">
        <f t="shared" si="30"/>
        <v>0.14302585186992126</v>
      </c>
      <c r="AC16" s="197">
        <f t="shared" si="31"/>
        <v>1736363.7259427127</v>
      </c>
      <c r="AD16" s="96">
        <f t="shared" si="32"/>
        <v>0.23349573656207762</v>
      </c>
      <c r="AE16" s="204">
        <v>803252.37174169777</v>
      </c>
      <c r="AF16" s="96">
        <f t="shared" si="33"/>
        <v>0.10801654134028568</v>
      </c>
      <c r="AG16" s="204">
        <v>1211034.6479229443</v>
      </c>
      <c r="AH16" s="96">
        <f t="shared" si="34"/>
        <v>0.16285264596013199</v>
      </c>
      <c r="AI16" s="204">
        <v>636227.28983227443</v>
      </c>
      <c r="AJ16" s="96">
        <f t="shared" si="35"/>
        <v>8.555601423867952E-2</v>
      </c>
      <c r="AK16" s="204">
        <v>388815.2162854608</v>
      </c>
      <c r="AL16" s="96">
        <f t="shared" si="36"/>
        <v>5.2285528634749008E-2</v>
      </c>
    </row>
    <row r="17" spans="2:38" ht="12">
      <c r="B17" s="79"/>
      <c r="C17" s="357"/>
      <c r="D17" s="243">
        <v>45911</v>
      </c>
      <c r="E17" s="243" t="s">
        <v>150</v>
      </c>
      <c r="F17" s="198">
        <f t="shared" si="18"/>
        <v>6919679.9999999991</v>
      </c>
      <c r="G17" s="241"/>
      <c r="H17" s="385"/>
      <c r="I17" s="204">
        <v>856747.58632717887</v>
      </c>
      <c r="J17" s="96">
        <f t="shared" si="19"/>
        <v>0.12381318013653507</v>
      </c>
      <c r="K17" s="204">
        <v>758956.02964242338</v>
      </c>
      <c r="L17" s="96">
        <f t="shared" si="20"/>
        <v>0.10968079877139167</v>
      </c>
      <c r="M17" s="197">
        <f t="shared" si="21"/>
        <v>1615703.6159696023</v>
      </c>
      <c r="N17" s="96">
        <f t="shared" si="22"/>
        <v>0.23349397890792672</v>
      </c>
      <c r="O17" s="204">
        <v>132525.73884927045</v>
      </c>
      <c r="P17" s="96">
        <f t="shared" si="23"/>
        <v>1.9152003972621633E-2</v>
      </c>
      <c r="Q17" s="204">
        <v>103770.66279340527</v>
      </c>
      <c r="R17" s="96">
        <f t="shared" si="24"/>
        <v>1.4996453996919696E-2</v>
      </c>
      <c r="S17" s="197">
        <f t="shared" si="25"/>
        <v>236296.40164267572</v>
      </c>
      <c r="T17" s="96">
        <f t="shared" si="26"/>
        <v>3.4148457969541329E-2</v>
      </c>
      <c r="U17" s="204">
        <v>594283.82096463442</v>
      </c>
      <c r="V17" s="96">
        <f t="shared" si="27"/>
        <v>8.5883136353795908E-2</v>
      </c>
      <c r="W17" s="204">
        <v>9754.9125826489544</v>
      </c>
      <c r="X17" s="96">
        <f t="shared" si="28"/>
        <v>1.4097346384007578E-3</v>
      </c>
      <c r="Y17" s="204">
        <v>621366.49225581123</v>
      </c>
      <c r="Z17" s="96">
        <f t="shared" si="29"/>
        <v>8.9796998164049679E-2</v>
      </c>
      <c r="AA17" s="204">
        <v>945266.21332664159</v>
      </c>
      <c r="AB17" s="96">
        <f t="shared" si="30"/>
        <v>0.13660548079197907</v>
      </c>
      <c r="AC17" s="197">
        <f t="shared" si="31"/>
        <v>1566632.7055824529</v>
      </c>
      <c r="AD17" s="96">
        <f t="shared" si="32"/>
        <v>0.22640247895602877</v>
      </c>
      <c r="AE17" s="204">
        <v>748334.75472764752</v>
      </c>
      <c r="AF17" s="96">
        <f t="shared" si="33"/>
        <v>0.10814586147446813</v>
      </c>
      <c r="AG17" s="204">
        <v>1159449.892646587</v>
      </c>
      <c r="AH17" s="96">
        <f t="shared" si="34"/>
        <v>0.16755831088237999</v>
      </c>
      <c r="AI17" s="204">
        <v>610362.09286765289</v>
      </c>
      <c r="AJ17" s="96">
        <f t="shared" si="35"/>
        <v>8.8206693498493138E-2</v>
      </c>
      <c r="AK17" s="204">
        <v>378861.80301609845</v>
      </c>
      <c r="AL17" s="96">
        <f t="shared" si="36"/>
        <v>5.4751347318965402E-2</v>
      </c>
    </row>
    <row r="18" spans="2:38" ht="12">
      <c r="B18" s="79"/>
      <c r="C18" s="357"/>
      <c r="D18" s="243">
        <v>45912</v>
      </c>
      <c r="E18" s="243" t="s">
        <v>151</v>
      </c>
      <c r="F18" s="198">
        <f t="shared" si="18"/>
        <v>6171957.9999999991</v>
      </c>
      <c r="G18" s="241"/>
      <c r="H18" s="385"/>
      <c r="I18" s="204">
        <v>693224.02690401161</v>
      </c>
      <c r="J18" s="96">
        <f t="shared" si="19"/>
        <v>0.11231833186551363</v>
      </c>
      <c r="K18" s="204">
        <v>724669.13705989765</v>
      </c>
      <c r="L18" s="96">
        <f t="shared" si="20"/>
        <v>0.11741316727364279</v>
      </c>
      <c r="M18" s="197">
        <f t="shared" si="21"/>
        <v>1417893.1639639093</v>
      </c>
      <c r="N18" s="96">
        <f t="shared" si="22"/>
        <v>0.22973149913915641</v>
      </c>
      <c r="O18" s="204">
        <v>110826.63788528276</v>
      </c>
      <c r="P18" s="96">
        <f t="shared" si="23"/>
        <v>1.7956479594527827E-2</v>
      </c>
      <c r="Q18" s="204">
        <v>94817.969870421206</v>
      </c>
      <c r="R18" s="96">
        <f t="shared" si="24"/>
        <v>1.536270497472945E-2</v>
      </c>
      <c r="S18" s="197">
        <f t="shared" si="25"/>
        <v>205644.60775570397</v>
      </c>
      <c r="T18" s="96">
        <f t="shared" si="26"/>
        <v>3.3319184569257275E-2</v>
      </c>
      <c r="U18" s="204">
        <v>514506.03814576153</v>
      </c>
      <c r="V18" s="96">
        <f t="shared" si="27"/>
        <v>8.3361882589894742E-2</v>
      </c>
      <c r="W18" s="204">
        <v>10097.029168368985</v>
      </c>
      <c r="X18" s="96">
        <f t="shared" si="28"/>
        <v>1.6359523458145675E-3</v>
      </c>
      <c r="Y18" s="204">
        <v>584650.5189800004</v>
      </c>
      <c r="Z18" s="96">
        <f t="shared" si="29"/>
        <v>9.4726911456623736E-2</v>
      </c>
      <c r="AA18" s="204">
        <v>979449.85479441332</v>
      </c>
      <c r="AB18" s="96">
        <f t="shared" si="30"/>
        <v>0.15869353854877391</v>
      </c>
      <c r="AC18" s="197">
        <f t="shared" si="31"/>
        <v>1564100.3737744137</v>
      </c>
      <c r="AD18" s="96">
        <f t="shared" si="32"/>
        <v>0.25342045000539765</v>
      </c>
      <c r="AE18" s="204">
        <v>617366.96125066211</v>
      </c>
      <c r="AF18" s="96">
        <f t="shared" si="33"/>
        <v>0.10002773208285963</v>
      </c>
      <c r="AG18" s="204">
        <v>932111.63948186859</v>
      </c>
      <c r="AH18" s="96">
        <f t="shared" si="34"/>
        <v>0.15102365237771689</v>
      </c>
      <c r="AI18" s="204">
        <v>573858.17713157553</v>
      </c>
      <c r="AJ18" s="96">
        <f t="shared" si="35"/>
        <v>9.297830236880672E-2</v>
      </c>
      <c r="AK18" s="204">
        <v>336380.00932773598</v>
      </c>
      <c r="AL18" s="96">
        <f t="shared" si="36"/>
        <v>5.4501344521096229E-2</v>
      </c>
    </row>
    <row r="19" spans="2:38" ht="12">
      <c r="B19" s="79"/>
      <c r="C19" s="357"/>
      <c r="D19" s="243">
        <v>45913</v>
      </c>
      <c r="E19" s="243" t="s">
        <v>152</v>
      </c>
      <c r="F19" s="198">
        <f t="shared" si="18"/>
        <v>6541355.0000000019</v>
      </c>
      <c r="G19" s="241"/>
      <c r="H19" s="385"/>
      <c r="I19" s="204">
        <v>683125.89623455133</v>
      </c>
      <c r="J19" s="96">
        <f t="shared" si="19"/>
        <v>0.10443186407625807</v>
      </c>
      <c r="K19" s="204">
        <v>808299.19839865156</v>
      </c>
      <c r="L19" s="96">
        <f t="shared" si="20"/>
        <v>0.12356754806896297</v>
      </c>
      <c r="M19" s="197">
        <f t="shared" si="21"/>
        <v>1491425.094633203</v>
      </c>
      <c r="N19" s="96">
        <f t="shared" si="22"/>
        <v>0.22799941214522107</v>
      </c>
      <c r="O19" s="204">
        <v>111249.54837235088</v>
      </c>
      <c r="P19" s="96">
        <f t="shared" si="23"/>
        <v>1.7007110663211346E-2</v>
      </c>
      <c r="Q19" s="204">
        <v>93680.304222179257</v>
      </c>
      <c r="R19" s="96">
        <f t="shared" si="24"/>
        <v>1.4321238370670791E-2</v>
      </c>
      <c r="S19" s="197">
        <f t="shared" si="25"/>
        <v>204929.85259453015</v>
      </c>
      <c r="T19" s="96">
        <f t="shared" si="26"/>
        <v>3.1328349033882139E-2</v>
      </c>
      <c r="U19" s="204">
        <v>543330.70176197891</v>
      </c>
      <c r="V19" s="96">
        <f t="shared" si="27"/>
        <v>8.3060879857763226E-2</v>
      </c>
      <c r="W19" s="204">
        <v>12455.071176682666</v>
      </c>
      <c r="X19" s="96">
        <f t="shared" si="28"/>
        <v>1.9040506403769039E-3</v>
      </c>
      <c r="Y19" s="204">
        <v>630925.73086401646</v>
      </c>
      <c r="Z19" s="96">
        <f t="shared" si="29"/>
        <v>9.6451840767549882E-2</v>
      </c>
      <c r="AA19" s="204">
        <v>1060648.8181163545</v>
      </c>
      <c r="AB19" s="96">
        <f t="shared" si="30"/>
        <v>0.1621451240784752</v>
      </c>
      <c r="AC19" s="197">
        <f t="shared" si="31"/>
        <v>1691574.5489803711</v>
      </c>
      <c r="AD19" s="96">
        <f t="shared" si="32"/>
        <v>0.25859696484602512</v>
      </c>
      <c r="AE19" s="204">
        <v>651474.24981296319</v>
      </c>
      <c r="AF19" s="96">
        <f t="shared" si="33"/>
        <v>9.9593165301831654E-2</v>
      </c>
      <c r="AG19" s="204">
        <v>1016529.3911254534</v>
      </c>
      <c r="AH19" s="96">
        <f t="shared" si="34"/>
        <v>0.1554004317340143</v>
      </c>
      <c r="AI19" s="204">
        <v>582194.15364716342</v>
      </c>
      <c r="AJ19" s="96">
        <f t="shared" si="35"/>
        <v>8.9002072758192038E-2</v>
      </c>
      <c r="AK19" s="204">
        <v>347441.93626765505</v>
      </c>
      <c r="AL19" s="96">
        <f t="shared" si="36"/>
        <v>5.311467368269341E-2</v>
      </c>
    </row>
    <row r="20" spans="2:38" ht="12">
      <c r="B20" s="79"/>
      <c r="C20" s="357"/>
      <c r="D20" s="243">
        <v>45914</v>
      </c>
      <c r="E20" s="243" t="s">
        <v>153</v>
      </c>
      <c r="F20" s="198">
        <f t="shared" si="18"/>
        <v>7771752.9999999991</v>
      </c>
      <c r="G20" s="241"/>
      <c r="H20" s="385"/>
      <c r="I20" s="204">
        <v>935689.60927992838</v>
      </c>
      <c r="J20" s="96">
        <f t="shared" si="19"/>
        <v>0.12039621038907547</v>
      </c>
      <c r="K20" s="204">
        <v>866163.80115347181</v>
      </c>
      <c r="L20" s="96">
        <f t="shared" si="20"/>
        <v>0.11145024824559811</v>
      </c>
      <c r="M20" s="197">
        <f t="shared" si="21"/>
        <v>1801853.4104334002</v>
      </c>
      <c r="N20" s="96">
        <f t="shared" si="22"/>
        <v>0.2318464586346736</v>
      </c>
      <c r="O20" s="204">
        <v>151097.50678585123</v>
      </c>
      <c r="P20" s="96">
        <f t="shared" si="23"/>
        <v>1.9441882260778393E-2</v>
      </c>
      <c r="Q20" s="204">
        <v>109222.70039508892</v>
      </c>
      <c r="R20" s="96">
        <f t="shared" si="24"/>
        <v>1.405380490027011E-2</v>
      </c>
      <c r="S20" s="197">
        <f t="shared" si="25"/>
        <v>260320.20718094014</v>
      </c>
      <c r="T20" s="96">
        <f t="shared" si="26"/>
        <v>3.3495687161048504E-2</v>
      </c>
      <c r="U20" s="204">
        <v>669570.64824968984</v>
      </c>
      <c r="V20" s="96">
        <f t="shared" si="27"/>
        <v>8.6154391197158467E-2</v>
      </c>
      <c r="W20" s="204">
        <v>13837.59320390987</v>
      </c>
      <c r="X20" s="96">
        <f t="shared" si="28"/>
        <v>1.7804983256557267E-3</v>
      </c>
      <c r="Y20" s="204">
        <v>724732.35952037596</v>
      </c>
      <c r="Z20" s="96">
        <f t="shared" si="29"/>
        <v>9.3252109211445097E-2</v>
      </c>
      <c r="AA20" s="204">
        <v>1141094.357747894</v>
      </c>
      <c r="AB20" s="96">
        <f t="shared" si="30"/>
        <v>0.14682586512308024</v>
      </c>
      <c r="AC20" s="197">
        <f t="shared" si="31"/>
        <v>1865826.71726827</v>
      </c>
      <c r="AD20" s="96">
        <f t="shared" si="32"/>
        <v>0.24007797433452532</v>
      </c>
      <c r="AE20" s="204">
        <v>855937.57177434396</v>
      </c>
      <c r="AF20" s="96">
        <f t="shared" si="33"/>
        <v>0.11013442807232089</v>
      </c>
      <c r="AG20" s="204">
        <v>1235869.7294346697</v>
      </c>
      <c r="AH20" s="96">
        <f t="shared" si="34"/>
        <v>0.15902071636021756</v>
      </c>
      <c r="AI20" s="204">
        <v>658283.10838447791</v>
      </c>
      <c r="AJ20" s="96">
        <f t="shared" si="35"/>
        <v>8.4702011037211034E-2</v>
      </c>
      <c r="AK20" s="204">
        <v>410254.01407029788</v>
      </c>
      <c r="AL20" s="96">
        <f t="shared" si="36"/>
        <v>5.2787834877188959E-2</v>
      </c>
    </row>
    <row r="21" spans="2:38" ht="12">
      <c r="B21" s="79"/>
      <c r="C21" s="357"/>
      <c r="D21" s="243">
        <v>45915</v>
      </c>
      <c r="E21" s="243" t="s">
        <v>147</v>
      </c>
      <c r="F21" s="198">
        <f t="shared" si="18"/>
        <v>7821657.0000000009</v>
      </c>
      <c r="G21" s="241"/>
      <c r="H21" s="385"/>
      <c r="I21" s="204">
        <v>884810.26817717461</v>
      </c>
      <c r="J21" s="96">
        <f t="shared" si="19"/>
        <v>0.11312312316650737</v>
      </c>
      <c r="K21" s="204">
        <v>849921.16369357368</v>
      </c>
      <c r="L21" s="96">
        <f t="shared" si="20"/>
        <v>0.10866254601724079</v>
      </c>
      <c r="M21" s="197">
        <f t="shared" si="21"/>
        <v>1734731.4318707483</v>
      </c>
      <c r="N21" s="96">
        <f t="shared" si="22"/>
        <v>0.22178566918374815</v>
      </c>
      <c r="O21" s="204">
        <v>142123.06447549869</v>
      </c>
      <c r="P21" s="96">
        <f t="shared" si="23"/>
        <v>1.8170454735550109E-2</v>
      </c>
      <c r="Q21" s="204">
        <v>113089.68139182049</v>
      </c>
      <c r="R21" s="96">
        <f t="shared" si="24"/>
        <v>1.4458532430125799E-2</v>
      </c>
      <c r="S21" s="197">
        <f t="shared" si="25"/>
        <v>255212.74586731917</v>
      </c>
      <c r="T21" s="96">
        <f t="shared" si="26"/>
        <v>3.2628987165675909E-2</v>
      </c>
      <c r="U21" s="204">
        <v>679271.93462901644</v>
      </c>
      <c r="V21" s="96">
        <f t="shared" si="27"/>
        <v>8.6845016935544014E-2</v>
      </c>
      <c r="W21" s="204">
        <v>14362.80130587388</v>
      </c>
      <c r="X21" s="96">
        <f t="shared" si="28"/>
        <v>1.8362862633677082E-3</v>
      </c>
      <c r="Y21" s="204">
        <v>743337.30823226052</v>
      </c>
      <c r="Z21" s="96">
        <f t="shared" si="29"/>
        <v>9.5035784390987796E-2</v>
      </c>
      <c r="AA21" s="204">
        <v>1200149.3649585037</v>
      </c>
      <c r="AB21" s="96">
        <f t="shared" si="30"/>
        <v>0.15343927315637895</v>
      </c>
      <c r="AC21" s="197">
        <f t="shared" si="31"/>
        <v>1943486.6731907642</v>
      </c>
      <c r="AD21" s="96">
        <f t="shared" si="32"/>
        <v>0.24847505754736673</v>
      </c>
      <c r="AE21" s="204">
        <v>866645.19562834792</v>
      </c>
      <c r="AF21" s="96">
        <f t="shared" si="33"/>
        <v>0.11080071596444946</v>
      </c>
      <c r="AG21" s="204">
        <v>1224710.3606075095</v>
      </c>
      <c r="AH21" s="96">
        <f t="shared" si="34"/>
        <v>0.15657940006925761</v>
      </c>
      <c r="AI21" s="204">
        <v>684941.59768359363</v>
      </c>
      <c r="AJ21" s="96">
        <f t="shared" si="35"/>
        <v>8.7569884192517461E-2</v>
      </c>
      <c r="AK21" s="204">
        <v>418294.2592168281</v>
      </c>
      <c r="AL21" s="96">
        <f t="shared" si="36"/>
        <v>5.3478982678072953E-2</v>
      </c>
    </row>
    <row r="22" spans="2:38" ht="12">
      <c r="B22" s="79"/>
      <c r="C22" s="357"/>
      <c r="D22" s="82">
        <v>45916</v>
      </c>
      <c r="E22" s="82" t="s">
        <v>148</v>
      </c>
      <c r="F22" s="198">
        <f t="shared" si="18"/>
        <v>8739776</v>
      </c>
      <c r="G22" s="241">
        <f>SUM(F22:F28)</f>
        <v>52767858</v>
      </c>
      <c r="H22" s="385"/>
      <c r="I22" s="204">
        <v>889793.58800242702</v>
      </c>
      <c r="J22" s="96">
        <f t="shared" si="19"/>
        <v>0.101809655991461</v>
      </c>
      <c r="K22" s="204">
        <v>869011.93165007373</v>
      </c>
      <c r="L22" s="96">
        <f t="shared" si="20"/>
        <v>9.9431831164788861E-2</v>
      </c>
      <c r="M22" s="197">
        <f t="shared" si="21"/>
        <v>1758805.5196525007</v>
      </c>
      <c r="N22" s="96">
        <f t="shared" si="22"/>
        <v>0.20124148715624984</v>
      </c>
      <c r="O22" s="204">
        <v>194714.00697679876</v>
      </c>
      <c r="P22" s="96">
        <f t="shared" si="23"/>
        <v>2.2279061497319699E-2</v>
      </c>
      <c r="Q22" s="204">
        <v>111579.10546871537</v>
      </c>
      <c r="R22" s="96">
        <f t="shared" si="24"/>
        <v>1.2766815244316944E-2</v>
      </c>
      <c r="S22" s="197">
        <f t="shared" si="25"/>
        <v>306293.11244551413</v>
      </c>
      <c r="T22" s="96">
        <f t="shared" si="26"/>
        <v>3.5045876741636645E-2</v>
      </c>
      <c r="U22" s="204">
        <v>703447.07766015641</v>
      </c>
      <c r="V22" s="96">
        <f t="shared" si="27"/>
        <v>8.0487998509361849E-2</v>
      </c>
      <c r="W22" s="204">
        <v>13556.610257845801</v>
      </c>
      <c r="X22" s="96">
        <f t="shared" si="28"/>
        <v>1.55113932643649E-3</v>
      </c>
      <c r="Y22" s="204">
        <v>992551.14023788134</v>
      </c>
      <c r="Z22" s="96">
        <f t="shared" si="29"/>
        <v>0.11356711433312265</v>
      </c>
      <c r="AA22" s="204">
        <v>1122255.9911009483</v>
      </c>
      <c r="AB22" s="96">
        <f t="shared" si="30"/>
        <v>0.12840786664337259</v>
      </c>
      <c r="AC22" s="197">
        <f t="shared" si="31"/>
        <v>2114807.1313388296</v>
      </c>
      <c r="AD22" s="96">
        <f t="shared" si="32"/>
        <v>0.24197498097649522</v>
      </c>
      <c r="AE22" s="204">
        <v>1089037.1340102763</v>
      </c>
      <c r="AF22" s="96">
        <f t="shared" si="33"/>
        <v>0.12460698466531366</v>
      </c>
      <c r="AG22" s="204">
        <v>1449241.2762742869</v>
      </c>
      <c r="AH22" s="96">
        <f t="shared" si="34"/>
        <v>0.16582132954829584</v>
      </c>
      <c r="AI22" s="204">
        <v>667781.17205129145</v>
      </c>
      <c r="AJ22" s="96">
        <f t="shared" si="35"/>
        <v>7.640712668737637E-2</v>
      </c>
      <c r="AK22" s="204">
        <v>636806.96630929923</v>
      </c>
      <c r="AL22" s="96">
        <f t="shared" si="36"/>
        <v>7.286307638883413E-2</v>
      </c>
    </row>
    <row r="23" spans="2:38" ht="12">
      <c r="B23" s="79"/>
      <c r="C23" s="357"/>
      <c r="D23" s="82">
        <v>45917</v>
      </c>
      <c r="E23" s="82" t="s">
        <v>149</v>
      </c>
      <c r="F23" s="198">
        <f t="shared" si="18"/>
        <v>8050591.0000000009</v>
      </c>
      <c r="G23" s="241"/>
      <c r="H23" s="385"/>
      <c r="I23" s="204">
        <v>864631.52970940794</v>
      </c>
      <c r="J23" s="96">
        <f t="shared" si="19"/>
        <v>0.10739975856547772</v>
      </c>
      <c r="K23" s="204">
        <v>859518.91049767088</v>
      </c>
      <c r="L23" s="96">
        <f t="shared" si="20"/>
        <v>0.10676469721262337</v>
      </c>
      <c r="M23" s="197">
        <f t="shared" si="21"/>
        <v>1724150.4402070788</v>
      </c>
      <c r="N23" s="96">
        <f t="shared" si="22"/>
        <v>0.21416445577810109</v>
      </c>
      <c r="O23" s="204">
        <v>169857.95175323798</v>
      </c>
      <c r="P23" s="96">
        <f t="shared" si="23"/>
        <v>2.1098817683476649E-2</v>
      </c>
      <c r="Q23" s="204">
        <v>111587.2370878238</v>
      </c>
      <c r="R23" s="96">
        <f t="shared" si="24"/>
        <v>1.3860750979378257E-2</v>
      </c>
      <c r="S23" s="197">
        <f t="shared" si="25"/>
        <v>281445.18884106178</v>
      </c>
      <c r="T23" s="96">
        <f t="shared" si="26"/>
        <v>3.4959568662854906E-2</v>
      </c>
      <c r="U23" s="204">
        <v>652766.95359742618</v>
      </c>
      <c r="V23" s="96">
        <f t="shared" si="27"/>
        <v>8.1083109749014212E-2</v>
      </c>
      <c r="W23" s="204">
        <v>12995.425134273532</v>
      </c>
      <c r="X23" s="96">
        <f t="shared" si="28"/>
        <v>1.6142200161793749E-3</v>
      </c>
      <c r="Y23" s="204">
        <v>881295.02786900883</v>
      </c>
      <c r="Z23" s="96">
        <f t="shared" si="29"/>
        <v>0.10946960637660126</v>
      </c>
      <c r="AA23" s="204">
        <v>1033941.9254980707</v>
      </c>
      <c r="AB23" s="96">
        <f t="shared" si="30"/>
        <v>0.12843056186782692</v>
      </c>
      <c r="AC23" s="197">
        <f t="shared" si="31"/>
        <v>1915236.9533670796</v>
      </c>
      <c r="AD23" s="96">
        <f t="shared" si="32"/>
        <v>0.2379001682444282</v>
      </c>
      <c r="AE23" s="204">
        <v>961258.42219320277</v>
      </c>
      <c r="AF23" s="96">
        <f t="shared" si="33"/>
        <v>0.11940221807233813</v>
      </c>
      <c r="AG23" s="204">
        <v>1290164.7451906423</v>
      </c>
      <c r="AH23" s="96">
        <f t="shared" si="34"/>
        <v>0.16025714698345031</v>
      </c>
      <c r="AI23" s="204">
        <v>678822.22270305932</v>
      </c>
      <c r="AJ23" s="96">
        <f t="shared" si="35"/>
        <v>8.4319551533925799E-2</v>
      </c>
      <c r="AK23" s="204">
        <v>533750.64876617526</v>
      </c>
      <c r="AL23" s="96">
        <f t="shared" si="36"/>
        <v>6.6299560959707834E-2</v>
      </c>
    </row>
    <row r="24" spans="2:38" ht="12">
      <c r="B24" s="79"/>
      <c r="C24" s="357"/>
      <c r="D24" s="82">
        <v>45918</v>
      </c>
      <c r="E24" s="82" t="s">
        <v>150</v>
      </c>
      <c r="F24" s="198">
        <f t="shared" si="18"/>
        <v>7502711</v>
      </c>
      <c r="G24" s="241"/>
      <c r="H24" s="385"/>
      <c r="I24" s="204">
        <v>794362.8416300898</v>
      </c>
      <c r="J24" s="96">
        <f t="shared" si="19"/>
        <v>0.1058767746258772</v>
      </c>
      <c r="K24" s="204">
        <v>790964.01982221554</v>
      </c>
      <c r="L24" s="96">
        <f t="shared" si="20"/>
        <v>0.1054237621337428</v>
      </c>
      <c r="M24" s="197">
        <f t="shared" si="21"/>
        <v>1585326.8614523052</v>
      </c>
      <c r="N24" s="96">
        <f t="shared" si="22"/>
        <v>0.21130053675961999</v>
      </c>
      <c r="O24" s="204">
        <v>158870.23267259268</v>
      </c>
      <c r="P24" s="96">
        <f t="shared" si="23"/>
        <v>2.1175043617246179E-2</v>
      </c>
      <c r="Q24" s="204">
        <v>108738.33104485777</v>
      </c>
      <c r="R24" s="96">
        <f t="shared" si="24"/>
        <v>1.4493205328694891E-2</v>
      </c>
      <c r="S24" s="197">
        <f t="shared" si="25"/>
        <v>267608.56371745048</v>
      </c>
      <c r="T24" s="96">
        <f t="shared" si="26"/>
        <v>3.5668248945941068E-2</v>
      </c>
      <c r="U24" s="204">
        <v>637088.7188753878</v>
      </c>
      <c r="V24" s="96">
        <f t="shared" si="27"/>
        <v>8.4914468766741483E-2</v>
      </c>
      <c r="W24" s="204">
        <v>11141.687047109956</v>
      </c>
      <c r="X24" s="96">
        <f t="shared" si="28"/>
        <v>1.4850214871810943E-3</v>
      </c>
      <c r="Y24" s="204">
        <v>843650.45882902027</v>
      </c>
      <c r="Z24" s="96">
        <f t="shared" si="29"/>
        <v>0.11244608233330862</v>
      </c>
      <c r="AA24" s="204">
        <v>907778.46054113063</v>
      </c>
      <c r="AB24" s="96">
        <f t="shared" si="30"/>
        <v>0.12099339299369663</v>
      </c>
      <c r="AC24" s="197">
        <f t="shared" si="31"/>
        <v>1751428.9193701509</v>
      </c>
      <c r="AD24" s="96">
        <f t="shared" si="32"/>
        <v>0.23343947532700526</v>
      </c>
      <c r="AE24" s="204">
        <v>899300.47407307464</v>
      </c>
      <c r="AF24" s="96">
        <f t="shared" si="33"/>
        <v>0.11986340325158128</v>
      </c>
      <c r="AG24" s="204">
        <v>1196489.1401636682</v>
      </c>
      <c r="AH24" s="96">
        <f t="shared" si="34"/>
        <v>0.15947424073293884</v>
      </c>
      <c r="AI24" s="204">
        <v>639993.16481971135</v>
      </c>
      <c r="AJ24" s="96">
        <f t="shared" si="35"/>
        <v>8.5301588295179087E-2</v>
      </c>
      <c r="AK24" s="204">
        <v>514333.47048114071</v>
      </c>
      <c r="AL24" s="96">
        <f t="shared" si="36"/>
        <v>6.8553016433811814E-2</v>
      </c>
    </row>
    <row r="25" spans="2:38" ht="12">
      <c r="B25" s="79"/>
      <c r="C25" s="357"/>
      <c r="D25" s="82">
        <v>45919</v>
      </c>
      <c r="E25" s="82" t="s">
        <v>151</v>
      </c>
      <c r="F25" s="198">
        <f t="shared" si="18"/>
        <v>6251144</v>
      </c>
      <c r="G25" s="241"/>
      <c r="H25" s="385"/>
      <c r="I25" s="204">
        <v>638218.99557404814</v>
      </c>
      <c r="J25" s="96">
        <f t="shared" si="19"/>
        <v>0.10209635157565529</v>
      </c>
      <c r="K25" s="204">
        <v>718364.61581671459</v>
      </c>
      <c r="L25" s="96">
        <f t="shared" si="20"/>
        <v>0.11491730406733786</v>
      </c>
      <c r="M25" s="197">
        <f t="shared" si="21"/>
        <v>1356583.6113907627</v>
      </c>
      <c r="N25" s="96">
        <f t="shared" si="22"/>
        <v>0.21701365564299313</v>
      </c>
      <c r="O25" s="204">
        <v>142786.12780138355</v>
      </c>
      <c r="P25" s="96">
        <f t="shared" si="23"/>
        <v>2.2841599521844891E-2</v>
      </c>
      <c r="Q25" s="204">
        <v>90564.124676451916</v>
      </c>
      <c r="R25" s="96">
        <f t="shared" si="24"/>
        <v>1.4487608136439014E-2</v>
      </c>
      <c r="S25" s="197">
        <f t="shared" si="25"/>
        <v>233350.25247783546</v>
      </c>
      <c r="T25" s="96">
        <f t="shared" si="26"/>
        <v>3.7329207658283903E-2</v>
      </c>
      <c r="U25" s="204">
        <v>508308.39267872483</v>
      </c>
      <c r="V25" s="96">
        <f t="shared" si="27"/>
        <v>8.1314459030015121E-2</v>
      </c>
      <c r="W25" s="204">
        <v>10258.678489353848</v>
      </c>
      <c r="X25" s="96">
        <f t="shared" si="28"/>
        <v>1.641088173517335E-3</v>
      </c>
      <c r="Y25" s="204">
        <v>727920.22158033983</v>
      </c>
      <c r="Z25" s="96">
        <f t="shared" si="29"/>
        <v>0.1164459211914395</v>
      </c>
      <c r="AA25" s="204">
        <v>912993.01051043172</v>
      </c>
      <c r="AB25" s="96">
        <f t="shared" si="30"/>
        <v>0.14605214829644489</v>
      </c>
      <c r="AC25" s="197">
        <f t="shared" si="31"/>
        <v>1640913.2320907717</v>
      </c>
      <c r="AD25" s="96">
        <f t="shared" si="32"/>
        <v>0.2624980694878844</v>
      </c>
      <c r="AE25" s="204">
        <v>659769.1982523991</v>
      </c>
      <c r="AF25" s="96">
        <f t="shared" si="33"/>
        <v>0.10554375299183623</v>
      </c>
      <c r="AG25" s="204">
        <v>880595.16184246412</v>
      </c>
      <c r="AH25" s="96">
        <f t="shared" si="34"/>
        <v>0.14086944115228575</v>
      </c>
      <c r="AI25" s="204">
        <v>551032.68527794117</v>
      </c>
      <c r="AJ25" s="96">
        <f t="shared" si="35"/>
        <v>8.8149094834152147E-2</v>
      </c>
      <c r="AK25" s="204">
        <v>410332.78749974666</v>
      </c>
      <c r="AL25" s="96">
        <f t="shared" si="36"/>
        <v>6.564123102903191E-2</v>
      </c>
    </row>
    <row r="26" spans="2:38" ht="12">
      <c r="B26" s="79"/>
      <c r="C26" s="357"/>
      <c r="D26" s="82">
        <v>45920</v>
      </c>
      <c r="E26" s="82" t="s">
        <v>152</v>
      </c>
      <c r="F26" s="198">
        <f t="shared" si="18"/>
        <v>6569111.9999999991</v>
      </c>
      <c r="G26" s="241"/>
      <c r="H26" s="385"/>
      <c r="I26" s="204">
        <v>614856.95252603886</v>
      </c>
      <c r="J26" s="96">
        <f t="shared" si="19"/>
        <v>9.3598183822416026E-2</v>
      </c>
      <c r="K26" s="204">
        <v>770452.57359598333</v>
      </c>
      <c r="L26" s="96">
        <f t="shared" si="20"/>
        <v>0.11728412814334471</v>
      </c>
      <c r="M26" s="197">
        <f t="shared" si="21"/>
        <v>1385309.5261220222</v>
      </c>
      <c r="N26" s="96">
        <f t="shared" si="22"/>
        <v>0.21088231196576074</v>
      </c>
      <c r="O26" s="204">
        <v>142994.40507825094</v>
      </c>
      <c r="P26" s="96">
        <f t="shared" si="23"/>
        <v>2.1767691748633751E-2</v>
      </c>
      <c r="Q26" s="204">
        <v>91552.390792355378</v>
      </c>
      <c r="R26" s="96">
        <f t="shared" si="24"/>
        <v>1.3936798579831702E-2</v>
      </c>
      <c r="S26" s="197">
        <f t="shared" si="25"/>
        <v>234546.79587060632</v>
      </c>
      <c r="T26" s="96">
        <f t="shared" si="26"/>
        <v>3.5704490328465455E-2</v>
      </c>
      <c r="U26" s="204">
        <v>559332.71271300595</v>
      </c>
      <c r="V26" s="96">
        <f t="shared" si="27"/>
        <v>8.5145863354591317E-2</v>
      </c>
      <c r="W26" s="204">
        <v>11291.163538859588</v>
      </c>
      <c r="X26" s="96">
        <f t="shared" si="28"/>
        <v>1.7188264622158352E-3</v>
      </c>
      <c r="Y26" s="204">
        <v>725947.52170350798</v>
      </c>
      <c r="Z26" s="96">
        <f t="shared" si="29"/>
        <v>0.11050923194847463</v>
      </c>
      <c r="AA26" s="204">
        <v>1012169.6561775515</v>
      </c>
      <c r="AB26" s="96">
        <f t="shared" si="30"/>
        <v>0.15408013384115715</v>
      </c>
      <c r="AC26" s="197">
        <f t="shared" si="31"/>
        <v>1738117.1778810595</v>
      </c>
      <c r="AD26" s="96">
        <f t="shared" si="32"/>
        <v>0.26458936578963177</v>
      </c>
      <c r="AE26" s="204">
        <v>699378.88254090748</v>
      </c>
      <c r="AF26" s="96">
        <f t="shared" si="33"/>
        <v>0.10646475239589576</v>
      </c>
      <c r="AG26" s="204">
        <v>965159.62389648624</v>
      </c>
      <c r="AH26" s="96">
        <f t="shared" si="34"/>
        <v>0.14692391055236786</v>
      </c>
      <c r="AI26" s="204">
        <v>524094.07128444826</v>
      </c>
      <c r="AJ26" s="96">
        <f t="shared" si="35"/>
        <v>7.9781570368178886E-2</v>
      </c>
      <c r="AK26" s="204">
        <v>451882.04615260416</v>
      </c>
      <c r="AL26" s="96">
        <f t="shared" si="36"/>
        <v>6.8788908782892455E-2</v>
      </c>
    </row>
    <row r="27" spans="2:38" ht="12">
      <c r="B27" s="79"/>
      <c r="C27" s="357"/>
      <c r="D27" s="82">
        <v>45921</v>
      </c>
      <c r="E27" s="82" t="s">
        <v>153</v>
      </c>
      <c r="F27" s="198">
        <f t="shared" si="18"/>
        <v>7902662.9999999991</v>
      </c>
      <c r="G27" s="241"/>
      <c r="H27" s="385"/>
      <c r="I27" s="204">
        <v>825818.00574177376</v>
      </c>
      <c r="J27" s="96">
        <f t="shared" si="19"/>
        <v>0.1044986994563445</v>
      </c>
      <c r="K27" s="204">
        <v>848067.3410398612</v>
      </c>
      <c r="L27" s="96">
        <f t="shared" si="20"/>
        <v>0.10731412196621079</v>
      </c>
      <c r="M27" s="197">
        <f t="shared" si="21"/>
        <v>1673885.346781635</v>
      </c>
      <c r="N27" s="96">
        <f t="shared" si="22"/>
        <v>0.21181282142255531</v>
      </c>
      <c r="O27" s="204">
        <v>190210.0017426656</v>
      </c>
      <c r="P27" s="96">
        <f t="shared" si="23"/>
        <v>2.4069101990388003E-2</v>
      </c>
      <c r="Q27" s="204">
        <v>108008.32522552687</v>
      </c>
      <c r="R27" s="96">
        <f t="shared" si="24"/>
        <v>1.3667332799782413E-2</v>
      </c>
      <c r="S27" s="197">
        <f t="shared" si="25"/>
        <v>298218.32696819247</v>
      </c>
      <c r="T27" s="96">
        <f t="shared" si="26"/>
        <v>3.7736434790170414E-2</v>
      </c>
      <c r="U27" s="204">
        <v>701017.79059214576</v>
      </c>
      <c r="V27" s="96">
        <f t="shared" si="27"/>
        <v>8.8706527229130971E-2</v>
      </c>
      <c r="W27" s="204">
        <v>15380.101297991951</v>
      </c>
      <c r="X27" s="96">
        <f t="shared" si="28"/>
        <v>1.9461922263409122E-3</v>
      </c>
      <c r="Y27" s="204">
        <v>810222.49962903408</v>
      </c>
      <c r="Z27" s="96">
        <f t="shared" si="29"/>
        <v>0.10252524998586351</v>
      </c>
      <c r="AA27" s="204">
        <v>1142598.3941321163</v>
      </c>
      <c r="AB27" s="96">
        <f t="shared" si="30"/>
        <v>0.1445839705086901</v>
      </c>
      <c r="AC27" s="197">
        <f t="shared" si="31"/>
        <v>1952820.8937611505</v>
      </c>
      <c r="AD27" s="96">
        <f t="shared" si="32"/>
        <v>0.24710922049455364</v>
      </c>
      <c r="AE27" s="204">
        <v>902475.93279124447</v>
      </c>
      <c r="AF27" s="96">
        <f t="shared" si="33"/>
        <v>0.11419896467700123</v>
      </c>
      <c r="AG27" s="204">
        <v>1213406.4855661888</v>
      </c>
      <c r="AH27" s="96">
        <f t="shared" si="34"/>
        <v>0.15354399973353147</v>
      </c>
      <c r="AI27" s="204">
        <v>630416.13358043542</v>
      </c>
      <c r="AJ27" s="96">
        <f t="shared" si="35"/>
        <v>7.977262013835533E-2</v>
      </c>
      <c r="AK27" s="204">
        <v>515041.988661015</v>
      </c>
      <c r="AL27" s="96">
        <f t="shared" si="36"/>
        <v>6.5173219288360784E-2</v>
      </c>
    </row>
    <row r="28" spans="2:38" ht="12">
      <c r="B28" s="79"/>
      <c r="C28" s="357"/>
      <c r="D28" s="82">
        <v>45922</v>
      </c>
      <c r="E28" s="82" t="s">
        <v>147</v>
      </c>
      <c r="F28" s="198">
        <f t="shared" si="18"/>
        <v>7751861</v>
      </c>
      <c r="G28" s="241"/>
      <c r="H28" s="385"/>
      <c r="I28" s="204">
        <v>798136.28984531097</v>
      </c>
      <c r="J28" s="96">
        <f t="shared" si="19"/>
        <v>0.10296060389180237</v>
      </c>
      <c r="K28" s="204">
        <v>834501.88459173997</v>
      </c>
      <c r="L28" s="96">
        <f t="shared" si="20"/>
        <v>0.10765181220248143</v>
      </c>
      <c r="M28" s="197">
        <f t="shared" si="21"/>
        <v>1632638.1744370509</v>
      </c>
      <c r="N28" s="96">
        <f t="shared" si="22"/>
        <v>0.2106124160942838</v>
      </c>
      <c r="O28" s="204">
        <v>171398.14808241162</v>
      </c>
      <c r="P28" s="96">
        <f t="shared" si="23"/>
        <v>2.211058068280786E-2</v>
      </c>
      <c r="Q28" s="204">
        <v>110800.43354368252</v>
      </c>
      <c r="R28" s="96">
        <f t="shared" si="24"/>
        <v>1.4293397874869341E-2</v>
      </c>
      <c r="S28" s="197">
        <f t="shared" si="25"/>
        <v>282198.58162609412</v>
      </c>
      <c r="T28" s="96">
        <f t="shared" si="26"/>
        <v>3.64039785576772E-2</v>
      </c>
      <c r="U28" s="204">
        <v>663036.5877177912</v>
      </c>
      <c r="V28" s="96">
        <f t="shared" si="27"/>
        <v>8.5532569239540182E-2</v>
      </c>
      <c r="W28" s="204">
        <v>17792.687041892044</v>
      </c>
      <c r="X28" s="96">
        <f t="shared" si="28"/>
        <v>2.2952794228240218E-3</v>
      </c>
      <c r="Y28" s="204">
        <v>817320.61885340116</v>
      </c>
      <c r="Z28" s="96">
        <f t="shared" si="29"/>
        <v>0.10543540691111479</v>
      </c>
      <c r="AA28" s="204">
        <v>1110827.8183447677</v>
      </c>
      <c r="AB28" s="96">
        <f t="shared" si="30"/>
        <v>0.14329821166101503</v>
      </c>
      <c r="AC28" s="197">
        <f t="shared" si="31"/>
        <v>1928148.4371981688</v>
      </c>
      <c r="AD28" s="96">
        <f t="shared" si="32"/>
        <v>0.24873361857212981</v>
      </c>
      <c r="AE28" s="204">
        <v>880709.23654049681</v>
      </c>
      <c r="AF28" s="96">
        <f t="shared" si="33"/>
        <v>0.11361261980065133</v>
      </c>
      <c r="AG28" s="204">
        <v>1202873.5389139494</v>
      </c>
      <c r="AH28" s="96">
        <f t="shared" si="34"/>
        <v>0.15517222753529111</v>
      </c>
      <c r="AI28" s="204">
        <v>625095.6604622812</v>
      </c>
      <c r="AJ28" s="96">
        <f t="shared" si="35"/>
        <v>8.0638141017012721E-2</v>
      </c>
      <c r="AK28" s="204">
        <v>519368.09606227506</v>
      </c>
      <c r="AL28" s="96">
        <f t="shared" si="36"/>
        <v>6.6999149760589752E-2</v>
      </c>
    </row>
    <row r="29" spans="2:38" ht="12">
      <c r="B29" s="79"/>
      <c r="C29" s="357"/>
      <c r="D29" s="243">
        <v>45923</v>
      </c>
      <c r="E29" s="243" t="s">
        <v>148</v>
      </c>
      <c r="F29" s="198">
        <f t="shared" si="18"/>
        <v>7508635.0000000019</v>
      </c>
      <c r="G29" s="241">
        <f>SUM(F29:F35)</f>
        <v>47691357</v>
      </c>
      <c r="H29" s="385"/>
      <c r="I29" s="204">
        <v>771527.24714731344</v>
      </c>
      <c r="J29" s="96">
        <f t="shared" si="19"/>
        <v>0.1027519978194856</v>
      </c>
      <c r="K29" s="204">
        <v>817056.84054251458</v>
      </c>
      <c r="L29" s="96">
        <f t="shared" si="20"/>
        <v>0.10881562901146671</v>
      </c>
      <c r="M29" s="197">
        <f t="shared" si="21"/>
        <v>1588584.0876898281</v>
      </c>
      <c r="N29" s="96">
        <f t="shared" si="22"/>
        <v>0.21156762683095232</v>
      </c>
      <c r="O29" s="204">
        <v>174166.99815517981</v>
      </c>
      <c r="P29" s="96">
        <f t="shared" si="23"/>
        <v>2.3195560598588127E-2</v>
      </c>
      <c r="Q29" s="204">
        <v>107226.69621746316</v>
      </c>
      <c r="R29" s="96">
        <f t="shared" si="24"/>
        <v>1.4280451269433544E-2</v>
      </c>
      <c r="S29" s="197">
        <f t="shared" si="25"/>
        <v>281393.69437264296</v>
      </c>
      <c r="T29" s="96">
        <f t="shared" si="26"/>
        <v>3.7476011868021672E-2</v>
      </c>
      <c r="U29" s="204">
        <v>643297.62248316908</v>
      </c>
      <c r="V29" s="96">
        <f t="shared" si="27"/>
        <v>8.5674376565536739E-2</v>
      </c>
      <c r="W29" s="204">
        <v>16624.874646018765</v>
      </c>
      <c r="X29" s="96">
        <f t="shared" si="28"/>
        <v>2.2141007847656415E-3</v>
      </c>
      <c r="Y29" s="204">
        <v>799731.86732645403</v>
      </c>
      <c r="Z29" s="96">
        <f t="shared" si="29"/>
        <v>0.10650828910001003</v>
      </c>
      <c r="AA29" s="204">
        <v>1041051.6454767667</v>
      </c>
      <c r="AB29" s="96">
        <f t="shared" si="30"/>
        <v>0.13864725685517626</v>
      </c>
      <c r="AC29" s="197">
        <f t="shared" si="31"/>
        <v>1840783.5128032207</v>
      </c>
      <c r="AD29" s="96">
        <f t="shared" si="32"/>
        <v>0.24515554595518629</v>
      </c>
      <c r="AE29" s="204">
        <v>878187.26425116591</v>
      </c>
      <c r="AF29" s="96">
        <f t="shared" si="33"/>
        <v>0.11695697876527035</v>
      </c>
      <c r="AG29" s="204">
        <v>1142712.93225156</v>
      </c>
      <c r="AH29" s="96">
        <f t="shared" si="34"/>
        <v>0.15218650690192823</v>
      </c>
      <c r="AI29" s="204">
        <v>623455.10317691707</v>
      </c>
      <c r="AJ29" s="96">
        <f t="shared" si="35"/>
        <v>8.3031749868906518E-2</v>
      </c>
      <c r="AK29" s="204">
        <v>493595.90832547907</v>
      </c>
      <c r="AL29" s="96">
        <f t="shared" si="36"/>
        <v>6.5737102459432234E-2</v>
      </c>
    </row>
    <row r="30" spans="2:38" ht="12">
      <c r="B30" s="79"/>
      <c r="C30" s="357"/>
      <c r="D30" s="243">
        <v>45924</v>
      </c>
      <c r="E30" s="243" t="s">
        <v>149</v>
      </c>
      <c r="F30" s="198">
        <f t="shared" si="18"/>
        <v>7219231.0000000019</v>
      </c>
      <c r="G30" s="241"/>
      <c r="H30" s="385"/>
      <c r="I30" s="204">
        <v>750420.9688240675</v>
      </c>
      <c r="J30" s="96">
        <f t="shared" si="19"/>
        <v>0.10394749369068081</v>
      </c>
      <c r="K30" s="204">
        <v>800296.66627413151</v>
      </c>
      <c r="L30" s="96">
        <f t="shared" si="20"/>
        <v>0.11085622087368188</v>
      </c>
      <c r="M30" s="197">
        <f t="shared" si="21"/>
        <v>1550717.6350981989</v>
      </c>
      <c r="N30" s="96">
        <f t="shared" si="22"/>
        <v>0.21480371456436267</v>
      </c>
      <c r="O30" s="204">
        <v>171741.72324471295</v>
      </c>
      <c r="P30" s="96">
        <f t="shared" si="23"/>
        <v>2.3789476087510277E-2</v>
      </c>
      <c r="Q30" s="204">
        <v>103726.56712122765</v>
      </c>
      <c r="R30" s="96">
        <f t="shared" si="24"/>
        <v>1.4368090884088294E-2</v>
      </c>
      <c r="S30" s="197">
        <f t="shared" si="25"/>
        <v>275468.2903659406</v>
      </c>
      <c r="T30" s="96">
        <f t="shared" si="26"/>
        <v>3.8157566971598569E-2</v>
      </c>
      <c r="U30" s="204">
        <v>632333.37776674936</v>
      </c>
      <c r="V30" s="96">
        <f t="shared" si="27"/>
        <v>8.7590129442699532E-2</v>
      </c>
      <c r="W30" s="204">
        <v>15164.672433944004</v>
      </c>
      <c r="X30" s="96">
        <f t="shared" si="28"/>
        <v>2.1005938768192899E-3</v>
      </c>
      <c r="Y30" s="204">
        <v>786643.60862566123</v>
      </c>
      <c r="Z30" s="96">
        <f t="shared" si="29"/>
        <v>0.10896501422736868</v>
      </c>
      <c r="AA30" s="204">
        <v>1007603.617886362</v>
      </c>
      <c r="AB30" s="96">
        <f t="shared" si="30"/>
        <v>0.13957215358344424</v>
      </c>
      <c r="AC30" s="197">
        <f t="shared" si="31"/>
        <v>1794247.2265120232</v>
      </c>
      <c r="AD30" s="96">
        <f t="shared" si="32"/>
        <v>0.24853716781081292</v>
      </c>
      <c r="AE30" s="204">
        <v>855464.92943039932</v>
      </c>
      <c r="AF30" s="96">
        <f t="shared" si="33"/>
        <v>0.1184980684826956</v>
      </c>
      <c r="AG30" s="204">
        <v>1127479.0524486357</v>
      </c>
      <c r="AH30" s="96">
        <f t="shared" si="34"/>
        <v>0.1561771679627145</v>
      </c>
      <c r="AI30" s="204">
        <v>486385.35539558856</v>
      </c>
      <c r="AJ30" s="96">
        <f t="shared" si="35"/>
        <v>6.7373568652338234E-2</v>
      </c>
      <c r="AK30" s="204">
        <v>481970.46054852166</v>
      </c>
      <c r="AL30" s="96">
        <f t="shared" si="36"/>
        <v>6.676202223595859E-2</v>
      </c>
    </row>
    <row r="31" spans="2:38" ht="12">
      <c r="B31" s="79"/>
      <c r="C31" s="357"/>
      <c r="D31" s="243">
        <v>45925</v>
      </c>
      <c r="E31" s="243" t="s">
        <v>150</v>
      </c>
      <c r="F31" s="198">
        <f t="shared" si="18"/>
        <v>6826680</v>
      </c>
      <c r="G31" s="241"/>
      <c r="H31" s="385"/>
      <c r="I31" s="204">
        <v>691778.37115463684</v>
      </c>
      <c r="J31" s="96">
        <f t="shared" si="19"/>
        <v>0.101334524418112</v>
      </c>
      <c r="K31" s="204">
        <v>722394.69647696544</v>
      </c>
      <c r="L31" s="96">
        <f t="shared" si="20"/>
        <v>0.10581932893836615</v>
      </c>
      <c r="M31" s="197">
        <f t="shared" si="21"/>
        <v>1414173.0676316023</v>
      </c>
      <c r="N31" s="96">
        <f t="shared" si="22"/>
        <v>0.20715385335647815</v>
      </c>
      <c r="O31" s="204">
        <v>158798.39979387753</v>
      </c>
      <c r="P31" s="96">
        <f t="shared" si="23"/>
        <v>2.3261438912308401E-2</v>
      </c>
      <c r="Q31" s="204">
        <v>98549.5408074773</v>
      </c>
      <c r="R31" s="96">
        <f t="shared" si="24"/>
        <v>1.4435939696525587E-2</v>
      </c>
      <c r="S31" s="197">
        <f t="shared" si="25"/>
        <v>257347.94060135481</v>
      </c>
      <c r="T31" s="96">
        <f t="shared" si="26"/>
        <v>3.7697378608833987E-2</v>
      </c>
      <c r="U31" s="204">
        <v>599978.55904727033</v>
      </c>
      <c r="V31" s="96">
        <f t="shared" si="27"/>
        <v>8.7887312580532603E-2</v>
      </c>
      <c r="W31" s="204">
        <v>14768.767961407795</v>
      </c>
      <c r="X31" s="96">
        <f t="shared" si="28"/>
        <v>2.1633895189766906E-3</v>
      </c>
      <c r="Y31" s="204">
        <v>763873.30705737532</v>
      </c>
      <c r="Z31" s="96">
        <f t="shared" si="29"/>
        <v>0.11189528541800338</v>
      </c>
      <c r="AA31" s="204">
        <v>983896.35290987149</v>
      </c>
      <c r="AB31" s="96">
        <f t="shared" si="30"/>
        <v>0.14412516082632723</v>
      </c>
      <c r="AC31" s="197">
        <f t="shared" si="31"/>
        <v>1747769.6599672469</v>
      </c>
      <c r="AD31" s="96">
        <f t="shared" si="32"/>
        <v>0.25602044624433062</v>
      </c>
      <c r="AE31" s="204">
        <v>824091.74815131747</v>
      </c>
      <c r="AF31" s="96">
        <f t="shared" si="33"/>
        <v>0.12071632889652327</v>
      </c>
      <c r="AG31" s="204">
        <v>1050628.1723076019</v>
      </c>
      <c r="AH31" s="96">
        <f t="shared" si="34"/>
        <v>0.15390031059132725</v>
      </c>
      <c r="AI31" s="204">
        <v>457107.28762160236</v>
      </c>
      <c r="AJ31" s="96">
        <f t="shared" si="35"/>
        <v>6.6958944556007066E-2</v>
      </c>
      <c r="AK31" s="204">
        <v>460814.7967105959</v>
      </c>
      <c r="AL31" s="96">
        <f t="shared" si="36"/>
        <v>6.7502035646990324E-2</v>
      </c>
    </row>
    <row r="32" spans="2:38" ht="12">
      <c r="B32" s="79"/>
      <c r="C32" s="357"/>
      <c r="D32" s="243">
        <v>45926</v>
      </c>
      <c r="E32" s="243" t="s">
        <v>151</v>
      </c>
      <c r="F32" s="198">
        <f t="shared" si="18"/>
        <v>5933194</v>
      </c>
      <c r="G32" s="241"/>
      <c r="H32" s="385"/>
      <c r="I32" s="204">
        <v>506166.8713267796</v>
      </c>
      <c r="J32" s="96">
        <f t="shared" si="19"/>
        <v>8.5311026628621889E-2</v>
      </c>
      <c r="K32" s="204">
        <v>653453.45228039136</v>
      </c>
      <c r="L32" s="96">
        <f t="shared" si="20"/>
        <v>0.1101351906376888</v>
      </c>
      <c r="M32" s="197">
        <f t="shared" si="21"/>
        <v>1159620.323607171</v>
      </c>
      <c r="N32" s="96">
        <f t="shared" si="22"/>
        <v>0.19544621726631067</v>
      </c>
      <c r="O32" s="204">
        <v>141466.99209675696</v>
      </c>
      <c r="P32" s="96">
        <f t="shared" si="23"/>
        <v>2.3843311392945682E-2</v>
      </c>
      <c r="Q32" s="204">
        <v>89111.405658222851</v>
      </c>
      <c r="R32" s="96">
        <f t="shared" si="24"/>
        <v>1.5019128930930431E-2</v>
      </c>
      <c r="S32" s="197">
        <f t="shared" si="25"/>
        <v>230578.39775497981</v>
      </c>
      <c r="T32" s="96">
        <f t="shared" si="26"/>
        <v>3.8862440323876112E-2</v>
      </c>
      <c r="U32" s="204">
        <v>529492.45354404952</v>
      </c>
      <c r="V32" s="96">
        <f t="shared" si="27"/>
        <v>8.9242396851350131E-2</v>
      </c>
      <c r="W32" s="204">
        <v>13040.800424185138</v>
      </c>
      <c r="X32" s="96">
        <f t="shared" si="28"/>
        <v>2.1979393264715662E-3</v>
      </c>
      <c r="Y32" s="204">
        <v>695107.94352610491</v>
      </c>
      <c r="Z32" s="96">
        <f t="shared" si="29"/>
        <v>0.11715577537597875</v>
      </c>
      <c r="AA32" s="204">
        <v>962528.26368856337</v>
      </c>
      <c r="AB32" s="96">
        <f t="shared" si="30"/>
        <v>0.16222767428278317</v>
      </c>
      <c r="AC32" s="197">
        <f t="shared" si="31"/>
        <v>1657636.2072146684</v>
      </c>
      <c r="AD32" s="96">
        <f t="shared" si="32"/>
        <v>0.27938344965876194</v>
      </c>
      <c r="AE32" s="204">
        <v>678746.302392037</v>
      </c>
      <c r="AF32" s="96">
        <f t="shared" si="33"/>
        <v>0.11439813065138894</v>
      </c>
      <c r="AG32" s="204">
        <v>764399.77792528505</v>
      </c>
      <c r="AH32" s="96">
        <f t="shared" si="34"/>
        <v>0.12883444868401153</v>
      </c>
      <c r="AI32" s="204">
        <v>503600.38949098595</v>
      </c>
      <c r="AJ32" s="96">
        <f t="shared" si="35"/>
        <v>8.4878463352283093E-2</v>
      </c>
      <c r="AK32" s="204">
        <v>396079.34764663863</v>
      </c>
      <c r="AL32" s="96">
        <f t="shared" si="36"/>
        <v>6.675651388554607E-2</v>
      </c>
    </row>
    <row r="33" spans="2:38" ht="12">
      <c r="B33" s="79"/>
      <c r="C33" s="357"/>
      <c r="D33" s="243">
        <v>45927</v>
      </c>
      <c r="E33" s="243" t="s">
        <v>152</v>
      </c>
      <c r="F33" s="198">
        <f t="shared" si="18"/>
        <v>6011713.9999999991</v>
      </c>
      <c r="G33" s="241"/>
      <c r="H33" s="385"/>
      <c r="I33" s="204">
        <v>481225.31757444172</v>
      </c>
      <c r="J33" s="96">
        <f t="shared" si="19"/>
        <v>8.0047939335510937E-2</v>
      </c>
      <c r="K33" s="204">
        <v>637044.29112797044</v>
      </c>
      <c r="L33" s="96">
        <f t="shared" si="20"/>
        <v>0.10596716529228944</v>
      </c>
      <c r="M33" s="197">
        <f t="shared" si="21"/>
        <v>1118269.6087024121</v>
      </c>
      <c r="N33" s="96">
        <f t="shared" si="22"/>
        <v>0.18601510462780038</v>
      </c>
      <c r="O33" s="204">
        <v>140872.9897782573</v>
      </c>
      <c r="P33" s="96">
        <f t="shared" si="23"/>
        <v>2.3433082441755765E-2</v>
      </c>
      <c r="Q33" s="204">
        <v>87187.049236974752</v>
      </c>
      <c r="R33" s="96">
        <f t="shared" si="24"/>
        <v>1.4502860454934277E-2</v>
      </c>
      <c r="S33" s="197">
        <f t="shared" si="25"/>
        <v>228060.03901523206</v>
      </c>
      <c r="T33" s="96">
        <f t="shared" si="26"/>
        <v>3.7935942896690042E-2</v>
      </c>
      <c r="U33" s="204">
        <v>544321.95537893008</v>
      </c>
      <c r="V33" s="96">
        <f t="shared" si="27"/>
        <v>9.0543554696535827E-2</v>
      </c>
      <c r="W33" s="204">
        <v>15083.729055904814</v>
      </c>
      <c r="X33" s="96">
        <f t="shared" si="28"/>
        <v>2.5090563283457624E-3</v>
      </c>
      <c r="Y33" s="204">
        <v>703524.47915652359</v>
      </c>
      <c r="Z33" s="96">
        <f t="shared" si="29"/>
        <v>0.11702560686628201</v>
      </c>
      <c r="AA33" s="204">
        <v>1011559.7676794109</v>
      </c>
      <c r="AB33" s="96">
        <f t="shared" si="30"/>
        <v>0.1682647856633584</v>
      </c>
      <c r="AC33" s="197">
        <f t="shared" si="31"/>
        <v>1715084.2468359345</v>
      </c>
      <c r="AD33" s="96">
        <f t="shared" si="32"/>
        <v>0.28529039252964045</v>
      </c>
      <c r="AE33" s="204">
        <v>663025.30070182146</v>
      </c>
      <c r="AF33" s="96">
        <f t="shared" si="33"/>
        <v>0.11028889609549315</v>
      </c>
      <c r="AG33" s="204">
        <v>816789.29507595231</v>
      </c>
      <c r="AH33" s="96">
        <f t="shared" si="34"/>
        <v>0.13586629288684599</v>
      </c>
      <c r="AI33" s="204">
        <v>512271.82470406004</v>
      </c>
      <c r="AJ33" s="96">
        <f t="shared" si="35"/>
        <v>8.5212274686397277E-2</v>
      </c>
      <c r="AK33" s="204">
        <v>398808.00052975252</v>
      </c>
      <c r="AL33" s="96">
        <f t="shared" si="36"/>
        <v>6.6338485252251292E-2</v>
      </c>
    </row>
    <row r="34" spans="2:38" ht="12">
      <c r="B34" s="79"/>
      <c r="C34" s="357"/>
      <c r="D34" s="243">
        <v>45928</v>
      </c>
      <c r="E34" s="243" t="s">
        <v>153</v>
      </c>
      <c r="F34" s="198">
        <f t="shared" si="18"/>
        <v>6495139</v>
      </c>
      <c r="G34" s="241"/>
      <c r="H34" s="385"/>
      <c r="I34" s="204">
        <v>497221.70757055684</v>
      </c>
      <c r="J34" s="96">
        <f t="shared" si="19"/>
        <v>7.6552897108215362E-2</v>
      </c>
      <c r="K34" s="204">
        <v>714318.72842404828</v>
      </c>
      <c r="L34" s="96">
        <f t="shared" si="20"/>
        <v>0.109977435190232</v>
      </c>
      <c r="M34" s="197">
        <f t="shared" si="21"/>
        <v>1211540.4359946051</v>
      </c>
      <c r="N34" s="96">
        <f t="shared" si="22"/>
        <v>0.18653033229844734</v>
      </c>
      <c r="O34" s="204">
        <v>140780.60933879518</v>
      </c>
      <c r="P34" s="96">
        <f t="shared" si="23"/>
        <v>2.1674764672287256E-2</v>
      </c>
      <c r="Q34" s="204">
        <v>91009.456479013534</v>
      </c>
      <c r="R34" s="96">
        <f t="shared" si="24"/>
        <v>1.4011933613586026E-2</v>
      </c>
      <c r="S34" s="197">
        <f t="shared" si="25"/>
        <v>231790.06581780873</v>
      </c>
      <c r="T34" s="96">
        <f t="shared" si="26"/>
        <v>3.5686698285873286E-2</v>
      </c>
      <c r="U34" s="204">
        <v>582195.2577945462</v>
      </c>
      <c r="V34" s="96">
        <f t="shared" si="27"/>
        <v>8.9635534789100926E-2</v>
      </c>
      <c r="W34" s="204">
        <v>15211.093134037468</v>
      </c>
      <c r="X34" s="96">
        <f t="shared" si="28"/>
        <v>2.3419195700103519E-3</v>
      </c>
      <c r="Y34" s="204">
        <v>737020.34324879828</v>
      </c>
      <c r="Z34" s="96">
        <f t="shared" si="29"/>
        <v>0.11347260516654044</v>
      </c>
      <c r="AA34" s="204">
        <v>1007821.3914630315</v>
      </c>
      <c r="AB34" s="96">
        <f t="shared" si="30"/>
        <v>0.15516548475144742</v>
      </c>
      <c r="AC34" s="197">
        <f t="shared" si="31"/>
        <v>1744841.7347118298</v>
      </c>
      <c r="AD34" s="96">
        <f t="shared" si="32"/>
        <v>0.26863808991798788</v>
      </c>
      <c r="AE34" s="204">
        <v>753504.45919791609</v>
      </c>
      <c r="AF34" s="96">
        <f t="shared" si="33"/>
        <v>0.11601052097544273</v>
      </c>
      <c r="AG34" s="204">
        <v>905886.83030653233</v>
      </c>
      <c r="AH34" s="96">
        <f t="shared" si="34"/>
        <v>0.13947150789329255</v>
      </c>
      <c r="AI34" s="204">
        <v>640431.02778934746</v>
      </c>
      <c r="AJ34" s="96">
        <f t="shared" si="35"/>
        <v>9.8601589248412919E-2</v>
      </c>
      <c r="AK34" s="204">
        <v>409738.09525337705</v>
      </c>
      <c r="AL34" s="96">
        <f t="shared" si="36"/>
        <v>6.3083807021432028E-2</v>
      </c>
    </row>
    <row r="35" spans="2:38" ht="12">
      <c r="B35" s="79"/>
      <c r="C35" s="357"/>
      <c r="D35" s="243">
        <v>45929</v>
      </c>
      <c r="E35" s="243" t="s">
        <v>147</v>
      </c>
      <c r="F35" s="198">
        <f t="shared" si="18"/>
        <v>7696763.9999999991</v>
      </c>
      <c r="G35" s="241"/>
      <c r="H35" s="385"/>
      <c r="I35" s="204">
        <v>718070.1267519251</v>
      </c>
      <c r="J35" s="96">
        <f t="shared" si="19"/>
        <v>9.3295068778505505E-2</v>
      </c>
      <c r="K35" s="204">
        <v>820836.75801719329</v>
      </c>
      <c r="L35" s="96">
        <f t="shared" si="20"/>
        <v>0.10664699580462561</v>
      </c>
      <c r="M35" s="197">
        <f t="shared" si="21"/>
        <v>1538906.8847691184</v>
      </c>
      <c r="N35" s="96">
        <f t="shared" si="22"/>
        <v>0.19994206458313113</v>
      </c>
      <c r="O35" s="204">
        <v>175439.15516350526</v>
      </c>
      <c r="P35" s="96">
        <f t="shared" si="23"/>
        <v>2.2793885217671384E-2</v>
      </c>
      <c r="Q35" s="204">
        <v>108789.84159651647</v>
      </c>
      <c r="R35" s="96">
        <f t="shared" si="24"/>
        <v>1.413449101421279E-2</v>
      </c>
      <c r="S35" s="197">
        <f t="shared" si="25"/>
        <v>284228.99676002172</v>
      </c>
      <c r="T35" s="96">
        <f t="shared" si="26"/>
        <v>3.692837623188417E-2</v>
      </c>
      <c r="U35" s="204">
        <v>683425.8560350833</v>
      </c>
      <c r="V35" s="96">
        <f t="shared" si="27"/>
        <v>8.8793921190136973E-2</v>
      </c>
      <c r="W35" s="204">
        <v>18719.058620113261</v>
      </c>
      <c r="X35" s="96">
        <f t="shared" si="28"/>
        <v>2.4320686745901605E-3</v>
      </c>
      <c r="Y35" s="204">
        <v>829722.200156003</v>
      </c>
      <c r="Z35" s="96">
        <f t="shared" si="29"/>
        <v>0.10780143449324978</v>
      </c>
      <c r="AA35" s="204">
        <v>1103405.2979138736</v>
      </c>
      <c r="AB35" s="96">
        <f t="shared" si="30"/>
        <v>0.14335963762353551</v>
      </c>
      <c r="AC35" s="197">
        <f t="shared" si="31"/>
        <v>1933127.4980698766</v>
      </c>
      <c r="AD35" s="96">
        <f t="shared" si="32"/>
        <v>0.25116107211678529</v>
      </c>
      <c r="AE35" s="204">
        <v>843532.30966658809</v>
      </c>
      <c r="AF35" s="96">
        <f t="shared" si="33"/>
        <v>0.10959570927036195</v>
      </c>
      <c r="AG35" s="204">
        <v>1224657.2602226057</v>
      </c>
      <c r="AH35" s="96">
        <f t="shared" si="34"/>
        <v>0.15911326633148759</v>
      </c>
      <c r="AI35" s="204">
        <v>647403.46332184877</v>
      </c>
      <c r="AJ35" s="96">
        <f t="shared" si="35"/>
        <v>8.4113721470717939E-2</v>
      </c>
      <c r="AK35" s="204">
        <v>522762.67253474315</v>
      </c>
      <c r="AL35" s="96">
        <f t="shared" si="36"/>
        <v>6.7919800130904776E-2</v>
      </c>
    </row>
    <row r="36" spans="2:38" ht="12">
      <c r="B36" s="79"/>
      <c r="C36" s="357"/>
      <c r="D36" s="82">
        <v>45930</v>
      </c>
      <c r="E36" s="82" t="s">
        <v>148</v>
      </c>
      <c r="F36" s="198">
        <f t="shared" si="18"/>
        <v>8551969</v>
      </c>
      <c r="G36" s="241">
        <f>SUM(F36:F42)</f>
        <v>8551969</v>
      </c>
      <c r="H36" s="385"/>
      <c r="I36" s="204">
        <v>719554.54875597765</v>
      </c>
      <c r="J36" s="96">
        <f t="shared" si="19"/>
        <v>8.4139050171484209E-2</v>
      </c>
      <c r="K36" s="204">
        <v>795384.54804369609</v>
      </c>
      <c r="L36" s="96">
        <f t="shared" si="20"/>
        <v>9.3006013941783011E-2</v>
      </c>
      <c r="M36" s="197">
        <f t="shared" si="21"/>
        <v>1514939.0967996737</v>
      </c>
      <c r="N36" s="96">
        <f t="shared" si="22"/>
        <v>0.17714506411326722</v>
      </c>
      <c r="O36" s="204">
        <v>212315.86565679297</v>
      </c>
      <c r="P36" s="96">
        <f t="shared" si="23"/>
        <v>2.4826547623920642E-2</v>
      </c>
      <c r="Q36" s="204">
        <v>112672.39123004457</v>
      </c>
      <c r="R36" s="96">
        <f t="shared" si="24"/>
        <v>1.3175023346090773E-2</v>
      </c>
      <c r="S36" s="197">
        <f t="shared" si="25"/>
        <v>324988.25688683754</v>
      </c>
      <c r="T36" s="96">
        <f t="shared" si="26"/>
        <v>3.8001570970011417E-2</v>
      </c>
      <c r="U36" s="204">
        <v>1002122.8335475725</v>
      </c>
      <c r="V36" s="96">
        <f t="shared" si="27"/>
        <v>0.11718036320613096</v>
      </c>
      <c r="W36" s="204">
        <v>15967.863418968242</v>
      </c>
      <c r="X36" s="96">
        <f t="shared" si="28"/>
        <v>1.8671563728736905E-3</v>
      </c>
      <c r="Y36" s="204">
        <v>790775.00704537064</v>
      </c>
      <c r="Z36" s="96">
        <f t="shared" si="29"/>
        <v>9.2467010468041996E-2</v>
      </c>
      <c r="AA36" s="204">
        <v>1095676.4388649098</v>
      </c>
      <c r="AB36" s="96">
        <f t="shared" si="30"/>
        <v>0.12811978608258634</v>
      </c>
      <c r="AC36" s="197">
        <f t="shared" si="31"/>
        <v>1886451.4459102806</v>
      </c>
      <c r="AD36" s="96">
        <f t="shared" si="32"/>
        <v>0.22058679655062835</v>
      </c>
      <c r="AE36" s="204">
        <v>1280674.607899762</v>
      </c>
      <c r="AF36" s="96">
        <f t="shared" si="33"/>
        <v>0.1497520170968536</v>
      </c>
      <c r="AG36" s="204">
        <v>1163000.5461997583</v>
      </c>
      <c r="AH36" s="96">
        <f t="shared" si="34"/>
        <v>0.13599213774041491</v>
      </c>
      <c r="AI36" s="204">
        <v>654699.71096626204</v>
      </c>
      <c r="AJ36" s="96">
        <f t="shared" si="35"/>
        <v>7.6555435475299555E-2</v>
      </c>
      <c r="AK36" s="204">
        <v>709124.63837088575</v>
      </c>
      <c r="AL36" s="96">
        <f t="shared" si="36"/>
        <v>8.2919458474520397E-2</v>
      </c>
    </row>
    <row r="37" spans="2:38" ht="12">
      <c r="B37" s="79"/>
      <c r="C37" s="357"/>
      <c r="D37" s="82"/>
      <c r="E37" s="82"/>
      <c r="F37" s="198"/>
      <c r="G37" s="241"/>
      <c r="H37" s="253"/>
      <c r="I37" s="204"/>
      <c r="J37" s="96"/>
      <c r="K37" s="204"/>
      <c r="L37" s="96"/>
      <c r="M37" s="197"/>
      <c r="N37" s="96"/>
      <c r="O37" s="204"/>
      <c r="P37" s="96"/>
      <c r="Q37" s="204"/>
      <c r="R37" s="96"/>
      <c r="S37" s="197"/>
      <c r="T37" s="96"/>
      <c r="U37" s="204"/>
      <c r="V37" s="96"/>
      <c r="W37" s="204"/>
      <c r="X37" s="96"/>
      <c r="Y37" s="204"/>
      <c r="Z37" s="96"/>
      <c r="AA37" s="204"/>
      <c r="AB37" s="96"/>
      <c r="AC37" s="197"/>
      <c r="AD37" s="96"/>
      <c r="AE37" s="204"/>
      <c r="AF37" s="96"/>
      <c r="AG37" s="204"/>
      <c r="AH37" s="96"/>
      <c r="AI37" s="204"/>
      <c r="AJ37" s="96"/>
      <c r="AK37" s="204"/>
      <c r="AL37" s="96"/>
    </row>
    <row r="38" spans="2:38" ht="12">
      <c r="B38" s="79"/>
      <c r="C38" s="75"/>
      <c r="D38" s="82"/>
      <c r="E38" s="82"/>
      <c r="F38" s="198"/>
      <c r="G38" s="241"/>
      <c r="H38" s="93"/>
      <c r="I38" s="204"/>
      <c r="J38" s="96"/>
      <c r="K38" s="204"/>
      <c r="L38" s="96"/>
      <c r="M38" s="197"/>
      <c r="N38" s="96"/>
      <c r="O38" s="204"/>
      <c r="P38" s="96"/>
      <c r="Q38" s="204"/>
      <c r="R38" s="96"/>
      <c r="S38" s="197"/>
      <c r="T38" s="96"/>
      <c r="U38" s="204"/>
      <c r="V38" s="96"/>
      <c r="W38" s="204"/>
      <c r="X38" s="96"/>
      <c r="Y38" s="204"/>
      <c r="Z38" s="96"/>
      <c r="AA38" s="204"/>
      <c r="AB38" s="96"/>
      <c r="AC38" s="197"/>
      <c r="AD38" s="96"/>
      <c r="AE38" s="204"/>
      <c r="AF38" s="96"/>
      <c r="AG38" s="204"/>
      <c r="AH38" s="96"/>
      <c r="AI38" s="204"/>
      <c r="AJ38" s="96"/>
      <c r="AK38" s="204"/>
      <c r="AL38" s="96"/>
    </row>
    <row r="39" spans="2:38" ht="12">
      <c r="B39" s="79"/>
      <c r="C39" s="75"/>
      <c r="D39" s="82"/>
      <c r="E39" s="82"/>
      <c r="F39" s="198"/>
      <c r="G39" s="241"/>
      <c r="H39" s="93"/>
      <c r="I39" s="204"/>
      <c r="J39" s="96"/>
      <c r="K39" s="204"/>
      <c r="L39" s="96"/>
      <c r="M39" s="197"/>
      <c r="N39" s="96"/>
      <c r="O39" s="204"/>
      <c r="P39" s="96"/>
      <c r="Q39" s="204"/>
      <c r="R39" s="96"/>
      <c r="S39" s="197"/>
      <c r="T39" s="96"/>
      <c r="U39" s="204"/>
      <c r="V39" s="96"/>
      <c r="W39" s="204"/>
      <c r="X39" s="96"/>
      <c r="Y39" s="204"/>
      <c r="Z39" s="96"/>
      <c r="AA39" s="204"/>
      <c r="AB39" s="96"/>
      <c r="AC39" s="197"/>
      <c r="AD39" s="96"/>
      <c r="AE39" s="204"/>
      <c r="AF39" s="96"/>
      <c r="AG39" s="204"/>
      <c r="AH39" s="96"/>
      <c r="AI39" s="204"/>
      <c r="AJ39" s="96"/>
      <c r="AK39" s="204"/>
      <c r="AL39" s="96"/>
    </row>
    <row r="40" spans="2:38" ht="12">
      <c r="B40" s="79"/>
      <c r="C40" s="75"/>
      <c r="D40" s="82"/>
      <c r="E40" s="82"/>
      <c r="F40" s="198"/>
      <c r="G40" s="241"/>
      <c r="H40" s="93"/>
      <c r="I40" s="204"/>
      <c r="J40" s="96"/>
      <c r="K40" s="204"/>
      <c r="L40" s="96"/>
      <c r="M40" s="197"/>
      <c r="N40" s="96"/>
      <c r="O40" s="204"/>
      <c r="P40" s="96"/>
      <c r="Q40" s="204"/>
      <c r="R40" s="96"/>
      <c r="S40" s="197"/>
      <c r="T40" s="96"/>
      <c r="U40" s="204"/>
      <c r="V40" s="96"/>
      <c r="W40" s="204"/>
      <c r="X40" s="96"/>
      <c r="Y40" s="204"/>
      <c r="Z40" s="96"/>
      <c r="AA40" s="204"/>
      <c r="AB40" s="96"/>
      <c r="AC40" s="197"/>
      <c r="AD40" s="96"/>
      <c r="AE40" s="204"/>
      <c r="AF40" s="96"/>
      <c r="AG40" s="204"/>
      <c r="AH40" s="96"/>
      <c r="AI40" s="204"/>
      <c r="AJ40" s="96"/>
      <c r="AK40" s="204"/>
      <c r="AL40" s="96"/>
    </row>
    <row r="41" spans="2:38" ht="12">
      <c r="B41" s="79"/>
      <c r="C41" s="75"/>
      <c r="D41" s="82"/>
      <c r="E41" s="82"/>
      <c r="F41" s="198"/>
      <c r="G41" s="241"/>
      <c r="H41" s="93"/>
      <c r="I41" s="204"/>
      <c r="J41" s="96"/>
      <c r="K41" s="204"/>
      <c r="L41" s="96"/>
      <c r="M41" s="197"/>
      <c r="N41" s="96"/>
      <c r="O41" s="204"/>
      <c r="P41" s="96"/>
      <c r="Q41" s="204"/>
      <c r="R41" s="96"/>
      <c r="S41" s="197"/>
      <c r="T41" s="96"/>
      <c r="U41" s="204"/>
      <c r="V41" s="96"/>
      <c r="W41" s="204"/>
      <c r="X41" s="96"/>
      <c r="Y41" s="204"/>
      <c r="Z41" s="96"/>
      <c r="AA41" s="204"/>
      <c r="AB41" s="96"/>
      <c r="AC41" s="197"/>
      <c r="AD41" s="96"/>
      <c r="AE41" s="204"/>
      <c r="AF41" s="96"/>
      <c r="AG41" s="204"/>
      <c r="AH41" s="96"/>
      <c r="AI41" s="204"/>
      <c r="AJ41" s="96"/>
      <c r="AK41" s="204"/>
      <c r="AL41" s="96"/>
    </row>
    <row r="42" spans="2:38" ht="12">
      <c r="B42" s="79"/>
      <c r="C42" s="75"/>
      <c r="D42" s="82"/>
      <c r="E42" s="82"/>
      <c r="F42" s="198"/>
      <c r="G42" s="241"/>
      <c r="H42" s="93"/>
      <c r="I42" s="204"/>
      <c r="J42" s="96"/>
      <c r="K42" s="204"/>
      <c r="L42" s="96"/>
      <c r="M42" s="197"/>
      <c r="N42" s="96"/>
      <c r="O42" s="204"/>
      <c r="P42" s="96"/>
      <c r="Q42" s="204"/>
      <c r="R42" s="96"/>
      <c r="S42" s="197"/>
      <c r="T42" s="96"/>
      <c r="U42" s="204"/>
      <c r="V42" s="96"/>
      <c r="W42" s="204"/>
      <c r="X42" s="96"/>
      <c r="Y42" s="204"/>
      <c r="Z42" s="96"/>
      <c r="AA42" s="204"/>
      <c r="AB42" s="96"/>
      <c r="AC42" s="197"/>
      <c r="AD42" s="96"/>
      <c r="AE42" s="204"/>
      <c r="AF42" s="96"/>
      <c r="AG42" s="204"/>
      <c r="AH42" s="96"/>
      <c r="AI42" s="204"/>
      <c r="AJ42" s="96"/>
      <c r="AK42" s="204"/>
      <c r="AL42" s="96"/>
    </row>
    <row r="43" spans="2:38" ht="12">
      <c r="B43" s="79"/>
      <c r="C43" s="75"/>
      <c r="D43" s="82"/>
      <c r="E43" s="82"/>
      <c r="F43" s="198"/>
      <c r="G43" s="198"/>
      <c r="H43" s="93"/>
      <c r="I43" s="204"/>
      <c r="J43" s="96"/>
      <c r="K43" s="204"/>
      <c r="L43" s="96"/>
      <c r="M43" s="197"/>
      <c r="N43" s="96"/>
      <c r="O43" s="204"/>
      <c r="P43" s="96"/>
      <c r="Q43" s="204"/>
      <c r="R43" s="96"/>
      <c r="S43" s="197"/>
      <c r="T43" s="96"/>
      <c r="U43" s="204"/>
      <c r="V43" s="96"/>
      <c r="W43" s="204"/>
      <c r="X43" s="96"/>
      <c r="Y43" s="204"/>
      <c r="Z43" s="96"/>
      <c r="AA43" s="204"/>
      <c r="AB43" s="96"/>
      <c r="AC43" s="197"/>
      <c r="AD43" s="96"/>
      <c r="AE43" s="204"/>
      <c r="AF43" s="96"/>
      <c r="AG43" s="204"/>
      <c r="AH43" s="96"/>
      <c r="AI43" s="204"/>
      <c r="AJ43" s="96"/>
      <c r="AK43" s="204"/>
      <c r="AL43" s="96"/>
    </row>
    <row r="44" spans="2:38" ht="12">
      <c r="B44" s="79"/>
      <c r="C44" s="75"/>
      <c r="D44" s="82"/>
      <c r="E44" s="82"/>
      <c r="F44" s="198"/>
      <c r="G44" s="198"/>
      <c r="H44" s="93"/>
      <c r="I44" s="204"/>
      <c r="J44" s="96"/>
      <c r="K44" s="204"/>
      <c r="L44" s="96"/>
      <c r="M44" s="197"/>
      <c r="N44" s="96"/>
      <c r="O44" s="204"/>
      <c r="P44" s="96"/>
      <c r="Q44" s="204"/>
      <c r="R44" s="96"/>
      <c r="S44" s="197"/>
      <c r="T44" s="96"/>
      <c r="U44" s="204"/>
      <c r="V44" s="96"/>
      <c r="W44" s="204"/>
      <c r="X44" s="96"/>
      <c r="Y44" s="204"/>
      <c r="Z44" s="96"/>
      <c r="AA44" s="204"/>
      <c r="AB44" s="96"/>
      <c r="AC44" s="197"/>
      <c r="AD44" s="96"/>
      <c r="AE44" s="204"/>
      <c r="AF44" s="96"/>
      <c r="AG44" s="204"/>
      <c r="AH44" s="96"/>
      <c r="AI44" s="204"/>
      <c r="AJ44" s="96"/>
      <c r="AK44" s="204"/>
      <c r="AL44" s="96"/>
    </row>
    <row r="45" spans="2:38" ht="12">
      <c r="B45" s="79"/>
      <c r="C45" s="75"/>
      <c r="D45" s="82"/>
      <c r="E45" s="82"/>
      <c r="F45" s="198"/>
      <c r="G45" s="198"/>
      <c r="H45" s="93"/>
      <c r="I45" s="204"/>
      <c r="J45" s="96"/>
      <c r="K45" s="204"/>
      <c r="L45" s="96"/>
      <c r="M45" s="197"/>
      <c r="N45" s="96"/>
      <c r="O45" s="204"/>
      <c r="P45" s="96"/>
      <c r="Q45" s="204"/>
      <c r="R45" s="96"/>
      <c r="S45" s="197"/>
      <c r="T45" s="96"/>
      <c r="U45" s="204"/>
      <c r="V45" s="96"/>
      <c r="W45" s="204"/>
      <c r="X45" s="96"/>
      <c r="Y45" s="204"/>
      <c r="Z45" s="96"/>
      <c r="AA45" s="204"/>
      <c r="AB45" s="96"/>
      <c r="AC45" s="197"/>
      <c r="AD45" s="96"/>
      <c r="AE45" s="204"/>
      <c r="AF45" s="96"/>
      <c r="AG45" s="204"/>
      <c r="AH45" s="96"/>
      <c r="AI45" s="204"/>
      <c r="AJ45" s="96"/>
      <c r="AK45" s="204"/>
      <c r="AL45" s="96"/>
    </row>
    <row r="46" spans="2:38" ht="12">
      <c r="B46" s="79"/>
      <c r="C46" s="75"/>
      <c r="D46" s="78"/>
      <c r="F46" s="93"/>
      <c r="G46" s="93"/>
      <c r="H46" s="93"/>
      <c r="I46" s="229">
        <f>SUM(I7:I45)</f>
        <v>22626322.689725999</v>
      </c>
      <c r="J46" s="225">
        <f>I46/$H$7</f>
        <v>0.10526297158613944</v>
      </c>
      <c r="K46" s="229">
        <f>SUM(K7:K45)</f>
        <v>23969083.011389598</v>
      </c>
      <c r="L46" s="225">
        <f>K46/$H$7</f>
        <v>0.11150980822523904</v>
      </c>
      <c r="M46" s="229">
        <f>SUM(M7:M45)</f>
        <v>46595405.701115601</v>
      </c>
      <c r="N46" s="225">
        <f>M46/$H$7</f>
        <v>0.21677277981137849</v>
      </c>
      <c r="O46" s="229">
        <f>SUM(O7:O45)</f>
        <v>4640450.636948945</v>
      </c>
      <c r="P46" s="225">
        <f>O46/$H$7</f>
        <v>2.1588467124878379E-2</v>
      </c>
      <c r="Q46" s="229">
        <f>SUM(Q7:Q45)</f>
        <v>3150244.4520596894</v>
      </c>
      <c r="R46" s="225">
        <f>Q46/$H$7</f>
        <v>1.4655677672144441E-2</v>
      </c>
      <c r="S46" s="229">
        <f>SUM(S7:S45)</f>
        <v>7790695.089008633</v>
      </c>
      <c r="T46" s="225">
        <f>S46/$H$7</f>
        <v>3.6244144797022815E-2</v>
      </c>
      <c r="U46" s="229">
        <f>SUM(U7:U45)</f>
        <v>18799983.890686531</v>
      </c>
      <c r="V46" s="225">
        <f>U46/$H$7</f>
        <v>8.7461944092391095E-2</v>
      </c>
      <c r="W46" s="229">
        <f>SUM(W7:W45)</f>
        <v>395545.76770883531</v>
      </c>
      <c r="X46" s="225">
        <f>W46/$H$7</f>
        <v>1.8401718864488204E-3</v>
      </c>
      <c r="Y46" s="229">
        <f>SUM(Y7:Y45)</f>
        <v>21899883.195858933</v>
      </c>
      <c r="Z46" s="225">
        <f>Y46/$H$7</f>
        <v>0.10188340430733013</v>
      </c>
      <c r="AA46" s="229">
        <f>SUM(AA7:AA45)</f>
        <v>31740772.30395589</v>
      </c>
      <c r="AB46" s="225">
        <f>AA46/$H$7</f>
        <v>0.14766553358980186</v>
      </c>
      <c r="AC46" s="229">
        <f>SUM(AC7:AC45)</f>
        <v>53640655.499814831</v>
      </c>
      <c r="AD46" s="225">
        <f>AC46/$H$7</f>
        <v>0.24954893789713203</v>
      </c>
      <c r="AE46" s="229">
        <f>SUM(AE7:AE45)</f>
        <v>23966440.306284893</v>
      </c>
      <c r="AF46" s="225">
        <f>AE46/$H$7</f>
        <v>0.11149751373991051</v>
      </c>
      <c r="AG46" s="229">
        <f>SUM(AG7:AG45)</f>
        <v>32518381.096114874</v>
      </c>
      <c r="AH46" s="225">
        <f>AG46/$H$7</f>
        <v>0.15128315247187193</v>
      </c>
      <c r="AI46" s="229">
        <f>SUM(AI7:AI45)</f>
        <v>17756916.1359572</v>
      </c>
      <c r="AJ46" s="225">
        <f>AI46/$H$7</f>
        <v>8.2609347718949136E-2</v>
      </c>
      <c r="AK46" s="229">
        <f>SUM(AK7:AK45)</f>
        <v>13486422.513308616</v>
      </c>
      <c r="AL46" s="225">
        <f>AK46/$H$7</f>
        <v>6.2742007584895246E-2</v>
      </c>
    </row>
    <row r="47" spans="2:38" ht="12">
      <c r="B47" s="79"/>
      <c r="C47" s="75"/>
      <c r="D47" s="78"/>
      <c r="F47" s="93"/>
      <c r="G47" s="93"/>
      <c r="H47" s="93"/>
      <c r="I47" s="226"/>
      <c r="J47" s="227"/>
      <c r="K47" s="226"/>
      <c r="L47" s="227"/>
      <c r="M47" s="228">
        <f>M46</f>
        <v>46595405.701115601</v>
      </c>
      <c r="N47" s="227"/>
      <c r="O47" s="226"/>
      <c r="P47" s="227"/>
      <c r="Q47" s="226"/>
      <c r="R47" s="227"/>
      <c r="S47" s="228">
        <f>S46</f>
        <v>7790695.089008633</v>
      </c>
      <c r="T47" s="227"/>
      <c r="U47" s="228">
        <f>U46</f>
        <v>18799983.890686531</v>
      </c>
      <c r="V47" s="227"/>
      <c r="W47" s="228">
        <f>W46</f>
        <v>395545.76770883531</v>
      </c>
      <c r="X47" s="227"/>
      <c r="Y47" s="226"/>
      <c r="Z47" s="227"/>
      <c r="AA47" s="226"/>
      <c r="AB47" s="227"/>
      <c r="AC47" s="228">
        <f>AC46</f>
        <v>53640655.499814831</v>
      </c>
      <c r="AD47" s="227"/>
      <c r="AE47" s="228">
        <f>AE46</f>
        <v>23966440.306284893</v>
      </c>
      <c r="AF47" s="227"/>
      <c r="AG47" s="228">
        <f>AG46</f>
        <v>32518381.096114874</v>
      </c>
      <c r="AH47" s="227"/>
      <c r="AI47" s="228">
        <f>AI46</f>
        <v>17756916.1359572</v>
      </c>
      <c r="AJ47" s="227"/>
      <c r="AK47" s="228">
        <f>AK46</f>
        <v>13486422.513308616</v>
      </c>
      <c r="AL47" s="227"/>
    </row>
    <row r="48" spans="2:38" ht="12">
      <c r="B48" s="79"/>
      <c r="C48" s="75"/>
      <c r="D48" s="78"/>
      <c r="F48" s="93"/>
      <c r="G48" s="93"/>
      <c r="H48" s="93"/>
    </row>
    <row r="49" spans="1:46" ht="12">
      <c r="B49" s="79"/>
      <c r="C49" s="75"/>
      <c r="D49" s="78"/>
      <c r="F49" s="93"/>
      <c r="G49" s="93"/>
      <c r="H49" s="93"/>
    </row>
    <row r="50" spans="1:46" s="78" customFormat="1" ht="12">
      <c r="A50" s="75"/>
      <c r="B50" s="79"/>
      <c r="C50" s="75"/>
      <c r="F50" s="97"/>
      <c r="G50" s="97"/>
      <c r="H50" s="97"/>
      <c r="I50" s="93"/>
      <c r="J50" s="86"/>
      <c r="K50" s="93"/>
      <c r="L50" s="86"/>
      <c r="M50" s="86"/>
      <c r="N50" s="86"/>
      <c r="O50" s="93"/>
      <c r="P50" s="86"/>
      <c r="Q50" s="93"/>
      <c r="R50" s="86"/>
      <c r="S50" s="93"/>
      <c r="T50" s="86"/>
      <c r="U50" s="93"/>
      <c r="V50" s="86"/>
      <c r="W50" s="93"/>
      <c r="X50" s="86"/>
      <c r="Y50" s="93"/>
      <c r="Z50" s="86"/>
      <c r="AA50" s="93"/>
      <c r="AB50" s="86"/>
      <c r="AC50" s="93"/>
      <c r="AD50" s="86"/>
      <c r="AE50" s="93"/>
      <c r="AF50" s="86"/>
      <c r="AG50" s="93"/>
      <c r="AH50" s="86"/>
      <c r="AI50" s="93"/>
      <c r="AJ50" s="86"/>
      <c r="AK50" s="93"/>
      <c r="AL50" s="86"/>
      <c r="AM50" s="75"/>
      <c r="AN50" s="75"/>
      <c r="AO50" s="75"/>
      <c r="AP50" s="75"/>
      <c r="AQ50" s="75"/>
      <c r="AR50" s="75"/>
      <c r="AS50" s="75"/>
      <c r="AT50" s="75"/>
    </row>
    <row r="51" spans="1:46" s="78" customFormat="1" ht="12">
      <c r="A51" s="75"/>
      <c r="B51" s="79"/>
      <c r="C51" s="75"/>
      <c r="F51" s="97"/>
      <c r="G51" s="97"/>
      <c r="H51" s="97"/>
      <c r="I51" s="93"/>
      <c r="J51" s="86"/>
      <c r="K51" s="93"/>
      <c r="L51" s="86"/>
      <c r="M51" s="86"/>
      <c r="N51" s="86"/>
      <c r="O51" s="93"/>
      <c r="P51" s="86"/>
      <c r="Q51" s="93"/>
      <c r="R51" s="86"/>
      <c r="S51" s="93"/>
      <c r="T51" s="86"/>
      <c r="U51" s="93"/>
      <c r="V51" s="86"/>
      <c r="W51" s="93"/>
      <c r="X51" s="86"/>
      <c r="Y51" s="93"/>
      <c r="Z51" s="86"/>
      <c r="AA51" s="93"/>
      <c r="AB51" s="86"/>
      <c r="AC51" s="93"/>
      <c r="AD51" s="86"/>
      <c r="AE51" s="93"/>
      <c r="AF51" s="86"/>
      <c r="AG51" s="93"/>
      <c r="AH51" s="86"/>
      <c r="AI51" s="93"/>
      <c r="AJ51" s="86"/>
      <c r="AK51" s="93"/>
      <c r="AL51" s="86"/>
      <c r="AM51" s="75"/>
      <c r="AN51" s="75"/>
      <c r="AO51" s="75"/>
      <c r="AP51" s="75"/>
      <c r="AQ51" s="75"/>
      <c r="AR51" s="75"/>
      <c r="AS51" s="75"/>
      <c r="AT51" s="75"/>
    </row>
    <row r="52" spans="1:46" s="78" customFormat="1" ht="12">
      <c r="A52" s="75"/>
      <c r="B52" s="79"/>
      <c r="C52" s="75"/>
      <c r="F52" s="97"/>
      <c r="G52" s="97"/>
      <c r="H52" s="97"/>
      <c r="I52" s="93"/>
      <c r="J52" s="86"/>
      <c r="K52" s="93"/>
      <c r="L52" s="86"/>
      <c r="M52" s="86"/>
      <c r="N52" s="86"/>
      <c r="O52" s="93"/>
      <c r="P52" s="86"/>
      <c r="Q52" s="93"/>
      <c r="R52" s="86"/>
      <c r="S52" s="93"/>
      <c r="T52" s="86"/>
      <c r="U52" s="93"/>
      <c r="V52" s="86"/>
      <c r="W52" s="93"/>
      <c r="X52" s="86"/>
      <c r="Y52" s="93"/>
      <c r="Z52" s="86"/>
      <c r="AA52" s="93"/>
      <c r="AB52" s="86"/>
      <c r="AC52" s="93"/>
      <c r="AD52" s="86"/>
      <c r="AE52" s="93"/>
      <c r="AF52" s="86"/>
      <c r="AG52" s="93"/>
      <c r="AH52" s="86"/>
      <c r="AI52" s="93"/>
      <c r="AJ52" s="86"/>
      <c r="AK52" s="93"/>
      <c r="AL52" s="86"/>
      <c r="AM52" s="75"/>
      <c r="AN52" s="75"/>
      <c r="AO52" s="75"/>
      <c r="AP52" s="75"/>
      <c r="AQ52" s="75"/>
      <c r="AR52" s="75"/>
      <c r="AS52" s="75"/>
      <c r="AT52" s="75"/>
    </row>
    <row r="53" spans="1:46" s="78" customFormat="1" ht="12">
      <c r="A53" s="75"/>
      <c r="B53" s="79"/>
      <c r="C53" s="75"/>
      <c r="F53" s="97"/>
      <c r="G53" s="97"/>
      <c r="H53" s="97"/>
      <c r="I53" s="93"/>
      <c r="J53" s="86"/>
      <c r="K53" s="93"/>
      <c r="L53" s="86"/>
      <c r="M53" s="86"/>
      <c r="N53" s="86"/>
      <c r="O53" s="93"/>
      <c r="P53" s="86"/>
      <c r="Q53" s="93"/>
      <c r="R53" s="86"/>
      <c r="S53" s="93"/>
      <c r="T53" s="86"/>
      <c r="U53" s="93"/>
      <c r="V53" s="86"/>
      <c r="W53" s="93"/>
      <c r="X53" s="86"/>
      <c r="Y53" s="93"/>
      <c r="Z53" s="86"/>
      <c r="AA53" s="93"/>
      <c r="AB53" s="86"/>
      <c r="AC53" s="93"/>
      <c r="AD53" s="86"/>
      <c r="AE53" s="93"/>
      <c r="AF53" s="86"/>
      <c r="AG53" s="93"/>
      <c r="AH53" s="86"/>
      <c r="AI53" s="93"/>
      <c r="AJ53" s="86"/>
      <c r="AK53" s="93"/>
      <c r="AL53" s="86"/>
      <c r="AM53" s="75"/>
      <c r="AN53" s="75"/>
      <c r="AO53" s="75"/>
      <c r="AP53" s="75"/>
      <c r="AQ53" s="75"/>
      <c r="AR53" s="75"/>
      <c r="AS53" s="75"/>
      <c r="AT53" s="75"/>
    </row>
    <row r="54" spans="1:46" s="78" customFormat="1" ht="12">
      <c r="A54" s="75"/>
      <c r="B54" s="79"/>
      <c r="C54" s="75"/>
      <c r="F54" s="97"/>
      <c r="G54" s="97"/>
      <c r="H54" s="97"/>
      <c r="I54" s="93"/>
      <c r="J54" s="86"/>
      <c r="K54" s="93"/>
      <c r="L54" s="86"/>
      <c r="M54" s="86"/>
      <c r="N54" s="86"/>
      <c r="O54" s="93"/>
      <c r="P54" s="86"/>
      <c r="Q54" s="93"/>
      <c r="R54" s="86"/>
      <c r="S54" s="93"/>
      <c r="T54" s="86"/>
      <c r="U54" s="93"/>
      <c r="V54" s="86"/>
      <c r="W54" s="93"/>
      <c r="X54" s="86"/>
      <c r="Y54" s="93"/>
      <c r="Z54" s="86"/>
      <c r="AA54" s="93"/>
      <c r="AB54" s="86"/>
      <c r="AC54" s="93"/>
      <c r="AD54" s="86"/>
      <c r="AE54" s="93"/>
      <c r="AF54" s="86"/>
      <c r="AG54" s="93"/>
      <c r="AH54" s="86"/>
      <c r="AI54" s="93"/>
      <c r="AJ54" s="86"/>
      <c r="AK54" s="93"/>
      <c r="AL54" s="86"/>
      <c r="AM54" s="75"/>
      <c r="AN54" s="75"/>
      <c r="AO54" s="75"/>
      <c r="AP54" s="75"/>
      <c r="AQ54" s="75"/>
      <c r="AR54" s="75"/>
      <c r="AS54" s="75"/>
      <c r="AT54" s="75"/>
    </row>
    <row r="55" spans="1:46" s="78" customFormat="1" ht="12">
      <c r="A55" s="75"/>
      <c r="B55" s="79"/>
      <c r="C55" s="75"/>
      <c r="F55" s="97"/>
      <c r="G55" s="97"/>
      <c r="H55" s="97"/>
      <c r="I55" s="93"/>
      <c r="J55" s="86"/>
      <c r="K55" s="93"/>
      <c r="L55" s="86"/>
      <c r="M55" s="86"/>
      <c r="N55" s="86"/>
      <c r="O55" s="93"/>
      <c r="P55" s="86"/>
      <c r="Q55" s="93"/>
      <c r="R55" s="86"/>
      <c r="S55" s="93"/>
      <c r="T55" s="86"/>
      <c r="U55" s="93"/>
      <c r="V55" s="86"/>
      <c r="W55" s="93"/>
      <c r="X55" s="86"/>
      <c r="Y55" s="93"/>
      <c r="Z55" s="86"/>
      <c r="AA55" s="93"/>
      <c r="AB55" s="86"/>
      <c r="AC55" s="93"/>
      <c r="AD55" s="86"/>
      <c r="AE55" s="93"/>
      <c r="AF55" s="86"/>
      <c r="AG55" s="93"/>
      <c r="AH55" s="86"/>
      <c r="AI55" s="93"/>
      <c r="AJ55" s="86"/>
      <c r="AK55" s="93"/>
      <c r="AL55" s="86"/>
      <c r="AM55" s="75"/>
      <c r="AN55" s="75"/>
      <c r="AO55" s="75"/>
      <c r="AP55" s="75"/>
      <c r="AQ55" s="75"/>
      <c r="AR55" s="75"/>
      <c r="AS55" s="75"/>
      <c r="AT55" s="75"/>
    </row>
    <row r="56" spans="1:46" s="78" customFormat="1" ht="12">
      <c r="A56" s="75"/>
      <c r="B56" s="79"/>
      <c r="C56" s="75"/>
      <c r="F56" s="97"/>
      <c r="G56" s="97"/>
      <c r="H56" s="97"/>
      <c r="I56" s="93"/>
      <c r="J56" s="86"/>
      <c r="K56" s="93"/>
      <c r="L56" s="86"/>
      <c r="M56" s="86"/>
      <c r="N56" s="86"/>
      <c r="O56" s="93"/>
      <c r="P56" s="86"/>
      <c r="Q56" s="93"/>
      <c r="R56" s="86"/>
      <c r="S56" s="93"/>
      <c r="T56" s="86"/>
      <c r="U56" s="93"/>
      <c r="V56" s="86"/>
      <c r="W56" s="93"/>
      <c r="X56" s="86"/>
      <c r="Y56" s="93"/>
      <c r="Z56" s="86"/>
      <c r="AA56" s="93"/>
      <c r="AB56" s="86"/>
      <c r="AC56" s="93"/>
      <c r="AD56" s="86"/>
      <c r="AE56" s="93"/>
      <c r="AF56" s="86"/>
      <c r="AG56" s="93"/>
      <c r="AH56" s="86"/>
      <c r="AI56" s="93"/>
      <c r="AJ56" s="86"/>
      <c r="AK56" s="93"/>
      <c r="AL56" s="86"/>
      <c r="AM56" s="75"/>
      <c r="AN56" s="75"/>
      <c r="AO56" s="75"/>
      <c r="AP56" s="75"/>
      <c r="AQ56" s="75"/>
      <c r="AR56" s="75"/>
      <c r="AS56" s="75"/>
      <c r="AT56" s="75"/>
    </row>
    <row r="57" spans="1:46" s="78" customFormat="1" ht="12">
      <c r="A57" s="75"/>
      <c r="B57" s="79"/>
      <c r="C57" s="75"/>
      <c r="F57" s="97"/>
      <c r="G57" s="97"/>
      <c r="H57" s="97"/>
      <c r="I57" s="93"/>
      <c r="J57" s="86"/>
      <c r="K57" s="93"/>
      <c r="L57" s="86"/>
      <c r="M57" s="86"/>
      <c r="N57" s="86"/>
      <c r="O57" s="93"/>
      <c r="P57" s="86"/>
      <c r="Q57" s="93"/>
      <c r="R57" s="86"/>
      <c r="S57" s="93"/>
      <c r="T57" s="86"/>
      <c r="U57" s="93"/>
      <c r="V57" s="86"/>
      <c r="W57" s="93"/>
      <c r="X57" s="86"/>
      <c r="Y57" s="93"/>
      <c r="Z57" s="86"/>
      <c r="AA57" s="93"/>
      <c r="AB57" s="86"/>
      <c r="AC57" s="93"/>
      <c r="AD57" s="86"/>
      <c r="AE57" s="93"/>
      <c r="AF57" s="86"/>
      <c r="AG57" s="93"/>
      <c r="AH57" s="86"/>
      <c r="AI57" s="93"/>
      <c r="AJ57" s="86"/>
      <c r="AK57" s="93"/>
      <c r="AL57" s="86"/>
      <c r="AM57" s="75"/>
      <c r="AN57" s="75"/>
      <c r="AO57" s="75"/>
      <c r="AP57" s="75"/>
      <c r="AQ57" s="75"/>
      <c r="AR57" s="75"/>
      <c r="AS57" s="75"/>
      <c r="AT57" s="75"/>
    </row>
    <row r="58" spans="1:46" s="78" customFormat="1" ht="12">
      <c r="A58" s="75"/>
      <c r="B58" s="79"/>
      <c r="C58" s="75"/>
      <c r="F58" s="97"/>
      <c r="G58" s="97"/>
      <c r="H58" s="97"/>
      <c r="I58" s="93"/>
      <c r="J58" s="86"/>
      <c r="K58" s="93"/>
      <c r="L58" s="86"/>
      <c r="M58" s="86"/>
      <c r="N58" s="86"/>
      <c r="O58" s="93"/>
      <c r="P58" s="86"/>
      <c r="Q58" s="93"/>
      <c r="R58" s="86"/>
      <c r="S58" s="93"/>
      <c r="T58" s="86"/>
      <c r="U58" s="93"/>
      <c r="V58" s="86"/>
      <c r="W58" s="93"/>
      <c r="X58" s="86"/>
      <c r="Y58" s="93"/>
      <c r="Z58" s="86"/>
      <c r="AA58" s="93"/>
      <c r="AB58" s="86"/>
      <c r="AC58" s="93"/>
      <c r="AD58" s="86"/>
      <c r="AE58" s="93"/>
      <c r="AF58" s="86"/>
      <c r="AG58" s="93"/>
      <c r="AH58" s="86"/>
      <c r="AI58" s="93"/>
      <c r="AJ58" s="86"/>
      <c r="AK58" s="93"/>
      <c r="AL58" s="86"/>
      <c r="AM58" s="75"/>
      <c r="AN58" s="75"/>
      <c r="AO58" s="75"/>
      <c r="AP58" s="75"/>
      <c r="AQ58" s="75"/>
      <c r="AR58" s="75"/>
      <c r="AS58" s="75"/>
      <c r="AT58" s="75"/>
    </row>
    <row r="59" spans="1:46" s="78" customFormat="1" ht="12">
      <c r="A59" s="75"/>
      <c r="B59" s="79"/>
      <c r="C59" s="75"/>
      <c r="F59" s="97"/>
      <c r="G59" s="97"/>
      <c r="H59" s="97"/>
      <c r="I59" s="93"/>
      <c r="J59" s="86"/>
      <c r="K59" s="93"/>
      <c r="L59" s="86"/>
      <c r="M59" s="86"/>
      <c r="N59" s="86"/>
      <c r="O59" s="93"/>
      <c r="P59" s="86"/>
      <c r="Q59" s="93"/>
      <c r="R59" s="86"/>
      <c r="S59" s="93"/>
      <c r="T59" s="86"/>
      <c r="U59" s="93"/>
      <c r="V59" s="86"/>
      <c r="W59" s="93"/>
      <c r="X59" s="86"/>
      <c r="Y59" s="93"/>
      <c r="Z59" s="86"/>
      <c r="AA59" s="93"/>
      <c r="AB59" s="86"/>
      <c r="AC59" s="93"/>
      <c r="AD59" s="86"/>
      <c r="AE59" s="93"/>
      <c r="AF59" s="86"/>
      <c r="AG59" s="93"/>
      <c r="AH59" s="86"/>
      <c r="AI59" s="93"/>
      <c r="AJ59" s="86"/>
      <c r="AK59" s="93"/>
      <c r="AL59" s="86"/>
      <c r="AM59" s="75"/>
      <c r="AN59" s="75"/>
      <c r="AO59" s="75"/>
      <c r="AP59" s="75"/>
      <c r="AQ59" s="75"/>
      <c r="AR59" s="75"/>
      <c r="AS59" s="75"/>
      <c r="AT59" s="75"/>
    </row>
    <row r="60" spans="1:46" s="78" customFormat="1" ht="12">
      <c r="A60" s="75"/>
      <c r="B60" s="79"/>
      <c r="C60" s="75"/>
      <c r="F60" s="97"/>
      <c r="G60" s="97"/>
      <c r="H60" s="97"/>
      <c r="I60" s="93"/>
      <c r="J60" s="86"/>
      <c r="K60" s="93"/>
      <c r="L60" s="86"/>
      <c r="M60" s="86"/>
      <c r="N60" s="86"/>
      <c r="O60" s="93"/>
      <c r="P60" s="86"/>
      <c r="Q60" s="93"/>
      <c r="R60" s="86"/>
      <c r="S60" s="93"/>
      <c r="T60" s="86"/>
      <c r="U60" s="93"/>
      <c r="V60" s="86"/>
      <c r="W60" s="93"/>
      <c r="X60" s="86"/>
      <c r="Y60" s="93"/>
      <c r="Z60" s="86"/>
      <c r="AA60" s="93"/>
      <c r="AB60" s="86"/>
      <c r="AC60" s="93"/>
      <c r="AD60" s="86"/>
      <c r="AE60" s="93"/>
      <c r="AF60" s="86"/>
      <c r="AG60" s="93"/>
      <c r="AH60" s="86"/>
      <c r="AI60" s="93"/>
      <c r="AJ60" s="86"/>
      <c r="AK60" s="93"/>
      <c r="AL60" s="86"/>
      <c r="AM60" s="75"/>
      <c r="AN60" s="75"/>
      <c r="AO60" s="75"/>
      <c r="AP60" s="75"/>
      <c r="AQ60" s="75"/>
      <c r="AR60" s="75"/>
      <c r="AS60" s="75"/>
      <c r="AT60" s="75"/>
    </row>
    <row r="61" spans="1:46" s="78" customFormat="1" ht="12">
      <c r="A61" s="75"/>
      <c r="B61" s="79"/>
      <c r="C61" s="75"/>
      <c r="F61" s="97"/>
      <c r="G61" s="97"/>
      <c r="H61" s="97"/>
      <c r="I61" s="93"/>
      <c r="J61" s="86"/>
      <c r="K61" s="93"/>
      <c r="L61" s="86"/>
      <c r="M61" s="86"/>
      <c r="N61" s="86"/>
      <c r="O61" s="93"/>
      <c r="P61" s="86"/>
      <c r="Q61" s="93"/>
      <c r="R61" s="86"/>
      <c r="S61" s="93"/>
      <c r="T61" s="86"/>
      <c r="U61" s="93"/>
      <c r="V61" s="86"/>
      <c r="W61" s="93"/>
      <c r="X61" s="86"/>
      <c r="Y61" s="93"/>
      <c r="Z61" s="86"/>
      <c r="AA61" s="93"/>
      <c r="AB61" s="86"/>
      <c r="AC61" s="93"/>
      <c r="AD61" s="86"/>
      <c r="AE61" s="93"/>
      <c r="AF61" s="86"/>
      <c r="AG61" s="93"/>
      <c r="AH61" s="86"/>
      <c r="AI61" s="93"/>
      <c r="AJ61" s="86"/>
      <c r="AK61" s="93"/>
      <c r="AL61" s="86"/>
      <c r="AM61" s="75"/>
      <c r="AN61" s="75"/>
      <c r="AO61" s="75"/>
      <c r="AP61" s="75"/>
      <c r="AQ61" s="75"/>
      <c r="AR61" s="75"/>
      <c r="AS61" s="75"/>
      <c r="AT61" s="75"/>
    </row>
    <row r="62" spans="1:46" s="78" customFormat="1" ht="12">
      <c r="A62" s="75"/>
      <c r="B62" s="79"/>
      <c r="C62" s="75"/>
      <c r="F62" s="97"/>
      <c r="G62" s="97"/>
      <c r="H62" s="97"/>
      <c r="I62" s="93"/>
      <c r="J62" s="86"/>
      <c r="K62" s="93"/>
      <c r="L62" s="86"/>
      <c r="M62" s="86"/>
      <c r="N62" s="86"/>
      <c r="O62" s="93"/>
      <c r="P62" s="86"/>
      <c r="Q62" s="93"/>
      <c r="R62" s="86"/>
      <c r="S62" s="93"/>
      <c r="T62" s="86"/>
      <c r="U62" s="93"/>
      <c r="V62" s="86"/>
      <c r="W62" s="93"/>
      <c r="X62" s="86"/>
      <c r="Y62" s="93"/>
      <c r="Z62" s="86"/>
      <c r="AA62" s="93"/>
      <c r="AB62" s="86"/>
      <c r="AC62" s="93"/>
      <c r="AD62" s="86"/>
      <c r="AE62" s="93"/>
      <c r="AF62" s="86"/>
      <c r="AG62" s="93"/>
      <c r="AH62" s="86"/>
      <c r="AI62" s="93"/>
      <c r="AJ62" s="86"/>
      <c r="AK62" s="93"/>
      <c r="AL62" s="86"/>
      <c r="AM62" s="75"/>
      <c r="AN62" s="75"/>
      <c r="AO62" s="75"/>
      <c r="AP62" s="75"/>
      <c r="AQ62" s="75"/>
      <c r="AR62" s="75"/>
      <c r="AS62" s="75"/>
      <c r="AT62" s="75"/>
    </row>
    <row r="63" spans="1:46" s="78" customFormat="1" ht="12">
      <c r="A63" s="75"/>
      <c r="B63" s="79"/>
      <c r="C63" s="75"/>
      <c r="F63" s="97"/>
      <c r="G63" s="97"/>
      <c r="H63" s="97"/>
      <c r="I63" s="93"/>
      <c r="J63" s="86"/>
      <c r="K63" s="93"/>
      <c r="L63" s="86"/>
      <c r="M63" s="86"/>
      <c r="N63" s="86"/>
      <c r="O63" s="93"/>
      <c r="P63" s="86"/>
      <c r="Q63" s="93"/>
      <c r="R63" s="86"/>
      <c r="S63" s="93"/>
      <c r="T63" s="86"/>
      <c r="U63" s="93"/>
      <c r="V63" s="86"/>
      <c r="W63" s="93"/>
      <c r="X63" s="86"/>
      <c r="Y63" s="93"/>
      <c r="Z63" s="86"/>
      <c r="AA63" s="93"/>
      <c r="AB63" s="86"/>
      <c r="AC63" s="93"/>
      <c r="AD63" s="86"/>
      <c r="AE63" s="93"/>
      <c r="AF63" s="86"/>
      <c r="AG63" s="93"/>
      <c r="AH63" s="86"/>
      <c r="AI63" s="93"/>
      <c r="AJ63" s="86"/>
      <c r="AK63" s="93"/>
      <c r="AL63" s="86"/>
      <c r="AM63" s="75"/>
      <c r="AN63" s="75"/>
      <c r="AO63" s="75"/>
      <c r="AP63" s="75"/>
      <c r="AQ63" s="75"/>
      <c r="AR63" s="75"/>
      <c r="AS63" s="75"/>
      <c r="AT63" s="75"/>
    </row>
    <row r="64" spans="1:46" s="78" customFormat="1" ht="12">
      <c r="A64" s="75"/>
      <c r="B64" s="79"/>
      <c r="C64" s="75"/>
      <c r="F64" s="97"/>
      <c r="G64" s="97"/>
      <c r="H64" s="97"/>
      <c r="I64" s="93"/>
      <c r="J64" s="86"/>
      <c r="K64" s="93"/>
      <c r="L64" s="86"/>
      <c r="M64" s="86"/>
      <c r="N64" s="86"/>
      <c r="O64" s="93"/>
      <c r="P64" s="86"/>
      <c r="Q64" s="93"/>
      <c r="R64" s="86"/>
      <c r="S64" s="93"/>
      <c r="T64" s="86"/>
      <c r="U64" s="93"/>
      <c r="V64" s="86"/>
      <c r="W64" s="93"/>
      <c r="X64" s="86"/>
      <c r="Y64" s="93"/>
      <c r="Z64" s="86"/>
      <c r="AA64" s="93"/>
      <c r="AB64" s="86"/>
      <c r="AC64" s="93"/>
      <c r="AD64" s="86"/>
      <c r="AE64" s="93"/>
      <c r="AF64" s="86"/>
      <c r="AG64" s="93"/>
      <c r="AH64" s="86"/>
      <c r="AI64" s="93"/>
      <c r="AJ64" s="86"/>
      <c r="AK64" s="93"/>
      <c r="AL64" s="86"/>
      <c r="AM64" s="75"/>
      <c r="AN64" s="75"/>
      <c r="AO64" s="75"/>
      <c r="AP64" s="75"/>
      <c r="AQ64" s="75"/>
      <c r="AR64" s="75"/>
      <c r="AS64" s="75"/>
      <c r="AT64" s="75"/>
    </row>
    <row r="65" spans="1:46" s="78" customFormat="1" ht="12">
      <c r="A65" s="75"/>
      <c r="B65" s="79"/>
      <c r="C65" s="75"/>
      <c r="F65" s="97"/>
      <c r="G65" s="97"/>
      <c r="H65" s="97"/>
      <c r="I65" s="93"/>
      <c r="J65" s="86"/>
      <c r="K65" s="93"/>
      <c r="L65" s="86"/>
      <c r="M65" s="86"/>
      <c r="N65" s="86"/>
      <c r="O65" s="93"/>
      <c r="P65" s="86"/>
      <c r="Q65" s="93"/>
      <c r="R65" s="86"/>
      <c r="S65" s="93"/>
      <c r="T65" s="86"/>
      <c r="U65" s="93"/>
      <c r="V65" s="86"/>
      <c r="W65" s="93"/>
      <c r="X65" s="86"/>
      <c r="Y65" s="93"/>
      <c r="Z65" s="86"/>
      <c r="AA65" s="93"/>
      <c r="AB65" s="86"/>
      <c r="AC65" s="93"/>
      <c r="AD65" s="86"/>
      <c r="AE65" s="93"/>
      <c r="AF65" s="86"/>
      <c r="AG65" s="93"/>
      <c r="AH65" s="86"/>
      <c r="AI65" s="93"/>
      <c r="AJ65" s="86"/>
      <c r="AK65" s="93"/>
      <c r="AL65" s="86"/>
      <c r="AM65" s="75"/>
      <c r="AN65" s="75"/>
      <c r="AO65" s="75"/>
      <c r="AP65" s="75"/>
      <c r="AQ65" s="75"/>
      <c r="AR65" s="75"/>
      <c r="AS65" s="75"/>
      <c r="AT65" s="75"/>
    </row>
    <row r="66" spans="1:46" s="78" customFormat="1" ht="12">
      <c r="A66" s="75"/>
      <c r="B66" s="79"/>
      <c r="C66" s="75"/>
      <c r="F66" s="97"/>
      <c r="G66" s="97"/>
      <c r="H66" s="97"/>
      <c r="I66" s="93"/>
      <c r="J66" s="86"/>
      <c r="K66" s="93"/>
      <c r="L66" s="86"/>
      <c r="M66" s="86"/>
      <c r="N66" s="86"/>
      <c r="O66" s="93"/>
      <c r="P66" s="86"/>
      <c r="Q66" s="93"/>
      <c r="R66" s="86"/>
      <c r="S66" s="93"/>
      <c r="T66" s="86"/>
      <c r="U66" s="93"/>
      <c r="V66" s="86"/>
      <c r="W66" s="93"/>
      <c r="X66" s="86"/>
      <c r="Y66" s="93"/>
      <c r="Z66" s="86"/>
      <c r="AA66" s="93"/>
      <c r="AB66" s="86"/>
      <c r="AC66" s="93"/>
      <c r="AD66" s="86"/>
      <c r="AE66" s="93"/>
      <c r="AF66" s="86"/>
      <c r="AG66" s="93"/>
      <c r="AH66" s="86"/>
      <c r="AI66" s="93"/>
      <c r="AJ66" s="86"/>
      <c r="AK66" s="93"/>
      <c r="AL66" s="86"/>
      <c r="AM66" s="75"/>
      <c r="AN66" s="75"/>
      <c r="AO66" s="75"/>
      <c r="AP66" s="75"/>
      <c r="AQ66" s="75"/>
      <c r="AR66" s="75"/>
      <c r="AS66" s="75"/>
      <c r="AT66" s="75"/>
    </row>
    <row r="67" spans="1:46" s="78" customFormat="1" ht="12">
      <c r="A67" s="75"/>
      <c r="B67" s="79"/>
      <c r="C67" s="75"/>
      <c r="F67" s="97"/>
      <c r="G67" s="97"/>
      <c r="H67" s="97"/>
      <c r="I67" s="93"/>
      <c r="J67" s="86"/>
      <c r="K67" s="93"/>
      <c r="L67" s="86"/>
      <c r="M67" s="86"/>
      <c r="N67" s="86"/>
      <c r="O67" s="93"/>
      <c r="P67" s="86"/>
      <c r="Q67" s="93"/>
      <c r="R67" s="86"/>
      <c r="S67" s="93"/>
      <c r="T67" s="86"/>
      <c r="U67" s="93"/>
      <c r="V67" s="86"/>
      <c r="W67" s="93"/>
      <c r="X67" s="86"/>
      <c r="Y67" s="93"/>
      <c r="Z67" s="86"/>
      <c r="AA67" s="93"/>
      <c r="AB67" s="86"/>
      <c r="AC67" s="93"/>
      <c r="AD67" s="86"/>
      <c r="AE67" s="93"/>
      <c r="AF67" s="86"/>
      <c r="AG67" s="93"/>
      <c r="AH67" s="86"/>
      <c r="AI67" s="93"/>
      <c r="AJ67" s="86"/>
      <c r="AK67" s="93"/>
      <c r="AL67" s="86"/>
      <c r="AM67" s="75"/>
      <c r="AN67" s="75"/>
      <c r="AO67" s="75"/>
      <c r="AP67" s="75"/>
      <c r="AQ67" s="75"/>
      <c r="AR67" s="75"/>
      <c r="AS67" s="75"/>
      <c r="AT67" s="75"/>
    </row>
    <row r="68" spans="1:46" s="78" customFormat="1" ht="12">
      <c r="A68" s="75"/>
      <c r="B68" s="79"/>
      <c r="C68" s="75"/>
      <c r="F68" s="97"/>
      <c r="G68" s="97"/>
      <c r="H68" s="97"/>
      <c r="I68" s="93"/>
      <c r="J68" s="86"/>
      <c r="K68" s="93"/>
      <c r="L68" s="86"/>
      <c r="M68" s="86"/>
      <c r="N68" s="86"/>
      <c r="O68" s="93"/>
      <c r="P68" s="86"/>
      <c r="Q68" s="93"/>
      <c r="R68" s="86"/>
      <c r="S68" s="93"/>
      <c r="T68" s="86"/>
      <c r="U68" s="93"/>
      <c r="V68" s="86"/>
      <c r="W68" s="93"/>
      <c r="X68" s="86"/>
      <c r="Y68" s="93"/>
      <c r="Z68" s="86"/>
      <c r="AA68" s="93"/>
      <c r="AB68" s="86"/>
      <c r="AC68" s="93"/>
      <c r="AD68" s="86"/>
      <c r="AE68" s="93"/>
      <c r="AF68" s="86"/>
      <c r="AG68" s="93"/>
      <c r="AH68" s="86"/>
      <c r="AI68" s="93"/>
      <c r="AJ68" s="86"/>
      <c r="AK68" s="93"/>
      <c r="AL68" s="86"/>
      <c r="AM68" s="75"/>
      <c r="AN68" s="75"/>
      <c r="AO68" s="75"/>
      <c r="AP68" s="75"/>
      <c r="AQ68" s="75"/>
      <c r="AR68" s="75"/>
      <c r="AS68" s="75"/>
      <c r="AT68" s="75"/>
    </row>
    <row r="69" spans="1:46" s="78" customFormat="1" ht="12">
      <c r="A69" s="75"/>
      <c r="B69" s="79"/>
      <c r="C69" s="75"/>
      <c r="F69" s="97"/>
      <c r="G69" s="97"/>
      <c r="H69" s="97"/>
      <c r="I69" s="93"/>
      <c r="J69" s="86"/>
      <c r="K69" s="93"/>
      <c r="L69" s="86"/>
      <c r="M69" s="86"/>
      <c r="N69" s="86"/>
      <c r="O69" s="93"/>
      <c r="P69" s="86"/>
      <c r="Q69" s="93"/>
      <c r="R69" s="86"/>
      <c r="S69" s="93"/>
      <c r="T69" s="86"/>
      <c r="U69" s="93"/>
      <c r="V69" s="86"/>
      <c r="W69" s="93"/>
      <c r="X69" s="86"/>
      <c r="Y69" s="93"/>
      <c r="Z69" s="86"/>
      <c r="AA69" s="93"/>
      <c r="AB69" s="86"/>
      <c r="AC69" s="93"/>
      <c r="AD69" s="86"/>
      <c r="AE69" s="93"/>
      <c r="AF69" s="86"/>
      <c r="AG69" s="93"/>
      <c r="AH69" s="86"/>
      <c r="AI69" s="93"/>
      <c r="AJ69" s="86"/>
      <c r="AK69" s="93"/>
      <c r="AL69" s="86"/>
      <c r="AM69" s="75"/>
      <c r="AN69" s="75"/>
      <c r="AO69" s="75"/>
      <c r="AP69" s="75"/>
      <c r="AQ69" s="75"/>
      <c r="AR69" s="75"/>
      <c r="AS69" s="75"/>
      <c r="AT69" s="75"/>
    </row>
    <row r="70" spans="1:46" s="78" customFormat="1" ht="12">
      <c r="A70" s="75"/>
      <c r="B70" s="79"/>
      <c r="C70" s="75"/>
      <c r="F70" s="97"/>
      <c r="G70" s="97"/>
      <c r="H70" s="97"/>
      <c r="I70" s="93"/>
      <c r="J70" s="86"/>
      <c r="K70" s="93"/>
      <c r="L70" s="86"/>
      <c r="M70" s="86"/>
      <c r="N70" s="86"/>
      <c r="O70" s="93"/>
      <c r="P70" s="86"/>
      <c r="Q70" s="93"/>
      <c r="R70" s="86"/>
      <c r="S70" s="93"/>
      <c r="T70" s="86"/>
      <c r="U70" s="93"/>
      <c r="V70" s="86"/>
      <c r="W70" s="93"/>
      <c r="X70" s="86"/>
      <c r="Y70" s="93"/>
      <c r="Z70" s="86"/>
      <c r="AA70" s="93"/>
      <c r="AB70" s="86"/>
      <c r="AC70" s="93"/>
      <c r="AD70" s="86"/>
      <c r="AE70" s="93"/>
      <c r="AF70" s="86"/>
      <c r="AG70" s="93"/>
      <c r="AH70" s="86"/>
      <c r="AI70" s="93"/>
      <c r="AJ70" s="86"/>
      <c r="AK70" s="93"/>
      <c r="AL70" s="86"/>
      <c r="AM70" s="75"/>
      <c r="AN70" s="75"/>
      <c r="AO70" s="75"/>
      <c r="AP70" s="75"/>
      <c r="AQ70" s="75"/>
      <c r="AR70" s="75"/>
      <c r="AS70" s="75"/>
      <c r="AT70" s="75"/>
    </row>
    <row r="71" spans="1:46" s="78" customFormat="1" ht="12">
      <c r="A71" s="75"/>
      <c r="B71" s="79"/>
      <c r="C71" s="75"/>
      <c r="F71" s="97"/>
      <c r="G71" s="97"/>
      <c r="H71" s="97"/>
      <c r="I71" s="93"/>
      <c r="J71" s="86"/>
      <c r="K71" s="93"/>
      <c r="L71" s="86"/>
      <c r="M71" s="86"/>
      <c r="N71" s="86"/>
      <c r="O71" s="93"/>
      <c r="P71" s="86"/>
      <c r="Q71" s="93"/>
      <c r="R71" s="86"/>
      <c r="S71" s="93"/>
      <c r="T71" s="86"/>
      <c r="U71" s="93"/>
      <c r="V71" s="86"/>
      <c r="W71" s="93"/>
      <c r="X71" s="86"/>
      <c r="Y71" s="93"/>
      <c r="Z71" s="86"/>
      <c r="AA71" s="93"/>
      <c r="AB71" s="86"/>
      <c r="AC71" s="93"/>
      <c r="AD71" s="86"/>
      <c r="AE71" s="93"/>
      <c r="AF71" s="86"/>
      <c r="AG71" s="93"/>
      <c r="AH71" s="86"/>
      <c r="AI71" s="93"/>
      <c r="AJ71" s="86"/>
      <c r="AK71" s="93"/>
      <c r="AL71" s="86"/>
      <c r="AM71" s="75"/>
      <c r="AN71" s="75"/>
      <c r="AO71" s="75"/>
      <c r="AP71" s="75"/>
      <c r="AQ71" s="75"/>
      <c r="AR71" s="75"/>
      <c r="AS71" s="75"/>
      <c r="AT71" s="75"/>
    </row>
    <row r="72" spans="1:46" s="78" customFormat="1" ht="12">
      <c r="A72" s="75"/>
      <c r="B72" s="79"/>
      <c r="C72" s="75"/>
      <c r="F72" s="97"/>
      <c r="G72" s="97"/>
      <c r="H72" s="97"/>
      <c r="I72" s="93"/>
      <c r="J72" s="86"/>
      <c r="K72" s="93"/>
      <c r="L72" s="86"/>
      <c r="M72" s="86"/>
      <c r="N72" s="86"/>
      <c r="O72" s="93"/>
      <c r="P72" s="86"/>
      <c r="Q72" s="93"/>
      <c r="R72" s="86"/>
      <c r="S72" s="93"/>
      <c r="T72" s="86"/>
      <c r="U72" s="93"/>
      <c r="V72" s="86"/>
      <c r="W72" s="93"/>
      <c r="X72" s="86"/>
      <c r="Y72" s="93"/>
      <c r="Z72" s="86"/>
      <c r="AA72" s="93"/>
      <c r="AB72" s="86"/>
      <c r="AC72" s="93"/>
      <c r="AD72" s="86"/>
      <c r="AE72" s="93"/>
      <c r="AF72" s="86"/>
      <c r="AG72" s="93"/>
      <c r="AH72" s="86"/>
      <c r="AI72" s="93"/>
      <c r="AJ72" s="86"/>
      <c r="AK72" s="93"/>
      <c r="AL72" s="86"/>
      <c r="AM72" s="75"/>
      <c r="AN72" s="75"/>
      <c r="AO72" s="75"/>
      <c r="AP72" s="75"/>
      <c r="AQ72" s="75"/>
      <c r="AR72" s="75"/>
      <c r="AS72" s="75"/>
      <c r="AT72" s="75"/>
    </row>
    <row r="73" spans="1:46" s="78" customFormat="1" ht="12">
      <c r="A73" s="75"/>
      <c r="B73" s="79"/>
      <c r="C73" s="75"/>
      <c r="F73" s="97"/>
      <c r="G73" s="97"/>
      <c r="H73" s="97"/>
      <c r="I73" s="93"/>
      <c r="J73" s="86"/>
      <c r="K73" s="93"/>
      <c r="L73" s="86"/>
      <c r="M73" s="86"/>
      <c r="N73" s="86"/>
      <c r="O73" s="93"/>
      <c r="P73" s="86"/>
      <c r="Q73" s="93"/>
      <c r="R73" s="86"/>
      <c r="S73" s="93"/>
      <c r="T73" s="86"/>
      <c r="U73" s="93"/>
      <c r="V73" s="86"/>
      <c r="W73" s="93"/>
      <c r="X73" s="86"/>
      <c r="Y73" s="93"/>
      <c r="Z73" s="86"/>
      <c r="AA73" s="93"/>
      <c r="AB73" s="86"/>
      <c r="AC73" s="93"/>
      <c r="AD73" s="86"/>
      <c r="AE73" s="93"/>
      <c r="AF73" s="86"/>
      <c r="AG73" s="93"/>
      <c r="AH73" s="86"/>
      <c r="AI73" s="93"/>
      <c r="AJ73" s="86"/>
      <c r="AK73" s="93"/>
      <c r="AL73" s="86"/>
      <c r="AM73" s="75"/>
      <c r="AN73" s="75"/>
      <c r="AO73" s="75"/>
      <c r="AP73" s="75"/>
      <c r="AQ73" s="75"/>
      <c r="AR73" s="75"/>
      <c r="AS73" s="75"/>
      <c r="AT73" s="75"/>
    </row>
    <row r="74" spans="1:46" s="78" customFormat="1" ht="12">
      <c r="A74" s="75"/>
      <c r="B74" s="79"/>
      <c r="C74" s="75"/>
      <c r="F74" s="97"/>
      <c r="G74" s="97"/>
      <c r="H74" s="97"/>
      <c r="I74" s="93"/>
      <c r="J74" s="86"/>
      <c r="K74" s="93"/>
      <c r="L74" s="86"/>
      <c r="M74" s="86"/>
      <c r="N74" s="86"/>
      <c r="O74" s="93"/>
      <c r="P74" s="86"/>
      <c r="Q74" s="93"/>
      <c r="R74" s="86"/>
      <c r="S74" s="93"/>
      <c r="T74" s="86"/>
      <c r="U74" s="93"/>
      <c r="V74" s="86"/>
      <c r="W74" s="93"/>
      <c r="X74" s="86"/>
      <c r="Y74" s="93"/>
      <c r="Z74" s="86"/>
      <c r="AA74" s="93"/>
      <c r="AB74" s="86"/>
      <c r="AC74" s="93"/>
      <c r="AD74" s="86"/>
      <c r="AE74" s="93"/>
      <c r="AF74" s="86"/>
      <c r="AG74" s="93"/>
      <c r="AH74" s="86"/>
      <c r="AI74" s="93"/>
      <c r="AJ74" s="86"/>
      <c r="AK74" s="93"/>
      <c r="AL74" s="86"/>
      <c r="AM74" s="75"/>
      <c r="AN74" s="75"/>
      <c r="AO74" s="75"/>
      <c r="AP74" s="75"/>
      <c r="AQ74" s="75"/>
      <c r="AR74" s="75"/>
      <c r="AS74" s="75"/>
      <c r="AT74" s="75"/>
    </row>
    <row r="75" spans="1:46" s="78" customFormat="1" ht="12">
      <c r="A75" s="75"/>
      <c r="B75" s="79"/>
      <c r="C75" s="75"/>
      <c r="F75" s="97"/>
      <c r="G75" s="97"/>
      <c r="H75" s="97"/>
      <c r="I75" s="93"/>
      <c r="J75" s="86"/>
      <c r="K75" s="93"/>
      <c r="L75" s="86"/>
      <c r="M75" s="86"/>
      <c r="N75" s="86"/>
      <c r="O75" s="93"/>
      <c r="P75" s="86"/>
      <c r="Q75" s="93"/>
      <c r="R75" s="86"/>
      <c r="S75" s="93"/>
      <c r="T75" s="86"/>
      <c r="U75" s="93"/>
      <c r="V75" s="86"/>
      <c r="W75" s="93"/>
      <c r="X75" s="86"/>
      <c r="Y75" s="93"/>
      <c r="Z75" s="86"/>
      <c r="AA75" s="93"/>
      <c r="AB75" s="86"/>
      <c r="AC75" s="93"/>
      <c r="AD75" s="86"/>
      <c r="AE75" s="93"/>
      <c r="AF75" s="86"/>
      <c r="AG75" s="93"/>
      <c r="AH75" s="86"/>
      <c r="AI75" s="93"/>
      <c r="AJ75" s="86"/>
      <c r="AK75" s="93"/>
      <c r="AL75" s="86"/>
      <c r="AM75" s="75"/>
      <c r="AN75" s="75"/>
      <c r="AO75" s="75"/>
      <c r="AP75" s="75"/>
      <c r="AQ75" s="75"/>
      <c r="AR75" s="75"/>
      <c r="AS75" s="75"/>
      <c r="AT75" s="75"/>
    </row>
    <row r="76" spans="1:46" s="78" customFormat="1" ht="12">
      <c r="A76" s="75"/>
      <c r="B76" s="79"/>
      <c r="C76" s="75"/>
      <c r="F76" s="97"/>
      <c r="G76" s="97"/>
      <c r="H76" s="97"/>
      <c r="I76" s="93"/>
      <c r="J76" s="86"/>
      <c r="K76" s="93"/>
      <c r="L76" s="86"/>
      <c r="M76" s="86"/>
      <c r="N76" s="86"/>
      <c r="O76" s="93"/>
      <c r="P76" s="86"/>
      <c r="Q76" s="93"/>
      <c r="R76" s="86"/>
      <c r="S76" s="93"/>
      <c r="T76" s="86"/>
      <c r="U76" s="93"/>
      <c r="V76" s="86"/>
      <c r="W76" s="93"/>
      <c r="X76" s="86"/>
      <c r="Y76" s="93"/>
      <c r="Z76" s="86"/>
      <c r="AA76" s="93"/>
      <c r="AB76" s="86"/>
      <c r="AC76" s="93"/>
      <c r="AD76" s="86"/>
      <c r="AE76" s="93"/>
      <c r="AF76" s="86"/>
      <c r="AG76" s="93"/>
      <c r="AH76" s="86"/>
      <c r="AI76" s="93"/>
      <c r="AJ76" s="86"/>
      <c r="AK76" s="93"/>
      <c r="AL76" s="86"/>
      <c r="AM76" s="75"/>
      <c r="AN76" s="75"/>
      <c r="AO76" s="75"/>
      <c r="AP76" s="75"/>
      <c r="AQ76" s="75"/>
      <c r="AR76" s="75"/>
      <c r="AS76" s="75"/>
      <c r="AT76" s="75"/>
    </row>
    <row r="77" spans="1:46" s="78" customFormat="1" ht="12">
      <c r="A77" s="75"/>
      <c r="B77" s="79"/>
      <c r="C77" s="75"/>
      <c r="F77" s="97"/>
      <c r="G77" s="97"/>
      <c r="H77" s="97"/>
      <c r="I77" s="93"/>
      <c r="J77" s="86"/>
      <c r="K77" s="93"/>
      <c r="L77" s="86"/>
      <c r="M77" s="86"/>
      <c r="N77" s="86"/>
      <c r="O77" s="93"/>
      <c r="P77" s="86"/>
      <c r="Q77" s="93"/>
      <c r="R77" s="86"/>
      <c r="S77" s="93"/>
      <c r="T77" s="86"/>
      <c r="U77" s="93"/>
      <c r="V77" s="86"/>
      <c r="W77" s="93"/>
      <c r="X77" s="86"/>
      <c r="Y77" s="93"/>
      <c r="Z77" s="86"/>
      <c r="AA77" s="93"/>
      <c r="AB77" s="86"/>
      <c r="AC77" s="93"/>
      <c r="AD77" s="86"/>
      <c r="AE77" s="93"/>
      <c r="AF77" s="86"/>
      <c r="AG77" s="93"/>
      <c r="AH77" s="86"/>
      <c r="AI77" s="93"/>
      <c r="AJ77" s="86"/>
      <c r="AK77" s="93"/>
      <c r="AL77" s="86"/>
      <c r="AM77" s="75"/>
      <c r="AN77" s="75"/>
      <c r="AO77" s="75"/>
      <c r="AP77" s="75"/>
      <c r="AQ77" s="75"/>
      <c r="AR77" s="75"/>
      <c r="AS77" s="75"/>
      <c r="AT77" s="75"/>
    </row>
    <row r="78" spans="1:46" s="78" customFormat="1" ht="12">
      <c r="A78" s="75"/>
      <c r="B78" s="79"/>
      <c r="C78" s="75"/>
      <c r="F78" s="97"/>
      <c r="G78" s="97"/>
      <c r="H78" s="97"/>
      <c r="I78" s="93"/>
      <c r="J78" s="86"/>
      <c r="K78" s="93"/>
      <c r="L78" s="86"/>
      <c r="M78" s="86"/>
      <c r="N78" s="86"/>
      <c r="O78" s="93"/>
      <c r="P78" s="86"/>
      <c r="Q78" s="93"/>
      <c r="R78" s="86"/>
      <c r="S78" s="93"/>
      <c r="T78" s="86"/>
      <c r="U78" s="93"/>
      <c r="V78" s="86"/>
      <c r="W78" s="93"/>
      <c r="X78" s="86"/>
      <c r="Y78" s="93"/>
      <c r="Z78" s="86"/>
      <c r="AA78" s="93"/>
      <c r="AB78" s="86"/>
      <c r="AC78" s="93"/>
      <c r="AD78" s="86"/>
      <c r="AE78" s="93"/>
      <c r="AF78" s="86"/>
      <c r="AG78" s="93"/>
      <c r="AH78" s="86"/>
      <c r="AI78" s="93"/>
      <c r="AJ78" s="86"/>
      <c r="AK78" s="93"/>
      <c r="AL78" s="86"/>
      <c r="AM78" s="75"/>
      <c r="AN78" s="75"/>
      <c r="AO78" s="75"/>
      <c r="AP78" s="75"/>
      <c r="AQ78" s="75"/>
      <c r="AR78" s="75"/>
      <c r="AS78" s="75"/>
      <c r="AT78" s="75"/>
    </row>
    <row r="79" spans="1:46" s="78" customFormat="1" ht="12">
      <c r="A79" s="75"/>
      <c r="B79" s="79"/>
      <c r="C79" s="75"/>
      <c r="F79" s="97"/>
      <c r="G79" s="97"/>
      <c r="H79" s="97"/>
      <c r="I79" s="93"/>
      <c r="J79" s="86"/>
      <c r="K79" s="93"/>
      <c r="L79" s="86"/>
      <c r="M79" s="86"/>
      <c r="N79" s="86"/>
      <c r="O79" s="93"/>
      <c r="P79" s="86"/>
      <c r="Q79" s="93"/>
      <c r="R79" s="86"/>
      <c r="S79" s="93"/>
      <c r="T79" s="86"/>
      <c r="U79" s="93"/>
      <c r="V79" s="86"/>
      <c r="W79" s="93"/>
      <c r="X79" s="86"/>
      <c r="Y79" s="93"/>
      <c r="Z79" s="86"/>
      <c r="AA79" s="93"/>
      <c r="AB79" s="86"/>
      <c r="AC79" s="93"/>
      <c r="AD79" s="86"/>
      <c r="AE79" s="93"/>
      <c r="AF79" s="86"/>
      <c r="AG79" s="93"/>
      <c r="AH79" s="86"/>
      <c r="AI79" s="93"/>
      <c r="AJ79" s="86"/>
      <c r="AK79" s="93"/>
      <c r="AL79" s="86"/>
      <c r="AM79" s="75"/>
      <c r="AN79" s="75"/>
      <c r="AO79" s="75"/>
      <c r="AP79" s="75"/>
      <c r="AQ79" s="75"/>
      <c r="AR79" s="75"/>
      <c r="AS79" s="75"/>
      <c r="AT79" s="75"/>
    </row>
    <row r="80" spans="1:46" s="78" customFormat="1" ht="12">
      <c r="A80" s="75"/>
      <c r="B80" s="79"/>
      <c r="C80" s="75"/>
      <c r="F80" s="97"/>
      <c r="G80" s="97"/>
      <c r="H80" s="97"/>
      <c r="I80" s="93"/>
      <c r="J80" s="86"/>
      <c r="K80" s="93"/>
      <c r="L80" s="86"/>
      <c r="M80" s="86"/>
      <c r="N80" s="86"/>
      <c r="O80" s="93"/>
      <c r="P80" s="86"/>
      <c r="Q80" s="93"/>
      <c r="R80" s="86"/>
      <c r="S80" s="93"/>
      <c r="T80" s="86"/>
      <c r="U80" s="93"/>
      <c r="V80" s="86"/>
      <c r="W80" s="93"/>
      <c r="X80" s="86"/>
      <c r="Y80" s="93"/>
      <c r="Z80" s="86"/>
      <c r="AA80" s="93"/>
      <c r="AB80" s="86"/>
      <c r="AC80" s="93"/>
      <c r="AD80" s="86"/>
      <c r="AE80" s="93"/>
      <c r="AF80" s="86"/>
      <c r="AG80" s="93"/>
      <c r="AH80" s="86"/>
      <c r="AI80" s="93"/>
      <c r="AJ80" s="86"/>
      <c r="AK80" s="93"/>
      <c r="AL80" s="86"/>
      <c r="AM80" s="75"/>
      <c r="AN80" s="75"/>
      <c r="AO80" s="75"/>
      <c r="AP80" s="75"/>
      <c r="AQ80" s="75"/>
      <c r="AR80" s="75"/>
      <c r="AS80" s="75"/>
      <c r="AT80" s="75"/>
    </row>
    <row r="81" spans="1:46" s="78" customFormat="1" ht="12">
      <c r="A81" s="75"/>
      <c r="B81" s="79"/>
      <c r="C81" s="75"/>
      <c r="F81" s="97"/>
      <c r="G81" s="97"/>
      <c r="H81" s="97"/>
      <c r="I81" s="93"/>
      <c r="J81" s="86"/>
      <c r="K81" s="93"/>
      <c r="L81" s="86"/>
      <c r="M81" s="86"/>
      <c r="N81" s="86"/>
      <c r="O81" s="93"/>
      <c r="P81" s="86"/>
      <c r="Q81" s="93"/>
      <c r="R81" s="86"/>
      <c r="S81" s="93"/>
      <c r="T81" s="86"/>
      <c r="U81" s="93"/>
      <c r="V81" s="86"/>
      <c r="W81" s="93"/>
      <c r="X81" s="86"/>
      <c r="Y81" s="93"/>
      <c r="Z81" s="86"/>
      <c r="AA81" s="93"/>
      <c r="AB81" s="86"/>
      <c r="AC81" s="93"/>
      <c r="AD81" s="86"/>
      <c r="AE81" s="93"/>
      <c r="AF81" s="86"/>
      <c r="AG81" s="93"/>
      <c r="AH81" s="86"/>
      <c r="AI81" s="93"/>
      <c r="AJ81" s="86"/>
      <c r="AK81" s="93"/>
      <c r="AL81" s="86"/>
      <c r="AM81" s="75"/>
      <c r="AN81" s="75"/>
      <c r="AO81" s="75"/>
      <c r="AP81" s="75"/>
      <c r="AQ81" s="75"/>
      <c r="AR81" s="75"/>
      <c r="AS81" s="75"/>
      <c r="AT81" s="75"/>
    </row>
    <row r="82" spans="1:46" s="78" customFormat="1" ht="12">
      <c r="A82" s="75"/>
      <c r="B82" s="79"/>
      <c r="C82" s="75"/>
      <c r="F82" s="97"/>
      <c r="G82" s="97"/>
      <c r="H82" s="97"/>
      <c r="I82" s="93"/>
      <c r="J82" s="86"/>
      <c r="K82" s="93"/>
      <c r="L82" s="86"/>
      <c r="M82" s="86"/>
      <c r="N82" s="86"/>
      <c r="O82" s="93"/>
      <c r="P82" s="86"/>
      <c r="Q82" s="93"/>
      <c r="R82" s="86"/>
      <c r="S82" s="93"/>
      <c r="T82" s="86"/>
      <c r="U82" s="93"/>
      <c r="V82" s="86"/>
      <c r="W82" s="93"/>
      <c r="X82" s="86"/>
      <c r="Y82" s="93"/>
      <c r="Z82" s="86"/>
      <c r="AA82" s="93"/>
      <c r="AB82" s="86"/>
      <c r="AC82" s="93"/>
      <c r="AD82" s="86"/>
      <c r="AE82" s="93"/>
      <c r="AF82" s="86"/>
      <c r="AG82" s="93"/>
      <c r="AH82" s="86"/>
      <c r="AI82" s="93"/>
      <c r="AJ82" s="86"/>
      <c r="AK82" s="93"/>
      <c r="AL82" s="86"/>
      <c r="AM82" s="75"/>
      <c r="AN82" s="75"/>
      <c r="AO82" s="75"/>
      <c r="AP82" s="75"/>
      <c r="AQ82" s="75"/>
      <c r="AR82" s="75"/>
      <c r="AS82" s="75"/>
      <c r="AT82" s="75"/>
    </row>
    <row r="83" spans="1:46" s="78" customFormat="1" ht="12">
      <c r="A83" s="75"/>
      <c r="B83" s="79"/>
      <c r="C83" s="75"/>
      <c r="F83" s="97"/>
      <c r="G83" s="97"/>
      <c r="H83" s="97"/>
      <c r="I83" s="93"/>
      <c r="J83" s="86"/>
      <c r="K83" s="93"/>
      <c r="L83" s="86"/>
      <c r="M83" s="86"/>
      <c r="N83" s="86"/>
      <c r="O83" s="93"/>
      <c r="P83" s="86"/>
      <c r="Q83" s="93"/>
      <c r="R83" s="86"/>
      <c r="S83" s="93"/>
      <c r="T83" s="86"/>
      <c r="U83" s="93"/>
      <c r="V83" s="86"/>
      <c r="W83" s="93"/>
      <c r="X83" s="86"/>
      <c r="Y83" s="93"/>
      <c r="Z83" s="86"/>
      <c r="AA83" s="93"/>
      <c r="AB83" s="86"/>
      <c r="AC83" s="93"/>
      <c r="AD83" s="86"/>
      <c r="AE83" s="93"/>
      <c r="AF83" s="86"/>
      <c r="AG83" s="93"/>
      <c r="AH83" s="86"/>
      <c r="AI83" s="93"/>
      <c r="AJ83" s="86"/>
      <c r="AK83" s="93"/>
      <c r="AL83" s="86"/>
      <c r="AM83" s="75"/>
      <c r="AN83" s="75"/>
      <c r="AO83" s="75"/>
      <c r="AP83" s="75"/>
      <c r="AQ83" s="75"/>
      <c r="AR83" s="75"/>
      <c r="AS83" s="75"/>
      <c r="AT83" s="75"/>
    </row>
    <row r="84" spans="1:46" s="78" customFormat="1" ht="12">
      <c r="A84" s="75"/>
      <c r="B84" s="79"/>
      <c r="C84" s="75"/>
      <c r="F84" s="97"/>
      <c r="G84" s="97"/>
      <c r="H84" s="97"/>
      <c r="I84" s="93"/>
      <c r="J84" s="86"/>
      <c r="K84" s="93"/>
      <c r="L84" s="86"/>
      <c r="M84" s="86"/>
      <c r="N84" s="86"/>
      <c r="O84" s="93"/>
      <c r="P84" s="86"/>
      <c r="Q84" s="93"/>
      <c r="R84" s="86"/>
      <c r="S84" s="93"/>
      <c r="T84" s="86"/>
      <c r="U84" s="93"/>
      <c r="V84" s="86"/>
      <c r="W84" s="93"/>
      <c r="X84" s="86"/>
      <c r="Y84" s="93"/>
      <c r="Z84" s="86"/>
      <c r="AA84" s="93"/>
      <c r="AB84" s="86"/>
      <c r="AC84" s="93"/>
      <c r="AD84" s="86"/>
      <c r="AE84" s="93"/>
      <c r="AF84" s="86"/>
      <c r="AG84" s="93"/>
      <c r="AH84" s="86"/>
      <c r="AI84" s="93"/>
      <c r="AJ84" s="86"/>
      <c r="AK84" s="93"/>
      <c r="AL84" s="86"/>
      <c r="AM84" s="75"/>
      <c r="AN84" s="75"/>
      <c r="AO84" s="75"/>
      <c r="AP84" s="75"/>
      <c r="AQ84" s="75"/>
      <c r="AR84" s="75"/>
      <c r="AS84" s="75"/>
      <c r="AT84" s="75"/>
    </row>
    <row r="85" spans="1:46" s="78" customFormat="1" ht="12">
      <c r="A85" s="75"/>
      <c r="B85" s="79"/>
      <c r="C85" s="75"/>
      <c r="F85" s="97"/>
      <c r="G85" s="97"/>
      <c r="H85" s="97"/>
      <c r="I85" s="93"/>
      <c r="J85" s="86"/>
      <c r="K85" s="93"/>
      <c r="L85" s="86"/>
      <c r="M85" s="86"/>
      <c r="N85" s="86"/>
      <c r="O85" s="93"/>
      <c r="P85" s="86"/>
      <c r="Q85" s="93"/>
      <c r="R85" s="86"/>
      <c r="S85" s="93"/>
      <c r="T85" s="86"/>
      <c r="U85" s="93"/>
      <c r="V85" s="86"/>
      <c r="W85" s="93"/>
      <c r="X85" s="86"/>
      <c r="Y85" s="93"/>
      <c r="Z85" s="86"/>
      <c r="AA85" s="93"/>
      <c r="AB85" s="86"/>
      <c r="AC85" s="93"/>
      <c r="AD85" s="86"/>
      <c r="AE85" s="93"/>
      <c r="AF85" s="86"/>
      <c r="AG85" s="93"/>
      <c r="AH85" s="86"/>
      <c r="AI85" s="93"/>
      <c r="AJ85" s="86"/>
      <c r="AK85" s="93"/>
      <c r="AL85" s="86"/>
      <c r="AM85" s="75"/>
      <c r="AN85" s="75"/>
      <c r="AO85" s="75"/>
      <c r="AP85" s="75"/>
      <c r="AQ85" s="75"/>
      <c r="AR85" s="75"/>
      <c r="AS85" s="75"/>
      <c r="AT85" s="75"/>
    </row>
    <row r="86" spans="1:46" s="78" customFormat="1" ht="12">
      <c r="A86" s="75"/>
      <c r="B86" s="79"/>
      <c r="C86" s="75"/>
      <c r="F86" s="97"/>
      <c r="G86" s="97"/>
      <c r="H86" s="97"/>
      <c r="I86" s="93"/>
      <c r="J86" s="86"/>
      <c r="K86" s="93"/>
      <c r="L86" s="86"/>
      <c r="M86" s="86"/>
      <c r="N86" s="86"/>
      <c r="O86" s="93"/>
      <c r="P86" s="86"/>
      <c r="Q86" s="93"/>
      <c r="R86" s="86"/>
      <c r="S86" s="93"/>
      <c r="T86" s="86"/>
      <c r="U86" s="93"/>
      <c r="V86" s="86"/>
      <c r="W86" s="93"/>
      <c r="X86" s="86"/>
      <c r="Y86" s="93"/>
      <c r="Z86" s="86"/>
      <c r="AA86" s="93"/>
      <c r="AB86" s="86"/>
      <c r="AC86" s="93"/>
      <c r="AD86" s="86"/>
      <c r="AE86" s="93"/>
      <c r="AF86" s="86"/>
      <c r="AG86" s="93"/>
      <c r="AH86" s="86"/>
      <c r="AI86" s="93"/>
      <c r="AJ86" s="86"/>
      <c r="AK86" s="93"/>
      <c r="AL86" s="86"/>
      <c r="AM86" s="75"/>
      <c r="AN86" s="75"/>
      <c r="AO86" s="75"/>
      <c r="AP86" s="75"/>
      <c r="AQ86" s="75"/>
      <c r="AR86" s="75"/>
      <c r="AS86" s="75"/>
      <c r="AT86" s="75"/>
    </row>
    <row r="87" spans="1:46" s="78" customFormat="1" ht="12">
      <c r="A87" s="75"/>
      <c r="B87" s="79"/>
      <c r="C87" s="75"/>
      <c r="F87" s="97"/>
      <c r="G87" s="97"/>
      <c r="H87" s="97"/>
      <c r="I87" s="93"/>
      <c r="J87" s="86"/>
      <c r="K87" s="93"/>
      <c r="L87" s="86"/>
      <c r="M87" s="86"/>
      <c r="N87" s="86"/>
      <c r="O87" s="93"/>
      <c r="P87" s="86"/>
      <c r="Q87" s="93"/>
      <c r="R87" s="86"/>
      <c r="S87" s="93"/>
      <c r="T87" s="86"/>
      <c r="U87" s="93"/>
      <c r="V87" s="86"/>
      <c r="W87" s="93"/>
      <c r="X87" s="86"/>
      <c r="Y87" s="93"/>
      <c r="Z87" s="86"/>
      <c r="AA87" s="93"/>
      <c r="AB87" s="86"/>
      <c r="AC87" s="93"/>
      <c r="AD87" s="86"/>
      <c r="AE87" s="93"/>
      <c r="AF87" s="86"/>
      <c r="AG87" s="93"/>
      <c r="AH87" s="86"/>
      <c r="AI87" s="93"/>
      <c r="AJ87" s="86"/>
      <c r="AK87" s="93"/>
      <c r="AL87" s="86"/>
      <c r="AM87" s="75"/>
      <c r="AN87" s="75"/>
      <c r="AO87" s="75"/>
      <c r="AP87" s="75"/>
      <c r="AQ87" s="75"/>
      <c r="AR87" s="75"/>
      <c r="AS87" s="75"/>
      <c r="AT87" s="75"/>
    </row>
    <row r="88" spans="1:46" s="78" customFormat="1" ht="12">
      <c r="A88" s="75"/>
      <c r="B88" s="79"/>
      <c r="C88" s="75"/>
      <c r="F88" s="97"/>
      <c r="G88" s="97"/>
      <c r="H88" s="97"/>
      <c r="I88" s="93"/>
      <c r="J88" s="86"/>
      <c r="K88" s="93"/>
      <c r="L88" s="86"/>
      <c r="M88" s="86"/>
      <c r="N88" s="86"/>
      <c r="O88" s="93"/>
      <c r="P88" s="86"/>
      <c r="Q88" s="93"/>
      <c r="R88" s="86"/>
      <c r="S88" s="93"/>
      <c r="T88" s="86"/>
      <c r="U88" s="93"/>
      <c r="V88" s="86"/>
      <c r="W88" s="93"/>
      <c r="X88" s="86"/>
      <c r="Y88" s="93"/>
      <c r="Z88" s="86"/>
      <c r="AA88" s="93"/>
      <c r="AB88" s="86"/>
      <c r="AC88" s="93"/>
      <c r="AD88" s="86"/>
      <c r="AE88" s="93"/>
      <c r="AF88" s="86"/>
      <c r="AG88" s="93"/>
      <c r="AH88" s="86"/>
      <c r="AI88" s="93"/>
      <c r="AJ88" s="86"/>
      <c r="AK88" s="93"/>
      <c r="AL88" s="86"/>
      <c r="AM88" s="75"/>
      <c r="AN88" s="75"/>
      <c r="AO88" s="75"/>
      <c r="AP88" s="75"/>
      <c r="AQ88" s="75"/>
      <c r="AR88" s="75"/>
      <c r="AS88" s="75"/>
      <c r="AT88" s="75"/>
    </row>
    <row r="89" spans="1:46" s="78" customFormat="1" ht="12">
      <c r="A89" s="75"/>
      <c r="B89" s="79"/>
      <c r="C89" s="75"/>
      <c r="F89" s="97"/>
      <c r="G89" s="97"/>
      <c r="H89" s="97"/>
      <c r="I89" s="93"/>
      <c r="J89" s="86"/>
      <c r="K89" s="93"/>
      <c r="L89" s="86"/>
      <c r="M89" s="86"/>
      <c r="N89" s="86"/>
      <c r="O89" s="93"/>
      <c r="P89" s="86"/>
      <c r="Q89" s="93"/>
      <c r="R89" s="86"/>
      <c r="S89" s="93"/>
      <c r="T89" s="86"/>
      <c r="U89" s="93"/>
      <c r="V89" s="86"/>
      <c r="W89" s="93"/>
      <c r="X89" s="86"/>
      <c r="Y89" s="93"/>
      <c r="Z89" s="86"/>
      <c r="AA89" s="93"/>
      <c r="AB89" s="86"/>
      <c r="AC89" s="93"/>
      <c r="AD89" s="86"/>
      <c r="AE89" s="93"/>
      <c r="AF89" s="86"/>
      <c r="AG89" s="93"/>
      <c r="AH89" s="86"/>
      <c r="AI89" s="93"/>
      <c r="AJ89" s="86"/>
      <c r="AK89" s="93"/>
      <c r="AL89" s="86"/>
      <c r="AM89" s="75"/>
      <c r="AN89" s="75"/>
      <c r="AO89" s="75"/>
      <c r="AP89" s="75"/>
      <c r="AQ89" s="75"/>
      <c r="AR89" s="75"/>
      <c r="AS89" s="75"/>
      <c r="AT89" s="75"/>
    </row>
    <row r="90" spans="1:46" s="78" customFormat="1" ht="12">
      <c r="A90" s="75"/>
      <c r="B90" s="79"/>
      <c r="C90" s="75"/>
      <c r="F90" s="97"/>
      <c r="G90" s="97"/>
      <c r="H90" s="97"/>
      <c r="I90" s="93"/>
      <c r="J90" s="86"/>
      <c r="K90" s="93"/>
      <c r="L90" s="86"/>
      <c r="M90" s="86"/>
      <c r="N90" s="86"/>
      <c r="O90" s="93"/>
      <c r="P90" s="86"/>
      <c r="Q90" s="93"/>
      <c r="R90" s="86"/>
      <c r="S90" s="93"/>
      <c r="T90" s="86"/>
      <c r="U90" s="93"/>
      <c r="V90" s="86"/>
      <c r="W90" s="93"/>
      <c r="X90" s="86"/>
      <c r="Y90" s="93"/>
      <c r="Z90" s="86"/>
      <c r="AA90" s="93"/>
      <c r="AB90" s="86"/>
      <c r="AC90" s="93"/>
      <c r="AD90" s="86"/>
      <c r="AE90" s="93"/>
      <c r="AF90" s="86"/>
      <c r="AG90" s="93"/>
      <c r="AH90" s="86"/>
      <c r="AI90" s="93"/>
      <c r="AJ90" s="86"/>
      <c r="AK90" s="93"/>
      <c r="AL90" s="86"/>
      <c r="AM90" s="75"/>
      <c r="AN90" s="75"/>
      <c r="AO90" s="75"/>
      <c r="AP90" s="75"/>
      <c r="AQ90" s="75"/>
      <c r="AR90" s="75"/>
      <c r="AS90" s="75"/>
      <c r="AT90" s="75"/>
    </row>
    <row r="91" spans="1:46" s="78" customFormat="1" ht="12">
      <c r="A91" s="75"/>
      <c r="B91" s="79"/>
      <c r="C91" s="75"/>
      <c r="F91" s="97"/>
      <c r="G91" s="97"/>
      <c r="H91" s="97"/>
      <c r="I91" s="93"/>
      <c r="J91" s="86"/>
      <c r="K91" s="93"/>
      <c r="L91" s="86"/>
      <c r="M91" s="86"/>
      <c r="N91" s="86"/>
      <c r="O91" s="93"/>
      <c r="P91" s="86"/>
      <c r="Q91" s="93"/>
      <c r="R91" s="86"/>
      <c r="S91" s="93"/>
      <c r="T91" s="86"/>
      <c r="U91" s="93"/>
      <c r="V91" s="86"/>
      <c r="W91" s="93"/>
      <c r="X91" s="86"/>
      <c r="Y91" s="93"/>
      <c r="Z91" s="86"/>
      <c r="AA91" s="93"/>
      <c r="AB91" s="86"/>
      <c r="AC91" s="93"/>
      <c r="AD91" s="86"/>
      <c r="AE91" s="93"/>
      <c r="AF91" s="86"/>
      <c r="AG91" s="93"/>
      <c r="AH91" s="86"/>
      <c r="AI91" s="93"/>
      <c r="AJ91" s="86"/>
      <c r="AK91" s="93"/>
      <c r="AL91" s="86"/>
      <c r="AM91" s="75"/>
      <c r="AN91" s="75"/>
      <c r="AO91" s="75"/>
      <c r="AP91" s="75"/>
      <c r="AQ91" s="75"/>
      <c r="AR91" s="75"/>
      <c r="AS91" s="75"/>
      <c r="AT91" s="75"/>
    </row>
    <row r="92" spans="1:46" s="78" customFormat="1" ht="12">
      <c r="A92" s="75"/>
      <c r="B92" s="79"/>
      <c r="C92" s="75"/>
      <c r="F92" s="97"/>
      <c r="G92" s="97"/>
      <c r="H92" s="97"/>
      <c r="I92" s="93"/>
      <c r="J92" s="86"/>
      <c r="K92" s="93"/>
      <c r="L92" s="86"/>
      <c r="M92" s="86"/>
      <c r="N92" s="86"/>
      <c r="O92" s="93"/>
      <c r="P92" s="86"/>
      <c r="Q92" s="93"/>
      <c r="R92" s="86"/>
      <c r="S92" s="93"/>
      <c r="T92" s="86"/>
      <c r="U92" s="93"/>
      <c r="V92" s="86"/>
      <c r="W92" s="93"/>
      <c r="X92" s="86"/>
      <c r="Y92" s="93"/>
      <c r="Z92" s="86"/>
      <c r="AA92" s="93"/>
      <c r="AB92" s="86"/>
      <c r="AC92" s="93"/>
      <c r="AD92" s="86"/>
      <c r="AE92" s="93"/>
      <c r="AF92" s="86"/>
      <c r="AG92" s="93"/>
      <c r="AH92" s="86"/>
      <c r="AI92" s="93"/>
      <c r="AJ92" s="86"/>
      <c r="AK92" s="93"/>
      <c r="AL92" s="86"/>
      <c r="AM92" s="75"/>
      <c r="AN92" s="75"/>
      <c r="AO92" s="75"/>
      <c r="AP92" s="75"/>
      <c r="AQ92" s="75"/>
      <c r="AR92" s="75"/>
      <c r="AS92" s="75"/>
      <c r="AT92" s="75"/>
    </row>
    <row r="93" spans="1:46" s="78" customFormat="1" ht="12">
      <c r="A93" s="75"/>
      <c r="B93" s="79"/>
      <c r="C93" s="75"/>
      <c r="F93" s="97"/>
      <c r="G93" s="97"/>
      <c r="H93" s="97"/>
      <c r="I93" s="93"/>
      <c r="J93" s="86"/>
      <c r="K93" s="93"/>
      <c r="L93" s="86"/>
      <c r="M93" s="86"/>
      <c r="N93" s="86"/>
      <c r="O93" s="93"/>
      <c r="P93" s="86"/>
      <c r="Q93" s="93"/>
      <c r="R93" s="86"/>
      <c r="S93" s="93"/>
      <c r="T93" s="86"/>
      <c r="U93" s="93"/>
      <c r="V93" s="86"/>
      <c r="W93" s="93"/>
      <c r="X93" s="86"/>
      <c r="Y93" s="93"/>
      <c r="Z93" s="86"/>
      <c r="AA93" s="93"/>
      <c r="AB93" s="86"/>
      <c r="AC93" s="93"/>
      <c r="AD93" s="86"/>
      <c r="AE93" s="93"/>
      <c r="AF93" s="86"/>
      <c r="AG93" s="93"/>
      <c r="AH93" s="86"/>
      <c r="AI93" s="93"/>
      <c r="AJ93" s="86"/>
      <c r="AK93" s="93"/>
      <c r="AL93" s="86"/>
      <c r="AM93" s="75"/>
      <c r="AN93" s="75"/>
      <c r="AO93" s="75"/>
      <c r="AP93" s="75"/>
      <c r="AQ93" s="75"/>
      <c r="AR93" s="75"/>
      <c r="AS93" s="75"/>
      <c r="AT93" s="75"/>
    </row>
    <row r="94" spans="1:46" s="78" customFormat="1" ht="12">
      <c r="A94" s="75"/>
      <c r="B94" s="79"/>
      <c r="C94" s="75"/>
      <c r="F94" s="97"/>
      <c r="G94" s="97"/>
      <c r="H94" s="97"/>
      <c r="I94" s="93"/>
      <c r="J94" s="86"/>
      <c r="K94" s="93"/>
      <c r="L94" s="86"/>
      <c r="M94" s="86"/>
      <c r="N94" s="86"/>
      <c r="O94" s="93"/>
      <c r="P94" s="86"/>
      <c r="Q94" s="93"/>
      <c r="R94" s="86"/>
      <c r="S94" s="93"/>
      <c r="T94" s="86"/>
      <c r="U94" s="93"/>
      <c r="V94" s="86"/>
      <c r="W94" s="93"/>
      <c r="X94" s="86"/>
      <c r="Y94" s="93"/>
      <c r="Z94" s="86"/>
      <c r="AA94" s="93"/>
      <c r="AB94" s="86"/>
      <c r="AC94" s="93"/>
      <c r="AD94" s="86"/>
      <c r="AE94" s="93"/>
      <c r="AF94" s="86"/>
      <c r="AG94" s="93"/>
      <c r="AH94" s="86"/>
      <c r="AI94" s="93"/>
      <c r="AJ94" s="86"/>
      <c r="AK94" s="93"/>
      <c r="AL94" s="86"/>
      <c r="AM94" s="75"/>
      <c r="AN94" s="75"/>
      <c r="AO94" s="75"/>
      <c r="AP94" s="75"/>
      <c r="AQ94" s="75"/>
      <c r="AR94" s="75"/>
      <c r="AS94" s="75"/>
      <c r="AT94" s="75"/>
    </row>
    <row r="95" spans="1:46" s="78" customFormat="1" ht="12">
      <c r="A95" s="75"/>
      <c r="B95" s="79"/>
      <c r="C95" s="75"/>
      <c r="F95" s="97"/>
      <c r="G95" s="97"/>
      <c r="H95" s="97"/>
      <c r="I95" s="93"/>
      <c r="J95" s="86"/>
      <c r="K95" s="93"/>
      <c r="L95" s="86"/>
      <c r="M95" s="86"/>
      <c r="N95" s="86"/>
      <c r="O95" s="93"/>
      <c r="P95" s="86"/>
      <c r="Q95" s="93"/>
      <c r="R95" s="86"/>
      <c r="S95" s="93"/>
      <c r="T95" s="86"/>
      <c r="U95" s="93"/>
      <c r="V95" s="86"/>
      <c r="W95" s="93"/>
      <c r="X95" s="86"/>
      <c r="Y95" s="93"/>
      <c r="Z95" s="86"/>
      <c r="AA95" s="93"/>
      <c r="AB95" s="86"/>
      <c r="AC95" s="93"/>
      <c r="AD95" s="86"/>
      <c r="AE95" s="93"/>
      <c r="AF95" s="86"/>
      <c r="AG95" s="93"/>
      <c r="AH95" s="86"/>
      <c r="AI95" s="93"/>
      <c r="AJ95" s="86"/>
      <c r="AK95" s="93"/>
      <c r="AL95" s="86"/>
      <c r="AM95" s="75"/>
      <c r="AN95" s="75"/>
      <c r="AO95" s="75"/>
      <c r="AP95" s="75"/>
      <c r="AQ95" s="75"/>
      <c r="AR95" s="75"/>
      <c r="AS95" s="75"/>
      <c r="AT95" s="75"/>
    </row>
    <row r="96" spans="1:46" s="78" customFormat="1" ht="12">
      <c r="A96" s="75"/>
      <c r="B96" s="79"/>
      <c r="C96" s="75"/>
      <c r="F96" s="97"/>
      <c r="G96" s="97"/>
      <c r="H96" s="97"/>
      <c r="I96" s="93"/>
      <c r="J96" s="86"/>
      <c r="K96" s="93"/>
      <c r="L96" s="86"/>
      <c r="M96" s="86"/>
      <c r="N96" s="86"/>
      <c r="O96" s="93"/>
      <c r="P96" s="86"/>
      <c r="Q96" s="93"/>
      <c r="R96" s="86"/>
      <c r="S96" s="93"/>
      <c r="T96" s="86"/>
      <c r="U96" s="93"/>
      <c r="V96" s="86"/>
      <c r="W96" s="93"/>
      <c r="X96" s="86"/>
      <c r="Y96" s="93"/>
      <c r="Z96" s="86"/>
      <c r="AA96" s="93"/>
      <c r="AB96" s="86"/>
      <c r="AC96" s="93"/>
      <c r="AD96" s="86"/>
      <c r="AE96" s="93"/>
      <c r="AF96" s="86"/>
      <c r="AG96" s="93"/>
      <c r="AH96" s="86"/>
      <c r="AI96" s="93"/>
      <c r="AJ96" s="86"/>
      <c r="AK96" s="93"/>
      <c r="AL96" s="86"/>
      <c r="AM96" s="75"/>
      <c r="AN96" s="75"/>
      <c r="AO96" s="75"/>
      <c r="AP96" s="75"/>
      <c r="AQ96" s="75"/>
      <c r="AR96" s="75"/>
      <c r="AS96" s="75"/>
      <c r="AT96" s="75"/>
    </row>
    <row r="97" spans="1:46" s="78" customFormat="1" ht="12">
      <c r="A97" s="75"/>
      <c r="B97" s="79"/>
      <c r="C97" s="75"/>
      <c r="F97" s="97"/>
      <c r="G97" s="97"/>
      <c r="H97" s="97"/>
      <c r="I97" s="93"/>
      <c r="J97" s="86"/>
      <c r="K97" s="93"/>
      <c r="L97" s="86"/>
      <c r="M97" s="86"/>
      <c r="N97" s="86"/>
      <c r="O97" s="93"/>
      <c r="P97" s="86"/>
      <c r="Q97" s="93"/>
      <c r="R97" s="86"/>
      <c r="S97" s="93"/>
      <c r="T97" s="86"/>
      <c r="U97" s="93"/>
      <c r="V97" s="86"/>
      <c r="W97" s="93"/>
      <c r="X97" s="86"/>
      <c r="Y97" s="93"/>
      <c r="Z97" s="86"/>
      <c r="AA97" s="93"/>
      <c r="AB97" s="86"/>
      <c r="AC97" s="93"/>
      <c r="AD97" s="86"/>
      <c r="AE97" s="93"/>
      <c r="AF97" s="86"/>
      <c r="AG97" s="93"/>
      <c r="AH97" s="86"/>
      <c r="AI97" s="93"/>
      <c r="AJ97" s="86"/>
      <c r="AK97" s="93"/>
      <c r="AL97" s="86"/>
      <c r="AM97" s="75"/>
      <c r="AN97" s="75"/>
      <c r="AO97" s="75"/>
      <c r="AP97" s="75"/>
      <c r="AQ97" s="75"/>
      <c r="AR97" s="75"/>
      <c r="AS97" s="75"/>
      <c r="AT97" s="75"/>
    </row>
    <row r="98" spans="1:46" s="78" customFormat="1" ht="12">
      <c r="A98" s="75"/>
      <c r="B98" s="79"/>
      <c r="C98" s="75"/>
      <c r="F98" s="97"/>
      <c r="G98" s="97"/>
      <c r="H98" s="97"/>
      <c r="I98" s="93"/>
      <c r="J98" s="86"/>
      <c r="K98" s="93"/>
      <c r="L98" s="86"/>
      <c r="M98" s="86"/>
      <c r="N98" s="86"/>
      <c r="O98" s="93"/>
      <c r="P98" s="86"/>
      <c r="Q98" s="93"/>
      <c r="R98" s="86"/>
      <c r="S98" s="93"/>
      <c r="T98" s="86"/>
      <c r="U98" s="93"/>
      <c r="V98" s="86"/>
      <c r="W98" s="93"/>
      <c r="X98" s="86"/>
      <c r="Y98" s="93"/>
      <c r="Z98" s="86"/>
      <c r="AA98" s="93"/>
      <c r="AB98" s="86"/>
      <c r="AC98" s="93"/>
      <c r="AD98" s="86"/>
      <c r="AE98" s="93"/>
      <c r="AF98" s="86"/>
      <c r="AG98" s="93"/>
      <c r="AH98" s="86"/>
      <c r="AI98" s="93"/>
      <c r="AJ98" s="86"/>
      <c r="AK98" s="93"/>
      <c r="AL98" s="86"/>
      <c r="AM98" s="75"/>
      <c r="AN98" s="75"/>
      <c r="AO98" s="75"/>
      <c r="AP98" s="75"/>
      <c r="AQ98" s="75"/>
      <c r="AR98" s="75"/>
      <c r="AS98" s="75"/>
      <c r="AT98" s="75"/>
    </row>
    <row r="99" spans="1:46" s="78" customFormat="1" ht="12">
      <c r="A99" s="75"/>
      <c r="B99" s="79"/>
      <c r="C99" s="75"/>
      <c r="F99" s="97"/>
      <c r="G99" s="97"/>
      <c r="H99" s="97"/>
      <c r="I99" s="93"/>
      <c r="J99" s="86"/>
      <c r="K99" s="93"/>
      <c r="L99" s="86"/>
      <c r="M99" s="86"/>
      <c r="N99" s="86"/>
      <c r="O99" s="93"/>
      <c r="P99" s="86"/>
      <c r="Q99" s="93"/>
      <c r="R99" s="86"/>
      <c r="S99" s="93"/>
      <c r="T99" s="86"/>
      <c r="U99" s="93"/>
      <c r="V99" s="86"/>
      <c r="W99" s="93"/>
      <c r="X99" s="86"/>
      <c r="Y99" s="93"/>
      <c r="Z99" s="86"/>
      <c r="AA99" s="93"/>
      <c r="AB99" s="86"/>
      <c r="AC99" s="93"/>
      <c r="AD99" s="86"/>
      <c r="AE99" s="93"/>
      <c r="AF99" s="86"/>
      <c r="AG99" s="93"/>
      <c r="AH99" s="86"/>
      <c r="AI99" s="93"/>
      <c r="AJ99" s="86"/>
      <c r="AK99" s="93"/>
      <c r="AL99" s="86"/>
      <c r="AM99" s="75"/>
      <c r="AN99" s="75"/>
      <c r="AO99" s="75"/>
      <c r="AP99" s="75"/>
      <c r="AQ99" s="75"/>
      <c r="AR99" s="75"/>
      <c r="AS99" s="75"/>
      <c r="AT99" s="75"/>
    </row>
    <row r="100" spans="1:46" s="78" customFormat="1" ht="12">
      <c r="A100" s="75"/>
      <c r="B100" s="79"/>
      <c r="C100" s="75"/>
      <c r="F100" s="97"/>
      <c r="G100" s="97"/>
      <c r="H100" s="97"/>
      <c r="I100" s="93"/>
      <c r="J100" s="86"/>
      <c r="K100" s="93"/>
      <c r="L100" s="86"/>
      <c r="M100" s="86"/>
      <c r="N100" s="86"/>
      <c r="O100" s="93"/>
      <c r="P100" s="86"/>
      <c r="Q100" s="93"/>
      <c r="R100" s="86"/>
      <c r="S100" s="93"/>
      <c r="T100" s="86"/>
      <c r="U100" s="93"/>
      <c r="V100" s="86"/>
      <c r="W100" s="93"/>
      <c r="X100" s="86"/>
      <c r="Y100" s="93"/>
      <c r="Z100" s="86"/>
      <c r="AA100" s="93"/>
      <c r="AB100" s="86"/>
      <c r="AC100" s="93"/>
      <c r="AD100" s="86"/>
      <c r="AE100" s="93"/>
      <c r="AF100" s="86"/>
      <c r="AG100" s="93"/>
      <c r="AH100" s="86"/>
      <c r="AI100" s="93"/>
      <c r="AJ100" s="86"/>
      <c r="AK100" s="93"/>
      <c r="AL100" s="86"/>
      <c r="AM100" s="75"/>
      <c r="AN100" s="75"/>
      <c r="AO100" s="75"/>
      <c r="AP100" s="75"/>
      <c r="AQ100" s="75"/>
      <c r="AR100" s="75"/>
      <c r="AS100" s="75"/>
      <c r="AT100" s="75"/>
    </row>
    <row r="101" spans="1:46" s="78" customFormat="1" ht="12">
      <c r="A101" s="75"/>
      <c r="B101" s="79"/>
      <c r="C101" s="75"/>
      <c r="F101" s="97"/>
      <c r="G101" s="97"/>
      <c r="H101" s="97"/>
      <c r="I101" s="93"/>
      <c r="J101" s="86"/>
      <c r="K101" s="93"/>
      <c r="L101" s="86"/>
      <c r="M101" s="86"/>
      <c r="N101" s="86"/>
      <c r="O101" s="93"/>
      <c r="P101" s="86"/>
      <c r="Q101" s="93"/>
      <c r="R101" s="86"/>
      <c r="S101" s="93"/>
      <c r="T101" s="86"/>
      <c r="U101" s="93"/>
      <c r="V101" s="86"/>
      <c r="W101" s="93"/>
      <c r="X101" s="86"/>
      <c r="Y101" s="93"/>
      <c r="Z101" s="86"/>
      <c r="AA101" s="93"/>
      <c r="AB101" s="86"/>
      <c r="AC101" s="93"/>
      <c r="AD101" s="86"/>
      <c r="AE101" s="93"/>
      <c r="AF101" s="86"/>
      <c r="AG101" s="93"/>
      <c r="AH101" s="86"/>
      <c r="AI101" s="93"/>
      <c r="AJ101" s="86"/>
      <c r="AK101" s="93"/>
      <c r="AL101" s="86"/>
      <c r="AM101" s="75"/>
      <c r="AN101" s="75"/>
      <c r="AO101" s="75"/>
      <c r="AP101" s="75"/>
      <c r="AQ101" s="75"/>
      <c r="AR101" s="75"/>
      <c r="AS101" s="75"/>
      <c r="AT101" s="75"/>
    </row>
    <row r="102" spans="1:46" s="78" customFormat="1" ht="12">
      <c r="A102" s="75"/>
      <c r="B102" s="79"/>
      <c r="C102" s="75"/>
      <c r="F102" s="97"/>
      <c r="G102" s="97"/>
      <c r="H102" s="97"/>
      <c r="I102" s="93"/>
      <c r="J102" s="86"/>
      <c r="K102" s="93"/>
      <c r="L102" s="86"/>
      <c r="M102" s="86"/>
      <c r="N102" s="86"/>
      <c r="O102" s="93"/>
      <c r="P102" s="86"/>
      <c r="Q102" s="93"/>
      <c r="R102" s="86"/>
      <c r="S102" s="93"/>
      <c r="T102" s="86"/>
      <c r="U102" s="93"/>
      <c r="V102" s="86"/>
      <c r="W102" s="93"/>
      <c r="X102" s="86"/>
      <c r="Y102" s="93"/>
      <c r="Z102" s="86"/>
      <c r="AA102" s="93"/>
      <c r="AB102" s="86"/>
      <c r="AC102" s="93"/>
      <c r="AD102" s="86"/>
      <c r="AE102" s="93"/>
      <c r="AF102" s="86"/>
      <c r="AG102" s="93"/>
      <c r="AH102" s="86"/>
      <c r="AI102" s="93"/>
      <c r="AJ102" s="86"/>
      <c r="AK102" s="93"/>
      <c r="AL102" s="86"/>
      <c r="AM102" s="75"/>
      <c r="AN102" s="75"/>
      <c r="AO102" s="75"/>
      <c r="AP102" s="75"/>
      <c r="AQ102" s="75"/>
      <c r="AR102" s="75"/>
      <c r="AS102" s="75"/>
      <c r="AT102" s="75"/>
    </row>
  </sheetData>
  <mergeCells count="34">
    <mergeCell ref="C7:C37"/>
    <mergeCell ref="G5:G6"/>
    <mergeCell ref="H5:H6"/>
    <mergeCell ref="I5:J5"/>
    <mergeCell ref="H7:H36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</mergeCells>
  <phoneticPr fontId="1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CC"/>
  </sheetPr>
  <dimension ref="A2:AL102"/>
  <sheetViews>
    <sheetView zoomScale="85" zoomScaleNormal="85" workbookViewId="0">
      <pane xSplit="5" ySplit="6" topLeftCell="T11" activePane="bottomRight" state="frozen"/>
      <selection pane="bottomRight" activeCell="AK11" activeCellId="14" sqref="I11:I36 K11:K36 M11:M36 O11:O36 Q11:Q36 S11:S36 U11:U36 W11:W36 Y11:Y36 AA11:AA36 AC11:AC36 AE11:AE36 AG11:AG36 AI11:AI36 AK11:AK36"/>
      <selection pane="bottomLeft" activeCell="A7" sqref="A7"/>
      <selection pane="topRight" activeCell="F1" sqref="F1"/>
    </sheetView>
  </sheetViews>
  <sheetFormatPr defaultColWidth="8.85546875" defaultRowHeight="14.25"/>
  <cols>
    <col min="1" max="1" width="8.85546875" style="75"/>
    <col min="2" max="2" width="13.140625" style="75" customWidth="1"/>
    <col min="3" max="3" width="8.85546875" style="98"/>
    <col min="4" max="4" width="17" style="98" customWidth="1"/>
    <col min="5" max="5" width="8.5703125" style="78" customWidth="1"/>
    <col min="6" max="8" width="17.42578125" style="99" customWidth="1"/>
    <col min="9" max="9" width="10.5703125" style="84" customWidth="1"/>
    <col min="10" max="10" width="10.5703125" style="86" customWidth="1"/>
    <col min="11" max="11" width="10.5703125" style="84" customWidth="1"/>
    <col min="12" max="12" width="10.5703125" style="86" customWidth="1"/>
    <col min="13" max="13" width="10.5703125" style="84" customWidth="1"/>
    <col min="14" max="14" width="10.5703125" style="86" customWidth="1"/>
    <col min="15" max="15" width="10.5703125" style="84" customWidth="1"/>
    <col min="16" max="16" width="10.5703125" style="86" customWidth="1"/>
    <col min="17" max="17" width="10.5703125" style="84" customWidth="1"/>
    <col min="18" max="18" width="10.5703125" style="86" customWidth="1"/>
    <col min="19" max="19" width="10.5703125" style="84" customWidth="1"/>
    <col min="20" max="20" width="10.5703125" style="86" customWidth="1"/>
    <col min="21" max="21" width="10.5703125" style="84" customWidth="1"/>
    <col min="22" max="22" width="10.5703125" style="86" customWidth="1"/>
    <col min="23" max="23" width="10.5703125" style="84" customWidth="1"/>
    <col min="24" max="24" width="10.5703125" style="86" customWidth="1"/>
    <col min="25" max="25" width="10.5703125" style="84" customWidth="1"/>
    <col min="26" max="26" width="10.5703125" style="86" customWidth="1"/>
    <col min="27" max="27" width="10.5703125" style="84" customWidth="1"/>
    <col min="28" max="28" width="10.5703125" style="86" customWidth="1"/>
    <col min="29" max="29" width="10.5703125" style="84" customWidth="1"/>
    <col min="30" max="30" width="10.5703125" style="86" customWidth="1"/>
    <col min="31" max="31" width="10.5703125" style="84" customWidth="1"/>
    <col min="32" max="32" width="10.5703125" style="86" customWidth="1"/>
    <col min="33" max="33" width="10.42578125" style="84" customWidth="1"/>
    <col min="34" max="34" width="10.42578125" style="86" customWidth="1"/>
    <col min="35" max="35" width="10.42578125" style="84" customWidth="1"/>
    <col min="36" max="36" width="10.42578125" style="86" customWidth="1"/>
    <col min="37" max="37" width="10.42578125" style="84" customWidth="1"/>
    <col min="38" max="38" width="10.42578125" style="86" customWidth="1"/>
    <col min="39" max="16384" width="8.85546875" style="75"/>
  </cols>
  <sheetData>
    <row r="2" spans="1:38" ht="38.1" customHeight="1">
      <c r="A2" s="74"/>
      <c r="B2" s="359" t="s">
        <v>182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359"/>
      <c r="O2" s="359"/>
      <c r="P2" s="359"/>
      <c r="Q2" s="359"/>
      <c r="R2" s="359"/>
      <c r="S2" s="359"/>
      <c r="T2" s="359"/>
      <c r="U2" s="359"/>
      <c r="V2" s="359"/>
      <c r="W2" s="359"/>
      <c r="X2" s="359"/>
      <c r="Y2" s="359"/>
      <c r="Z2" s="359"/>
      <c r="AA2" s="359"/>
      <c r="AB2" s="359"/>
      <c r="AC2" s="359"/>
      <c r="AD2" s="359"/>
      <c r="AE2" s="359"/>
      <c r="AF2" s="359"/>
      <c r="AG2" s="359"/>
      <c r="AH2" s="359"/>
      <c r="AI2" s="359"/>
      <c r="AJ2" s="359"/>
      <c r="AK2" s="359"/>
      <c r="AL2" s="359"/>
    </row>
    <row r="3" spans="1:38" ht="25.35" customHeight="1">
      <c r="B3" s="79"/>
      <c r="C3" s="378" t="s">
        <v>165</v>
      </c>
      <c r="D3" s="379" t="s">
        <v>135</v>
      </c>
      <c r="E3" s="379"/>
      <c r="F3" s="391" t="s">
        <v>183</v>
      </c>
      <c r="G3" s="392"/>
      <c r="H3" s="392"/>
      <c r="I3" s="387" t="s">
        <v>184</v>
      </c>
      <c r="J3" s="387"/>
      <c r="K3" s="387"/>
      <c r="L3" s="387"/>
      <c r="M3" s="387"/>
      <c r="N3" s="387"/>
      <c r="O3" s="387"/>
      <c r="P3" s="387"/>
      <c r="Q3" s="387"/>
      <c r="R3" s="387"/>
      <c r="S3" s="387"/>
      <c r="T3" s="387"/>
      <c r="U3" s="387"/>
      <c r="V3" s="387"/>
      <c r="W3" s="387"/>
      <c r="X3" s="387"/>
      <c r="Y3" s="387"/>
      <c r="Z3" s="387"/>
      <c r="AA3" s="387"/>
      <c r="AB3" s="387"/>
      <c r="AC3" s="387"/>
      <c r="AD3" s="387"/>
      <c r="AE3" s="387"/>
      <c r="AF3" s="387"/>
      <c r="AG3" s="387"/>
      <c r="AH3" s="387"/>
      <c r="AI3" s="387"/>
      <c r="AJ3" s="387"/>
      <c r="AK3" s="387"/>
      <c r="AL3" s="387"/>
    </row>
    <row r="4" spans="1:38" ht="25.35" customHeight="1">
      <c r="B4" s="79"/>
      <c r="C4" s="378"/>
      <c r="D4" s="379"/>
      <c r="E4" s="379"/>
      <c r="F4" s="392"/>
      <c r="G4" s="392"/>
      <c r="H4" s="392"/>
      <c r="I4" s="388" t="s">
        <v>168</v>
      </c>
      <c r="J4" s="388"/>
      <c r="K4" s="388"/>
      <c r="L4" s="388"/>
      <c r="M4" s="388"/>
      <c r="N4" s="388"/>
      <c r="O4" s="388" t="s">
        <v>169</v>
      </c>
      <c r="P4" s="388"/>
      <c r="Q4" s="388"/>
      <c r="R4" s="388"/>
      <c r="S4" s="388"/>
      <c r="T4" s="388"/>
      <c r="U4" s="388" t="s">
        <v>170</v>
      </c>
      <c r="V4" s="388"/>
      <c r="W4" s="388" t="s">
        <v>171</v>
      </c>
      <c r="X4" s="388"/>
      <c r="Y4" s="388" t="s">
        <v>172</v>
      </c>
      <c r="Z4" s="388"/>
      <c r="AA4" s="388"/>
      <c r="AB4" s="388"/>
      <c r="AC4" s="388"/>
      <c r="AD4" s="388"/>
      <c r="AE4" s="388" t="s">
        <v>173</v>
      </c>
      <c r="AF4" s="388"/>
      <c r="AG4" s="388" t="s">
        <v>174</v>
      </c>
      <c r="AH4" s="388"/>
      <c r="AI4" s="388" t="s">
        <v>175</v>
      </c>
      <c r="AJ4" s="388"/>
      <c r="AK4" s="388" t="s">
        <v>176</v>
      </c>
      <c r="AL4" s="388"/>
    </row>
    <row r="5" spans="1:38" ht="25.35" customHeight="1">
      <c r="B5" s="79"/>
      <c r="C5" s="378"/>
      <c r="D5" s="379"/>
      <c r="E5" s="379"/>
      <c r="F5" s="386" t="s">
        <v>142</v>
      </c>
      <c r="G5" s="386" t="s">
        <v>143</v>
      </c>
      <c r="H5" s="386" t="s">
        <v>144</v>
      </c>
      <c r="I5" s="388" t="s">
        <v>177</v>
      </c>
      <c r="J5" s="388"/>
      <c r="K5" s="388" t="s">
        <v>178</v>
      </c>
      <c r="L5" s="388"/>
      <c r="M5" s="393" t="s">
        <v>179</v>
      </c>
      <c r="N5" s="388"/>
      <c r="O5" s="388" t="s">
        <v>177</v>
      </c>
      <c r="P5" s="388"/>
      <c r="Q5" s="388" t="s">
        <v>178</v>
      </c>
      <c r="R5" s="388"/>
      <c r="S5" s="393" t="s">
        <v>179</v>
      </c>
      <c r="T5" s="388"/>
      <c r="U5" s="388" t="s">
        <v>177</v>
      </c>
      <c r="V5" s="388"/>
      <c r="W5" s="388" t="s">
        <v>177</v>
      </c>
      <c r="X5" s="388"/>
      <c r="Y5" s="388" t="s">
        <v>177</v>
      </c>
      <c r="Z5" s="388"/>
      <c r="AA5" s="388" t="s">
        <v>178</v>
      </c>
      <c r="AB5" s="388"/>
      <c r="AC5" s="393" t="s">
        <v>179</v>
      </c>
      <c r="AD5" s="388"/>
      <c r="AE5" s="388" t="s">
        <v>177</v>
      </c>
      <c r="AF5" s="388"/>
      <c r="AG5" s="388" t="s">
        <v>177</v>
      </c>
      <c r="AH5" s="388"/>
      <c r="AI5" s="388" t="s">
        <v>177</v>
      </c>
      <c r="AJ5" s="388"/>
      <c r="AK5" s="388" t="s">
        <v>177</v>
      </c>
      <c r="AL5" s="388"/>
    </row>
    <row r="6" spans="1:38" s="78" customFormat="1" ht="23.45" customHeight="1">
      <c r="B6" s="79"/>
      <c r="C6" s="378"/>
      <c r="D6" s="379"/>
      <c r="E6" s="379"/>
      <c r="F6" s="386"/>
      <c r="G6" s="386"/>
      <c r="H6" s="386"/>
      <c r="I6" s="100" t="s">
        <v>185</v>
      </c>
      <c r="J6" s="95" t="s">
        <v>181</v>
      </c>
      <c r="K6" s="100" t="s">
        <v>185</v>
      </c>
      <c r="L6" s="95" t="s">
        <v>181</v>
      </c>
      <c r="M6" s="100" t="s">
        <v>185</v>
      </c>
      <c r="N6" s="95" t="s">
        <v>181</v>
      </c>
      <c r="O6" s="100" t="s">
        <v>185</v>
      </c>
      <c r="P6" s="95" t="s">
        <v>181</v>
      </c>
      <c r="Q6" s="100" t="s">
        <v>185</v>
      </c>
      <c r="R6" s="95" t="s">
        <v>181</v>
      </c>
      <c r="S6" s="100" t="s">
        <v>185</v>
      </c>
      <c r="T6" s="95" t="s">
        <v>181</v>
      </c>
      <c r="U6" s="100" t="s">
        <v>185</v>
      </c>
      <c r="V6" s="95" t="s">
        <v>181</v>
      </c>
      <c r="W6" s="100" t="s">
        <v>185</v>
      </c>
      <c r="X6" s="95" t="s">
        <v>181</v>
      </c>
      <c r="Y6" s="100" t="s">
        <v>185</v>
      </c>
      <c r="Z6" s="95" t="s">
        <v>181</v>
      </c>
      <c r="AA6" s="100" t="s">
        <v>185</v>
      </c>
      <c r="AB6" s="95" t="s">
        <v>181</v>
      </c>
      <c r="AC6" s="100" t="s">
        <v>185</v>
      </c>
      <c r="AD6" s="95" t="s">
        <v>181</v>
      </c>
      <c r="AE6" s="100" t="s">
        <v>185</v>
      </c>
      <c r="AF6" s="95" t="s">
        <v>181</v>
      </c>
      <c r="AG6" s="100" t="s">
        <v>185</v>
      </c>
      <c r="AH6" s="95" t="s">
        <v>181</v>
      </c>
      <c r="AI6" s="100" t="s">
        <v>185</v>
      </c>
      <c r="AJ6" s="95" t="s">
        <v>181</v>
      </c>
      <c r="AK6" s="100" t="s">
        <v>185</v>
      </c>
      <c r="AL6" s="95" t="s">
        <v>181</v>
      </c>
    </row>
    <row r="7" spans="1:38" ht="12">
      <c r="B7" s="79"/>
      <c r="C7" s="255"/>
      <c r="D7" s="243">
        <v>45901</v>
      </c>
      <c r="E7" s="243" t="s">
        <v>147</v>
      </c>
      <c r="F7" s="323">
        <f>SUM(M7,S7,U7,W7,AC7,AE7,AG7,AI7,AK7)</f>
        <v>222309</v>
      </c>
      <c r="G7" s="324">
        <f>SUM(F7)</f>
        <v>222309</v>
      </c>
      <c r="H7" s="389">
        <f>SUM(F7:F36)</f>
        <v>6718847</v>
      </c>
      <c r="I7" s="325">
        <v>31188</v>
      </c>
      <c r="J7" s="96">
        <f t="shared" ref="J7:J14" si="0">I7/F7</f>
        <v>0.14029121628004265</v>
      </c>
      <c r="K7" s="205">
        <v>45716</v>
      </c>
      <c r="L7" s="96">
        <f t="shared" ref="L7:L14" si="1">K7/F7</f>
        <v>0.20564169691735376</v>
      </c>
      <c r="M7" s="101">
        <f t="shared" ref="M7:M14" si="2">SUM(I7+K7)</f>
        <v>76904</v>
      </c>
      <c r="N7" s="96">
        <f t="shared" ref="N7:N14" si="3">M7/F7</f>
        <v>0.34593291319739644</v>
      </c>
      <c r="O7" s="205">
        <v>7283</v>
      </c>
      <c r="P7" s="96">
        <f t="shared" ref="P7:P14" si="4">O7/F7</f>
        <v>3.2760706943938393E-2</v>
      </c>
      <c r="Q7" s="205">
        <v>4112</v>
      </c>
      <c r="R7" s="96">
        <f t="shared" ref="R7:R14" si="5">Q7/D7</f>
        <v>8.9584104921461405E-2</v>
      </c>
      <c r="S7" s="101">
        <f t="shared" ref="S7:S14" si="6">SUM(O7+Q7)</f>
        <v>11395</v>
      </c>
      <c r="T7" s="96">
        <f t="shared" ref="T7:T14" si="7">S7/F7</f>
        <v>5.1257483952516544E-2</v>
      </c>
      <c r="U7" s="205">
        <v>20019</v>
      </c>
      <c r="V7" s="96">
        <f t="shared" ref="V7:V14" si="8">U7/F7</f>
        <v>9.0050335344048146E-2</v>
      </c>
      <c r="W7" s="205">
        <v>420</v>
      </c>
      <c r="X7" s="96">
        <f t="shared" ref="X7:X14" si="9">W7/F7</f>
        <v>1.8892622430940718E-3</v>
      </c>
      <c r="Y7" s="205">
        <v>23192</v>
      </c>
      <c r="Z7" s="96">
        <f t="shared" ref="Z7:Z14" si="10">Y7/F7</f>
        <v>0.10432326176628026</v>
      </c>
      <c r="AA7" s="205">
        <v>24411</v>
      </c>
      <c r="AB7" s="96">
        <f t="shared" ref="AB7:AB14" si="11">AA7/D7</f>
        <v>0.53181847890024181</v>
      </c>
      <c r="AC7" s="101">
        <f t="shared" ref="AC7:AC14" si="12">SUM(Y7+AA7)</f>
        <v>47603</v>
      </c>
      <c r="AD7" s="96">
        <f t="shared" ref="AD7:AD14" si="13">AC7/F7</f>
        <v>0.21412988228096927</v>
      </c>
      <c r="AE7" s="205">
        <v>13998</v>
      </c>
      <c r="AF7" s="96">
        <f t="shared" ref="AF7:AF14" si="14">AE7/F7</f>
        <v>6.2966411616263845E-2</v>
      </c>
      <c r="AG7" s="205">
        <v>17886</v>
      </c>
      <c r="AH7" s="96">
        <f t="shared" ref="AH7:AH14" si="15">AG7/F7</f>
        <v>8.0455582095191824E-2</v>
      </c>
      <c r="AI7" s="205">
        <v>16627</v>
      </c>
      <c r="AJ7" s="96">
        <f t="shared" ref="AJ7:AJ14" si="16">AI7/F7</f>
        <v>7.4792293609345556E-2</v>
      </c>
      <c r="AK7" s="205">
        <v>17457</v>
      </c>
      <c r="AL7" s="96">
        <f t="shared" ref="AL7:AL14" si="17">AK7/F7</f>
        <v>7.8525835661174312E-2</v>
      </c>
    </row>
    <row r="8" spans="1:38" ht="12">
      <c r="B8" s="79"/>
      <c r="C8" s="79"/>
      <c r="D8" s="82">
        <v>45902</v>
      </c>
      <c r="E8" s="82" t="s">
        <v>148</v>
      </c>
      <c r="F8" s="323">
        <f t="shared" ref="F8:F36" si="18">SUM(M8,S8,U8,W8,AC8,AE8,AG8,AI8,AK8)</f>
        <v>240560</v>
      </c>
      <c r="G8" s="324">
        <f>SUM(F8:F14)</f>
        <v>1525242</v>
      </c>
      <c r="H8" s="390"/>
      <c r="I8" s="325">
        <v>43708</v>
      </c>
      <c r="J8" s="96">
        <f t="shared" si="0"/>
        <v>0.18169271699368142</v>
      </c>
      <c r="K8" s="205">
        <v>46366</v>
      </c>
      <c r="L8" s="96">
        <f t="shared" si="1"/>
        <v>0.19274193548387097</v>
      </c>
      <c r="M8" s="101">
        <f t="shared" si="2"/>
        <v>90074</v>
      </c>
      <c r="N8" s="96">
        <f t="shared" si="3"/>
        <v>0.37443465247755237</v>
      </c>
      <c r="O8" s="205">
        <v>7078</v>
      </c>
      <c r="P8" s="96">
        <f t="shared" si="4"/>
        <v>2.9423012969737278E-2</v>
      </c>
      <c r="Q8" s="205">
        <v>4101</v>
      </c>
      <c r="R8" s="96">
        <f t="shared" si="5"/>
        <v>8.9342512308831862E-2</v>
      </c>
      <c r="S8" s="101">
        <f t="shared" si="6"/>
        <v>11179</v>
      </c>
      <c r="T8" s="96">
        <f t="shared" si="7"/>
        <v>4.6470734951779183E-2</v>
      </c>
      <c r="U8" s="205">
        <v>19657</v>
      </c>
      <c r="V8" s="96">
        <f t="shared" si="8"/>
        <v>8.1713501829065519E-2</v>
      </c>
      <c r="W8" s="205">
        <v>458</v>
      </c>
      <c r="X8" s="96">
        <f t="shared" si="9"/>
        <v>1.9038909211839042E-3</v>
      </c>
      <c r="Y8" s="205">
        <v>22718</v>
      </c>
      <c r="Z8" s="96">
        <f t="shared" si="10"/>
        <v>9.4437978051213831E-2</v>
      </c>
      <c r="AA8" s="205">
        <v>23992</v>
      </c>
      <c r="AB8" s="96">
        <f t="shared" si="11"/>
        <v>0.522678750381247</v>
      </c>
      <c r="AC8" s="101">
        <f t="shared" si="12"/>
        <v>46710</v>
      </c>
      <c r="AD8" s="96">
        <f t="shared" si="13"/>
        <v>0.19417193215829731</v>
      </c>
      <c r="AE8" s="205">
        <v>14199</v>
      </c>
      <c r="AF8" s="96">
        <f t="shared" si="14"/>
        <v>5.9024775523777849E-2</v>
      </c>
      <c r="AG8" s="205">
        <v>25447</v>
      </c>
      <c r="AH8" s="96">
        <f t="shared" si="15"/>
        <v>0.10578234120385767</v>
      </c>
      <c r="AI8" s="205">
        <v>16117</v>
      </c>
      <c r="AJ8" s="96">
        <f t="shared" si="16"/>
        <v>6.6997838377120048E-2</v>
      </c>
      <c r="AK8" s="205">
        <v>16719</v>
      </c>
      <c r="AL8" s="96">
        <f t="shared" si="17"/>
        <v>6.9500332557366151E-2</v>
      </c>
    </row>
    <row r="9" spans="1:38" ht="12">
      <c r="B9" s="79"/>
      <c r="C9" s="79"/>
      <c r="D9" s="82">
        <v>45903</v>
      </c>
      <c r="E9" s="82" t="s">
        <v>149</v>
      </c>
      <c r="F9" s="323">
        <f t="shared" si="18"/>
        <v>228856</v>
      </c>
      <c r="G9" s="324"/>
      <c r="H9" s="390"/>
      <c r="I9" s="325">
        <v>41906</v>
      </c>
      <c r="J9" s="96">
        <f t="shared" si="0"/>
        <v>0.18311077708253226</v>
      </c>
      <c r="K9" s="205">
        <v>45666</v>
      </c>
      <c r="L9" s="96">
        <f t="shared" si="1"/>
        <v>0.19954032229873808</v>
      </c>
      <c r="M9" s="101">
        <f t="shared" si="2"/>
        <v>87572</v>
      </c>
      <c r="N9" s="96">
        <f t="shared" si="3"/>
        <v>0.38265109938127034</v>
      </c>
      <c r="O9" s="205">
        <v>6487</v>
      </c>
      <c r="P9" s="96">
        <f t="shared" si="4"/>
        <v>2.8345335057852972E-2</v>
      </c>
      <c r="Q9" s="205">
        <v>4013</v>
      </c>
      <c r="R9" s="96">
        <f t="shared" si="5"/>
        <v>8.7423479946844435E-2</v>
      </c>
      <c r="S9" s="101">
        <f t="shared" si="6"/>
        <v>10500</v>
      </c>
      <c r="T9" s="96">
        <f t="shared" si="7"/>
        <v>4.588037892823435E-2</v>
      </c>
      <c r="U9" s="205">
        <v>18908</v>
      </c>
      <c r="V9" s="96">
        <f t="shared" si="8"/>
        <v>8.2619638550005245E-2</v>
      </c>
      <c r="W9" s="205">
        <v>431</v>
      </c>
      <c r="X9" s="96">
        <f t="shared" si="9"/>
        <v>1.8832803160065718E-3</v>
      </c>
      <c r="Y9" s="205">
        <v>22068</v>
      </c>
      <c r="Z9" s="96">
        <f t="shared" si="10"/>
        <v>9.6427447827454812E-2</v>
      </c>
      <c r="AA9" s="205">
        <v>21947</v>
      </c>
      <c r="AB9" s="96">
        <f t="shared" si="11"/>
        <v>0.47811689867764634</v>
      </c>
      <c r="AC9" s="101">
        <f t="shared" si="12"/>
        <v>44015</v>
      </c>
      <c r="AD9" s="96">
        <f t="shared" si="13"/>
        <v>0.19232617890726045</v>
      </c>
      <c r="AE9" s="205">
        <v>13526</v>
      </c>
      <c r="AF9" s="96">
        <f t="shared" si="14"/>
        <v>5.9102667179361697E-2</v>
      </c>
      <c r="AG9" s="205">
        <v>21626</v>
      </c>
      <c r="AH9" s="96">
        <f t="shared" si="15"/>
        <v>9.4496102352571054E-2</v>
      </c>
      <c r="AI9" s="205">
        <v>15647</v>
      </c>
      <c r="AJ9" s="96">
        <f t="shared" si="16"/>
        <v>6.8370503722865031E-2</v>
      </c>
      <c r="AK9" s="205">
        <v>16631</v>
      </c>
      <c r="AL9" s="96">
        <f t="shared" si="17"/>
        <v>7.2670150662425284E-2</v>
      </c>
    </row>
    <row r="10" spans="1:38" ht="12">
      <c r="B10" s="79"/>
      <c r="C10" s="79"/>
      <c r="D10" s="82">
        <v>45904</v>
      </c>
      <c r="E10" s="82" t="s">
        <v>150</v>
      </c>
      <c r="F10" s="323">
        <f t="shared" si="18"/>
        <v>210018</v>
      </c>
      <c r="G10" s="324"/>
      <c r="H10" s="390"/>
      <c r="I10" s="325">
        <v>38090</v>
      </c>
      <c r="J10" s="96">
        <f t="shared" si="0"/>
        <v>0.1813654067746574</v>
      </c>
      <c r="K10" s="205">
        <v>42384</v>
      </c>
      <c r="L10" s="96">
        <f t="shared" si="1"/>
        <v>0.20181127331942977</v>
      </c>
      <c r="M10" s="101">
        <f t="shared" si="2"/>
        <v>80474</v>
      </c>
      <c r="N10" s="96">
        <f t="shared" si="3"/>
        <v>0.38317668009408717</v>
      </c>
      <c r="O10" s="205">
        <v>6155</v>
      </c>
      <c r="P10" s="96">
        <f t="shared" si="4"/>
        <v>2.930701177994267E-2</v>
      </c>
      <c r="Q10" s="205">
        <v>4074</v>
      </c>
      <c r="R10" s="96">
        <f t="shared" si="5"/>
        <v>8.875043569187871E-2</v>
      </c>
      <c r="S10" s="101">
        <f t="shared" si="6"/>
        <v>10229</v>
      </c>
      <c r="T10" s="96">
        <f t="shared" si="7"/>
        <v>4.8705349065318211E-2</v>
      </c>
      <c r="U10" s="205">
        <v>17869</v>
      </c>
      <c r="V10" s="96">
        <f t="shared" si="8"/>
        <v>8.5083183346189376E-2</v>
      </c>
      <c r="W10" s="205">
        <v>421</v>
      </c>
      <c r="X10" s="96">
        <f t="shared" si="9"/>
        <v>2.0045900827548114E-3</v>
      </c>
      <c r="Y10" s="205">
        <v>20720</v>
      </c>
      <c r="Z10" s="96">
        <f t="shared" si="10"/>
        <v>9.865821024864535E-2</v>
      </c>
      <c r="AA10" s="205">
        <v>17620</v>
      </c>
      <c r="AB10" s="96">
        <f t="shared" si="11"/>
        <v>0.38384454513767863</v>
      </c>
      <c r="AC10" s="101">
        <f t="shared" si="12"/>
        <v>38340</v>
      </c>
      <c r="AD10" s="96">
        <f t="shared" si="13"/>
        <v>0.18255578093306288</v>
      </c>
      <c r="AE10" s="205">
        <v>12515</v>
      </c>
      <c r="AF10" s="96">
        <f t="shared" si="14"/>
        <v>5.9590130369777831E-2</v>
      </c>
      <c r="AG10" s="205">
        <v>19930</v>
      </c>
      <c r="AH10" s="96">
        <f t="shared" si="15"/>
        <v>9.4896627908084064E-2</v>
      </c>
      <c r="AI10" s="205">
        <v>14795</v>
      </c>
      <c r="AJ10" s="96">
        <f t="shared" si="16"/>
        <v>7.0446342694435712E-2</v>
      </c>
      <c r="AK10" s="205">
        <v>15445</v>
      </c>
      <c r="AL10" s="96">
        <f t="shared" si="17"/>
        <v>7.3541315506289937E-2</v>
      </c>
    </row>
    <row r="11" spans="1:38" ht="12">
      <c r="B11" s="79"/>
      <c r="C11" s="79"/>
      <c r="D11" s="82">
        <v>45905</v>
      </c>
      <c r="E11" s="82" t="s">
        <v>151</v>
      </c>
      <c r="F11" s="323">
        <f t="shared" si="18"/>
        <v>186157</v>
      </c>
      <c r="G11" s="324"/>
      <c r="H11" s="390"/>
      <c r="I11" s="325">
        <v>33916</v>
      </c>
      <c r="J11" s="96">
        <f t="shared" si="0"/>
        <v>0.18219030173455739</v>
      </c>
      <c r="K11" s="325">
        <v>39665</v>
      </c>
      <c r="L11" s="96">
        <f t="shared" si="1"/>
        <v>0.21307283636930119</v>
      </c>
      <c r="M11" s="326">
        <f t="shared" si="2"/>
        <v>73581</v>
      </c>
      <c r="N11" s="96">
        <f t="shared" si="3"/>
        <v>0.39526313810385855</v>
      </c>
      <c r="O11" s="325">
        <v>4809</v>
      </c>
      <c r="P11" s="96">
        <f t="shared" si="4"/>
        <v>2.5833033407285249E-2</v>
      </c>
      <c r="Q11" s="325">
        <v>3410</v>
      </c>
      <c r="R11" s="96">
        <f t="shared" si="5"/>
        <v>7.4283847075481968E-2</v>
      </c>
      <c r="S11" s="326">
        <f t="shared" si="6"/>
        <v>8219</v>
      </c>
      <c r="T11" s="96">
        <f t="shared" si="7"/>
        <v>4.4150904881363577E-2</v>
      </c>
      <c r="U11" s="325">
        <v>15369</v>
      </c>
      <c r="V11" s="96">
        <f t="shared" si="8"/>
        <v>8.2559345068947174E-2</v>
      </c>
      <c r="W11" s="325">
        <v>370</v>
      </c>
      <c r="X11" s="96">
        <f t="shared" si="9"/>
        <v>1.9875696320847459E-3</v>
      </c>
      <c r="Y11" s="325">
        <v>18830</v>
      </c>
      <c r="Z11" s="96">
        <f t="shared" si="10"/>
        <v>0.10115117884366422</v>
      </c>
      <c r="AA11" s="325">
        <v>16836</v>
      </c>
      <c r="AB11" s="96">
        <f t="shared" si="11"/>
        <v>0.36675743383073739</v>
      </c>
      <c r="AC11" s="326">
        <f t="shared" si="12"/>
        <v>35666</v>
      </c>
      <c r="AD11" s="96">
        <f t="shared" si="13"/>
        <v>0.1915909689133366</v>
      </c>
      <c r="AE11" s="325">
        <v>10286</v>
      </c>
      <c r="AF11" s="96">
        <f t="shared" si="14"/>
        <v>5.5254435771955927E-2</v>
      </c>
      <c r="AG11" s="325">
        <v>15953</v>
      </c>
      <c r="AH11" s="96">
        <f t="shared" si="15"/>
        <v>8.5696482001751215E-2</v>
      </c>
      <c r="AI11" s="325">
        <v>14584</v>
      </c>
      <c r="AJ11" s="96">
        <f t="shared" si="16"/>
        <v>7.8342474363037651E-2</v>
      </c>
      <c r="AK11" s="325">
        <v>12129</v>
      </c>
      <c r="AL11" s="96">
        <f t="shared" si="17"/>
        <v>6.5154681263664541E-2</v>
      </c>
    </row>
    <row r="12" spans="1:38" ht="12">
      <c r="B12" s="79"/>
      <c r="C12" s="79"/>
      <c r="D12" s="82">
        <v>45906</v>
      </c>
      <c r="E12" s="82" t="s">
        <v>152</v>
      </c>
      <c r="F12" s="323">
        <f t="shared" si="18"/>
        <v>195008</v>
      </c>
      <c r="G12" s="324"/>
      <c r="H12" s="390"/>
      <c r="I12" s="325">
        <v>33111</v>
      </c>
      <c r="J12" s="96">
        <f t="shared" si="0"/>
        <v>0.16979303413193306</v>
      </c>
      <c r="K12" s="325">
        <v>42836</v>
      </c>
      <c r="L12" s="96">
        <f t="shared" si="1"/>
        <v>0.21966278306531015</v>
      </c>
      <c r="M12" s="326">
        <f t="shared" si="2"/>
        <v>75947</v>
      </c>
      <c r="N12" s="96">
        <f t="shared" si="3"/>
        <v>0.3894558171972432</v>
      </c>
      <c r="O12" s="325">
        <v>4715</v>
      </c>
      <c r="P12" s="96">
        <f t="shared" si="4"/>
        <v>2.4178495241220874E-2</v>
      </c>
      <c r="Q12" s="325">
        <v>3410</v>
      </c>
      <c r="R12" s="96">
        <f t="shared" si="5"/>
        <v>7.4282228902539979E-2</v>
      </c>
      <c r="S12" s="326">
        <f t="shared" si="6"/>
        <v>8125</v>
      </c>
      <c r="T12" s="96">
        <f t="shared" si="7"/>
        <v>4.1664957335083685E-2</v>
      </c>
      <c r="U12" s="325">
        <v>15452</v>
      </c>
      <c r="V12" s="96">
        <f t="shared" si="8"/>
        <v>7.9237774860518542E-2</v>
      </c>
      <c r="W12" s="325">
        <v>407</v>
      </c>
      <c r="X12" s="96">
        <f t="shared" si="9"/>
        <v>2.0870938628158846E-3</v>
      </c>
      <c r="Y12" s="325">
        <v>19650</v>
      </c>
      <c r="Z12" s="96">
        <f t="shared" si="10"/>
        <v>0.10076509681654086</v>
      </c>
      <c r="AA12" s="325">
        <v>19314</v>
      </c>
      <c r="AB12" s="96">
        <f t="shared" si="11"/>
        <v>0.42072931642922495</v>
      </c>
      <c r="AC12" s="326">
        <f t="shared" si="12"/>
        <v>38964</v>
      </c>
      <c r="AD12" s="96">
        <f t="shared" si="13"/>
        <v>0.19980718739744011</v>
      </c>
      <c r="AE12" s="325">
        <v>11158</v>
      </c>
      <c r="AF12" s="96">
        <f t="shared" si="14"/>
        <v>5.7218165408598622E-2</v>
      </c>
      <c r="AG12" s="325">
        <v>17712</v>
      </c>
      <c r="AH12" s="96">
        <f t="shared" si="15"/>
        <v>9.0827042993107981E-2</v>
      </c>
      <c r="AI12" s="325">
        <v>14371</v>
      </c>
      <c r="AJ12" s="96">
        <f t="shared" si="16"/>
        <v>7.3694412536921564E-2</v>
      </c>
      <c r="AK12" s="325">
        <v>12872</v>
      </c>
      <c r="AL12" s="96">
        <f t="shared" si="17"/>
        <v>6.6007548408270431E-2</v>
      </c>
    </row>
    <row r="13" spans="1:38" ht="12">
      <c r="B13" s="79"/>
      <c r="C13" s="79"/>
      <c r="D13" s="82">
        <v>45907</v>
      </c>
      <c r="E13" s="82" t="s">
        <v>153</v>
      </c>
      <c r="F13" s="323">
        <f t="shared" si="18"/>
        <v>233163</v>
      </c>
      <c r="G13" s="324"/>
      <c r="H13" s="390"/>
      <c r="I13" s="325">
        <v>42322</v>
      </c>
      <c r="J13" s="96">
        <f t="shared" si="0"/>
        <v>0.18151250412801345</v>
      </c>
      <c r="K13" s="325">
        <v>46765</v>
      </c>
      <c r="L13" s="96">
        <f t="shared" si="1"/>
        <v>0.2005678430968893</v>
      </c>
      <c r="M13" s="326">
        <f t="shared" si="2"/>
        <v>89087</v>
      </c>
      <c r="N13" s="96">
        <f t="shared" si="3"/>
        <v>0.38208034722490275</v>
      </c>
      <c r="O13" s="325">
        <v>6782</v>
      </c>
      <c r="P13" s="96">
        <f t="shared" si="4"/>
        <v>2.9086947757577319E-2</v>
      </c>
      <c r="Q13" s="325">
        <v>4003</v>
      </c>
      <c r="R13" s="96">
        <f t="shared" si="5"/>
        <v>8.7198030801402843E-2</v>
      </c>
      <c r="S13" s="326">
        <f t="shared" si="6"/>
        <v>10785</v>
      </c>
      <c r="T13" s="96">
        <f t="shared" si="7"/>
        <v>4.6255194863679058E-2</v>
      </c>
      <c r="U13" s="325">
        <v>19964</v>
      </c>
      <c r="V13" s="96">
        <f t="shared" si="8"/>
        <v>8.5622504428232604E-2</v>
      </c>
      <c r="W13" s="325">
        <v>560</v>
      </c>
      <c r="X13" s="96">
        <f t="shared" si="9"/>
        <v>2.401753279894323E-3</v>
      </c>
      <c r="Y13" s="325">
        <v>23112</v>
      </c>
      <c r="Z13" s="96">
        <f t="shared" si="10"/>
        <v>9.9123788937352839E-2</v>
      </c>
      <c r="AA13" s="325">
        <v>21832</v>
      </c>
      <c r="AB13" s="96">
        <f t="shared" si="11"/>
        <v>0.47557017448319427</v>
      </c>
      <c r="AC13" s="326">
        <f t="shared" si="12"/>
        <v>44944</v>
      </c>
      <c r="AD13" s="96">
        <f t="shared" si="13"/>
        <v>0.19275785609209009</v>
      </c>
      <c r="AE13" s="325">
        <v>14167</v>
      </c>
      <c r="AF13" s="96">
        <f t="shared" si="14"/>
        <v>6.0760069136183703E-2</v>
      </c>
      <c r="AG13" s="325">
        <v>21532</v>
      </c>
      <c r="AH13" s="96">
        <f t="shared" si="15"/>
        <v>9.2347413611936713E-2</v>
      </c>
      <c r="AI13" s="325">
        <v>16669</v>
      </c>
      <c r="AJ13" s="96">
        <f t="shared" si="16"/>
        <v>7.1490759683140115E-2</v>
      </c>
      <c r="AK13" s="325">
        <v>15455</v>
      </c>
      <c r="AL13" s="96">
        <f t="shared" si="17"/>
        <v>6.6284101679940644E-2</v>
      </c>
    </row>
    <row r="14" spans="1:38" ht="12">
      <c r="B14" s="79"/>
      <c r="C14" s="79"/>
      <c r="D14" s="82">
        <v>45908</v>
      </c>
      <c r="E14" s="82" t="s">
        <v>147</v>
      </c>
      <c r="F14" s="323">
        <f t="shared" si="18"/>
        <v>231480</v>
      </c>
      <c r="G14" s="324"/>
      <c r="H14" s="390"/>
      <c r="I14" s="325">
        <v>39836</v>
      </c>
      <c r="J14" s="96">
        <f t="shared" si="0"/>
        <v>0.17209262139277692</v>
      </c>
      <c r="K14" s="325">
        <v>46946</v>
      </c>
      <c r="L14" s="96">
        <f t="shared" si="1"/>
        <v>0.20280801797131501</v>
      </c>
      <c r="M14" s="326">
        <f t="shared" si="2"/>
        <v>86782</v>
      </c>
      <c r="N14" s="96">
        <f t="shared" si="3"/>
        <v>0.3749006393640919</v>
      </c>
      <c r="O14" s="325">
        <v>6204</v>
      </c>
      <c r="P14" s="96">
        <f t="shared" si="4"/>
        <v>2.6801451529289786E-2</v>
      </c>
      <c r="Q14" s="325">
        <v>3949</v>
      </c>
      <c r="R14" s="96">
        <f t="shared" si="5"/>
        <v>8.6019865818593708E-2</v>
      </c>
      <c r="S14" s="326">
        <f t="shared" si="6"/>
        <v>10153</v>
      </c>
      <c r="T14" s="96">
        <f t="shared" si="7"/>
        <v>4.3861240711940558E-2</v>
      </c>
      <c r="U14" s="325">
        <v>19709</v>
      </c>
      <c r="V14" s="96">
        <f t="shared" si="8"/>
        <v>8.5143424917919472E-2</v>
      </c>
      <c r="W14" s="325">
        <v>524</v>
      </c>
      <c r="X14" s="96">
        <f t="shared" si="9"/>
        <v>2.2636944876447207E-3</v>
      </c>
      <c r="Y14" s="325">
        <v>23529</v>
      </c>
      <c r="Z14" s="96">
        <f t="shared" si="10"/>
        <v>0.10164593053395542</v>
      </c>
      <c r="AA14" s="325">
        <v>23172</v>
      </c>
      <c r="AB14" s="96">
        <f t="shared" si="11"/>
        <v>0.50474862769016293</v>
      </c>
      <c r="AC14" s="326">
        <f t="shared" si="12"/>
        <v>46701</v>
      </c>
      <c r="AD14" s="96">
        <f t="shared" si="13"/>
        <v>0.20174961119751167</v>
      </c>
      <c r="AE14" s="325">
        <v>14895</v>
      </c>
      <c r="AF14" s="96">
        <f t="shared" si="14"/>
        <v>6.4346811819595645E-2</v>
      </c>
      <c r="AG14" s="325">
        <v>21144</v>
      </c>
      <c r="AH14" s="96">
        <f t="shared" si="15"/>
        <v>9.1342664593053402E-2</v>
      </c>
      <c r="AI14" s="325">
        <v>16049</v>
      </c>
      <c r="AJ14" s="96">
        <f t="shared" si="16"/>
        <v>6.9332123725591846E-2</v>
      </c>
      <c r="AK14" s="325">
        <v>15523</v>
      </c>
      <c r="AL14" s="96">
        <f t="shared" si="17"/>
        <v>6.7059789182650764E-2</v>
      </c>
    </row>
    <row r="15" spans="1:38" ht="12">
      <c r="B15" s="79"/>
      <c r="C15" s="79"/>
      <c r="D15" s="243">
        <v>45909</v>
      </c>
      <c r="E15" s="243" t="s">
        <v>148</v>
      </c>
      <c r="F15" s="323">
        <f t="shared" si="18"/>
        <v>241607</v>
      </c>
      <c r="G15" s="324">
        <f>SUM(F15:F21)</f>
        <v>1578863</v>
      </c>
      <c r="H15" s="390"/>
      <c r="I15" s="325">
        <v>44860</v>
      </c>
      <c r="J15" s="96">
        <f t="shared" ref="J15:J36" si="19">I15/F15</f>
        <v>0.18567342833609954</v>
      </c>
      <c r="K15" s="325">
        <v>46216</v>
      </c>
      <c r="L15" s="96">
        <f t="shared" ref="L15:L36" si="20">K15/F15</f>
        <v>0.19128584850604494</v>
      </c>
      <c r="M15" s="326">
        <f t="shared" ref="M15:M36" si="21">SUM(I15+K15)</f>
        <v>91076</v>
      </c>
      <c r="N15" s="96">
        <f t="shared" ref="N15:N36" si="22">M15/F15</f>
        <v>0.37695927684214448</v>
      </c>
      <c r="O15" s="325">
        <v>5909</v>
      </c>
      <c r="P15" s="96">
        <f t="shared" ref="P15:P36" si="23">O15/F15</f>
        <v>2.4457072849710479E-2</v>
      </c>
      <c r="Q15" s="325">
        <v>3817</v>
      </c>
      <c r="R15" s="96">
        <f t="shared" ref="R15:R36" si="24">Q15/D15</f>
        <v>8.3142738896512663E-2</v>
      </c>
      <c r="S15" s="326">
        <f t="shared" ref="S15:S36" si="25">SUM(O15+Q15)</f>
        <v>9726</v>
      </c>
      <c r="T15" s="96">
        <f t="shared" ref="T15:T36" si="26">S15/F15</f>
        <v>4.0255456174696926E-2</v>
      </c>
      <c r="U15" s="325">
        <v>19244</v>
      </c>
      <c r="V15" s="96">
        <f t="shared" ref="V15:V36" si="27">U15/F15</f>
        <v>7.9650010140434671E-2</v>
      </c>
      <c r="W15" s="325">
        <v>470</v>
      </c>
      <c r="X15" s="96">
        <f t="shared" ref="X15:X36" si="28">W15/F15</f>
        <v>1.9453078760135261E-3</v>
      </c>
      <c r="Y15" s="325">
        <v>23593</v>
      </c>
      <c r="Z15" s="96">
        <f t="shared" ref="Z15:Z36" si="29">Y15/F15</f>
        <v>9.7650316422951328E-2</v>
      </c>
      <c r="AA15" s="325">
        <v>22597</v>
      </c>
      <c r="AB15" s="96">
        <f t="shared" ref="AB15:AB36" si="30">AA15/D15</f>
        <v>0.49221285586704133</v>
      </c>
      <c r="AC15" s="326">
        <f t="shared" ref="AC15:AC36" si="31">SUM(Y15+AA15)</f>
        <v>46190</v>
      </c>
      <c r="AD15" s="96">
        <f t="shared" ref="AD15:AD36" si="32">AC15/F15</f>
        <v>0.19117823572992504</v>
      </c>
      <c r="AE15" s="325">
        <v>14931</v>
      </c>
      <c r="AF15" s="96">
        <f t="shared" ref="AF15:AF36" si="33">AE15/F15</f>
        <v>6.1798706163314808E-2</v>
      </c>
      <c r="AG15" s="325">
        <v>28876</v>
      </c>
      <c r="AH15" s="96">
        <f t="shared" ref="AH15:AH36" si="34">AG15/F15</f>
        <v>0.11951640473992889</v>
      </c>
      <c r="AI15" s="325">
        <v>16070</v>
      </c>
      <c r="AJ15" s="96">
        <f t="shared" ref="AJ15:AJ36" si="35">AI15/F15</f>
        <v>6.651297354795184E-2</v>
      </c>
      <c r="AK15" s="325">
        <v>15024</v>
      </c>
      <c r="AL15" s="96">
        <f t="shared" ref="AL15:AL36" si="36">AK15/F15</f>
        <v>6.218362878558982E-2</v>
      </c>
    </row>
    <row r="16" spans="1:38" ht="12">
      <c r="B16" s="79"/>
      <c r="C16" s="79"/>
      <c r="D16" s="243">
        <v>45910</v>
      </c>
      <c r="E16" s="243" t="s">
        <v>149</v>
      </c>
      <c r="F16" s="323">
        <f t="shared" si="18"/>
        <v>233099</v>
      </c>
      <c r="G16" s="324"/>
      <c r="H16" s="390"/>
      <c r="I16" s="325">
        <v>44345</v>
      </c>
      <c r="J16" s="96">
        <f t="shared" si="19"/>
        <v>0.19024105637518823</v>
      </c>
      <c r="K16" s="325">
        <v>45616</v>
      </c>
      <c r="L16" s="96">
        <f t="shared" si="20"/>
        <v>0.19569367521954192</v>
      </c>
      <c r="M16" s="326">
        <f t="shared" si="21"/>
        <v>89961</v>
      </c>
      <c r="N16" s="96">
        <f t="shared" si="22"/>
        <v>0.38593473159473013</v>
      </c>
      <c r="O16" s="325">
        <v>5587</v>
      </c>
      <c r="P16" s="96">
        <f t="shared" si="23"/>
        <v>2.3968356792607434E-2</v>
      </c>
      <c r="Q16" s="325">
        <v>3710</v>
      </c>
      <c r="R16" s="96">
        <f t="shared" si="24"/>
        <v>8.0810280984534966E-2</v>
      </c>
      <c r="S16" s="326">
        <f t="shared" si="25"/>
        <v>9297</v>
      </c>
      <c r="T16" s="96">
        <f t="shared" si="26"/>
        <v>3.9884340988163826E-2</v>
      </c>
      <c r="U16" s="325">
        <v>19200</v>
      </c>
      <c r="V16" s="96">
        <f t="shared" si="27"/>
        <v>8.2368435729025011E-2</v>
      </c>
      <c r="W16" s="325">
        <v>392</v>
      </c>
      <c r="X16" s="96">
        <f t="shared" si="28"/>
        <v>1.6816888961342605E-3</v>
      </c>
      <c r="Y16" s="325">
        <v>22330</v>
      </c>
      <c r="Z16" s="96">
        <f t="shared" si="29"/>
        <v>9.5796206761933775E-2</v>
      </c>
      <c r="AA16" s="325">
        <v>20539</v>
      </c>
      <c r="AB16" s="96">
        <f t="shared" si="30"/>
        <v>0.44737529949901983</v>
      </c>
      <c r="AC16" s="326">
        <f t="shared" si="31"/>
        <v>42869</v>
      </c>
      <c r="AD16" s="96">
        <f t="shared" si="32"/>
        <v>0.18390898287851942</v>
      </c>
      <c r="AE16" s="325">
        <v>14527</v>
      </c>
      <c r="AF16" s="96">
        <f t="shared" si="33"/>
        <v>6.2321159678934701E-2</v>
      </c>
      <c r="AG16" s="325">
        <v>24826</v>
      </c>
      <c r="AH16" s="96">
        <f t="shared" si="34"/>
        <v>0.10650410340670702</v>
      </c>
      <c r="AI16" s="325">
        <v>17338</v>
      </c>
      <c r="AJ16" s="96">
        <f t="shared" si="35"/>
        <v>7.4380413472387275E-2</v>
      </c>
      <c r="AK16" s="325">
        <v>14689</v>
      </c>
      <c r="AL16" s="96">
        <f t="shared" si="36"/>
        <v>6.3016143355398346E-2</v>
      </c>
    </row>
    <row r="17" spans="2:38" ht="12">
      <c r="B17" s="79"/>
      <c r="C17" s="79"/>
      <c r="D17" s="243">
        <v>45911</v>
      </c>
      <c r="E17" s="243" t="s">
        <v>150</v>
      </c>
      <c r="F17" s="323">
        <f t="shared" si="18"/>
        <v>217145</v>
      </c>
      <c r="G17" s="324"/>
      <c r="H17" s="390"/>
      <c r="I17" s="325">
        <v>41418</v>
      </c>
      <c r="J17" s="96">
        <f t="shared" si="19"/>
        <v>0.19073890718183703</v>
      </c>
      <c r="K17" s="325">
        <v>41093</v>
      </c>
      <c r="L17" s="96">
        <f t="shared" si="20"/>
        <v>0.18924221142554515</v>
      </c>
      <c r="M17" s="326">
        <f t="shared" si="21"/>
        <v>82511</v>
      </c>
      <c r="N17" s="96">
        <f t="shared" si="22"/>
        <v>0.37998111860738215</v>
      </c>
      <c r="O17" s="325">
        <v>5381</v>
      </c>
      <c r="P17" s="96">
        <f t="shared" si="23"/>
        <v>2.4780676506481844E-2</v>
      </c>
      <c r="Q17" s="325">
        <v>3622</v>
      </c>
      <c r="R17" s="96">
        <f t="shared" si="24"/>
        <v>7.889176885713664E-2</v>
      </c>
      <c r="S17" s="326">
        <f t="shared" si="25"/>
        <v>9003</v>
      </c>
      <c r="T17" s="96">
        <f t="shared" si="26"/>
        <v>4.1460775058140872E-2</v>
      </c>
      <c r="U17" s="325">
        <v>17927</v>
      </c>
      <c r="V17" s="96">
        <f t="shared" si="27"/>
        <v>8.2557737917060031E-2</v>
      </c>
      <c r="W17" s="325">
        <v>368</v>
      </c>
      <c r="X17" s="96">
        <f t="shared" si="28"/>
        <v>1.6947201178935734E-3</v>
      </c>
      <c r="Y17" s="325">
        <v>20757</v>
      </c>
      <c r="Z17" s="96">
        <f t="shared" si="29"/>
        <v>9.5590504041078536E-2</v>
      </c>
      <c r="AA17" s="325">
        <v>18254</v>
      </c>
      <c r="AB17" s="96">
        <f t="shared" si="30"/>
        <v>0.39759534752020215</v>
      </c>
      <c r="AC17" s="326">
        <f t="shared" si="31"/>
        <v>39011</v>
      </c>
      <c r="AD17" s="96">
        <f t="shared" si="32"/>
        <v>0.17965414814985378</v>
      </c>
      <c r="AE17" s="325">
        <v>13533</v>
      </c>
      <c r="AF17" s="96">
        <f t="shared" si="33"/>
        <v>6.2322411291993826E-2</v>
      </c>
      <c r="AG17" s="325">
        <v>23848</v>
      </c>
      <c r="AH17" s="96">
        <f t="shared" si="34"/>
        <v>0.10982523198784222</v>
      </c>
      <c r="AI17" s="325">
        <v>16638</v>
      </c>
      <c r="AJ17" s="96">
        <f t="shared" si="35"/>
        <v>7.6621612286720861E-2</v>
      </c>
      <c r="AK17" s="325">
        <v>14306</v>
      </c>
      <c r="AL17" s="96">
        <f t="shared" si="36"/>
        <v>6.5882244583112662E-2</v>
      </c>
    </row>
    <row r="18" spans="2:38" ht="12">
      <c r="B18" s="79"/>
      <c r="C18" s="79"/>
      <c r="D18" s="243">
        <v>45912</v>
      </c>
      <c r="E18" s="243" t="s">
        <v>151</v>
      </c>
      <c r="F18" s="323">
        <f t="shared" si="18"/>
        <v>194357</v>
      </c>
      <c r="G18" s="324"/>
      <c r="H18" s="390"/>
      <c r="I18" s="325">
        <v>33225</v>
      </c>
      <c r="J18" s="96">
        <f t="shared" si="19"/>
        <v>0.17094830646696543</v>
      </c>
      <c r="K18" s="325">
        <v>39165</v>
      </c>
      <c r="L18" s="96">
        <f t="shared" si="20"/>
        <v>0.20151062220552901</v>
      </c>
      <c r="M18" s="326">
        <f t="shared" si="21"/>
        <v>72390</v>
      </c>
      <c r="N18" s="96">
        <f t="shared" si="22"/>
        <v>0.37245892867249442</v>
      </c>
      <c r="O18" s="325">
        <v>4479</v>
      </c>
      <c r="P18" s="96">
        <f t="shared" si="23"/>
        <v>2.3045220907916875E-2</v>
      </c>
      <c r="Q18" s="325">
        <v>3313</v>
      </c>
      <c r="R18" s="96">
        <f t="shared" si="24"/>
        <v>7.2159783934483357E-2</v>
      </c>
      <c r="S18" s="326">
        <f t="shared" si="25"/>
        <v>7792</v>
      </c>
      <c r="T18" s="96">
        <f t="shared" si="26"/>
        <v>4.0091172430115715E-2</v>
      </c>
      <c r="U18" s="325">
        <v>15515</v>
      </c>
      <c r="V18" s="96">
        <f t="shared" si="27"/>
        <v>7.9827328061248121E-2</v>
      </c>
      <c r="W18" s="325">
        <v>381</v>
      </c>
      <c r="X18" s="96">
        <f t="shared" si="28"/>
        <v>1.9603101509078655E-3</v>
      </c>
      <c r="Y18" s="325">
        <v>20738</v>
      </c>
      <c r="Z18" s="96">
        <f t="shared" si="29"/>
        <v>0.10670055619298507</v>
      </c>
      <c r="AA18" s="325">
        <v>18923</v>
      </c>
      <c r="AB18" s="96">
        <f t="shared" si="30"/>
        <v>0.4121580414706395</v>
      </c>
      <c r="AC18" s="326">
        <f t="shared" si="31"/>
        <v>39661</v>
      </c>
      <c r="AD18" s="96">
        <f t="shared" si="32"/>
        <v>0.20406262702140907</v>
      </c>
      <c r="AE18" s="325">
        <v>11283</v>
      </c>
      <c r="AF18" s="96">
        <f t="shared" si="33"/>
        <v>5.8052964390271508E-2</v>
      </c>
      <c r="AG18" s="325">
        <v>18890</v>
      </c>
      <c r="AH18" s="96">
        <f t="shared" si="34"/>
        <v>9.7192280185431967E-2</v>
      </c>
      <c r="AI18" s="325">
        <v>15647</v>
      </c>
      <c r="AJ18" s="96">
        <f t="shared" si="35"/>
        <v>8.0506490633216202E-2</v>
      </c>
      <c r="AK18" s="325">
        <v>12798</v>
      </c>
      <c r="AL18" s="96">
        <f t="shared" si="36"/>
        <v>6.5847898454905143E-2</v>
      </c>
    </row>
    <row r="19" spans="2:38" ht="12">
      <c r="B19" s="79"/>
      <c r="C19" s="79"/>
      <c r="D19" s="243">
        <v>45913</v>
      </c>
      <c r="E19" s="243" t="s">
        <v>152</v>
      </c>
      <c r="F19" s="323">
        <f t="shared" si="18"/>
        <v>204761</v>
      </c>
      <c r="G19" s="324"/>
      <c r="H19" s="390"/>
      <c r="I19" s="325">
        <v>32725</v>
      </c>
      <c r="J19" s="96">
        <f t="shared" si="19"/>
        <v>0.15982047362534857</v>
      </c>
      <c r="K19" s="325">
        <v>43473</v>
      </c>
      <c r="L19" s="96">
        <f t="shared" si="20"/>
        <v>0.21231093811809867</v>
      </c>
      <c r="M19" s="326">
        <f t="shared" si="21"/>
        <v>76198</v>
      </c>
      <c r="N19" s="96">
        <f t="shared" si="22"/>
        <v>0.37213141174344722</v>
      </c>
      <c r="O19" s="325">
        <v>4489</v>
      </c>
      <c r="P19" s="96">
        <f t="shared" si="23"/>
        <v>2.1923120125414506E-2</v>
      </c>
      <c r="Q19" s="325">
        <v>3276</v>
      </c>
      <c r="R19" s="96">
        <f t="shared" si="24"/>
        <v>7.1352340295776792E-2</v>
      </c>
      <c r="S19" s="326">
        <f t="shared" si="25"/>
        <v>7765</v>
      </c>
      <c r="T19" s="96">
        <f t="shared" si="26"/>
        <v>3.7922260586732828E-2</v>
      </c>
      <c r="U19" s="325">
        <v>16397</v>
      </c>
      <c r="V19" s="96">
        <f t="shared" si="27"/>
        <v>8.0078725929254108E-2</v>
      </c>
      <c r="W19" s="325">
        <v>470</v>
      </c>
      <c r="X19" s="96">
        <f t="shared" si="28"/>
        <v>2.2953589794931653E-3</v>
      </c>
      <c r="Y19" s="325">
        <v>21810</v>
      </c>
      <c r="Z19" s="96">
        <f t="shared" si="29"/>
        <v>0.10651442413350198</v>
      </c>
      <c r="AA19" s="325">
        <v>20496</v>
      </c>
      <c r="AB19" s="96">
        <f t="shared" si="30"/>
        <v>0.44640951364537279</v>
      </c>
      <c r="AC19" s="326">
        <f t="shared" si="31"/>
        <v>42306</v>
      </c>
      <c r="AD19" s="96">
        <f t="shared" si="32"/>
        <v>0.20661161060944222</v>
      </c>
      <c r="AE19" s="325">
        <v>11964</v>
      </c>
      <c r="AF19" s="96">
        <f t="shared" si="33"/>
        <v>5.8429095384374956E-2</v>
      </c>
      <c r="AG19" s="325">
        <v>20568</v>
      </c>
      <c r="AH19" s="96">
        <f t="shared" si="34"/>
        <v>0.10044881593662856</v>
      </c>
      <c r="AI19" s="325">
        <v>15877</v>
      </c>
      <c r="AJ19" s="96">
        <f t="shared" si="35"/>
        <v>7.7539179824282947E-2</v>
      </c>
      <c r="AK19" s="325">
        <v>13216</v>
      </c>
      <c r="AL19" s="96">
        <f t="shared" si="36"/>
        <v>6.4543541006343977E-2</v>
      </c>
    </row>
    <row r="20" spans="2:38" ht="12">
      <c r="B20" s="79"/>
      <c r="C20" s="79"/>
      <c r="D20" s="243">
        <v>45914</v>
      </c>
      <c r="E20" s="243" t="s">
        <v>153</v>
      </c>
      <c r="F20" s="323">
        <f t="shared" si="18"/>
        <v>242926</v>
      </c>
      <c r="G20" s="324"/>
      <c r="H20" s="390"/>
      <c r="I20" s="325">
        <v>44713</v>
      </c>
      <c r="J20" s="96">
        <f t="shared" si="19"/>
        <v>0.18406016647044779</v>
      </c>
      <c r="K20" s="325">
        <v>46720</v>
      </c>
      <c r="L20" s="96">
        <f t="shared" si="20"/>
        <v>0.19232194166124664</v>
      </c>
      <c r="M20" s="326">
        <f t="shared" si="21"/>
        <v>91433</v>
      </c>
      <c r="N20" s="96">
        <f t="shared" si="22"/>
        <v>0.37638210813169443</v>
      </c>
      <c r="O20" s="325">
        <v>6153</v>
      </c>
      <c r="P20" s="96">
        <f t="shared" si="23"/>
        <v>2.5328700921268207E-2</v>
      </c>
      <c r="Q20" s="325">
        <v>3815</v>
      </c>
      <c r="R20" s="96">
        <f t="shared" si="24"/>
        <v>8.3090125016334893E-2</v>
      </c>
      <c r="S20" s="326">
        <f t="shared" si="25"/>
        <v>9968</v>
      </c>
      <c r="T20" s="96">
        <f t="shared" si="26"/>
        <v>4.103307179964269E-2</v>
      </c>
      <c r="U20" s="325">
        <v>20168</v>
      </c>
      <c r="V20" s="96">
        <f t="shared" si="27"/>
        <v>8.3021166939726498E-2</v>
      </c>
      <c r="W20" s="325">
        <v>522</v>
      </c>
      <c r="X20" s="96">
        <f t="shared" si="28"/>
        <v>2.1488025159925243E-3</v>
      </c>
      <c r="Y20" s="325">
        <v>24606</v>
      </c>
      <c r="Z20" s="96">
        <f t="shared" si="29"/>
        <v>0.10129010480557865</v>
      </c>
      <c r="AA20" s="325">
        <v>22032</v>
      </c>
      <c r="AB20" s="96">
        <f t="shared" si="30"/>
        <v>0.47985363941281528</v>
      </c>
      <c r="AC20" s="326">
        <f t="shared" si="31"/>
        <v>46638</v>
      </c>
      <c r="AD20" s="96">
        <f t="shared" si="32"/>
        <v>0.1919843903081597</v>
      </c>
      <c r="AE20" s="325">
        <v>15584</v>
      </c>
      <c r="AF20" s="96">
        <f t="shared" si="33"/>
        <v>6.415122300618295E-2</v>
      </c>
      <c r="AG20" s="325">
        <v>25079</v>
      </c>
      <c r="AH20" s="96">
        <f t="shared" si="34"/>
        <v>0.10323719980570215</v>
      </c>
      <c r="AI20" s="325">
        <v>17943</v>
      </c>
      <c r="AJ20" s="96">
        <f t="shared" si="35"/>
        <v>7.386199912730626E-2</v>
      </c>
      <c r="AK20" s="325">
        <v>15591</v>
      </c>
      <c r="AL20" s="96">
        <f t="shared" si="36"/>
        <v>6.4180038365592815E-2</v>
      </c>
    </row>
    <row r="21" spans="2:38" ht="12">
      <c r="B21" s="79"/>
      <c r="C21" s="79"/>
      <c r="D21" s="243">
        <v>45915</v>
      </c>
      <c r="E21" s="243" t="s">
        <v>147</v>
      </c>
      <c r="F21" s="323">
        <f t="shared" si="18"/>
        <v>244968</v>
      </c>
      <c r="G21" s="324"/>
      <c r="H21" s="390"/>
      <c r="I21" s="325">
        <v>42223</v>
      </c>
      <c r="J21" s="96">
        <f t="shared" si="19"/>
        <v>0.17236128800496392</v>
      </c>
      <c r="K21" s="325">
        <v>49788</v>
      </c>
      <c r="L21" s="96">
        <f t="shared" si="20"/>
        <v>0.20324287253845399</v>
      </c>
      <c r="M21" s="326">
        <f t="shared" si="21"/>
        <v>92011</v>
      </c>
      <c r="N21" s="96">
        <f t="shared" si="22"/>
        <v>0.37560416054341794</v>
      </c>
      <c r="O21" s="325">
        <v>5716</v>
      </c>
      <c r="P21" s="96">
        <f t="shared" si="23"/>
        <v>2.3333659906600045E-2</v>
      </c>
      <c r="Q21" s="325">
        <v>3914</v>
      </c>
      <c r="R21" s="96">
        <f t="shared" si="24"/>
        <v>8.5244473483611014E-2</v>
      </c>
      <c r="S21" s="326">
        <f t="shared" si="25"/>
        <v>9630</v>
      </c>
      <c r="T21" s="96">
        <f t="shared" si="26"/>
        <v>3.9311256980503577E-2</v>
      </c>
      <c r="U21" s="325">
        <v>20304</v>
      </c>
      <c r="V21" s="96">
        <f t="shared" si="27"/>
        <v>8.2884295091603805E-2</v>
      </c>
      <c r="W21" s="325">
        <v>538</v>
      </c>
      <c r="X21" s="96">
        <f t="shared" si="28"/>
        <v>2.1962052186408022E-3</v>
      </c>
      <c r="Y21" s="325">
        <v>24854</v>
      </c>
      <c r="Z21" s="96">
        <f t="shared" si="29"/>
        <v>0.10145814963587081</v>
      </c>
      <c r="AA21" s="325">
        <v>22989</v>
      </c>
      <c r="AB21" s="96">
        <f t="shared" si="30"/>
        <v>0.50068605031035607</v>
      </c>
      <c r="AC21" s="326">
        <f t="shared" si="31"/>
        <v>47843</v>
      </c>
      <c r="AD21" s="96">
        <f t="shared" si="32"/>
        <v>0.1953030599915091</v>
      </c>
      <c r="AE21" s="325">
        <v>15693</v>
      </c>
      <c r="AF21" s="96">
        <f t="shared" si="33"/>
        <v>6.4061428431468601E-2</v>
      </c>
      <c r="AG21" s="325">
        <v>24715</v>
      </c>
      <c r="AH21" s="96">
        <f t="shared" si="34"/>
        <v>0.10089072858495804</v>
      </c>
      <c r="AI21" s="325">
        <v>18522</v>
      </c>
      <c r="AJ21" s="96">
        <f t="shared" si="35"/>
        <v>7.5609875575585378E-2</v>
      </c>
      <c r="AK21" s="325">
        <v>15712</v>
      </c>
      <c r="AL21" s="96">
        <f t="shared" si="36"/>
        <v>6.4138989582312789E-2</v>
      </c>
    </row>
    <row r="22" spans="2:38" ht="12">
      <c r="B22" s="79"/>
      <c r="C22" s="79"/>
      <c r="D22" s="82">
        <v>45916</v>
      </c>
      <c r="E22" s="82" t="s">
        <v>148</v>
      </c>
      <c r="F22" s="323">
        <f t="shared" si="18"/>
        <v>270682</v>
      </c>
      <c r="G22" s="324">
        <f>SUM(F22:F28)</f>
        <v>1647661</v>
      </c>
      <c r="H22" s="390"/>
      <c r="I22" s="325">
        <v>43421</v>
      </c>
      <c r="J22" s="96">
        <f t="shared" si="19"/>
        <v>0.16041332633865568</v>
      </c>
      <c r="K22" s="325">
        <v>48123</v>
      </c>
      <c r="L22" s="96">
        <f t="shared" si="20"/>
        <v>0.17778426345305562</v>
      </c>
      <c r="M22" s="326">
        <f t="shared" si="21"/>
        <v>91544</v>
      </c>
      <c r="N22" s="96">
        <f t="shared" si="22"/>
        <v>0.33819758979171133</v>
      </c>
      <c r="O22" s="325">
        <v>8929</v>
      </c>
      <c r="P22" s="96">
        <f t="shared" si="23"/>
        <v>3.2987047531790069E-2</v>
      </c>
      <c r="Q22" s="325">
        <v>3879</v>
      </c>
      <c r="R22" s="96">
        <f t="shared" si="24"/>
        <v>8.4480355431657814E-2</v>
      </c>
      <c r="S22" s="326">
        <f t="shared" si="25"/>
        <v>12808</v>
      </c>
      <c r="T22" s="96">
        <f t="shared" si="26"/>
        <v>4.731751649537095E-2</v>
      </c>
      <c r="U22" s="325">
        <v>22849</v>
      </c>
      <c r="V22" s="96">
        <f t="shared" si="27"/>
        <v>8.4412705684160746E-2</v>
      </c>
      <c r="W22" s="325">
        <v>511</v>
      </c>
      <c r="X22" s="96">
        <f t="shared" si="28"/>
        <v>1.8878240887831477E-3</v>
      </c>
      <c r="Y22" s="325">
        <v>29805</v>
      </c>
      <c r="Z22" s="96">
        <f t="shared" si="29"/>
        <v>0.11011075727237127</v>
      </c>
      <c r="AA22" s="325">
        <v>21658</v>
      </c>
      <c r="AB22" s="96">
        <f t="shared" si="30"/>
        <v>0.47168742921857304</v>
      </c>
      <c r="AC22" s="326">
        <f t="shared" si="31"/>
        <v>51463</v>
      </c>
      <c r="AD22" s="96">
        <f t="shared" si="32"/>
        <v>0.19012346591202961</v>
      </c>
      <c r="AE22" s="325">
        <v>19275</v>
      </c>
      <c r="AF22" s="96">
        <f t="shared" si="33"/>
        <v>7.1209020178659835E-2</v>
      </c>
      <c r="AG22" s="325">
        <v>30084</v>
      </c>
      <c r="AH22" s="96">
        <f t="shared" si="34"/>
        <v>0.1111414870586149</v>
      </c>
      <c r="AI22" s="325">
        <v>18178</v>
      </c>
      <c r="AJ22" s="96">
        <f t="shared" si="35"/>
        <v>6.7156294101565678E-2</v>
      </c>
      <c r="AK22" s="325">
        <v>23970</v>
      </c>
      <c r="AL22" s="96">
        <f t="shared" si="36"/>
        <v>8.8554096689103814E-2</v>
      </c>
    </row>
    <row r="23" spans="2:38" ht="12">
      <c r="B23" s="79"/>
      <c r="C23" s="79"/>
      <c r="D23" s="82">
        <v>45917</v>
      </c>
      <c r="E23" s="82" t="s">
        <v>149</v>
      </c>
      <c r="F23" s="323">
        <f t="shared" si="18"/>
        <v>252399</v>
      </c>
      <c r="G23" s="324"/>
      <c r="H23" s="390"/>
      <c r="I23" s="325">
        <v>42312</v>
      </c>
      <c r="J23" s="96">
        <f t="shared" si="19"/>
        <v>0.16763933296090713</v>
      </c>
      <c r="K23" s="325">
        <v>47581</v>
      </c>
      <c r="L23" s="96">
        <f t="shared" si="20"/>
        <v>0.18851500996438178</v>
      </c>
      <c r="M23" s="326">
        <f t="shared" si="21"/>
        <v>89893</v>
      </c>
      <c r="N23" s="96">
        <f t="shared" si="22"/>
        <v>0.35615434292528891</v>
      </c>
      <c r="O23" s="325">
        <v>7423</v>
      </c>
      <c r="P23" s="96">
        <f t="shared" si="23"/>
        <v>2.9409783715466386E-2</v>
      </c>
      <c r="Q23" s="325">
        <v>3881</v>
      </c>
      <c r="R23" s="96">
        <f t="shared" si="24"/>
        <v>8.452207243504585E-2</v>
      </c>
      <c r="S23" s="326">
        <f t="shared" si="25"/>
        <v>11304</v>
      </c>
      <c r="T23" s="96">
        <f t="shared" si="26"/>
        <v>4.4786231324212854E-2</v>
      </c>
      <c r="U23" s="325">
        <v>20751</v>
      </c>
      <c r="V23" s="96">
        <f t="shared" si="27"/>
        <v>8.2215064243519195E-2</v>
      </c>
      <c r="W23" s="325">
        <v>490</v>
      </c>
      <c r="X23" s="96">
        <f t="shared" si="28"/>
        <v>1.9413706076490001E-3</v>
      </c>
      <c r="Y23" s="325">
        <v>27721</v>
      </c>
      <c r="Z23" s="96">
        <f t="shared" si="29"/>
        <v>0.10983007064211824</v>
      </c>
      <c r="AA23" s="325">
        <v>19954</v>
      </c>
      <c r="AB23" s="96">
        <f t="shared" si="30"/>
        <v>0.43456671820894222</v>
      </c>
      <c r="AC23" s="326">
        <f t="shared" si="31"/>
        <v>47675</v>
      </c>
      <c r="AD23" s="96">
        <f t="shared" si="32"/>
        <v>0.18888743616258385</v>
      </c>
      <c r="AE23" s="325">
        <v>17100</v>
      </c>
      <c r="AF23" s="96">
        <f t="shared" si="33"/>
        <v>6.7749872226118169E-2</v>
      </c>
      <c r="AG23" s="325">
        <v>26608</v>
      </c>
      <c r="AH23" s="96">
        <f t="shared" si="34"/>
        <v>0.10542038597617265</v>
      </c>
      <c r="AI23" s="325">
        <v>18478</v>
      </c>
      <c r="AJ23" s="96">
        <f t="shared" si="35"/>
        <v>7.3209481812526997E-2</v>
      </c>
      <c r="AK23" s="325">
        <v>20100</v>
      </c>
      <c r="AL23" s="96">
        <f t="shared" si="36"/>
        <v>7.9635814721928377E-2</v>
      </c>
    </row>
    <row r="24" spans="2:38" ht="12">
      <c r="B24" s="79"/>
      <c r="C24" s="79"/>
      <c r="D24" s="82">
        <v>45918</v>
      </c>
      <c r="E24" s="82" t="s">
        <v>150</v>
      </c>
      <c r="F24" s="323">
        <f t="shared" si="18"/>
        <v>235694</v>
      </c>
      <c r="G24" s="324"/>
      <c r="H24" s="390"/>
      <c r="I24" s="325">
        <v>39266</v>
      </c>
      <c r="J24" s="96">
        <f t="shared" si="19"/>
        <v>0.16659736777346898</v>
      </c>
      <c r="K24" s="325">
        <v>43687</v>
      </c>
      <c r="L24" s="96">
        <f t="shared" si="20"/>
        <v>0.18535473962001578</v>
      </c>
      <c r="M24" s="326">
        <f t="shared" si="21"/>
        <v>82953</v>
      </c>
      <c r="N24" s="96">
        <f t="shared" si="22"/>
        <v>0.35195210739348476</v>
      </c>
      <c r="O24" s="325">
        <v>6917</v>
      </c>
      <c r="P24" s="96">
        <f t="shared" si="23"/>
        <v>2.9347374137653058E-2</v>
      </c>
      <c r="Q24" s="325">
        <v>3778</v>
      </c>
      <c r="R24" s="96">
        <f t="shared" si="24"/>
        <v>8.2277102661265741E-2</v>
      </c>
      <c r="S24" s="326">
        <f t="shared" si="25"/>
        <v>10695</v>
      </c>
      <c r="T24" s="96">
        <f t="shared" si="26"/>
        <v>4.5376632413213741E-2</v>
      </c>
      <c r="U24" s="325">
        <v>20171</v>
      </c>
      <c r="V24" s="96">
        <f t="shared" si="27"/>
        <v>8.5581304572878394E-2</v>
      </c>
      <c r="W24" s="325">
        <v>420</v>
      </c>
      <c r="X24" s="96">
        <f t="shared" si="28"/>
        <v>1.7819715393688426E-3</v>
      </c>
      <c r="Y24" s="325">
        <v>26557</v>
      </c>
      <c r="Z24" s="96">
        <f t="shared" si="29"/>
        <v>0.11267575755004371</v>
      </c>
      <c r="AA24" s="325">
        <v>17501</v>
      </c>
      <c r="AB24" s="96">
        <f t="shared" si="30"/>
        <v>0.38113593797639272</v>
      </c>
      <c r="AC24" s="326">
        <f t="shared" si="31"/>
        <v>44058</v>
      </c>
      <c r="AD24" s="96">
        <f t="shared" si="32"/>
        <v>0.18692881447979159</v>
      </c>
      <c r="AE24" s="325">
        <v>15913</v>
      </c>
      <c r="AF24" s="96">
        <f t="shared" si="33"/>
        <v>6.751550739518189E-2</v>
      </c>
      <c r="AG24" s="325">
        <v>24683</v>
      </c>
      <c r="AH24" s="96">
        <f t="shared" si="34"/>
        <v>0.1047247702529551</v>
      </c>
      <c r="AI24" s="325">
        <v>17421</v>
      </c>
      <c r="AJ24" s="96">
        <f t="shared" si="35"/>
        <v>7.3913633779391918E-2</v>
      </c>
      <c r="AK24" s="325">
        <v>19380</v>
      </c>
      <c r="AL24" s="96">
        <f t="shared" si="36"/>
        <v>8.2225258173733745E-2</v>
      </c>
    </row>
    <row r="25" spans="2:38" ht="12">
      <c r="B25" s="79"/>
      <c r="C25" s="79"/>
      <c r="D25" s="82">
        <v>45919</v>
      </c>
      <c r="E25" s="82" t="s">
        <v>151</v>
      </c>
      <c r="F25" s="323">
        <f t="shared" si="18"/>
        <v>198052</v>
      </c>
      <c r="G25" s="324"/>
      <c r="H25" s="390"/>
      <c r="I25" s="325">
        <v>31445</v>
      </c>
      <c r="J25" s="96">
        <f t="shared" si="19"/>
        <v>0.15877143376486982</v>
      </c>
      <c r="K25" s="325">
        <v>39498</v>
      </c>
      <c r="L25" s="96">
        <f t="shared" si="20"/>
        <v>0.19943247228000727</v>
      </c>
      <c r="M25" s="326">
        <f t="shared" si="21"/>
        <v>70943</v>
      </c>
      <c r="N25" s="96">
        <f t="shared" si="22"/>
        <v>0.35820390604487712</v>
      </c>
      <c r="O25" s="325">
        <v>6322</v>
      </c>
      <c r="P25" s="96">
        <f t="shared" si="23"/>
        <v>3.1920909660089272E-2</v>
      </c>
      <c r="Q25" s="325">
        <v>3157</v>
      </c>
      <c r="R25" s="96">
        <f t="shared" si="24"/>
        <v>6.8751497201594111E-2</v>
      </c>
      <c r="S25" s="326">
        <f t="shared" si="25"/>
        <v>9479</v>
      </c>
      <c r="T25" s="96">
        <f t="shared" si="26"/>
        <v>4.7861167774119931E-2</v>
      </c>
      <c r="U25" s="325">
        <v>15724</v>
      </c>
      <c r="V25" s="96">
        <f t="shared" si="27"/>
        <v>7.9393290650940154E-2</v>
      </c>
      <c r="W25" s="325">
        <v>387</v>
      </c>
      <c r="X25" s="96">
        <f t="shared" si="28"/>
        <v>1.9540322743521903E-3</v>
      </c>
      <c r="Y25" s="325">
        <v>23651</v>
      </c>
      <c r="Z25" s="96">
        <f t="shared" si="29"/>
        <v>0.11941813261163735</v>
      </c>
      <c r="AA25" s="325">
        <v>17610</v>
      </c>
      <c r="AB25" s="96">
        <f t="shared" si="30"/>
        <v>0.38350138286983604</v>
      </c>
      <c r="AC25" s="326">
        <f t="shared" si="31"/>
        <v>41261</v>
      </c>
      <c r="AD25" s="96">
        <f t="shared" si="32"/>
        <v>0.20833417486316724</v>
      </c>
      <c r="AE25" s="325">
        <v>11836</v>
      </c>
      <c r="AF25" s="96">
        <f t="shared" si="33"/>
        <v>5.9762082685355364E-2</v>
      </c>
      <c r="AG25" s="325">
        <v>17901</v>
      </c>
      <c r="AH25" s="96">
        <f t="shared" si="34"/>
        <v>9.0385353341546668E-2</v>
      </c>
      <c r="AI25" s="325">
        <v>15037</v>
      </c>
      <c r="AJ25" s="96">
        <f t="shared" si="35"/>
        <v>7.5924504675539753E-2</v>
      </c>
      <c r="AK25" s="325">
        <v>15484</v>
      </c>
      <c r="AL25" s="96">
        <f t="shared" si="36"/>
        <v>7.8181487690101595E-2</v>
      </c>
    </row>
    <row r="26" spans="2:38" ht="12">
      <c r="B26" s="79"/>
      <c r="C26" s="79"/>
      <c r="D26" s="82">
        <v>45920</v>
      </c>
      <c r="E26" s="82" t="s">
        <v>152</v>
      </c>
      <c r="F26" s="323">
        <f t="shared" si="18"/>
        <v>203622</v>
      </c>
      <c r="G26" s="324"/>
      <c r="H26" s="390"/>
      <c r="I26" s="325">
        <v>30303</v>
      </c>
      <c r="J26" s="96">
        <f t="shared" si="19"/>
        <v>0.14881987211597961</v>
      </c>
      <c r="K26" s="325">
        <v>42032</v>
      </c>
      <c r="L26" s="96">
        <f t="shared" si="20"/>
        <v>0.20642170295940518</v>
      </c>
      <c r="M26" s="326">
        <f t="shared" si="21"/>
        <v>72335</v>
      </c>
      <c r="N26" s="96">
        <f t="shared" si="22"/>
        <v>0.35524157507538479</v>
      </c>
      <c r="O26" s="325">
        <v>6329</v>
      </c>
      <c r="P26" s="96">
        <f t="shared" si="23"/>
        <v>3.1082103112630266E-2</v>
      </c>
      <c r="Q26" s="325">
        <v>3194</v>
      </c>
      <c r="R26" s="96">
        <f t="shared" si="24"/>
        <v>6.9555749128919861E-2</v>
      </c>
      <c r="S26" s="326">
        <f t="shared" si="25"/>
        <v>9523</v>
      </c>
      <c r="T26" s="96">
        <f t="shared" si="26"/>
        <v>4.6768030959326592E-2</v>
      </c>
      <c r="U26" s="325">
        <v>17416</v>
      </c>
      <c r="V26" s="96">
        <f t="shared" si="27"/>
        <v>8.5531032992505723E-2</v>
      </c>
      <c r="W26" s="325">
        <v>426</v>
      </c>
      <c r="X26" s="96">
        <f t="shared" si="28"/>
        <v>2.0921118543182956E-3</v>
      </c>
      <c r="Y26" s="325">
        <v>20965</v>
      </c>
      <c r="Z26" s="96">
        <f t="shared" si="29"/>
        <v>0.10296038738446729</v>
      </c>
      <c r="AA26" s="325">
        <v>19533</v>
      </c>
      <c r="AB26" s="96">
        <f t="shared" si="30"/>
        <v>0.42537020905923345</v>
      </c>
      <c r="AC26" s="326">
        <f t="shared" si="31"/>
        <v>40498</v>
      </c>
      <c r="AD26" s="96">
        <f t="shared" si="32"/>
        <v>0.19888813585958295</v>
      </c>
      <c r="AE26" s="325">
        <v>12527</v>
      </c>
      <c r="AF26" s="96">
        <f t="shared" si="33"/>
        <v>6.1520857274754204E-2</v>
      </c>
      <c r="AG26" s="325">
        <v>19659</v>
      </c>
      <c r="AH26" s="96">
        <f t="shared" si="34"/>
        <v>9.6546542122167539E-2</v>
      </c>
      <c r="AI26" s="325">
        <v>14300</v>
      </c>
      <c r="AJ26" s="96">
        <f t="shared" si="35"/>
        <v>7.0228167879698655E-2</v>
      </c>
      <c r="AK26" s="325">
        <v>16938</v>
      </c>
      <c r="AL26" s="96">
        <f t="shared" si="36"/>
        <v>8.3183545982261242E-2</v>
      </c>
    </row>
    <row r="27" spans="2:38" ht="12">
      <c r="B27" s="79"/>
      <c r="C27" s="79"/>
      <c r="D27" s="82">
        <v>45921</v>
      </c>
      <c r="E27" s="82" t="s">
        <v>153</v>
      </c>
      <c r="F27" s="323">
        <f t="shared" si="18"/>
        <v>246024</v>
      </c>
      <c r="G27" s="324"/>
      <c r="H27" s="390"/>
      <c r="I27" s="325">
        <v>40813</v>
      </c>
      <c r="J27" s="96">
        <f t="shared" si="19"/>
        <v>0.16589031964361201</v>
      </c>
      <c r="K27" s="325">
        <v>46287</v>
      </c>
      <c r="L27" s="96">
        <f t="shared" si="20"/>
        <v>0.18814018144571262</v>
      </c>
      <c r="M27" s="326">
        <f t="shared" si="21"/>
        <v>87100</v>
      </c>
      <c r="N27" s="96">
        <f t="shared" si="22"/>
        <v>0.3540305010893246</v>
      </c>
      <c r="O27" s="325">
        <v>8442</v>
      </c>
      <c r="P27" s="96">
        <f t="shared" si="23"/>
        <v>3.4313725490196081E-2</v>
      </c>
      <c r="Q27" s="325">
        <v>3766</v>
      </c>
      <c r="R27" s="96">
        <f t="shared" si="24"/>
        <v>8.2010409180984734E-2</v>
      </c>
      <c r="S27" s="326">
        <f t="shared" si="25"/>
        <v>12208</v>
      </c>
      <c r="T27" s="96">
        <f t="shared" si="26"/>
        <v>4.9621175169902124E-2</v>
      </c>
      <c r="U27" s="325">
        <v>21911</v>
      </c>
      <c r="V27" s="96">
        <f t="shared" si="27"/>
        <v>8.9060416869898879E-2</v>
      </c>
      <c r="W27" s="325">
        <v>580</v>
      </c>
      <c r="X27" s="96">
        <f t="shared" si="28"/>
        <v>2.3574935778623222E-3</v>
      </c>
      <c r="Y27" s="325">
        <v>24818</v>
      </c>
      <c r="Z27" s="96">
        <f t="shared" si="29"/>
        <v>0.10087633726790882</v>
      </c>
      <c r="AA27" s="325">
        <v>22057</v>
      </c>
      <c r="AB27" s="96">
        <f t="shared" si="30"/>
        <v>0.48032490581651094</v>
      </c>
      <c r="AC27" s="326">
        <f t="shared" si="31"/>
        <v>46875</v>
      </c>
      <c r="AD27" s="96">
        <f t="shared" si="32"/>
        <v>0.19053019217637304</v>
      </c>
      <c r="AE27" s="325">
        <v>16151</v>
      </c>
      <c r="AF27" s="96">
        <f t="shared" si="33"/>
        <v>6.5648066855266154E-2</v>
      </c>
      <c r="AG27" s="325">
        <v>24707</v>
      </c>
      <c r="AH27" s="96">
        <f t="shared" si="34"/>
        <v>0.10042516177283517</v>
      </c>
      <c r="AI27" s="325">
        <v>17176</v>
      </c>
      <c r="AJ27" s="96">
        <f t="shared" si="35"/>
        <v>6.9814327057522843E-2</v>
      </c>
      <c r="AK27" s="325">
        <v>19316</v>
      </c>
      <c r="AL27" s="96">
        <f t="shared" si="36"/>
        <v>7.8512665431014858E-2</v>
      </c>
    </row>
    <row r="28" spans="2:38" ht="12">
      <c r="B28" s="79"/>
      <c r="C28" s="79"/>
      <c r="D28" s="82">
        <v>45922</v>
      </c>
      <c r="E28" s="82" t="s">
        <v>147</v>
      </c>
      <c r="F28" s="323">
        <f t="shared" si="18"/>
        <v>241188</v>
      </c>
      <c r="G28" s="324"/>
      <c r="H28" s="390"/>
      <c r="I28" s="325">
        <v>39440</v>
      </c>
      <c r="J28" s="96">
        <f t="shared" si="19"/>
        <v>0.16352389007744997</v>
      </c>
      <c r="K28" s="325">
        <v>45503</v>
      </c>
      <c r="L28" s="96">
        <f t="shared" si="20"/>
        <v>0.18866195664792609</v>
      </c>
      <c r="M28" s="326">
        <f t="shared" si="21"/>
        <v>84943</v>
      </c>
      <c r="N28" s="96">
        <f t="shared" si="22"/>
        <v>0.35218584672537606</v>
      </c>
      <c r="O28" s="325">
        <v>7480</v>
      </c>
      <c r="P28" s="96">
        <f t="shared" si="23"/>
        <v>3.1013151566412923E-2</v>
      </c>
      <c r="Q28" s="325">
        <v>3858</v>
      </c>
      <c r="R28" s="96">
        <f t="shared" si="24"/>
        <v>8.4012020382387531E-2</v>
      </c>
      <c r="S28" s="326">
        <f t="shared" si="25"/>
        <v>11338</v>
      </c>
      <c r="T28" s="96">
        <f t="shared" si="26"/>
        <v>4.7008972254009324E-2</v>
      </c>
      <c r="U28" s="325">
        <v>20164</v>
      </c>
      <c r="V28" s="96">
        <f t="shared" si="27"/>
        <v>8.3602832645073552E-2</v>
      </c>
      <c r="W28" s="325">
        <v>671</v>
      </c>
      <c r="X28" s="96">
        <f t="shared" si="28"/>
        <v>2.7820621258105708E-3</v>
      </c>
      <c r="Y28" s="325">
        <v>25766</v>
      </c>
      <c r="Z28" s="96">
        <f t="shared" si="29"/>
        <v>0.10682952717382291</v>
      </c>
      <c r="AA28" s="325">
        <v>21436</v>
      </c>
      <c r="AB28" s="96">
        <f t="shared" si="30"/>
        <v>0.46679151604895258</v>
      </c>
      <c r="AC28" s="326">
        <f t="shared" si="31"/>
        <v>47202</v>
      </c>
      <c r="AD28" s="96">
        <f t="shared" si="32"/>
        <v>0.19570625404248967</v>
      </c>
      <c r="AE28" s="325">
        <v>15862</v>
      </c>
      <c r="AF28" s="96">
        <f t="shared" si="33"/>
        <v>6.576612435112858E-2</v>
      </c>
      <c r="AG28" s="325">
        <v>24550</v>
      </c>
      <c r="AH28" s="96">
        <f t="shared" si="34"/>
        <v>0.10178781697265205</v>
      </c>
      <c r="AI28" s="325">
        <v>17037</v>
      </c>
      <c r="AJ28" s="96">
        <f t="shared" si="35"/>
        <v>7.0637842678740237E-2</v>
      </c>
      <c r="AK28" s="325">
        <v>19421</v>
      </c>
      <c r="AL28" s="96">
        <f t="shared" si="36"/>
        <v>8.0522248204719968E-2</v>
      </c>
    </row>
    <row r="29" spans="2:38" ht="12">
      <c r="B29" s="79"/>
      <c r="C29" s="79"/>
      <c r="D29" s="243">
        <v>45923</v>
      </c>
      <c r="E29" s="243" t="s">
        <v>148</v>
      </c>
      <c r="F29" s="323">
        <f t="shared" si="18"/>
        <v>234687</v>
      </c>
      <c r="G29" s="324">
        <f>SUM(F29:F35)</f>
        <v>1482932</v>
      </c>
      <c r="H29" s="390"/>
      <c r="I29" s="325">
        <v>38621</v>
      </c>
      <c r="J29" s="96">
        <f t="shared" si="19"/>
        <v>0.16456386591502725</v>
      </c>
      <c r="K29" s="325">
        <v>44722</v>
      </c>
      <c r="L29" s="96">
        <f t="shared" si="20"/>
        <v>0.19056019293782783</v>
      </c>
      <c r="M29" s="326">
        <f t="shared" si="21"/>
        <v>83343</v>
      </c>
      <c r="N29" s="96">
        <f t="shared" si="22"/>
        <v>0.35512405885285508</v>
      </c>
      <c r="O29" s="325">
        <v>7699</v>
      </c>
      <c r="P29" s="96">
        <f t="shared" si="23"/>
        <v>3.2805396123347264E-2</v>
      </c>
      <c r="Q29" s="325">
        <v>3735</v>
      </c>
      <c r="R29" s="96">
        <f t="shared" si="24"/>
        <v>8.1331794525618978E-2</v>
      </c>
      <c r="S29" s="326">
        <f t="shared" si="25"/>
        <v>11434</v>
      </c>
      <c r="T29" s="96">
        <f t="shared" si="26"/>
        <v>4.8720210322685108E-2</v>
      </c>
      <c r="U29" s="325">
        <v>19503</v>
      </c>
      <c r="V29" s="96">
        <f t="shared" si="27"/>
        <v>8.3102174385458083E-2</v>
      </c>
      <c r="W29" s="325">
        <v>627</v>
      </c>
      <c r="X29" s="96">
        <f t="shared" si="28"/>
        <v>2.6716435081619349E-3</v>
      </c>
      <c r="Y29" s="325">
        <v>25136</v>
      </c>
      <c r="Z29" s="96">
        <f t="shared" si="29"/>
        <v>0.10710435601460669</v>
      </c>
      <c r="AA29" s="325">
        <v>20081</v>
      </c>
      <c r="AB29" s="96">
        <f t="shared" si="30"/>
        <v>0.43727543932234392</v>
      </c>
      <c r="AC29" s="326">
        <f t="shared" si="31"/>
        <v>45217</v>
      </c>
      <c r="AD29" s="96">
        <f t="shared" si="32"/>
        <v>0.19266938518111357</v>
      </c>
      <c r="AE29" s="325">
        <v>15785</v>
      </c>
      <c r="AF29" s="96">
        <f t="shared" si="33"/>
        <v>6.7259797091445195E-2</v>
      </c>
      <c r="AG29" s="325">
        <v>23387</v>
      </c>
      <c r="AH29" s="96">
        <f t="shared" si="34"/>
        <v>9.9651876754997079E-2</v>
      </c>
      <c r="AI29" s="325">
        <v>16987</v>
      </c>
      <c r="AJ29" s="96">
        <f t="shared" si="35"/>
        <v>7.238151239736329E-2</v>
      </c>
      <c r="AK29" s="325">
        <v>18404</v>
      </c>
      <c r="AL29" s="96">
        <f t="shared" si="36"/>
        <v>7.8419341505920656E-2</v>
      </c>
    </row>
    <row r="30" spans="2:38" ht="12">
      <c r="B30" s="79"/>
      <c r="C30" s="79"/>
      <c r="D30" s="243">
        <v>45924</v>
      </c>
      <c r="E30" s="243" t="s">
        <v>149</v>
      </c>
      <c r="F30" s="323">
        <f t="shared" si="18"/>
        <v>226259</v>
      </c>
      <c r="G30" s="324"/>
      <c r="H30" s="390"/>
      <c r="I30" s="325">
        <v>37542</v>
      </c>
      <c r="J30" s="96">
        <f t="shared" si="19"/>
        <v>0.16592489138553604</v>
      </c>
      <c r="K30" s="325">
        <v>43798</v>
      </c>
      <c r="L30" s="96">
        <f t="shared" si="20"/>
        <v>0.19357462023610111</v>
      </c>
      <c r="M30" s="326">
        <f t="shared" si="21"/>
        <v>81340</v>
      </c>
      <c r="N30" s="96">
        <f t="shared" si="22"/>
        <v>0.35949951162163712</v>
      </c>
      <c r="O30" s="325">
        <v>7607</v>
      </c>
      <c r="P30" s="96">
        <f t="shared" si="23"/>
        <v>3.362076204703459E-2</v>
      </c>
      <c r="Q30" s="325">
        <v>3611</v>
      </c>
      <c r="R30" s="96">
        <f t="shared" si="24"/>
        <v>7.8629910286560398E-2</v>
      </c>
      <c r="S30" s="326">
        <f t="shared" si="25"/>
        <v>11218</v>
      </c>
      <c r="T30" s="96">
        <f t="shared" si="26"/>
        <v>4.9580348185044573E-2</v>
      </c>
      <c r="U30" s="325">
        <v>19283</v>
      </c>
      <c r="V30" s="96">
        <f t="shared" si="27"/>
        <v>8.5225339102532938E-2</v>
      </c>
      <c r="W30" s="325">
        <v>572</v>
      </c>
      <c r="X30" s="96">
        <f t="shared" si="28"/>
        <v>2.5280762312217416E-3</v>
      </c>
      <c r="Y30" s="325">
        <v>24756</v>
      </c>
      <c r="Z30" s="96">
        <f t="shared" si="29"/>
        <v>0.10941443213308642</v>
      </c>
      <c r="AA30" s="325">
        <v>19452</v>
      </c>
      <c r="AB30" s="96">
        <f t="shared" si="30"/>
        <v>0.42356937548993989</v>
      </c>
      <c r="AC30" s="326">
        <f t="shared" si="31"/>
        <v>44208</v>
      </c>
      <c r="AD30" s="96">
        <f t="shared" si="32"/>
        <v>0.19538670284938942</v>
      </c>
      <c r="AE30" s="325">
        <v>15329</v>
      </c>
      <c r="AF30" s="96">
        <f t="shared" si="33"/>
        <v>6.7749791168528098E-2</v>
      </c>
      <c r="AG30" s="325">
        <v>23087</v>
      </c>
      <c r="AH30" s="96">
        <f t="shared" si="34"/>
        <v>0.10203792998289571</v>
      </c>
      <c r="AI30" s="325">
        <v>13266</v>
      </c>
      <c r="AJ30" s="96">
        <f t="shared" si="35"/>
        <v>5.8631921824104233E-2</v>
      </c>
      <c r="AK30" s="325">
        <v>17956</v>
      </c>
      <c r="AL30" s="96">
        <f t="shared" si="36"/>
        <v>7.9360379034646142E-2</v>
      </c>
    </row>
    <row r="31" spans="2:38" ht="12">
      <c r="B31" s="79"/>
      <c r="C31" s="79"/>
      <c r="D31" s="243">
        <v>45925</v>
      </c>
      <c r="E31" s="243" t="s">
        <v>150</v>
      </c>
      <c r="F31" s="323">
        <f t="shared" si="18"/>
        <v>212221</v>
      </c>
      <c r="G31" s="324"/>
      <c r="H31" s="390"/>
      <c r="I31" s="325">
        <v>34781</v>
      </c>
      <c r="J31" s="96">
        <f t="shared" si="19"/>
        <v>0.16389047266764364</v>
      </c>
      <c r="K31" s="325">
        <v>39525</v>
      </c>
      <c r="L31" s="96">
        <f t="shared" si="20"/>
        <v>0.18624452810984776</v>
      </c>
      <c r="M31" s="326">
        <f t="shared" si="21"/>
        <v>74306</v>
      </c>
      <c r="N31" s="96">
        <f t="shared" si="22"/>
        <v>0.35013500077749138</v>
      </c>
      <c r="O31" s="325">
        <v>7010</v>
      </c>
      <c r="P31" s="96">
        <f t="shared" si="23"/>
        <v>3.3031603846933148E-2</v>
      </c>
      <c r="Q31" s="325">
        <v>3431</v>
      </c>
      <c r="R31" s="96">
        <f t="shared" si="24"/>
        <v>7.4708764289602617E-2</v>
      </c>
      <c r="S31" s="326">
        <f t="shared" si="25"/>
        <v>10441</v>
      </c>
      <c r="T31" s="96">
        <f t="shared" si="26"/>
        <v>4.9198712662743081E-2</v>
      </c>
      <c r="U31" s="325">
        <v>18319</v>
      </c>
      <c r="V31" s="96">
        <f t="shared" si="27"/>
        <v>8.6320392421108186E-2</v>
      </c>
      <c r="W31" s="325">
        <v>557</v>
      </c>
      <c r="X31" s="96">
        <f t="shared" si="28"/>
        <v>2.6246224454695814E-3</v>
      </c>
      <c r="Y31" s="325">
        <v>23611</v>
      </c>
      <c r="Z31" s="96">
        <f t="shared" si="29"/>
        <v>0.1112566616875804</v>
      </c>
      <c r="AA31" s="325">
        <v>18963</v>
      </c>
      <c r="AB31" s="96">
        <f t="shared" si="30"/>
        <v>0.41291235710397389</v>
      </c>
      <c r="AC31" s="326">
        <f t="shared" si="31"/>
        <v>42574</v>
      </c>
      <c r="AD31" s="96">
        <f t="shared" si="32"/>
        <v>0.20061162655910583</v>
      </c>
      <c r="AE31" s="325">
        <v>14779</v>
      </c>
      <c r="AF31" s="96">
        <f t="shared" si="33"/>
        <v>6.9639668081858064E-2</v>
      </c>
      <c r="AG31" s="325">
        <v>21606</v>
      </c>
      <c r="AH31" s="96">
        <f t="shared" si="34"/>
        <v>0.10180896329769439</v>
      </c>
      <c r="AI31" s="325">
        <v>12458</v>
      </c>
      <c r="AJ31" s="96">
        <f t="shared" si="35"/>
        <v>5.8702955880897745E-2</v>
      </c>
      <c r="AK31" s="325">
        <v>17181</v>
      </c>
      <c r="AL31" s="96">
        <f t="shared" si="36"/>
        <v>8.0958057873631736E-2</v>
      </c>
    </row>
    <row r="32" spans="2:38" ht="12">
      <c r="B32" s="79"/>
      <c r="C32" s="79"/>
      <c r="D32" s="243">
        <v>45926</v>
      </c>
      <c r="E32" s="243" t="s">
        <v>151</v>
      </c>
      <c r="F32" s="323">
        <f t="shared" si="18"/>
        <v>184225</v>
      </c>
      <c r="G32" s="324"/>
      <c r="H32" s="390"/>
      <c r="I32" s="325">
        <v>25780</v>
      </c>
      <c r="J32" s="96">
        <f t="shared" si="19"/>
        <v>0.1399375763332881</v>
      </c>
      <c r="K32" s="325">
        <v>35605</v>
      </c>
      <c r="L32" s="96">
        <f t="shared" si="20"/>
        <v>0.1932691002849776</v>
      </c>
      <c r="M32" s="326">
        <f t="shared" si="21"/>
        <v>61385</v>
      </c>
      <c r="N32" s="96">
        <f t="shared" si="22"/>
        <v>0.3332066766182657</v>
      </c>
      <c r="O32" s="325">
        <v>6203</v>
      </c>
      <c r="P32" s="96">
        <f t="shared" si="23"/>
        <v>3.3670783009906363E-2</v>
      </c>
      <c r="Q32" s="325">
        <v>3109</v>
      </c>
      <c r="R32" s="96">
        <f t="shared" si="24"/>
        <v>6.7695858555066851E-2</v>
      </c>
      <c r="S32" s="326">
        <f t="shared" si="25"/>
        <v>9312</v>
      </c>
      <c r="T32" s="96">
        <f t="shared" si="26"/>
        <v>5.0546885601845566E-2</v>
      </c>
      <c r="U32" s="325">
        <v>16185</v>
      </c>
      <c r="V32" s="96">
        <f t="shared" si="27"/>
        <v>8.7854525715836615E-2</v>
      </c>
      <c r="W32" s="325">
        <v>492</v>
      </c>
      <c r="X32" s="96">
        <f t="shared" si="28"/>
        <v>2.6706473062830778E-3</v>
      </c>
      <c r="Y32" s="325">
        <v>21564</v>
      </c>
      <c r="Z32" s="96">
        <f t="shared" si="29"/>
        <v>0.11705251730221197</v>
      </c>
      <c r="AA32" s="325">
        <v>18546</v>
      </c>
      <c r="AB32" s="96">
        <f t="shared" si="30"/>
        <v>0.4038235422200932</v>
      </c>
      <c r="AC32" s="326">
        <f t="shared" si="31"/>
        <v>40110</v>
      </c>
      <c r="AD32" s="96">
        <f t="shared" si="32"/>
        <v>0.21772289320124846</v>
      </c>
      <c r="AE32" s="325">
        <v>12355</v>
      </c>
      <c r="AF32" s="96">
        <f t="shared" si="33"/>
        <v>6.706473062830777E-2</v>
      </c>
      <c r="AG32" s="325">
        <v>15735</v>
      </c>
      <c r="AH32" s="96">
        <f t="shared" si="34"/>
        <v>8.5411860496675263E-2</v>
      </c>
      <c r="AI32" s="325">
        <v>13726</v>
      </c>
      <c r="AJ32" s="96">
        <f t="shared" si="35"/>
        <v>7.4506717329352698E-2</v>
      </c>
      <c r="AK32" s="325">
        <v>14925</v>
      </c>
      <c r="AL32" s="96">
        <f t="shared" si="36"/>
        <v>8.1015063102184828E-2</v>
      </c>
    </row>
    <row r="33" spans="2:38" ht="12">
      <c r="B33" s="79"/>
      <c r="C33" s="79"/>
      <c r="D33" s="243">
        <v>45927</v>
      </c>
      <c r="E33" s="243" t="s">
        <v>152</v>
      </c>
      <c r="F33" s="323">
        <f t="shared" si="18"/>
        <v>185335</v>
      </c>
      <c r="G33" s="324"/>
      <c r="H33" s="390"/>
      <c r="I33" s="325">
        <v>24486</v>
      </c>
      <c r="J33" s="96">
        <f t="shared" si="19"/>
        <v>0.13211751692880461</v>
      </c>
      <c r="K33" s="325">
        <v>34671</v>
      </c>
      <c r="L33" s="96">
        <f t="shared" si="20"/>
        <v>0.18707205870450805</v>
      </c>
      <c r="M33" s="326">
        <f t="shared" si="21"/>
        <v>59157</v>
      </c>
      <c r="N33" s="96">
        <f t="shared" si="22"/>
        <v>0.31918957563331263</v>
      </c>
      <c r="O33" s="325">
        <v>6154</v>
      </c>
      <c r="P33" s="96">
        <f t="shared" si="23"/>
        <v>3.3204737367469719E-2</v>
      </c>
      <c r="Q33" s="325">
        <v>3044</v>
      </c>
      <c r="R33" s="96">
        <f t="shared" si="24"/>
        <v>6.6279095085679446E-2</v>
      </c>
      <c r="S33" s="326">
        <f t="shared" si="25"/>
        <v>9198</v>
      </c>
      <c r="T33" s="96">
        <f t="shared" si="26"/>
        <v>4.9629050098470337E-2</v>
      </c>
      <c r="U33" s="325">
        <v>16670</v>
      </c>
      <c r="V33" s="96">
        <f t="shared" si="27"/>
        <v>8.9945234305446889E-2</v>
      </c>
      <c r="W33" s="325">
        <v>569</v>
      </c>
      <c r="X33" s="96">
        <f t="shared" si="28"/>
        <v>3.0701162759327705E-3</v>
      </c>
      <c r="Y33" s="325">
        <v>22510</v>
      </c>
      <c r="Z33" s="96">
        <f t="shared" si="29"/>
        <v>0.12145574230447567</v>
      </c>
      <c r="AA33" s="325">
        <v>19478</v>
      </c>
      <c r="AB33" s="96">
        <f t="shared" si="30"/>
        <v>0.42410782328477803</v>
      </c>
      <c r="AC33" s="326">
        <f t="shared" si="31"/>
        <v>41988</v>
      </c>
      <c r="AD33" s="96">
        <f t="shared" si="32"/>
        <v>0.22655191949712683</v>
      </c>
      <c r="AE33" s="325">
        <v>12033</v>
      </c>
      <c r="AF33" s="96">
        <f t="shared" si="33"/>
        <v>6.492567512882079E-2</v>
      </c>
      <c r="AG33" s="325">
        <v>16779</v>
      </c>
      <c r="AH33" s="96">
        <f t="shared" si="34"/>
        <v>9.0533358512963014E-2</v>
      </c>
      <c r="AI33" s="325">
        <v>13967</v>
      </c>
      <c r="AJ33" s="96">
        <f t="shared" si="35"/>
        <v>7.5360833086033405E-2</v>
      </c>
      <c r="AK33" s="325">
        <v>14974</v>
      </c>
      <c r="AL33" s="96">
        <f t="shared" si="36"/>
        <v>8.0794237461893334E-2</v>
      </c>
    </row>
    <row r="34" spans="2:38" ht="12">
      <c r="B34" s="79"/>
      <c r="C34" s="79"/>
      <c r="D34" s="243">
        <v>45928</v>
      </c>
      <c r="E34" s="243" t="s">
        <v>153</v>
      </c>
      <c r="F34" s="323">
        <f t="shared" si="18"/>
        <v>199570</v>
      </c>
      <c r="G34" s="324"/>
      <c r="H34" s="390"/>
      <c r="I34" s="325">
        <v>25381</v>
      </c>
      <c r="J34" s="96">
        <f t="shared" si="19"/>
        <v>0.12717843363230946</v>
      </c>
      <c r="K34" s="325">
        <v>38411</v>
      </c>
      <c r="L34" s="96">
        <f t="shared" si="20"/>
        <v>0.1924688079370647</v>
      </c>
      <c r="M34" s="326">
        <f t="shared" si="21"/>
        <v>63792</v>
      </c>
      <c r="N34" s="96">
        <f t="shared" si="22"/>
        <v>0.31964724156937413</v>
      </c>
      <c r="O34" s="325">
        <v>6194</v>
      </c>
      <c r="P34" s="96">
        <f t="shared" si="23"/>
        <v>3.1036728967279652E-2</v>
      </c>
      <c r="Q34" s="325">
        <v>3174</v>
      </c>
      <c r="R34" s="96">
        <f t="shared" si="24"/>
        <v>6.9108169308482847E-2</v>
      </c>
      <c r="S34" s="326">
        <f t="shared" si="25"/>
        <v>9368</v>
      </c>
      <c r="T34" s="96">
        <f t="shared" si="26"/>
        <v>4.6940922984416496E-2</v>
      </c>
      <c r="U34" s="325">
        <v>17773</v>
      </c>
      <c r="V34" s="96">
        <f t="shared" si="27"/>
        <v>8.9056471413539104E-2</v>
      </c>
      <c r="W34" s="325">
        <v>574</v>
      </c>
      <c r="X34" s="96">
        <f t="shared" si="28"/>
        <v>2.8761837951595932E-3</v>
      </c>
      <c r="Y34" s="325">
        <v>23565</v>
      </c>
      <c r="Z34" s="96">
        <f t="shared" si="29"/>
        <v>0.11807886956957458</v>
      </c>
      <c r="AA34" s="325">
        <v>19447</v>
      </c>
      <c r="AB34" s="96">
        <f t="shared" si="30"/>
        <v>0.42342361957847063</v>
      </c>
      <c r="AC34" s="326">
        <f t="shared" si="31"/>
        <v>43012</v>
      </c>
      <c r="AD34" s="96">
        <f t="shared" si="32"/>
        <v>0.21552337525680212</v>
      </c>
      <c r="AE34" s="325">
        <v>13639</v>
      </c>
      <c r="AF34" s="96">
        <f t="shared" si="33"/>
        <v>6.834193516059528E-2</v>
      </c>
      <c r="AG34" s="325">
        <v>18692</v>
      </c>
      <c r="AH34" s="96">
        <f t="shared" si="34"/>
        <v>9.3661371949691832E-2</v>
      </c>
      <c r="AI34" s="325">
        <v>17393</v>
      </c>
      <c r="AJ34" s="96">
        <f t="shared" si="35"/>
        <v>8.7152377611865506E-2</v>
      </c>
      <c r="AK34" s="325">
        <v>15327</v>
      </c>
      <c r="AL34" s="96">
        <f t="shared" si="36"/>
        <v>7.6800120258555898E-2</v>
      </c>
    </row>
    <row r="35" spans="2:38" ht="12">
      <c r="B35" s="79"/>
      <c r="C35" s="79"/>
      <c r="D35" s="243">
        <v>45929</v>
      </c>
      <c r="E35" s="243" t="s">
        <v>147</v>
      </c>
      <c r="F35" s="323">
        <f t="shared" si="18"/>
        <v>240635</v>
      </c>
      <c r="G35" s="324"/>
      <c r="H35" s="390"/>
      <c r="I35" s="325">
        <v>36282</v>
      </c>
      <c r="J35" s="96">
        <f t="shared" si="19"/>
        <v>0.15077607164377585</v>
      </c>
      <c r="K35" s="325">
        <v>45702</v>
      </c>
      <c r="L35" s="96">
        <f t="shared" si="20"/>
        <v>0.18992249672740874</v>
      </c>
      <c r="M35" s="326">
        <f t="shared" si="21"/>
        <v>81984</v>
      </c>
      <c r="N35" s="96">
        <f t="shared" si="22"/>
        <v>0.34069856837118456</v>
      </c>
      <c r="O35" s="325">
        <v>7747</v>
      </c>
      <c r="P35" s="96">
        <f t="shared" si="23"/>
        <v>3.2193986743408065E-2</v>
      </c>
      <c r="Q35" s="325">
        <v>3788</v>
      </c>
      <c r="R35" s="96">
        <f t="shared" si="24"/>
        <v>8.2475124648914627E-2</v>
      </c>
      <c r="S35" s="326">
        <f t="shared" si="25"/>
        <v>11535</v>
      </c>
      <c r="T35" s="96">
        <f t="shared" si="26"/>
        <v>4.7935670205913522E-2</v>
      </c>
      <c r="U35" s="325">
        <v>20798</v>
      </c>
      <c r="V35" s="96">
        <f t="shared" si="27"/>
        <v>8.6429654871485864E-2</v>
      </c>
      <c r="W35" s="325">
        <v>706</v>
      </c>
      <c r="X35" s="96">
        <f t="shared" si="28"/>
        <v>2.9339040455461591E-3</v>
      </c>
      <c r="Y35" s="325">
        <v>26813</v>
      </c>
      <c r="Z35" s="96">
        <f t="shared" si="29"/>
        <v>0.11142601865896483</v>
      </c>
      <c r="AA35" s="325">
        <v>21289</v>
      </c>
      <c r="AB35" s="96">
        <f t="shared" si="30"/>
        <v>0.46351978053081933</v>
      </c>
      <c r="AC35" s="326">
        <f t="shared" si="31"/>
        <v>48102</v>
      </c>
      <c r="AD35" s="96">
        <f t="shared" si="32"/>
        <v>0.19989610821368461</v>
      </c>
      <c r="AE35" s="325">
        <v>15377</v>
      </c>
      <c r="AF35" s="96">
        <f t="shared" si="33"/>
        <v>6.3901759926860188E-2</v>
      </c>
      <c r="AG35" s="325">
        <v>25096</v>
      </c>
      <c r="AH35" s="96">
        <f t="shared" si="34"/>
        <v>0.10429073077482494</v>
      </c>
      <c r="AI35" s="325">
        <v>17562</v>
      </c>
      <c r="AJ35" s="96">
        <f t="shared" si="35"/>
        <v>7.298190205082386E-2</v>
      </c>
      <c r="AK35" s="325">
        <v>19475</v>
      </c>
      <c r="AL35" s="96">
        <f t="shared" si="36"/>
        <v>8.0931701539676271E-2</v>
      </c>
    </row>
    <row r="36" spans="2:38" ht="12">
      <c r="B36" s="79"/>
      <c r="C36" s="79"/>
      <c r="D36" s="82">
        <v>45930</v>
      </c>
      <c r="E36" s="82" t="s">
        <v>148</v>
      </c>
      <c r="F36" s="323">
        <f t="shared" si="18"/>
        <v>261840</v>
      </c>
      <c r="G36" s="324">
        <f>SUM(F36:F42)</f>
        <v>261840</v>
      </c>
      <c r="H36" s="390"/>
      <c r="I36" s="325">
        <v>37161</v>
      </c>
      <c r="J36" s="96">
        <f t="shared" si="19"/>
        <v>0.14192254812098992</v>
      </c>
      <c r="K36" s="325">
        <v>44731</v>
      </c>
      <c r="L36" s="96">
        <f t="shared" si="20"/>
        <v>0.17083333333333334</v>
      </c>
      <c r="M36" s="326">
        <f t="shared" si="21"/>
        <v>81892</v>
      </c>
      <c r="N36" s="96">
        <f t="shared" si="22"/>
        <v>0.31275588145432326</v>
      </c>
      <c r="O36" s="325">
        <v>10511</v>
      </c>
      <c r="P36" s="96">
        <f t="shared" si="23"/>
        <v>4.0142835319278952E-2</v>
      </c>
      <c r="Q36" s="325">
        <v>3914</v>
      </c>
      <c r="R36" s="96">
        <f t="shared" si="24"/>
        <v>8.5216634008273465E-2</v>
      </c>
      <c r="S36" s="326">
        <f t="shared" si="25"/>
        <v>14425</v>
      </c>
      <c r="T36" s="96">
        <f t="shared" si="26"/>
        <v>5.509089520317751E-2</v>
      </c>
      <c r="U36" s="325">
        <v>31413</v>
      </c>
      <c r="V36" s="96">
        <f t="shared" si="27"/>
        <v>0.11997021081576535</v>
      </c>
      <c r="W36" s="325">
        <v>602</v>
      </c>
      <c r="X36" s="96">
        <f t="shared" si="28"/>
        <v>2.2991139627253285E-3</v>
      </c>
      <c r="Y36" s="325">
        <v>26064</v>
      </c>
      <c r="Z36" s="96">
        <f t="shared" si="29"/>
        <v>9.9541704857928501E-2</v>
      </c>
      <c r="AA36" s="325">
        <v>21125</v>
      </c>
      <c r="AB36" s="96">
        <f t="shared" si="30"/>
        <v>0.45993903766601352</v>
      </c>
      <c r="AC36" s="326">
        <f t="shared" si="31"/>
        <v>47189</v>
      </c>
      <c r="AD36" s="96">
        <f t="shared" si="32"/>
        <v>0.18022074549343109</v>
      </c>
      <c r="AE36" s="325">
        <v>22203</v>
      </c>
      <c r="AF36" s="96">
        <f t="shared" si="33"/>
        <v>8.4796058661778181E-2</v>
      </c>
      <c r="AG36" s="325">
        <v>23873</v>
      </c>
      <c r="AH36" s="96">
        <f t="shared" si="34"/>
        <v>9.1173999388939816E-2</v>
      </c>
      <c r="AI36" s="325">
        <v>17743</v>
      </c>
      <c r="AJ36" s="96">
        <f t="shared" si="35"/>
        <v>6.776275588145432E-2</v>
      </c>
      <c r="AK36" s="325">
        <v>22500</v>
      </c>
      <c r="AL36" s="96">
        <f t="shared" si="36"/>
        <v>8.5930339138405129E-2</v>
      </c>
    </row>
    <row r="37" spans="2:38" ht="12">
      <c r="B37" s="79"/>
      <c r="C37" s="79"/>
      <c r="D37" s="82"/>
      <c r="E37" s="82"/>
      <c r="F37" s="84"/>
      <c r="G37" s="248"/>
      <c r="H37" s="254"/>
      <c r="I37" s="205"/>
      <c r="J37" s="96"/>
      <c r="K37" s="205"/>
      <c r="L37" s="96"/>
      <c r="M37" s="101"/>
      <c r="N37" s="96"/>
      <c r="O37" s="205"/>
      <c r="P37" s="96"/>
      <c r="Q37" s="205"/>
      <c r="R37" s="96"/>
      <c r="S37" s="101"/>
      <c r="T37" s="96"/>
      <c r="U37" s="205"/>
      <c r="V37" s="96"/>
      <c r="W37" s="205"/>
      <c r="X37" s="96"/>
      <c r="Y37" s="205"/>
      <c r="Z37" s="96"/>
      <c r="AA37" s="205"/>
      <c r="AB37" s="96"/>
      <c r="AC37" s="101"/>
      <c r="AD37" s="96"/>
      <c r="AE37" s="205"/>
      <c r="AF37" s="96"/>
      <c r="AG37" s="205"/>
      <c r="AH37" s="96"/>
      <c r="AI37" s="205"/>
      <c r="AJ37" s="96"/>
      <c r="AK37" s="205"/>
      <c r="AL37" s="96"/>
    </row>
    <row r="38" spans="2:38" ht="12">
      <c r="B38" s="79"/>
      <c r="C38" s="75"/>
      <c r="D38" s="82"/>
      <c r="E38" s="82"/>
      <c r="F38" s="84"/>
      <c r="G38" s="248"/>
      <c r="H38" s="84"/>
      <c r="I38" s="205"/>
      <c r="J38" s="96"/>
      <c r="K38" s="205"/>
      <c r="L38" s="96"/>
      <c r="M38" s="101"/>
      <c r="N38" s="96"/>
      <c r="O38" s="205"/>
      <c r="P38" s="96"/>
      <c r="Q38" s="205"/>
      <c r="R38" s="96"/>
      <c r="S38" s="101"/>
      <c r="T38" s="96"/>
      <c r="U38" s="205"/>
      <c r="V38" s="96"/>
      <c r="W38" s="205"/>
      <c r="X38" s="96"/>
      <c r="Y38" s="205"/>
      <c r="Z38" s="96"/>
      <c r="AA38" s="205"/>
      <c r="AB38" s="96"/>
      <c r="AC38" s="101"/>
      <c r="AD38" s="96"/>
      <c r="AE38" s="205"/>
      <c r="AF38" s="96"/>
      <c r="AG38" s="205"/>
      <c r="AH38" s="96"/>
      <c r="AI38" s="205"/>
      <c r="AJ38" s="96"/>
      <c r="AK38" s="205"/>
      <c r="AL38" s="96"/>
    </row>
    <row r="39" spans="2:38" ht="12">
      <c r="B39" s="79"/>
      <c r="C39" s="75"/>
      <c r="D39" s="82"/>
      <c r="E39" s="82"/>
      <c r="F39" s="84"/>
      <c r="G39" s="248"/>
      <c r="H39" s="84"/>
      <c r="I39" s="205"/>
      <c r="J39" s="96"/>
      <c r="K39" s="205"/>
      <c r="L39" s="96"/>
      <c r="M39" s="101"/>
      <c r="N39" s="96"/>
      <c r="O39" s="205"/>
      <c r="P39" s="96"/>
      <c r="Q39" s="205"/>
      <c r="R39" s="96"/>
      <c r="S39" s="101"/>
      <c r="T39" s="96"/>
      <c r="U39" s="205"/>
      <c r="V39" s="96"/>
      <c r="W39" s="205"/>
      <c r="X39" s="96"/>
      <c r="Y39" s="205"/>
      <c r="Z39" s="96"/>
      <c r="AA39" s="205"/>
      <c r="AB39" s="96"/>
      <c r="AC39" s="101"/>
      <c r="AD39" s="96"/>
      <c r="AE39" s="205"/>
      <c r="AF39" s="96"/>
      <c r="AG39" s="205"/>
      <c r="AH39" s="96"/>
      <c r="AI39" s="205"/>
      <c r="AJ39" s="96"/>
      <c r="AK39" s="205"/>
      <c r="AL39" s="96"/>
    </row>
    <row r="40" spans="2:38" ht="12">
      <c r="B40" s="79"/>
      <c r="C40" s="75"/>
      <c r="D40" s="82"/>
      <c r="E40" s="82"/>
      <c r="F40" s="84"/>
      <c r="G40" s="248"/>
      <c r="H40" s="84"/>
      <c r="I40" s="205"/>
      <c r="J40" s="96"/>
      <c r="K40" s="205"/>
      <c r="L40" s="96"/>
      <c r="M40" s="101"/>
      <c r="N40" s="96"/>
      <c r="O40" s="205"/>
      <c r="P40" s="96"/>
      <c r="Q40" s="205"/>
      <c r="R40" s="96"/>
      <c r="S40" s="101"/>
      <c r="T40" s="96"/>
      <c r="U40" s="205"/>
      <c r="V40" s="96"/>
      <c r="W40" s="205"/>
      <c r="X40" s="96"/>
      <c r="Y40" s="205"/>
      <c r="Z40" s="96"/>
      <c r="AA40" s="205"/>
      <c r="AB40" s="96"/>
      <c r="AC40" s="101"/>
      <c r="AD40" s="96"/>
      <c r="AE40" s="205"/>
      <c r="AF40" s="96"/>
      <c r="AG40" s="205"/>
      <c r="AH40" s="96"/>
      <c r="AI40" s="205"/>
      <c r="AJ40" s="96"/>
      <c r="AK40" s="205"/>
      <c r="AL40" s="96"/>
    </row>
    <row r="41" spans="2:38" ht="12">
      <c r="B41" s="79"/>
      <c r="C41" s="75"/>
      <c r="D41" s="82"/>
      <c r="E41" s="82"/>
      <c r="F41" s="84"/>
      <c r="G41" s="248"/>
      <c r="H41" s="84"/>
      <c r="I41" s="205"/>
      <c r="J41" s="96"/>
      <c r="K41" s="205"/>
      <c r="L41" s="96"/>
      <c r="M41" s="101"/>
      <c r="N41" s="96"/>
      <c r="O41" s="205"/>
      <c r="P41" s="96"/>
      <c r="Q41" s="205"/>
      <c r="R41" s="96"/>
      <c r="S41" s="101"/>
      <c r="T41" s="96"/>
      <c r="U41" s="205"/>
      <c r="V41" s="96"/>
      <c r="W41" s="205"/>
      <c r="X41" s="96"/>
      <c r="Y41" s="205"/>
      <c r="Z41" s="96"/>
      <c r="AA41" s="205"/>
      <c r="AB41" s="96"/>
      <c r="AC41" s="101"/>
      <c r="AD41" s="96"/>
      <c r="AE41" s="205"/>
      <c r="AF41" s="96"/>
      <c r="AG41" s="205"/>
      <c r="AH41" s="96"/>
      <c r="AI41" s="205"/>
      <c r="AJ41" s="96"/>
      <c r="AK41" s="205"/>
      <c r="AL41" s="96"/>
    </row>
    <row r="42" spans="2:38" ht="12">
      <c r="B42" s="79"/>
      <c r="C42" s="75"/>
      <c r="D42" s="82"/>
      <c r="E42" s="82"/>
      <c r="F42" s="84"/>
      <c r="G42" s="248"/>
      <c r="H42" s="84"/>
      <c r="I42" s="205"/>
      <c r="J42" s="96"/>
      <c r="K42" s="205"/>
      <c r="L42" s="96"/>
      <c r="M42" s="101"/>
      <c r="N42" s="96"/>
      <c r="O42" s="205"/>
      <c r="P42" s="96"/>
      <c r="Q42" s="205"/>
      <c r="R42" s="96"/>
      <c r="S42" s="101"/>
      <c r="T42" s="96"/>
      <c r="U42" s="205"/>
      <c r="V42" s="96"/>
      <c r="W42" s="205"/>
      <c r="X42" s="96"/>
      <c r="Y42" s="205"/>
      <c r="Z42" s="96"/>
      <c r="AA42" s="205"/>
      <c r="AB42" s="96"/>
      <c r="AC42" s="101"/>
      <c r="AD42" s="96"/>
      <c r="AE42" s="205"/>
      <c r="AF42" s="96"/>
      <c r="AG42" s="205"/>
      <c r="AH42" s="96"/>
      <c r="AI42" s="205"/>
      <c r="AJ42" s="96"/>
      <c r="AK42" s="205"/>
      <c r="AL42" s="96"/>
    </row>
    <row r="43" spans="2:38" ht="12">
      <c r="B43" s="79"/>
      <c r="C43" s="75"/>
      <c r="D43" s="82"/>
      <c r="E43" s="82"/>
      <c r="F43" s="84"/>
      <c r="G43" s="248"/>
      <c r="H43" s="84"/>
      <c r="I43" s="205"/>
      <c r="J43" s="96"/>
      <c r="K43" s="205"/>
      <c r="L43" s="96"/>
      <c r="M43" s="101"/>
      <c r="N43" s="96"/>
      <c r="O43" s="205"/>
      <c r="P43" s="96"/>
      <c r="Q43" s="205"/>
      <c r="R43" s="96"/>
      <c r="S43" s="101"/>
      <c r="T43" s="96"/>
      <c r="U43" s="205"/>
      <c r="V43" s="96"/>
      <c r="W43" s="205"/>
      <c r="X43" s="96"/>
      <c r="Y43" s="205"/>
      <c r="Z43" s="96"/>
      <c r="AA43" s="205"/>
      <c r="AB43" s="96"/>
      <c r="AC43" s="101"/>
      <c r="AD43" s="96"/>
      <c r="AE43" s="205"/>
      <c r="AF43" s="96"/>
      <c r="AG43" s="205"/>
      <c r="AH43" s="96"/>
      <c r="AI43" s="205"/>
      <c r="AJ43" s="96"/>
      <c r="AK43" s="205"/>
      <c r="AL43" s="96"/>
    </row>
    <row r="44" spans="2:38" ht="12">
      <c r="B44" s="79"/>
      <c r="C44" s="75"/>
      <c r="D44" s="82"/>
      <c r="E44" s="82"/>
      <c r="F44" s="84"/>
      <c r="G44" s="248"/>
      <c r="H44" s="84"/>
      <c r="I44" s="205"/>
      <c r="J44" s="96"/>
      <c r="K44" s="205"/>
      <c r="L44" s="96"/>
      <c r="M44" s="101"/>
      <c r="N44" s="96"/>
      <c r="O44" s="205"/>
      <c r="P44" s="96"/>
      <c r="Q44" s="205"/>
      <c r="R44" s="96"/>
      <c r="S44" s="101"/>
      <c r="T44" s="96"/>
      <c r="U44" s="205"/>
      <c r="V44" s="96"/>
      <c r="W44" s="205"/>
      <c r="X44" s="96"/>
      <c r="Y44" s="205"/>
      <c r="Z44" s="96"/>
      <c r="AA44" s="205"/>
      <c r="AB44" s="96"/>
      <c r="AC44" s="101"/>
      <c r="AD44" s="96"/>
      <c r="AE44" s="205"/>
      <c r="AF44" s="96"/>
      <c r="AG44" s="205"/>
      <c r="AH44" s="96"/>
      <c r="AI44" s="205"/>
      <c r="AJ44" s="96"/>
      <c r="AK44" s="205"/>
      <c r="AL44" s="96"/>
    </row>
    <row r="45" spans="2:38" ht="12">
      <c r="B45" s="79"/>
      <c r="C45" s="75"/>
      <c r="D45" s="82"/>
      <c r="E45" s="82"/>
      <c r="F45" s="84"/>
      <c r="G45" s="248"/>
      <c r="H45" s="84"/>
      <c r="I45" s="205"/>
      <c r="J45" s="96"/>
      <c r="K45" s="205"/>
      <c r="L45" s="96"/>
      <c r="M45" s="101"/>
      <c r="N45" s="96"/>
      <c r="O45" s="205"/>
      <c r="P45" s="96"/>
      <c r="Q45" s="205"/>
      <c r="R45" s="96"/>
      <c r="S45" s="101"/>
      <c r="T45" s="96"/>
      <c r="U45" s="205"/>
      <c r="V45" s="96"/>
      <c r="W45" s="205"/>
      <c r="X45" s="96"/>
      <c r="Y45" s="205"/>
      <c r="Z45" s="96"/>
      <c r="AA45" s="205"/>
      <c r="AB45" s="96"/>
      <c r="AC45" s="101"/>
      <c r="AD45" s="96"/>
      <c r="AE45" s="205"/>
      <c r="AF45" s="96"/>
      <c r="AG45" s="205"/>
      <c r="AH45" s="96"/>
      <c r="AI45" s="205"/>
      <c r="AJ45" s="96"/>
      <c r="AK45" s="205"/>
      <c r="AL45" s="96"/>
    </row>
    <row r="46" spans="2:38" ht="12">
      <c r="B46" s="79"/>
      <c r="C46" s="75"/>
      <c r="D46" s="78"/>
      <c r="F46" s="84"/>
      <c r="G46" s="84"/>
      <c r="H46" s="84"/>
      <c r="I46" s="223">
        <f>SUM(I7:I45)</f>
        <v>1114620</v>
      </c>
      <c r="J46" s="222">
        <f>I46/$H$7</f>
        <v>0.16589453517843167</v>
      </c>
      <c r="K46" s="223">
        <f>SUM(K7:K45)</f>
        <v>1308291</v>
      </c>
      <c r="L46" s="222">
        <f>K46/$H$7</f>
        <v>0.19471957018815877</v>
      </c>
      <c r="M46" s="223">
        <f>SUM(M7:M45)</f>
        <v>2422911</v>
      </c>
      <c r="N46" s="222">
        <f>M46/$H$7</f>
        <v>0.36061410536659044</v>
      </c>
      <c r="O46" s="223">
        <f>SUM(O7:O45)</f>
        <v>198194</v>
      </c>
      <c r="P46" s="222">
        <f>O46/$H$7</f>
        <v>2.9498215988546843E-2</v>
      </c>
      <c r="Q46" s="223">
        <f>SUM(Q7:Q45)</f>
        <v>109858</v>
      </c>
      <c r="R46" s="222">
        <f>Q46/$H$7</f>
        <v>1.635072208073796E-2</v>
      </c>
      <c r="S46" s="223">
        <f>SUM(S7:S45)</f>
        <v>308052</v>
      </c>
      <c r="T46" s="222">
        <f>S46/$H$7</f>
        <v>4.5848938069284806E-2</v>
      </c>
      <c r="U46" s="223">
        <f>SUM(U7:U45)</f>
        <v>574632</v>
      </c>
      <c r="V46" s="222">
        <f>U46/$H$7</f>
        <v>8.5525388507879399E-2</v>
      </c>
      <c r="W46" s="223">
        <f>SUM(W7:W45)</f>
        <v>14916</v>
      </c>
      <c r="X46" s="222">
        <f>W46/$H$7</f>
        <v>2.2200237630057656E-3</v>
      </c>
      <c r="Y46" s="223">
        <f>SUM(Y7:Y45)</f>
        <v>705809</v>
      </c>
      <c r="Z46" s="222">
        <f>Y46/$H$7</f>
        <v>0.10504912524425694</v>
      </c>
      <c r="AA46" s="223">
        <f>SUM(AA7:AA45)</f>
        <v>613084</v>
      </c>
      <c r="AB46" s="222">
        <f>AA46/$H$7</f>
        <v>9.1248394255740606E-2</v>
      </c>
      <c r="AC46" s="223">
        <f>SUM(AC7:AC45)</f>
        <v>1318893</v>
      </c>
      <c r="AD46" s="222">
        <f>AC46/$H$7</f>
        <v>0.19629751949999755</v>
      </c>
      <c r="AE46" s="223">
        <f>SUM(AE7:AE45)</f>
        <v>432423</v>
      </c>
      <c r="AF46" s="222">
        <f>AE46/$H$7</f>
        <v>6.4359703383631145E-2</v>
      </c>
      <c r="AG46" s="223">
        <f>SUM(AG7:AG45)</f>
        <v>664479</v>
      </c>
      <c r="AH46" s="222">
        <f>AG46/$H$7</f>
        <v>9.8897772192163322E-2</v>
      </c>
      <c r="AI46" s="223">
        <f>SUM(AI7:AI45)</f>
        <v>483623</v>
      </c>
      <c r="AJ46" s="222">
        <f>AI46/$H$7</f>
        <v>7.1980058483248691E-2</v>
      </c>
      <c r="AK46" s="223">
        <f>SUM(AK7:AK45)</f>
        <v>498918</v>
      </c>
      <c r="AL46" s="222">
        <f>AK46/$H$7</f>
        <v>7.4256490734198891E-2</v>
      </c>
    </row>
    <row r="47" spans="2:38" ht="12">
      <c r="B47" s="79"/>
      <c r="C47" s="75"/>
      <c r="D47" s="78"/>
      <c r="F47" s="84"/>
      <c r="G47" s="84"/>
      <c r="H47" s="84"/>
      <c r="M47" s="224">
        <f>M46</f>
        <v>2422911</v>
      </c>
      <c r="S47" s="224">
        <f>S46</f>
        <v>308052</v>
      </c>
      <c r="U47" s="224">
        <f>U46</f>
        <v>574632</v>
      </c>
      <c r="W47" s="224">
        <f>W46</f>
        <v>14916</v>
      </c>
      <c r="Y47" s="224"/>
      <c r="AA47" s="224"/>
      <c r="AC47" s="224">
        <f>AC46</f>
        <v>1318893</v>
      </c>
      <c r="AE47" s="224">
        <f>AE46</f>
        <v>432423</v>
      </c>
      <c r="AG47" s="224">
        <f>AG46</f>
        <v>664479</v>
      </c>
      <c r="AI47" s="224">
        <f>AI46</f>
        <v>483623</v>
      </c>
      <c r="AK47" s="224">
        <f>AK46</f>
        <v>498918</v>
      </c>
    </row>
    <row r="48" spans="2:38" ht="12">
      <c r="B48" s="79"/>
      <c r="C48" s="75"/>
      <c r="D48" s="78"/>
      <c r="F48" s="84"/>
      <c r="G48" s="84"/>
      <c r="H48" s="84"/>
    </row>
    <row r="49" spans="2:8" ht="12">
      <c r="B49" s="79"/>
      <c r="C49" s="75"/>
      <c r="D49" s="78"/>
      <c r="F49" s="84"/>
      <c r="G49" s="84"/>
      <c r="H49" s="84"/>
    </row>
    <row r="50" spans="2:8" ht="12">
      <c r="B50" s="79"/>
      <c r="C50" s="75"/>
      <c r="D50" s="78"/>
    </row>
    <row r="51" spans="2:8" ht="12">
      <c r="B51" s="79"/>
      <c r="C51" s="75"/>
      <c r="D51" s="78"/>
    </row>
    <row r="52" spans="2:8" ht="12">
      <c r="B52" s="79"/>
      <c r="C52" s="75"/>
      <c r="D52" s="78"/>
    </row>
    <row r="53" spans="2:8" ht="12">
      <c r="B53" s="79"/>
      <c r="C53" s="75"/>
      <c r="D53" s="78"/>
    </row>
    <row r="54" spans="2:8" ht="12">
      <c r="B54" s="79"/>
      <c r="C54" s="75"/>
      <c r="D54" s="78"/>
    </row>
    <row r="55" spans="2:8" ht="12">
      <c r="B55" s="79"/>
      <c r="C55" s="75"/>
      <c r="D55" s="78"/>
    </row>
    <row r="56" spans="2:8" ht="12">
      <c r="B56" s="79"/>
      <c r="C56" s="75"/>
      <c r="D56" s="78"/>
    </row>
    <row r="57" spans="2:8" ht="12">
      <c r="B57" s="79"/>
      <c r="C57" s="75"/>
      <c r="D57" s="78"/>
    </row>
    <row r="58" spans="2:8" ht="12">
      <c r="B58" s="79"/>
      <c r="C58" s="75"/>
      <c r="D58" s="78"/>
    </row>
    <row r="59" spans="2:8" ht="12">
      <c r="B59" s="79"/>
      <c r="C59" s="75"/>
      <c r="D59" s="78"/>
    </row>
    <row r="60" spans="2:8" ht="12">
      <c r="B60" s="79"/>
      <c r="C60" s="75"/>
      <c r="D60" s="78"/>
    </row>
    <row r="61" spans="2:8" ht="12">
      <c r="B61" s="79"/>
      <c r="C61" s="75"/>
      <c r="D61" s="78"/>
    </row>
    <row r="62" spans="2:8" ht="12">
      <c r="B62" s="79"/>
      <c r="C62" s="75"/>
      <c r="D62" s="78"/>
    </row>
    <row r="63" spans="2:8" ht="12">
      <c r="B63" s="79"/>
      <c r="C63" s="75"/>
      <c r="D63" s="78"/>
    </row>
    <row r="64" spans="2:8" ht="12">
      <c r="B64" s="79"/>
      <c r="C64" s="75"/>
      <c r="D64" s="78"/>
    </row>
    <row r="65" spans="2:4" ht="12">
      <c r="B65" s="79"/>
      <c r="C65" s="75"/>
      <c r="D65" s="78"/>
    </row>
    <row r="66" spans="2:4" ht="12">
      <c r="B66" s="79"/>
      <c r="C66" s="75"/>
      <c r="D66" s="78"/>
    </row>
    <row r="67" spans="2:4" ht="12">
      <c r="B67" s="79"/>
      <c r="C67" s="75"/>
      <c r="D67" s="78"/>
    </row>
    <row r="68" spans="2:4" ht="12">
      <c r="B68" s="79"/>
      <c r="C68" s="75"/>
      <c r="D68" s="78"/>
    </row>
    <row r="69" spans="2:4" ht="12">
      <c r="B69" s="79"/>
      <c r="C69" s="75"/>
      <c r="D69" s="78"/>
    </row>
    <row r="70" spans="2:4" ht="12">
      <c r="B70" s="79"/>
      <c r="C70" s="75"/>
      <c r="D70" s="78"/>
    </row>
    <row r="71" spans="2:4" ht="12">
      <c r="B71" s="79"/>
      <c r="C71" s="75"/>
      <c r="D71" s="78"/>
    </row>
    <row r="72" spans="2:4" ht="12">
      <c r="B72" s="79"/>
      <c r="C72" s="75"/>
      <c r="D72" s="78"/>
    </row>
    <row r="73" spans="2:4" ht="12">
      <c r="B73" s="79"/>
      <c r="C73" s="75"/>
      <c r="D73" s="78"/>
    </row>
    <row r="74" spans="2:4" ht="12">
      <c r="B74" s="79"/>
      <c r="C74" s="75"/>
      <c r="D74" s="78"/>
    </row>
    <row r="75" spans="2:4" ht="12">
      <c r="B75" s="79"/>
      <c r="C75" s="75"/>
      <c r="D75" s="78"/>
    </row>
    <row r="76" spans="2:4" ht="12">
      <c r="B76" s="79"/>
      <c r="C76" s="75"/>
      <c r="D76" s="78"/>
    </row>
    <row r="77" spans="2:4" ht="12">
      <c r="B77" s="79"/>
      <c r="C77" s="75"/>
      <c r="D77" s="78"/>
    </row>
    <row r="78" spans="2:4" ht="12">
      <c r="B78" s="79"/>
      <c r="C78" s="75"/>
      <c r="D78" s="78"/>
    </row>
    <row r="79" spans="2:4" ht="12">
      <c r="B79" s="79"/>
      <c r="C79" s="75"/>
      <c r="D79" s="78"/>
    </row>
    <row r="80" spans="2:4" ht="12">
      <c r="B80" s="79"/>
      <c r="C80" s="75"/>
      <c r="D80" s="78"/>
    </row>
    <row r="81" spans="2:4" ht="12">
      <c r="B81" s="79"/>
      <c r="C81" s="75"/>
      <c r="D81" s="78"/>
    </row>
    <row r="82" spans="2:4" ht="12">
      <c r="B82" s="79"/>
      <c r="C82" s="75"/>
      <c r="D82" s="78"/>
    </row>
    <row r="83" spans="2:4" ht="12">
      <c r="B83" s="79"/>
      <c r="C83" s="75"/>
      <c r="D83" s="78"/>
    </row>
    <row r="84" spans="2:4" ht="12">
      <c r="B84" s="79"/>
      <c r="C84" s="75"/>
      <c r="D84" s="78"/>
    </row>
    <row r="85" spans="2:4" ht="12">
      <c r="B85" s="79"/>
      <c r="C85" s="75"/>
      <c r="D85" s="78"/>
    </row>
    <row r="86" spans="2:4" ht="12">
      <c r="B86" s="79"/>
      <c r="C86" s="75"/>
      <c r="D86" s="78"/>
    </row>
    <row r="87" spans="2:4" ht="12">
      <c r="B87" s="79"/>
      <c r="C87" s="75"/>
      <c r="D87" s="78"/>
    </row>
    <row r="88" spans="2:4" ht="12">
      <c r="B88" s="79"/>
      <c r="C88" s="75"/>
      <c r="D88" s="78"/>
    </row>
    <row r="89" spans="2:4" ht="12">
      <c r="B89" s="79"/>
      <c r="C89" s="75"/>
      <c r="D89" s="78"/>
    </row>
    <row r="90" spans="2:4" ht="12">
      <c r="B90" s="79"/>
      <c r="C90" s="75"/>
      <c r="D90" s="78"/>
    </row>
    <row r="91" spans="2:4" ht="12">
      <c r="B91" s="79"/>
      <c r="C91" s="75"/>
      <c r="D91" s="78"/>
    </row>
    <row r="92" spans="2:4" ht="12">
      <c r="B92" s="79"/>
      <c r="C92" s="75"/>
      <c r="D92" s="78"/>
    </row>
    <row r="93" spans="2:4" ht="12">
      <c r="B93" s="79"/>
      <c r="C93" s="75"/>
      <c r="D93" s="78"/>
    </row>
    <row r="94" spans="2:4" ht="12">
      <c r="B94" s="79"/>
      <c r="C94" s="75"/>
      <c r="D94" s="78"/>
    </row>
    <row r="95" spans="2:4" ht="12">
      <c r="B95" s="79"/>
      <c r="C95" s="75"/>
      <c r="D95" s="78"/>
    </row>
    <row r="96" spans="2:4" ht="12">
      <c r="B96" s="79"/>
      <c r="C96" s="75"/>
      <c r="D96" s="78"/>
    </row>
    <row r="97" spans="2:4" ht="12">
      <c r="B97" s="79"/>
      <c r="C97" s="75"/>
      <c r="D97" s="78"/>
    </row>
    <row r="98" spans="2:4" ht="12">
      <c r="B98" s="79"/>
      <c r="C98" s="75"/>
      <c r="D98" s="78"/>
    </row>
    <row r="99" spans="2:4" ht="12">
      <c r="B99" s="79"/>
      <c r="C99" s="75"/>
      <c r="D99" s="78"/>
    </row>
    <row r="100" spans="2:4" ht="12">
      <c r="B100" s="79"/>
      <c r="C100" s="75"/>
      <c r="D100" s="78"/>
    </row>
    <row r="101" spans="2:4" ht="12">
      <c r="B101" s="79"/>
      <c r="C101" s="75"/>
      <c r="D101" s="78"/>
    </row>
    <row r="102" spans="2:4" ht="12">
      <c r="B102" s="79"/>
      <c r="C102" s="75"/>
      <c r="D102" s="78"/>
    </row>
  </sheetData>
  <mergeCells count="33"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S5:T5"/>
    <mergeCell ref="AA5:AB5"/>
    <mergeCell ref="I4:N4"/>
    <mergeCell ref="M5:N5"/>
    <mergeCell ref="H7:H36"/>
    <mergeCell ref="Y4:AD4"/>
    <mergeCell ref="F3:H4"/>
    <mergeCell ref="F5:F6"/>
    <mergeCell ref="AK4:AL4"/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Q5:R5"/>
    <mergeCell ref="K5:L5"/>
  </mergeCells>
  <phoneticPr fontId="1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CC"/>
  </sheetPr>
  <dimension ref="A1:AX250"/>
  <sheetViews>
    <sheetView zoomScale="55" zoomScaleNormal="55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186</v>
      </c>
      <c r="C1" s="193">
        <f>AVERAGE(L7,L42,L77,L112,L147,L182)</f>
        <v>715.79668386678588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397" t="s">
        <v>190</v>
      </c>
      <c r="C4" s="402" t="s">
        <v>191</v>
      </c>
      <c r="D4" s="421"/>
      <c r="E4" s="406" t="s">
        <v>192</v>
      </c>
      <c r="F4" s="407"/>
      <c r="G4" s="408"/>
      <c r="H4" s="397" t="s">
        <v>193</v>
      </c>
      <c r="I4" s="406" t="s">
        <v>194</v>
      </c>
      <c r="J4" s="407"/>
      <c r="K4" s="408"/>
      <c r="L4" s="397" t="s">
        <v>193</v>
      </c>
      <c r="M4" s="397" t="s">
        <v>195</v>
      </c>
      <c r="N4" s="397"/>
      <c r="O4" s="397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397" t="s">
        <v>193</v>
      </c>
    </row>
    <row r="5" spans="1:50">
      <c r="A5" s="79"/>
      <c r="B5" s="405"/>
      <c r="C5" s="403"/>
      <c r="D5" s="422"/>
      <c r="E5" s="406" t="s">
        <v>198</v>
      </c>
      <c r="F5" s="407"/>
      <c r="G5" s="408"/>
      <c r="H5" s="405"/>
      <c r="I5" s="406" t="s">
        <v>198</v>
      </c>
      <c r="J5" s="407"/>
      <c r="K5" s="408"/>
      <c r="L5" s="405"/>
      <c r="M5" s="405"/>
      <c r="N5" s="405"/>
      <c r="O5" s="405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5"/>
    </row>
    <row r="6" spans="1:50">
      <c r="A6" s="77"/>
      <c r="B6" s="398"/>
      <c r="C6" s="404"/>
      <c r="D6" s="423"/>
      <c r="E6" s="234" t="s">
        <v>200</v>
      </c>
      <c r="F6" s="234" t="s">
        <v>201</v>
      </c>
      <c r="G6" s="234" t="s">
        <v>202</v>
      </c>
      <c r="H6" s="398"/>
      <c r="I6" s="234" t="s">
        <v>200</v>
      </c>
      <c r="J6" s="234" t="s">
        <v>201</v>
      </c>
      <c r="K6" s="234" t="s">
        <v>202</v>
      </c>
      <c r="L6" s="398"/>
      <c r="M6" s="398"/>
      <c r="N6" s="405"/>
      <c r="O6" s="405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398"/>
    </row>
    <row r="7" spans="1:50">
      <c r="A7" s="79"/>
      <c r="B7" s="418" t="s">
        <v>203</v>
      </c>
      <c r="C7" s="181">
        <v>1</v>
      </c>
      <c r="D7" s="181" t="s">
        <v>204</v>
      </c>
      <c r="E7" s="181">
        <v>4</v>
      </c>
      <c r="F7" s="181">
        <v>2035.3333333333335</v>
      </c>
      <c r="G7" s="181">
        <v>508.83333333333337</v>
      </c>
      <c r="H7" s="409">
        <f>AVERAGE(G7:G36)</f>
        <v>718.32622372107824</v>
      </c>
      <c r="I7" s="165">
        <f>AVERAGE(P7,U7,Z7,AE7,AJ7,AO7,AT7)</f>
        <v>4</v>
      </c>
      <c r="J7" s="165">
        <f>AVERAGE(Q7,V7,AA7,AF7,AK7,AP7,AU7)</f>
        <v>2017.3333333333333</v>
      </c>
      <c r="K7" s="179">
        <f>AVERAGE(R7,W7,AB7,AG7,AL7,AQ7,AV7)</f>
        <v>504.33333333333331</v>
      </c>
      <c r="L7" s="409">
        <f>IFERROR(AVERAGE(K7:K36),"-")</f>
        <v>710.20675072136964</v>
      </c>
      <c r="M7" s="165">
        <f>RANK(K7, K$7:$K$36)</f>
        <v>19</v>
      </c>
      <c r="N7" s="405"/>
      <c r="O7" s="405"/>
      <c r="P7" s="103"/>
      <c r="Q7" s="103"/>
      <c r="R7" s="103"/>
      <c r="S7" s="103"/>
      <c r="T7" s="103"/>
      <c r="X7" s="103"/>
      <c r="AC7" s="103"/>
      <c r="AH7" s="103"/>
      <c r="AM7" s="103"/>
      <c r="AT7" s="165">
        <v>4</v>
      </c>
      <c r="AU7" s="165">
        <v>2017.3333333333333</v>
      </c>
      <c r="AV7" s="165">
        <v>504.33333333333331</v>
      </c>
      <c r="AW7" s="181">
        <f t="shared" ref="AW7:AW36" si="0">RANK(AV7, AV$7:AV$36)</f>
        <v>19</v>
      </c>
      <c r="AX7" s="409">
        <f>AVERAGE(AV7:AV36)</f>
        <v>710.20675072136964</v>
      </c>
    </row>
    <row r="8" spans="1:50" ht="15" customHeight="1">
      <c r="A8" s="79"/>
      <c r="B8" s="419"/>
      <c r="C8" s="181">
        <v>2</v>
      </c>
      <c r="D8" s="181" t="s">
        <v>205</v>
      </c>
      <c r="E8" s="181">
        <v>3</v>
      </c>
      <c r="F8" s="181">
        <v>2665.945945945944</v>
      </c>
      <c r="G8" s="181">
        <v>888.64864864864796</v>
      </c>
      <c r="H8" s="410"/>
      <c r="I8" s="165">
        <f t="shared" ref="I8:I25" si="1">AVERAGE(P8,U8,Z8,AE8,AJ8,AO8,AT8)</f>
        <v>3</v>
      </c>
      <c r="J8" s="165">
        <f t="shared" ref="J8:J25" si="2">AVERAGE(Q8,V8,AA8,AF8,AK8,AP8,AU8)</f>
        <v>2646.1538461538448</v>
      </c>
      <c r="K8" s="179">
        <f t="shared" ref="K8:K25" si="3">AVERAGE(R8,W8,AB8,AG8,AL8,AQ8,AV8)</f>
        <v>882.05128205128165</v>
      </c>
      <c r="L8" s="410"/>
      <c r="M8" s="165">
        <f>RANK(K8, K$7:$K$36)</f>
        <v>3</v>
      </c>
      <c r="N8" s="405"/>
      <c r="O8" s="405"/>
      <c r="P8" s="103"/>
      <c r="Q8" s="103"/>
      <c r="R8" s="103"/>
      <c r="S8" s="103"/>
      <c r="T8" s="103"/>
      <c r="X8" s="103"/>
      <c r="AC8" s="103"/>
      <c r="AH8" s="103"/>
      <c r="AM8" s="103"/>
      <c r="AT8" s="165">
        <v>3</v>
      </c>
      <c r="AU8" s="165">
        <v>2646.1538461538448</v>
      </c>
      <c r="AV8" s="165">
        <v>882.05128205128165</v>
      </c>
      <c r="AW8" s="181">
        <f t="shared" si="0"/>
        <v>3</v>
      </c>
      <c r="AX8" s="410"/>
    </row>
    <row r="9" spans="1:50">
      <c r="A9" s="79"/>
      <c r="B9" s="419"/>
      <c r="C9" s="181">
        <v>3</v>
      </c>
      <c r="D9" s="181" t="s">
        <v>206</v>
      </c>
      <c r="E9" s="181">
        <v>4</v>
      </c>
      <c r="F9" s="181">
        <v>2945.6250000000036</v>
      </c>
      <c r="G9" s="181">
        <v>736.40625000000091</v>
      </c>
      <c r="H9" s="410"/>
      <c r="I9" s="165">
        <f t="shared" si="1"/>
        <v>4</v>
      </c>
      <c r="J9" s="165">
        <f t="shared" si="2"/>
        <v>2930.4000000000005</v>
      </c>
      <c r="K9" s="179">
        <f t="shared" si="3"/>
        <v>732.60000000000014</v>
      </c>
      <c r="L9" s="410"/>
      <c r="M9" s="165">
        <f>RANK(K9, K$7:$K$36)</f>
        <v>9</v>
      </c>
      <c r="N9" s="405"/>
      <c r="O9" s="405"/>
      <c r="P9" s="103"/>
      <c r="Q9" s="103"/>
      <c r="R9" s="103"/>
      <c r="S9" s="103"/>
      <c r="T9" s="103"/>
      <c r="X9" s="103"/>
      <c r="AC9" s="103"/>
      <c r="AH9" s="103"/>
      <c r="AM9" s="103"/>
      <c r="AT9" s="165">
        <v>4</v>
      </c>
      <c r="AU9" s="165">
        <v>2930.4000000000005</v>
      </c>
      <c r="AV9" s="165">
        <v>732.60000000000014</v>
      </c>
      <c r="AW9" s="181">
        <f t="shared" si="0"/>
        <v>9</v>
      </c>
      <c r="AX9" s="410"/>
    </row>
    <row r="10" spans="1:50">
      <c r="A10" s="79"/>
      <c r="B10" s="419"/>
      <c r="C10" s="181">
        <v>4</v>
      </c>
      <c r="D10" s="181" t="s">
        <v>207</v>
      </c>
      <c r="E10" s="181">
        <v>4</v>
      </c>
      <c r="F10" s="181">
        <v>3002.9999999999986</v>
      </c>
      <c r="G10" s="181">
        <v>750.74999999999966</v>
      </c>
      <c r="H10" s="410"/>
      <c r="I10" s="165">
        <f t="shared" si="1"/>
        <v>4</v>
      </c>
      <c r="J10" s="165">
        <f t="shared" si="2"/>
        <v>2916.6666666666706</v>
      </c>
      <c r="K10" s="179">
        <f t="shared" si="3"/>
        <v>729.16666666666765</v>
      </c>
      <c r="L10" s="410"/>
      <c r="M10" s="165">
        <f>RANK(K10, K$7:$K$36)</f>
        <v>10</v>
      </c>
      <c r="N10" s="405"/>
      <c r="O10" s="405"/>
      <c r="P10" s="103"/>
      <c r="Q10" s="103"/>
      <c r="R10" s="103"/>
      <c r="S10" s="103"/>
      <c r="T10" s="103"/>
      <c r="X10" s="103"/>
      <c r="AC10" s="103"/>
      <c r="AH10" s="103"/>
      <c r="AM10" s="103"/>
      <c r="AT10" s="165">
        <v>4</v>
      </c>
      <c r="AU10" s="165">
        <v>2916.6666666666706</v>
      </c>
      <c r="AV10" s="165">
        <v>729.16666666666765</v>
      </c>
      <c r="AW10" s="181">
        <f t="shared" si="0"/>
        <v>10</v>
      </c>
      <c r="AX10" s="410"/>
    </row>
    <row r="11" spans="1:50">
      <c r="A11" s="79"/>
      <c r="B11" s="419"/>
      <c r="C11" s="181">
        <v>5</v>
      </c>
      <c r="D11" s="181" t="s">
        <v>208</v>
      </c>
      <c r="E11" s="181">
        <v>4</v>
      </c>
      <c r="F11" s="181">
        <v>3001.0000000000027</v>
      </c>
      <c r="G11" s="181">
        <v>750.25000000000068</v>
      </c>
      <c r="H11" s="410"/>
      <c r="I11" s="165">
        <f t="shared" si="1"/>
        <v>4</v>
      </c>
      <c r="J11" s="165">
        <f t="shared" si="2"/>
        <v>2676.0000000000095</v>
      </c>
      <c r="K11" s="179">
        <f t="shared" si="3"/>
        <v>669.00000000000239</v>
      </c>
      <c r="L11" s="410"/>
      <c r="M11" s="165">
        <f>RANK(K11, K$7:$K$36)</f>
        <v>11</v>
      </c>
      <c r="N11" s="405"/>
      <c r="O11" s="405"/>
      <c r="P11" s="103"/>
      <c r="Q11" s="103"/>
      <c r="R11" s="103"/>
      <c r="S11" s="103"/>
      <c r="T11" s="103"/>
      <c r="X11" s="103"/>
      <c r="AC11" s="103"/>
      <c r="AH11" s="103"/>
      <c r="AM11" s="103"/>
      <c r="AT11" s="165">
        <v>4</v>
      </c>
      <c r="AU11" s="165">
        <v>2676.0000000000095</v>
      </c>
      <c r="AV11" s="165">
        <v>669.00000000000239</v>
      </c>
      <c r="AW11" s="181">
        <f t="shared" si="0"/>
        <v>11</v>
      </c>
      <c r="AX11" s="410"/>
    </row>
    <row r="12" spans="1:50">
      <c r="A12" s="79"/>
      <c r="B12" s="419"/>
      <c r="C12" s="181">
        <v>6</v>
      </c>
      <c r="D12" s="181" t="s">
        <v>209</v>
      </c>
      <c r="E12" s="181">
        <v>3</v>
      </c>
      <c r="F12" s="181">
        <v>2989.7727272727279</v>
      </c>
      <c r="G12" s="181">
        <v>996.59090909090935</v>
      </c>
      <c r="H12" s="410"/>
      <c r="I12" s="165">
        <f t="shared" si="1"/>
        <v>3</v>
      </c>
      <c r="J12" s="165">
        <f t="shared" si="2"/>
        <v>2893.333333333318</v>
      </c>
      <c r="K12" s="179">
        <f t="shared" si="3"/>
        <v>964.44444444443934</v>
      </c>
      <c r="L12" s="410"/>
      <c r="M12" s="165">
        <f>RANK(K12, K$7:$K$36)</f>
        <v>1</v>
      </c>
      <c r="N12" s="405"/>
      <c r="O12" s="405"/>
      <c r="P12" s="103"/>
      <c r="Q12" s="103"/>
      <c r="R12" s="103"/>
      <c r="S12" s="103"/>
      <c r="T12" s="103"/>
      <c r="X12" s="103"/>
      <c r="AC12" s="103"/>
      <c r="AH12" s="103"/>
      <c r="AM12" s="103"/>
      <c r="AT12" s="165">
        <v>3</v>
      </c>
      <c r="AU12" s="165">
        <v>2893.333333333318</v>
      </c>
      <c r="AV12" s="165">
        <v>964.44444444443934</v>
      </c>
      <c r="AW12" s="181">
        <f t="shared" si="0"/>
        <v>1</v>
      </c>
      <c r="AX12" s="410"/>
    </row>
    <row r="13" spans="1:50">
      <c r="A13" s="79"/>
      <c r="B13" s="419"/>
      <c r="C13" s="181">
        <v>7</v>
      </c>
      <c r="D13" s="181" t="s">
        <v>210</v>
      </c>
      <c r="E13" s="181">
        <v>4</v>
      </c>
      <c r="F13" s="181">
        <v>2441.0526315789457</v>
      </c>
      <c r="G13" s="181">
        <v>610.26315789473642</v>
      </c>
      <c r="H13" s="410"/>
      <c r="I13" s="165">
        <f t="shared" si="1"/>
        <v>4</v>
      </c>
      <c r="J13" s="165">
        <f t="shared" si="2"/>
        <v>2431.76470588235</v>
      </c>
      <c r="K13" s="179">
        <f t="shared" si="3"/>
        <v>607.94117647058749</v>
      </c>
      <c r="L13" s="410"/>
      <c r="M13" s="165">
        <f>RANK(K13, K$7:$K$36)</f>
        <v>15</v>
      </c>
      <c r="N13" s="405"/>
      <c r="O13" s="405"/>
      <c r="P13" s="103"/>
      <c r="Q13" s="103"/>
      <c r="R13" s="103"/>
      <c r="S13" s="103"/>
      <c r="T13" s="103"/>
      <c r="X13" s="103"/>
      <c r="AC13" s="103"/>
      <c r="AH13" s="103"/>
      <c r="AM13" s="103"/>
      <c r="AT13" s="165">
        <v>4</v>
      </c>
      <c r="AU13" s="165">
        <v>2431.76470588235</v>
      </c>
      <c r="AV13" s="165">
        <v>607.94117647058749</v>
      </c>
      <c r="AW13" s="181">
        <f t="shared" si="0"/>
        <v>15</v>
      </c>
      <c r="AX13" s="410"/>
    </row>
    <row r="14" spans="1:50">
      <c r="A14" s="79"/>
      <c r="B14" s="419"/>
      <c r="C14" s="181">
        <v>8</v>
      </c>
      <c r="D14" s="181" t="s">
        <v>211</v>
      </c>
      <c r="E14" s="181">
        <v>3</v>
      </c>
      <c r="F14" s="181">
        <v>2497.0212765957449</v>
      </c>
      <c r="G14" s="181">
        <v>832.340425531915</v>
      </c>
      <c r="H14" s="410"/>
      <c r="I14" s="165">
        <f t="shared" si="1"/>
        <v>3</v>
      </c>
      <c r="J14" s="165">
        <f t="shared" si="2"/>
        <v>2482.8571428571445</v>
      </c>
      <c r="K14" s="179">
        <f t="shared" si="3"/>
        <v>827.61904761904816</v>
      </c>
      <c r="L14" s="410"/>
      <c r="M14" s="165">
        <f>RANK(K14, K$7:$K$36)</f>
        <v>4</v>
      </c>
      <c r="N14" s="405"/>
      <c r="O14" s="405"/>
      <c r="P14" s="103"/>
      <c r="Q14" s="103"/>
      <c r="R14" s="103"/>
      <c r="S14" s="103"/>
      <c r="T14" s="103"/>
      <c r="X14" s="103"/>
      <c r="AC14" s="103"/>
      <c r="AH14" s="103"/>
      <c r="AM14" s="103"/>
      <c r="AT14" s="165">
        <v>3</v>
      </c>
      <c r="AU14" s="165">
        <v>2482.8571428571445</v>
      </c>
      <c r="AV14" s="165">
        <v>827.61904761904816</v>
      </c>
      <c r="AW14" s="181">
        <f t="shared" si="0"/>
        <v>4</v>
      </c>
      <c r="AX14" s="410"/>
    </row>
    <row r="15" spans="1:50">
      <c r="A15" s="79"/>
      <c r="B15" s="419"/>
      <c r="C15" s="181">
        <v>9</v>
      </c>
      <c r="D15" s="181" t="s">
        <v>212</v>
      </c>
      <c r="E15" s="181">
        <v>3</v>
      </c>
      <c r="F15" s="181">
        <v>2503.6363636363658</v>
      </c>
      <c r="G15" s="181">
        <v>834.5454545454553</v>
      </c>
      <c r="H15" s="410"/>
      <c r="I15" s="165">
        <f t="shared" si="1"/>
        <v>3</v>
      </c>
      <c r="J15" s="165">
        <f t="shared" si="2"/>
        <v>2457.3913043478283</v>
      </c>
      <c r="K15" s="179">
        <f t="shared" si="3"/>
        <v>819.13043478260943</v>
      </c>
      <c r="L15" s="410"/>
      <c r="M15" s="165">
        <f>RANK(K15, K$7:$K$36)</f>
        <v>5</v>
      </c>
      <c r="N15" s="405"/>
      <c r="O15" s="405"/>
      <c r="P15" s="103"/>
      <c r="Q15" s="103"/>
      <c r="R15" s="103"/>
      <c r="S15" s="103"/>
      <c r="T15" s="103"/>
      <c r="X15" s="103"/>
      <c r="AC15" s="103"/>
      <c r="AH15" s="103"/>
      <c r="AM15" s="103"/>
      <c r="AT15" s="165">
        <v>3</v>
      </c>
      <c r="AU15" s="165">
        <v>2457.3913043478283</v>
      </c>
      <c r="AV15" s="165">
        <v>819.13043478260943</v>
      </c>
      <c r="AW15" s="181">
        <f t="shared" si="0"/>
        <v>5</v>
      </c>
      <c r="AX15" s="410"/>
    </row>
    <row r="16" spans="1:50">
      <c r="A16" s="79"/>
      <c r="B16" s="419"/>
      <c r="C16" s="181">
        <v>10</v>
      </c>
      <c r="D16" s="181" t="s">
        <v>213</v>
      </c>
      <c r="E16" s="181">
        <v>4</v>
      </c>
      <c r="F16" s="181">
        <v>2491.0344827586227</v>
      </c>
      <c r="G16" s="181">
        <v>622.75862068965569</v>
      </c>
      <c r="H16" s="410"/>
      <c r="I16" s="165">
        <f t="shared" si="1"/>
        <v>4</v>
      </c>
      <c r="J16" s="165">
        <f t="shared" si="2"/>
        <v>2430.9677419354862</v>
      </c>
      <c r="K16" s="179">
        <f t="shared" si="3"/>
        <v>607.74193548387154</v>
      </c>
      <c r="L16" s="410"/>
      <c r="M16" s="165">
        <f>RANK(K16, K$7:$K$36)</f>
        <v>16</v>
      </c>
      <c r="N16" s="405"/>
      <c r="O16" s="405"/>
      <c r="P16" s="103"/>
      <c r="Q16" s="103"/>
      <c r="R16" s="103"/>
      <c r="S16" s="103"/>
      <c r="T16" s="103"/>
      <c r="X16" s="103"/>
      <c r="AC16" s="103"/>
      <c r="AH16" s="103"/>
      <c r="AM16" s="103"/>
      <c r="AT16" s="165">
        <v>4</v>
      </c>
      <c r="AU16" s="165">
        <v>2430.9677419354862</v>
      </c>
      <c r="AV16" s="165">
        <v>607.74193548387154</v>
      </c>
      <c r="AW16" s="181">
        <f t="shared" si="0"/>
        <v>16</v>
      </c>
      <c r="AX16" s="410"/>
    </row>
    <row r="17" spans="2:50">
      <c r="B17" s="419"/>
      <c r="C17" s="181">
        <v>11</v>
      </c>
      <c r="D17" s="181" t="s">
        <v>214</v>
      </c>
      <c r="E17" s="181">
        <v>4</v>
      </c>
      <c r="F17" s="181">
        <v>2472.2448979591845</v>
      </c>
      <c r="G17" s="181">
        <v>618.06122448979613</v>
      </c>
      <c r="H17" s="410"/>
      <c r="I17" s="165">
        <f t="shared" si="1"/>
        <v>4</v>
      </c>
      <c r="J17" s="165">
        <f t="shared" si="2"/>
        <v>2478.8888888888864</v>
      </c>
      <c r="K17" s="179">
        <f t="shared" si="3"/>
        <v>619.7222222222216</v>
      </c>
      <c r="L17" s="410"/>
      <c r="M17" s="165">
        <f>RANK(K17, K$7:$K$36)</f>
        <v>13</v>
      </c>
      <c r="N17" s="405"/>
      <c r="O17" s="405"/>
      <c r="P17" s="103"/>
      <c r="Q17" s="103"/>
      <c r="R17" s="103"/>
      <c r="S17" s="103"/>
      <c r="T17" s="103"/>
      <c r="X17" s="103"/>
      <c r="AC17" s="103"/>
      <c r="AH17" s="103"/>
      <c r="AM17" s="103"/>
      <c r="AT17" s="165">
        <v>4</v>
      </c>
      <c r="AU17" s="165">
        <v>2478.8888888888864</v>
      </c>
      <c r="AV17" s="165">
        <v>619.7222222222216</v>
      </c>
      <c r="AW17" s="181">
        <f t="shared" si="0"/>
        <v>13</v>
      </c>
      <c r="AX17" s="410"/>
    </row>
    <row r="18" spans="2:50">
      <c r="B18" s="419"/>
      <c r="C18" s="181">
        <v>12</v>
      </c>
      <c r="D18" s="181" t="s">
        <v>215</v>
      </c>
      <c r="E18" s="181">
        <v>3</v>
      </c>
      <c r="F18" s="181">
        <v>2365.714285714294</v>
      </c>
      <c r="G18" s="181">
        <v>788.57142857143128</v>
      </c>
      <c r="H18" s="410"/>
      <c r="I18" s="165">
        <f t="shared" si="1"/>
        <v>3</v>
      </c>
      <c r="J18" s="165">
        <f t="shared" si="2"/>
        <v>2416.0000000000086</v>
      </c>
      <c r="K18" s="179">
        <f t="shared" si="3"/>
        <v>805.33333333333621</v>
      </c>
      <c r="L18" s="410"/>
      <c r="M18" s="165">
        <f>RANK(K18, K$7:$K$36)</f>
        <v>6</v>
      </c>
      <c r="N18" s="405"/>
      <c r="O18" s="405"/>
      <c r="P18" s="103"/>
      <c r="Q18" s="103"/>
      <c r="R18" s="103"/>
      <c r="S18" s="103"/>
      <c r="T18" s="103"/>
      <c r="X18" s="103"/>
      <c r="AC18" s="103"/>
      <c r="AH18" s="103"/>
      <c r="AM18" s="103"/>
      <c r="AT18" s="165">
        <v>3</v>
      </c>
      <c r="AU18" s="165">
        <v>2416.0000000000086</v>
      </c>
      <c r="AV18" s="165">
        <v>805.33333333333621</v>
      </c>
      <c r="AW18" s="181">
        <f t="shared" si="0"/>
        <v>6</v>
      </c>
      <c r="AX18" s="410"/>
    </row>
    <row r="19" spans="2:50">
      <c r="B19" s="419"/>
      <c r="C19" s="181">
        <v>13</v>
      </c>
      <c r="D19" s="181" t="s">
        <v>216</v>
      </c>
      <c r="E19" s="181">
        <v>4</v>
      </c>
      <c r="F19" s="181">
        <v>2554.1538461538453</v>
      </c>
      <c r="G19" s="181">
        <v>638.53846153846132</v>
      </c>
      <c r="H19" s="410"/>
      <c r="I19" s="165">
        <f t="shared" si="1"/>
        <v>4</v>
      </c>
      <c r="J19" s="165">
        <f t="shared" si="2"/>
        <v>2466.3636363636365</v>
      </c>
      <c r="K19" s="179">
        <f t="shared" si="3"/>
        <v>616.59090909090912</v>
      </c>
      <c r="L19" s="410"/>
      <c r="M19" s="165">
        <f>RANK(K19, K$7:$K$36)</f>
        <v>14</v>
      </c>
      <c r="N19" s="405"/>
      <c r="O19" s="405"/>
      <c r="P19" s="103"/>
      <c r="Q19" s="103"/>
      <c r="R19" s="103"/>
      <c r="S19" s="103"/>
      <c r="T19" s="103"/>
      <c r="X19" s="103"/>
      <c r="AC19" s="103"/>
      <c r="AH19" s="103"/>
      <c r="AM19" s="103"/>
      <c r="AT19" s="165">
        <v>4</v>
      </c>
      <c r="AU19" s="165">
        <v>2466.3636363636365</v>
      </c>
      <c r="AV19" s="165">
        <v>616.59090909090912</v>
      </c>
      <c r="AW19" s="181">
        <f t="shared" si="0"/>
        <v>14</v>
      </c>
      <c r="AX19" s="410"/>
    </row>
    <row r="20" spans="2:50">
      <c r="B20" s="419"/>
      <c r="C20" s="181">
        <v>14</v>
      </c>
      <c r="D20" s="181" t="s">
        <v>217</v>
      </c>
      <c r="E20" s="181">
        <v>4</v>
      </c>
      <c r="F20" s="181">
        <v>2467.9999999999995</v>
      </c>
      <c r="G20" s="181">
        <v>616.99999999999989</v>
      </c>
      <c r="H20" s="410"/>
      <c r="I20" s="165">
        <f t="shared" si="1"/>
        <v>4</v>
      </c>
      <c r="J20" s="165">
        <f t="shared" si="2"/>
        <v>2500.2631578947362</v>
      </c>
      <c r="K20" s="179">
        <f t="shared" si="3"/>
        <v>625.06578947368405</v>
      </c>
      <c r="L20" s="410"/>
      <c r="M20" s="165">
        <f>RANK(K20, K$7:$K$36)</f>
        <v>12</v>
      </c>
      <c r="N20" s="405"/>
      <c r="O20" s="405"/>
      <c r="P20" s="103"/>
      <c r="Q20" s="103"/>
      <c r="R20" s="103"/>
      <c r="S20" s="103"/>
      <c r="T20" s="103"/>
      <c r="X20" s="103"/>
      <c r="AC20" s="103"/>
      <c r="AH20" s="103"/>
      <c r="AM20" s="103"/>
      <c r="AT20" s="165">
        <v>4</v>
      </c>
      <c r="AU20" s="165">
        <v>2500.2631578947362</v>
      </c>
      <c r="AV20" s="165">
        <v>625.06578947368405</v>
      </c>
      <c r="AW20" s="181">
        <f t="shared" si="0"/>
        <v>12</v>
      </c>
      <c r="AX20" s="410"/>
    </row>
    <row r="21" spans="2:50">
      <c r="B21" s="419"/>
      <c r="C21" s="181">
        <v>15</v>
      </c>
      <c r="D21" s="181" t="s">
        <v>218</v>
      </c>
      <c r="E21" s="181">
        <v>4</v>
      </c>
      <c r="F21" s="181">
        <v>2746.0000000000095</v>
      </c>
      <c r="G21" s="181">
        <v>686.50000000000239</v>
      </c>
      <c r="H21" s="410"/>
      <c r="I21" s="165">
        <f t="shared" si="1"/>
        <v>4</v>
      </c>
      <c r="J21" s="165">
        <f t="shared" si="2"/>
        <v>2975.9999999999914</v>
      </c>
      <c r="K21" s="179">
        <f t="shared" si="3"/>
        <v>743.99999999999784</v>
      </c>
      <c r="L21" s="410"/>
      <c r="M21" s="165">
        <f>RANK(K21, K$7:$K$36)</f>
        <v>7</v>
      </c>
      <c r="N21" s="405"/>
      <c r="O21" s="405"/>
      <c r="P21" s="103"/>
      <c r="Q21" s="103"/>
      <c r="R21" s="103"/>
      <c r="S21" s="103"/>
      <c r="T21" s="103"/>
      <c r="X21" s="103"/>
      <c r="AC21" s="103"/>
      <c r="AH21" s="103"/>
      <c r="AM21" s="103"/>
      <c r="AT21" s="165">
        <v>4</v>
      </c>
      <c r="AU21" s="165">
        <v>2975.9999999999914</v>
      </c>
      <c r="AV21" s="165">
        <v>743.99999999999784</v>
      </c>
      <c r="AW21" s="181">
        <f t="shared" si="0"/>
        <v>7</v>
      </c>
      <c r="AX21" s="410"/>
    </row>
    <row r="22" spans="2:50">
      <c r="B22" s="419"/>
      <c r="C22" s="181">
        <v>16</v>
      </c>
      <c r="D22" s="181" t="s">
        <v>219</v>
      </c>
      <c r="E22" s="181">
        <v>3</v>
      </c>
      <c r="F22" s="181">
        <v>2190.0000000000077</v>
      </c>
      <c r="G22" s="181">
        <v>730.00000000000261</v>
      </c>
      <c r="H22" s="410"/>
      <c r="I22" s="165">
        <f t="shared" si="1"/>
        <v>3</v>
      </c>
      <c r="J22" s="165">
        <f t="shared" si="2"/>
        <v>2218.0000000000077</v>
      </c>
      <c r="K22" s="179">
        <f t="shared" si="3"/>
        <v>739.33333333333587</v>
      </c>
      <c r="L22" s="410"/>
      <c r="M22" s="165">
        <f>RANK(K22, K$7:$K$36)</f>
        <v>8</v>
      </c>
      <c r="N22" s="405"/>
      <c r="O22" s="405"/>
      <c r="P22" s="103"/>
      <c r="Q22" s="103"/>
      <c r="R22" s="103"/>
      <c r="S22" s="103"/>
      <c r="T22" s="103"/>
      <c r="X22" s="103"/>
      <c r="AC22" s="103"/>
      <c r="AH22" s="103"/>
      <c r="AM22" s="103"/>
      <c r="AT22" s="165">
        <v>3</v>
      </c>
      <c r="AU22" s="165">
        <v>2218.0000000000077</v>
      </c>
      <c r="AV22" s="165">
        <v>739.33333333333587</v>
      </c>
      <c r="AW22" s="181">
        <f t="shared" si="0"/>
        <v>8</v>
      </c>
      <c r="AX22" s="410"/>
    </row>
    <row r="23" spans="2:50">
      <c r="B23" s="419"/>
      <c r="C23" s="181">
        <v>17</v>
      </c>
      <c r="D23" s="181" t="s">
        <v>220</v>
      </c>
      <c r="E23" s="181">
        <v>4</v>
      </c>
      <c r="F23" s="181">
        <v>2150.769230769225</v>
      </c>
      <c r="G23" s="181">
        <v>537.69230769230626</v>
      </c>
      <c r="H23" s="410"/>
      <c r="I23" s="165">
        <f t="shared" si="1"/>
        <v>4</v>
      </c>
      <c r="J23" s="165">
        <f t="shared" si="2"/>
        <v>2198.3999999999937</v>
      </c>
      <c r="K23" s="179">
        <f t="shared" si="3"/>
        <v>549.59999999999843</v>
      </c>
      <c r="L23" s="410"/>
      <c r="M23" s="165">
        <f>RANK(K23, K$7:$K$36)</f>
        <v>18</v>
      </c>
      <c r="N23" s="405"/>
      <c r="O23" s="405"/>
      <c r="P23" s="103"/>
      <c r="Q23" s="103"/>
      <c r="R23" s="103"/>
      <c r="S23" s="103"/>
      <c r="T23" s="103"/>
      <c r="X23" s="103"/>
      <c r="AC23" s="103"/>
      <c r="AH23" s="103"/>
      <c r="AM23" s="103"/>
      <c r="AT23" s="165">
        <v>4</v>
      </c>
      <c r="AU23" s="165">
        <v>2198.3999999999937</v>
      </c>
      <c r="AV23" s="165">
        <v>549.59999999999843</v>
      </c>
      <c r="AW23" s="181">
        <f t="shared" si="0"/>
        <v>18</v>
      </c>
      <c r="AX23" s="410"/>
    </row>
    <row r="24" spans="2:50">
      <c r="B24" s="419"/>
      <c r="C24" s="181">
        <v>18</v>
      </c>
      <c r="D24" s="181" t="s">
        <v>221</v>
      </c>
      <c r="E24" s="181">
        <v>4</v>
      </c>
      <c r="F24" s="181">
        <v>2432.9032258064522</v>
      </c>
      <c r="G24" s="181">
        <v>608.22580645161304</v>
      </c>
      <c r="H24" s="410"/>
      <c r="I24" s="165">
        <f t="shared" si="1"/>
        <v>4</v>
      </c>
      <c r="J24" s="165">
        <f t="shared" si="2"/>
        <v>2230.2857142857142</v>
      </c>
      <c r="K24" s="179">
        <f t="shared" si="3"/>
        <v>557.57142857142856</v>
      </c>
      <c r="L24" s="410"/>
      <c r="M24" s="165">
        <f>RANK(K24, K$7:$K$36)</f>
        <v>17</v>
      </c>
      <c r="N24" s="405"/>
      <c r="O24" s="405"/>
      <c r="P24" s="103"/>
      <c r="Q24" s="103"/>
      <c r="R24" s="103"/>
      <c r="S24" s="103"/>
      <c r="T24" s="103"/>
      <c r="X24" s="103"/>
      <c r="AC24" s="103"/>
      <c r="AH24" s="103"/>
      <c r="AM24" s="103"/>
      <c r="AT24" s="165">
        <v>4</v>
      </c>
      <c r="AU24" s="165">
        <v>2230.2857142857142</v>
      </c>
      <c r="AV24" s="165">
        <v>557.57142857142856</v>
      </c>
      <c r="AW24" s="181">
        <f t="shared" si="0"/>
        <v>17</v>
      </c>
      <c r="AX24" s="410"/>
    </row>
    <row r="25" spans="2:50">
      <c r="B25" s="419"/>
      <c r="C25" s="181">
        <v>19</v>
      </c>
      <c r="D25" s="181" t="s">
        <v>222</v>
      </c>
      <c r="E25" s="181">
        <v>3</v>
      </c>
      <c r="F25" s="181">
        <v>2676.6666666666647</v>
      </c>
      <c r="G25" s="181">
        <v>892.2222222222216</v>
      </c>
      <c r="H25" s="410"/>
      <c r="I25" s="165">
        <f t="shared" si="1"/>
        <v>3</v>
      </c>
      <c r="J25" s="165">
        <f t="shared" si="2"/>
        <v>2678.0487804878039</v>
      </c>
      <c r="K25" s="179">
        <f t="shared" si="3"/>
        <v>892.68292682926801</v>
      </c>
      <c r="L25" s="410"/>
      <c r="M25" s="165">
        <f>RANK(K25, K$7:$K$36)</f>
        <v>2</v>
      </c>
      <c r="N25" s="405"/>
      <c r="O25" s="405"/>
      <c r="P25" s="103"/>
      <c r="Q25" s="103"/>
      <c r="R25" s="103"/>
      <c r="S25" s="103"/>
      <c r="T25" s="103"/>
      <c r="X25" s="103"/>
      <c r="AC25" s="103"/>
      <c r="AH25" s="103"/>
      <c r="AM25" s="103"/>
      <c r="AT25" s="165">
        <v>3</v>
      </c>
      <c r="AU25" s="165">
        <v>2678.0487804878039</v>
      </c>
      <c r="AV25" s="165">
        <v>892.68292682926801</v>
      </c>
      <c r="AW25" s="181">
        <f t="shared" si="0"/>
        <v>2</v>
      </c>
      <c r="AX25" s="410"/>
    </row>
    <row r="26" spans="2:50">
      <c r="B26" s="419"/>
      <c r="C26" s="181">
        <v>20</v>
      </c>
      <c r="D26" s="181"/>
      <c r="E26" s="181"/>
      <c r="F26" s="181"/>
      <c r="G26" s="181"/>
      <c r="H26" s="410"/>
      <c r="I26" s="165"/>
      <c r="J26" s="165"/>
      <c r="K26" s="179"/>
      <c r="L26" s="410"/>
      <c r="M26" s="165" t="e">
        <f>RANK(K26, K$7:$K$36)</f>
        <v>#N/A</v>
      </c>
      <c r="N26" s="405"/>
      <c r="O26" s="405"/>
      <c r="P26" s="103"/>
      <c r="Q26" s="103"/>
      <c r="R26" s="103"/>
      <c r="S26" s="103"/>
      <c r="T26" s="103"/>
      <c r="X26" s="103"/>
      <c r="AC26" s="103"/>
      <c r="AH26" s="103"/>
      <c r="AM26" s="103"/>
      <c r="AT26" s="165"/>
      <c r="AU26" s="165"/>
      <c r="AV26" s="165"/>
      <c r="AW26" s="181" t="e">
        <f t="shared" si="0"/>
        <v>#N/A</v>
      </c>
      <c r="AX26" s="410"/>
    </row>
    <row r="27" spans="2:50">
      <c r="B27" s="419"/>
      <c r="C27" s="181">
        <v>21</v>
      </c>
      <c r="D27" s="181"/>
      <c r="E27" s="181"/>
      <c r="F27" s="181"/>
      <c r="G27" s="181"/>
      <c r="H27" s="410"/>
      <c r="I27" s="181"/>
      <c r="J27" s="181"/>
      <c r="K27" s="181"/>
      <c r="L27" s="410"/>
      <c r="M27" s="165" t="e">
        <f>RANK(K27, K$7:$K$36)</f>
        <v>#N/A</v>
      </c>
      <c r="N27" s="405"/>
      <c r="O27" s="405"/>
      <c r="P27" s="103"/>
      <c r="Q27" s="103"/>
      <c r="R27" s="103"/>
      <c r="S27" s="103"/>
      <c r="T27" s="103"/>
      <c r="X27" s="103"/>
      <c r="AC27" s="103"/>
      <c r="AH27" s="103"/>
      <c r="AM27" s="103"/>
      <c r="AT27" s="181"/>
      <c r="AU27" s="165"/>
      <c r="AV27" s="165"/>
      <c r="AW27" s="181" t="e">
        <f t="shared" si="0"/>
        <v>#N/A</v>
      </c>
      <c r="AX27" s="410"/>
    </row>
    <row r="28" spans="2:50">
      <c r="B28" s="419"/>
      <c r="C28" s="181">
        <v>22</v>
      </c>
      <c r="D28" s="181"/>
      <c r="E28" s="181"/>
      <c r="F28" s="181"/>
      <c r="G28" s="181"/>
      <c r="H28" s="410"/>
      <c r="I28" s="181"/>
      <c r="J28" s="181"/>
      <c r="K28" s="181"/>
      <c r="L28" s="410"/>
      <c r="M28" s="165" t="e">
        <f>RANK(K28, K$7:$K$36)</f>
        <v>#N/A</v>
      </c>
      <c r="N28" s="405"/>
      <c r="O28" s="405"/>
      <c r="P28" s="103"/>
      <c r="Q28" s="103"/>
      <c r="R28" s="103"/>
      <c r="S28" s="103"/>
      <c r="T28" s="103"/>
      <c r="X28" s="103"/>
      <c r="AC28" s="103"/>
      <c r="AH28" s="103"/>
      <c r="AM28" s="103"/>
      <c r="AT28" s="181"/>
      <c r="AU28" s="165"/>
      <c r="AV28" s="165"/>
      <c r="AW28" s="181" t="e">
        <f t="shared" si="0"/>
        <v>#N/A</v>
      </c>
      <c r="AX28" s="410"/>
    </row>
    <row r="29" spans="2:50">
      <c r="B29" s="419"/>
      <c r="C29" s="181">
        <v>23</v>
      </c>
      <c r="D29" s="181"/>
      <c r="E29" s="181"/>
      <c r="F29" s="181"/>
      <c r="G29" s="181"/>
      <c r="H29" s="410"/>
      <c r="I29" s="181"/>
      <c r="J29" s="181"/>
      <c r="K29" s="181"/>
      <c r="L29" s="410"/>
      <c r="M29" s="165" t="e">
        <f>RANK(K29, K$7:$K$36)</f>
        <v>#N/A</v>
      </c>
      <c r="N29" s="405"/>
      <c r="O29" s="405"/>
      <c r="P29" s="103"/>
      <c r="Q29" s="103"/>
      <c r="R29" s="103"/>
      <c r="S29" s="103"/>
      <c r="T29" s="103"/>
      <c r="X29" s="103"/>
      <c r="AC29" s="103"/>
      <c r="AH29" s="103"/>
      <c r="AM29" s="103"/>
      <c r="AT29" s="181"/>
      <c r="AU29" s="165"/>
      <c r="AV29" s="165"/>
      <c r="AW29" s="181" t="e">
        <f t="shared" si="0"/>
        <v>#N/A</v>
      </c>
      <c r="AX29" s="410"/>
    </row>
    <row r="30" spans="2:50">
      <c r="B30" s="419"/>
      <c r="C30" s="181">
        <v>24</v>
      </c>
      <c r="D30" s="181"/>
      <c r="E30" s="181"/>
      <c r="F30" s="181"/>
      <c r="G30" s="181"/>
      <c r="H30" s="410"/>
      <c r="I30" s="181"/>
      <c r="J30" s="181"/>
      <c r="K30" s="181"/>
      <c r="L30" s="410"/>
      <c r="M30" s="165" t="e">
        <f>RANK(K30, K$7:$K$36)</f>
        <v>#N/A</v>
      </c>
      <c r="N30" s="405"/>
      <c r="O30" s="405"/>
      <c r="P30" s="103"/>
      <c r="Q30" s="103"/>
      <c r="R30" s="103"/>
      <c r="S30" s="103"/>
      <c r="T30" s="103"/>
      <c r="X30" s="103"/>
      <c r="AC30" s="103"/>
      <c r="AH30" s="103"/>
      <c r="AM30" s="103"/>
      <c r="AT30" s="181"/>
      <c r="AU30" s="181"/>
      <c r="AV30" s="181"/>
      <c r="AW30" s="181" t="e">
        <f t="shared" si="0"/>
        <v>#N/A</v>
      </c>
      <c r="AX30" s="410"/>
    </row>
    <row r="31" spans="2:50">
      <c r="B31" s="419"/>
      <c r="C31" s="181">
        <v>25</v>
      </c>
      <c r="D31" s="181"/>
      <c r="E31" s="181"/>
      <c r="F31" s="181"/>
      <c r="G31" s="181"/>
      <c r="H31" s="410"/>
      <c r="I31" s="181"/>
      <c r="J31" s="181"/>
      <c r="K31" s="181"/>
      <c r="L31" s="410"/>
      <c r="M31" s="165" t="e">
        <f>RANK(K31, K$7:$K$36)</f>
        <v>#N/A</v>
      </c>
      <c r="N31" s="405"/>
      <c r="O31" s="405"/>
      <c r="P31" s="103"/>
      <c r="Q31" s="103"/>
      <c r="R31" s="103"/>
      <c r="S31" s="103"/>
      <c r="T31" s="103"/>
      <c r="X31" s="103"/>
      <c r="AC31" s="103"/>
      <c r="AH31" s="103"/>
      <c r="AM31" s="103"/>
      <c r="AT31" s="181"/>
      <c r="AU31" s="181"/>
      <c r="AV31" s="181"/>
      <c r="AW31" s="181" t="e">
        <f t="shared" si="0"/>
        <v>#N/A</v>
      </c>
      <c r="AX31" s="410"/>
    </row>
    <row r="32" spans="2:50">
      <c r="B32" s="419"/>
      <c r="C32" s="181">
        <v>26</v>
      </c>
      <c r="D32" s="181"/>
      <c r="E32" s="181"/>
      <c r="F32" s="181"/>
      <c r="G32" s="181"/>
      <c r="H32" s="410"/>
      <c r="I32" s="181"/>
      <c r="J32" s="181"/>
      <c r="K32" s="181"/>
      <c r="L32" s="410"/>
      <c r="M32" s="165" t="e">
        <f>RANK(K32, K$7:$K$36)</f>
        <v>#N/A</v>
      </c>
      <c r="N32" s="405"/>
      <c r="O32" s="405"/>
      <c r="P32" s="103"/>
      <c r="Q32" s="103"/>
      <c r="R32" s="103"/>
      <c r="S32" s="103"/>
      <c r="T32" s="103"/>
      <c r="X32" s="103"/>
      <c r="AC32" s="103"/>
      <c r="AH32" s="103"/>
      <c r="AM32" s="103"/>
      <c r="AT32" s="181"/>
      <c r="AU32" s="181"/>
      <c r="AV32" s="181"/>
      <c r="AW32" s="181" t="e">
        <f t="shared" si="0"/>
        <v>#N/A</v>
      </c>
      <c r="AX32" s="410"/>
    </row>
    <row r="33" spans="2:50">
      <c r="B33" s="419"/>
      <c r="C33" s="181">
        <v>27</v>
      </c>
      <c r="D33" s="181"/>
      <c r="E33" s="181"/>
      <c r="F33" s="181"/>
      <c r="G33" s="181"/>
      <c r="H33" s="410"/>
      <c r="I33" s="181"/>
      <c r="J33" s="181"/>
      <c r="K33" s="181"/>
      <c r="L33" s="410"/>
      <c r="M33" s="165" t="e">
        <f>RANK(K33, K$7:$K$36)</f>
        <v>#N/A</v>
      </c>
      <c r="N33" s="405"/>
      <c r="O33" s="405"/>
      <c r="P33" s="103"/>
      <c r="Q33" s="103"/>
      <c r="R33" s="103"/>
      <c r="S33" s="103"/>
      <c r="T33" s="103"/>
      <c r="X33" s="103"/>
      <c r="AC33" s="103"/>
      <c r="AH33" s="103"/>
      <c r="AM33" s="103"/>
      <c r="AT33" s="181"/>
      <c r="AU33" s="181"/>
      <c r="AV33" s="181"/>
      <c r="AW33" s="181" t="e">
        <f t="shared" si="0"/>
        <v>#N/A</v>
      </c>
      <c r="AX33" s="410"/>
    </row>
    <row r="34" spans="2:50">
      <c r="B34" s="419"/>
      <c r="C34" s="181">
        <v>28</v>
      </c>
      <c r="D34" s="181"/>
      <c r="E34" s="181"/>
      <c r="F34" s="181"/>
      <c r="G34" s="181"/>
      <c r="H34" s="410"/>
      <c r="I34" s="181"/>
      <c r="J34" s="181"/>
      <c r="K34" s="181"/>
      <c r="L34" s="410"/>
      <c r="M34" s="165" t="e">
        <f>RANK(K34, K$7:$K$36)</f>
        <v>#N/A</v>
      </c>
      <c r="N34" s="405"/>
      <c r="O34" s="405"/>
      <c r="P34" s="103"/>
      <c r="Q34" s="103"/>
      <c r="R34" s="103"/>
      <c r="S34" s="103"/>
      <c r="T34" s="103"/>
      <c r="X34" s="103"/>
      <c r="AC34" s="103"/>
      <c r="AH34" s="103"/>
      <c r="AM34" s="103"/>
      <c r="AT34" s="181"/>
      <c r="AU34" s="181"/>
      <c r="AV34" s="181"/>
      <c r="AW34" s="181" t="e">
        <f t="shared" si="0"/>
        <v>#N/A</v>
      </c>
      <c r="AX34" s="410"/>
    </row>
    <row r="35" spans="2:50">
      <c r="B35" s="419"/>
      <c r="C35" s="181">
        <v>29</v>
      </c>
      <c r="D35" s="181"/>
      <c r="E35" s="181"/>
      <c r="F35" s="181"/>
      <c r="G35" s="181"/>
      <c r="H35" s="410"/>
      <c r="I35" s="181"/>
      <c r="J35" s="181"/>
      <c r="K35" s="181"/>
      <c r="L35" s="410"/>
      <c r="M35" s="165" t="e">
        <f>RANK(K35, K$7:$K$36)</f>
        <v>#N/A</v>
      </c>
      <c r="N35" s="405"/>
      <c r="O35" s="405"/>
      <c r="P35" s="103"/>
      <c r="Q35" s="103"/>
      <c r="R35" s="103"/>
      <c r="S35" s="103"/>
      <c r="T35" s="103"/>
      <c r="X35" s="103"/>
      <c r="AC35" s="103"/>
      <c r="AH35" s="103"/>
      <c r="AM35" s="103"/>
      <c r="AT35" s="181"/>
      <c r="AU35" s="181"/>
      <c r="AV35" s="181"/>
      <c r="AW35" s="181" t="e">
        <f t="shared" si="0"/>
        <v>#N/A</v>
      </c>
      <c r="AX35" s="410"/>
    </row>
    <row r="36" spans="2:50">
      <c r="B36" s="420"/>
      <c r="C36" s="181">
        <v>30</v>
      </c>
      <c r="D36" s="181"/>
      <c r="E36" s="181"/>
      <c r="F36" s="181"/>
      <c r="G36" s="181"/>
      <c r="H36" s="411"/>
      <c r="I36" s="181"/>
      <c r="J36" s="181"/>
      <c r="K36" s="181"/>
      <c r="L36" s="411"/>
      <c r="M36" s="165" t="e">
        <f>RANK(K36, K$7:$K$36)</f>
        <v>#N/A</v>
      </c>
      <c r="N36" s="398"/>
      <c r="O36" s="398"/>
      <c r="P36" s="103"/>
      <c r="Q36" s="103"/>
      <c r="R36" s="103"/>
      <c r="S36" s="103"/>
      <c r="T36" s="103"/>
      <c r="X36" s="103"/>
      <c r="AC36" s="103"/>
      <c r="AH36" s="103"/>
      <c r="AM36" s="103"/>
      <c r="AT36" s="181"/>
      <c r="AU36" s="181"/>
      <c r="AV36" s="181"/>
      <c r="AW36" s="181" t="e">
        <f t="shared" si="0"/>
        <v>#N/A</v>
      </c>
      <c r="AX36" s="411"/>
    </row>
    <row r="37" spans="2:50" ht="15.75">
      <c r="B37" s="424" t="s">
        <v>187</v>
      </c>
      <c r="C37" s="425"/>
      <c r="D37" s="425"/>
      <c r="E37" s="425"/>
      <c r="F37" s="425"/>
      <c r="G37" s="425"/>
      <c r="H37" s="425"/>
      <c r="I37" s="182"/>
      <c r="J37" s="182"/>
      <c r="K37" s="182"/>
      <c r="L37" s="182"/>
      <c r="M37" s="177"/>
      <c r="N37" s="397" t="s">
        <v>188</v>
      </c>
      <c r="O37" s="397" t="s">
        <v>135</v>
      </c>
      <c r="P37" s="415">
        <f>AT2+1</f>
        <v>45902</v>
      </c>
      <c r="Q37" s="416"/>
      <c r="R37" s="416"/>
      <c r="S37" s="416"/>
      <c r="T37" s="416"/>
      <c r="U37" s="399">
        <f>P37+1</f>
        <v>45903</v>
      </c>
      <c r="V37" s="400"/>
      <c r="W37" s="400"/>
      <c r="X37" s="400"/>
      <c r="Y37" s="400"/>
      <c r="Z37" s="399">
        <f>U37+1</f>
        <v>45904</v>
      </c>
      <c r="AA37" s="400"/>
      <c r="AB37" s="400"/>
      <c r="AC37" s="400"/>
      <c r="AD37" s="400"/>
      <c r="AE37" s="399">
        <f>Z37+1</f>
        <v>45905</v>
      </c>
      <c r="AF37" s="400"/>
      <c r="AG37" s="400"/>
      <c r="AH37" s="400"/>
      <c r="AI37" s="400"/>
      <c r="AJ37" s="399">
        <f>AE37+1</f>
        <v>45906</v>
      </c>
      <c r="AK37" s="400"/>
      <c r="AL37" s="400"/>
      <c r="AM37" s="400"/>
      <c r="AN37" s="400"/>
      <c r="AO37" s="399">
        <f>AJ37+1</f>
        <v>45907</v>
      </c>
      <c r="AP37" s="400"/>
      <c r="AQ37" s="400"/>
      <c r="AR37" s="400"/>
      <c r="AS37" s="400"/>
      <c r="AT37" s="399">
        <f>AO37+1</f>
        <v>45908</v>
      </c>
      <c r="AU37" s="400"/>
      <c r="AV37" s="400"/>
      <c r="AW37" s="400"/>
      <c r="AX37" s="400"/>
    </row>
    <row r="38" spans="2:50" ht="15.75">
      <c r="B38" s="396"/>
      <c r="C38" s="396"/>
      <c r="D38" s="396"/>
      <c r="E38" s="396"/>
      <c r="F38" s="396"/>
      <c r="G38" s="396"/>
      <c r="H38" s="396"/>
      <c r="I38" s="183"/>
      <c r="J38" s="183"/>
      <c r="K38" s="183"/>
      <c r="L38" s="183"/>
      <c r="M38" s="178"/>
      <c r="N38" s="398"/>
      <c r="O38" s="398"/>
      <c r="P38" s="399" t="s">
        <v>223</v>
      </c>
      <c r="Q38" s="400"/>
      <c r="R38" s="400"/>
      <c r="S38" s="400"/>
      <c r="T38" s="400"/>
      <c r="U38" s="399" t="s">
        <v>224</v>
      </c>
      <c r="V38" s="400"/>
      <c r="W38" s="400"/>
      <c r="X38" s="400"/>
      <c r="Y38" s="400"/>
      <c r="Z38" s="399" t="s">
        <v>225</v>
      </c>
      <c r="AA38" s="400"/>
      <c r="AB38" s="400"/>
      <c r="AC38" s="400"/>
      <c r="AD38" s="400"/>
      <c r="AE38" s="399" t="s">
        <v>226</v>
      </c>
      <c r="AF38" s="400"/>
      <c r="AG38" s="400"/>
      <c r="AH38" s="400"/>
      <c r="AI38" s="400"/>
      <c r="AJ38" s="399" t="s">
        <v>227</v>
      </c>
      <c r="AK38" s="400"/>
      <c r="AL38" s="400"/>
      <c r="AM38" s="400"/>
      <c r="AN38" s="400"/>
      <c r="AO38" s="399" t="s">
        <v>142</v>
      </c>
      <c r="AP38" s="400"/>
      <c r="AQ38" s="400"/>
      <c r="AR38" s="400"/>
      <c r="AS38" s="400"/>
      <c r="AT38" s="399" t="s">
        <v>189</v>
      </c>
      <c r="AU38" s="400"/>
      <c r="AV38" s="400"/>
      <c r="AW38" s="400"/>
      <c r="AX38" s="400"/>
    </row>
    <row r="39" spans="2:50">
      <c r="B39" s="397" t="s">
        <v>190</v>
      </c>
      <c r="C39" s="402" t="s">
        <v>191</v>
      </c>
      <c r="D39" s="421"/>
      <c r="E39" s="406" t="s">
        <v>192</v>
      </c>
      <c r="F39" s="407"/>
      <c r="G39" s="408"/>
      <c r="H39" s="397" t="s">
        <v>193</v>
      </c>
      <c r="I39" s="406" t="s">
        <v>194</v>
      </c>
      <c r="J39" s="407"/>
      <c r="K39" s="408"/>
      <c r="L39" s="397" t="s">
        <v>193</v>
      </c>
      <c r="M39" s="397" t="s">
        <v>195</v>
      </c>
      <c r="N39" s="397"/>
      <c r="O39" s="397" t="s">
        <v>196</v>
      </c>
      <c r="P39" s="406" t="s">
        <v>197</v>
      </c>
      <c r="Q39" s="407"/>
      <c r="R39" s="407"/>
      <c r="S39" s="408"/>
      <c r="T39" s="397" t="s">
        <v>193</v>
      </c>
      <c r="U39" s="406" t="s">
        <v>197</v>
      </c>
      <c r="V39" s="407"/>
      <c r="W39" s="407"/>
      <c r="X39" s="408"/>
      <c r="Y39" s="397" t="s">
        <v>193</v>
      </c>
      <c r="Z39" s="406" t="s">
        <v>197</v>
      </c>
      <c r="AA39" s="407"/>
      <c r="AB39" s="407"/>
      <c r="AC39" s="408"/>
      <c r="AD39" s="397" t="s">
        <v>193</v>
      </c>
      <c r="AE39" s="406" t="s">
        <v>197</v>
      </c>
      <c r="AF39" s="407"/>
      <c r="AG39" s="407"/>
      <c r="AH39" s="408"/>
      <c r="AI39" s="397" t="s">
        <v>193</v>
      </c>
      <c r="AJ39" s="406" t="s">
        <v>197</v>
      </c>
      <c r="AK39" s="407"/>
      <c r="AL39" s="407"/>
      <c r="AM39" s="408"/>
      <c r="AN39" s="397" t="s">
        <v>193</v>
      </c>
      <c r="AO39" s="406" t="s">
        <v>197</v>
      </c>
      <c r="AP39" s="407"/>
      <c r="AQ39" s="407"/>
      <c r="AR39" s="408"/>
      <c r="AS39" s="397" t="s">
        <v>193</v>
      </c>
      <c r="AT39" s="406" t="s">
        <v>197</v>
      </c>
      <c r="AU39" s="407"/>
      <c r="AV39" s="407"/>
      <c r="AW39" s="408"/>
      <c r="AX39" s="397" t="s">
        <v>193</v>
      </c>
    </row>
    <row r="40" spans="2:50">
      <c r="B40" s="405"/>
      <c r="C40" s="403"/>
      <c r="D40" s="422"/>
      <c r="E40" s="406" t="s">
        <v>198</v>
      </c>
      <c r="F40" s="407"/>
      <c r="G40" s="408"/>
      <c r="H40" s="405"/>
      <c r="I40" s="406" t="s">
        <v>198</v>
      </c>
      <c r="J40" s="407"/>
      <c r="K40" s="408"/>
      <c r="L40" s="405"/>
      <c r="M40" s="405"/>
      <c r="N40" s="405"/>
      <c r="O40" s="405"/>
      <c r="P40" s="406" t="s">
        <v>199</v>
      </c>
      <c r="Q40" s="407"/>
      <c r="R40" s="407"/>
      <c r="S40" s="408"/>
      <c r="T40" s="405"/>
      <c r="U40" s="406" t="s">
        <v>199</v>
      </c>
      <c r="V40" s="407"/>
      <c r="W40" s="407"/>
      <c r="X40" s="408"/>
      <c r="Y40" s="405"/>
      <c r="Z40" s="406" t="s">
        <v>199</v>
      </c>
      <c r="AA40" s="407"/>
      <c r="AB40" s="407"/>
      <c r="AC40" s="408"/>
      <c r="AD40" s="405"/>
      <c r="AE40" s="406" t="s">
        <v>199</v>
      </c>
      <c r="AF40" s="407"/>
      <c r="AG40" s="407"/>
      <c r="AH40" s="408"/>
      <c r="AI40" s="405"/>
      <c r="AJ40" s="406" t="s">
        <v>199</v>
      </c>
      <c r="AK40" s="407"/>
      <c r="AL40" s="407"/>
      <c r="AM40" s="408"/>
      <c r="AN40" s="405"/>
      <c r="AO40" s="406" t="s">
        <v>199</v>
      </c>
      <c r="AP40" s="407"/>
      <c r="AQ40" s="407"/>
      <c r="AR40" s="408"/>
      <c r="AS40" s="405"/>
      <c r="AT40" s="406" t="s">
        <v>199</v>
      </c>
      <c r="AU40" s="407"/>
      <c r="AV40" s="407"/>
      <c r="AW40" s="408"/>
      <c r="AX40" s="405"/>
    </row>
    <row r="41" spans="2:50">
      <c r="B41" s="398"/>
      <c r="C41" s="404"/>
      <c r="D41" s="423"/>
      <c r="E41" s="234" t="s">
        <v>200</v>
      </c>
      <c r="F41" s="234" t="s">
        <v>201</v>
      </c>
      <c r="G41" s="234" t="s">
        <v>202</v>
      </c>
      <c r="H41" s="398"/>
      <c r="I41" s="234" t="s">
        <v>200</v>
      </c>
      <c r="J41" s="234" t="s">
        <v>201</v>
      </c>
      <c r="K41" s="234" t="s">
        <v>202</v>
      </c>
      <c r="L41" s="398"/>
      <c r="M41" s="398"/>
      <c r="N41" s="405"/>
      <c r="O41" s="405"/>
      <c r="P41" s="234" t="s">
        <v>200</v>
      </c>
      <c r="Q41" s="234" t="s">
        <v>201</v>
      </c>
      <c r="R41" s="234" t="s">
        <v>202</v>
      </c>
      <c r="S41" s="234" t="s">
        <v>195</v>
      </c>
      <c r="T41" s="398"/>
      <c r="U41" s="234" t="s">
        <v>200</v>
      </c>
      <c r="V41" s="234" t="s">
        <v>201</v>
      </c>
      <c r="W41" s="234" t="s">
        <v>202</v>
      </c>
      <c r="X41" s="234" t="s">
        <v>195</v>
      </c>
      <c r="Y41" s="398"/>
      <c r="Z41" s="234" t="s">
        <v>200</v>
      </c>
      <c r="AA41" s="234" t="s">
        <v>201</v>
      </c>
      <c r="AB41" s="234" t="s">
        <v>202</v>
      </c>
      <c r="AC41" s="234" t="s">
        <v>195</v>
      </c>
      <c r="AD41" s="398"/>
      <c r="AE41" s="234" t="s">
        <v>200</v>
      </c>
      <c r="AF41" s="234" t="s">
        <v>201</v>
      </c>
      <c r="AG41" s="234" t="s">
        <v>202</v>
      </c>
      <c r="AH41" s="234" t="s">
        <v>195</v>
      </c>
      <c r="AI41" s="398"/>
      <c r="AJ41" s="234" t="s">
        <v>200</v>
      </c>
      <c r="AK41" s="234" t="s">
        <v>201</v>
      </c>
      <c r="AL41" s="234" t="s">
        <v>202</v>
      </c>
      <c r="AM41" s="234" t="s">
        <v>195</v>
      </c>
      <c r="AN41" s="398"/>
      <c r="AO41" s="234" t="s">
        <v>200</v>
      </c>
      <c r="AP41" s="234" t="s">
        <v>201</v>
      </c>
      <c r="AQ41" s="234" t="s">
        <v>202</v>
      </c>
      <c r="AR41" s="234" t="s">
        <v>195</v>
      </c>
      <c r="AS41" s="398"/>
      <c r="AT41" s="234" t="s">
        <v>200</v>
      </c>
      <c r="AU41" s="234" t="s">
        <v>201</v>
      </c>
      <c r="AV41" s="234" t="s">
        <v>202</v>
      </c>
      <c r="AW41" s="234" t="s">
        <v>195</v>
      </c>
      <c r="AX41" s="398"/>
    </row>
    <row r="42" spans="2:50">
      <c r="B42" s="418" t="s">
        <v>203</v>
      </c>
      <c r="C42" s="181">
        <v>1</v>
      </c>
      <c r="D42" s="181" t="s">
        <v>204</v>
      </c>
      <c r="E42" s="181">
        <v>4</v>
      </c>
      <c r="F42" s="181">
        <v>2035.3333333333335</v>
      </c>
      <c r="G42" s="181">
        <v>508.83333333333337</v>
      </c>
      <c r="H42" s="409">
        <f>AVERAGE(G42:G71)</f>
        <v>718.32622372107824</v>
      </c>
      <c r="I42" s="165">
        <f>AVERAGE(P42,U42,Z42,AE42,AJ42,AO42,AT42)</f>
        <v>4</v>
      </c>
      <c r="J42" s="165">
        <f>AVERAGE(Q42,V42,AA42,AF42,AK42,AP42,AU42)</f>
        <v>2001.3916830117901</v>
      </c>
      <c r="K42" s="179">
        <f>AVERAGE(R42,W42,AB42,AG42,AL42,AQ42,AV42)</f>
        <v>500.34792075294752</v>
      </c>
      <c r="L42" s="409">
        <f>IFERROR(AVERAGE(K42:K71),"-")</f>
        <v>714.86008071568097</v>
      </c>
      <c r="M42" s="165">
        <f>RANK(K42, K$42:$K$71)</f>
        <v>19</v>
      </c>
      <c r="N42" s="405"/>
      <c r="O42" s="405"/>
      <c r="P42" s="165">
        <v>4</v>
      </c>
      <c r="Q42" s="165">
        <v>2035.3333333333335</v>
      </c>
      <c r="R42" s="165">
        <v>508.83333333333337</v>
      </c>
      <c r="S42" s="181">
        <f t="shared" ref="S42:S71" si="4">RANK(R42, R$42:R$71)</f>
        <v>19</v>
      </c>
      <c r="T42" s="409">
        <f>AVERAGE(R42:R71)</f>
        <v>718.32622372107824</v>
      </c>
      <c r="U42" s="165">
        <v>4</v>
      </c>
      <c r="V42" s="165">
        <v>1987.9120879120878</v>
      </c>
      <c r="W42" s="165">
        <v>496.97802197802196</v>
      </c>
      <c r="X42" s="181">
        <f t="shared" ref="X42:X71" si="5">RANK(W42, W$42:W$71)</f>
        <v>19</v>
      </c>
      <c r="Y42" s="409">
        <f>AVERAGE(W42:W71)</f>
        <v>716.20475160040178</v>
      </c>
      <c r="Z42" s="165">
        <v>4</v>
      </c>
      <c r="AA42" s="165">
        <v>1990.2272727272727</v>
      </c>
      <c r="AB42" s="165">
        <v>497.55681818181819</v>
      </c>
      <c r="AC42" s="181">
        <f t="shared" ref="AC42:AC71" si="6">RANK(AB42, AB$42:AB$71)</f>
        <v>19</v>
      </c>
      <c r="AD42" s="409">
        <f>AVERAGE(AB42:AB71)</f>
        <v>711.78102334606865</v>
      </c>
      <c r="AE42" s="165">
        <v>4</v>
      </c>
      <c r="AF42" s="165">
        <v>2006.9230769230783</v>
      </c>
      <c r="AG42" s="165">
        <v>501.73076923076957</v>
      </c>
      <c r="AH42" s="181">
        <f t="shared" ref="AH42:AH71" si="7">RANK(AG42, AG$42:AG$71)</f>
        <v>19</v>
      </c>
      <c r="AI42" s="409">
        <f>AVERAGE(AG42:AG71)</f>
        <v>717.64349311816341</v>
      </c>
      <c r="AJ42" s="165">
        <v>4</v>
      </c>
      <c r="AK42" s="165">
        <v>1987.2000000000007</v>
      </c>
      <c r="AL42" s="165">
        <v>496.80000000000018</v>
      </c>
      <c r="AM42" s="181">
        <f t="shared" ref="AM42:AM71" si="8">RANK(AL42, AL$42:AL$71)</f>
        <v>19</v>
      </c>
      <c r="AN42" s="409">
        <f>AVERAGE(AL42:AL71)</f>
        <v>708.82648768213858</v>
      </c>
      <c r="AO42" s="165">
        <v>4</v>
      </c>
      <c r="AP42" s="165">
        <v>2000.21052631579</v>
      </c>
      <c r="AQ42" s="165">
        <v>500.05263157894751</v>
      </c>
      <c r="AR42" s="181">
        <f t="shared" ref="AR42:AR71" si="9">RANK(AQ42, AQ$42:AQ$71)</f>
        <v>19</v>
      </c>
      <c r="AS42" s="409">
        <f>AVERAGE(AQ42:AQ71)</f>
        <v>716.67450378159378</v>
      </c>
      <c r="AT42" s="165">
        <v>4</v>
      </c>
      <c r="AU42" s="165">
        <v>2001.9354838709683</v>
      </c>
      <c r="AV42" s="165">
        <v>500.48387096774206</v>
      </c>
      <c r="AW42" s="181">
        <f t="shared" ref="AW42:AW71" si="10">RANK(AV42, AV$42:AV$71)</f>
        <v>19</v>
      </c>
      <c r="AX42" s="409">
        <f>AVERAGE(AV42:AV71)</f>
        <v>714.56408176032346</v>
      </c>
    </row>
    <row r="43" spans="2:50">
      <c r="B43" s="419"/>
      <c r="C43" s="181">
        <v>2</v>
      </c>
      <c r="D43" s="181" t="s">
        <v>205</v>
      </c>
      <c r="E43" s="181">
        <v>3</v>
      </c>
      <c r="F43" s="181">
        <v>2665.945945945944</v>
      </c>
      <c r="G43" s="181">
        <v>888.64864864864796</v>
      </c>
      <c r="H43" s="410"/>
      <c r="I43" s="165">
        <f t="shared" ref="I43:I60" si="11">AVERAGE(P43,U43,Z43,AE43,AJ43,AO43,AT43)</f>
        <v>3</v>
      </c>
      <c r="J43" s="165">
        <f t="shared" ref="J43:J60" si="12">AVERAGE(Q43,V43,AA43,AF43,AK43,AP43,AU43)</f>
        <v>2701.1139334823538</v>
      </c>
      <c r="K43" s="179">
        <f t="shared" ref="K43:K60" si="13">AVERAGE(R43,W43,AB43,AG43,AL43,AQ43,AV43)</f>
        <v>900.37131116078456</v>
      </c>
      <c r="L43" s="410"/>
      <c r="M43" s="165">
        <f>RANK(K43, K$42:$K$71)</f>
        <v>2</v>
      </c>
      <c r="N43" s="405"/>
      <c r="O43" s="405"/>
      <c r="P43" s="165">
        <v>3</v>
      </c>
      <c r="Q43" s="165">
        <v>2665.945945945944</v>
      </c>
      <c r="R43" s="165">
        <v>888.64864864864796</v>
      </c>
      <c r="S43" s="181">
        <f t="shared" si="4"/>
        <v>3</v>
      </c>
      <c r="T43" s="410"/>
      <c r="U43" s="165">
        <v>3</v>
      </c>
      <c r="V43" s="165">
        <v>2695.0000000000009</v>
      </c>
      <c r="W43" s="165">
        <v>898.3333333333336</v>
      </c>
      <c r="X43" s="181">
        <f t="shared" si="5"/>
        <v>2</v>
      </c>
      <c r="Y43" s="410"/>
      <c r="Z43" s="165">
        <v>3</v>
      </c>
      <c r="AA43" s="165">
        <v>2656.666666666667</v>
      </c>
      <c r="AB43" s="165">
        <v>885.55555555555566</v>
      </c>
      <c r="AC43" s="181">
        <f t="shared" si="6"/>
        <v>3</v>
      </c>
      <c r="AD43" s="410"/>
      <c r="AE43" s="165">
        <v>3</v>
      </c>
      <c r="AF43" s="165">
        <v>2759.9999999999986</v>
      </c>
      <c r="AG43" s="165">
        <v>919.99999999999955</v>
      </c>
      <c r="AH43" s="181">
        <f t="shared" si="7"/>
        <v>2</v>
      </c>
      <c r="AI43" s="410"/>
      <c r="AJ43" s="165">
        <v>3</v>
      </c>
      <c r="AK43" s="165">
        <v>2769.9999999999986</v>
      </c>
      <c r="AL43" s="165">
        <v>923.33333333333292</v>
      </c>
      <c r="AM43" s="181">
        <f t="shared" si="8"/>
        <v>2</v>
      </c>
      <c r="AN43" s="410"/>
      <c r="AO43" s="165">
        <v>3</v>
      </c>
      <c r="AP43" s="165">
        <v>2673.157894736843</v>
      </c>
      <c r="AQ43" s="165">
        <v>891.05263157894763</v>
      </c>
      <c r="AR43" s="181">
        <f t="shared" si="9"/>
        <v>3</v>
      </c>
      <c r="AS43" s="410"/>
      <c r="AT43" s="165">
        <v>3</v>
      </c>
      <c r="AU43" s="165">
        <v>2687.0270270270248</v>
      </c>
      <c r="AV43" s="165">
        <v>895.67567567567494</v>
      </c>
      <c r="AW43" s="181">
        <f t="shared" si="10"/>
        <v>2</v>
      </c>
      <c r="AX43" s="410"/>
    </row>
    <row r="44" spans="2:50">
      <c r="B44" s="419"/>
      <c r="C44" s="181">
        <v>3</v>
      </c>
      <c r="D44" s="181" t="s">
        <v>206</v>
      </c>
      <c r="E44" s="181">
        <v>4</v>
      </c>
      <c r="F44" s="181">
        <v>2945.6250000000036</v>
      </c>
      <c r="G44" s="181">
        <v>736.40625000000091</v>
      </c>
      <c r="H44" s="410"/>
      <c r="I44" s="165">
        <f t="shared" si="11"/>
        <v>4</v>
      </c>
      <c r="J44" s="165">
        <f t="shared" si="12"/>
        <v>2940.6100202449802</v>
      </c>
      <c r="K44" s="179">
        <f t="shared" si="13"/>
        <v>735.15250506124505</v>
      </c>
      <c r="L44" s="410"/>
      <c r="M44" s="165">
        <f>RANK(K44, K$42:$K$71)</f>
        <v>9</v>
      </c>
      <c r="N44" s="405"/>
      <c r="O44" s="405"/>
      <c r="P44" s="165">
        <v>4</v>
      </c>
      <c r="Q44" s="165">
        <v>2945.6250000000036</v>
      </c>
      <c r="R44" s="165">
        <v>736.40625000000091</v>
      </c>
      <c r="S44" s="181">
        <f t="shared" si="4"/>
        <v>9</v>
      </c>
      <c r="T44" s="410"/>
      <c r="U44" s="165">
        <v>4</v>
      </c>
      <c r="V44" s="165">
        <v>2960.6896551724158</v>
      </c>
      <c r="W44" s="165">
        <v>740.17241379310394</v>
      </c>
      <c r="X44" s="181">
        <f t="shared" si="5"/>
        <v>9</v>
      </c>
      <c r="Y44" s="410"/>
      <c r="Z44" s="165">
        <v>4</v>
      </c>
      <c r="AA44" s="165">
        <v>2926.6666666666683</v>
      </c>
      <c r="AB44" s="165">
        <v>731.66666666666708</v>
      </c>
      <c r="AC44" s="181">
        <f t="shared" si="6"/>
        <v>9</v>
      </c>
      <c r="AD44" s="410"/>
      <c r="AE44" s="165">
        <v>4</v>
      </c>
      <c r="AF44" s="165">
        <v>3002.4999999999955</v>
      </c>
      <c r="AG44" s="165">
        <v>750.62499999999886</v>
      </c>
      <c r="AH44" s="181">
        <f t="shared" si="7"/>
        <v>7</v>
      </c>
      <c r="AI44" s="410"/>
      <c r="AJ44" s="165">
        <v>4</v>
      </c>
      <c r="AK44" s="165">
        <v>2885.217391304343</v>
      </c>
      <c r="AL44" s="165">
        <v>721.30434782608575</v>
      </c>
      <c r="AM44" s="181">
        <f t="shared" si="8"/>
        <v>9</v>
      </c>
      <c r="AN44" s="410"/>
      <c r="AO44" s="165">
        <v>4</v>
      </c>
      <c r="AP44" s="165">
        <v>2930.0000000000027</v>
      </c>
      <c r="AQ44" s="165">
        <v>732.50000000000068</v>
      </c>
      <c r="AR44" s="181">
        <f t="shared" si="9"/>
        <v>9</v>
      </c>
      <c r="AS44" s="410"/>
      <c r="AT44" s="165">
        <v>4</v>
      </c>
      <c r="AU44" s="165">
        <v>2933.5714285714307</v>
      </c>
      <c r="AV44" s="165">
        <v>733.39285714285768</v>
      </c>
      <c r="AW44" s="181">
        <f t="shared" si="10"/>
        <v>9</v>
      </c>
      <c r="AX44" s="410"/>
    </row>
    <row r="45" spans="2:50">
      <c r="B45" s="419"/>
      <c r="C45" s="181">
        <v>4</v>
      </c>
      <c r="D45" s="181" t="s">
        <v>207</v>
      </c>
      <c r="E45" s="181">
        <v>4</v>
      </c>
      <c r="F45" s="181">
        <v>3002.9999999999986</v>
      </c>
      <c r="G45" s="181">
        <v>750.74999999999966</v>
      </c>
      <c r="H45" s="410"/>
      <c r="I45" s="165">
        <f t="shared" si="11"/>
        <v>4</v>
      </c>
      <c r="J45" s="165">
        <f t="shared" si="12"/>
        <v>2960.6684906985274</v>
      </c>
      <c r="K45" s="179">
        <f t="shared" si="13"/>
        <v>740.16712267463186</v>
      </c>
      <c r="L45" s="410"/>
      <c r="M45" s="165">
        <f>RANK(K45, K$42:$K$71)</f>
        <v>8</v>
      </c>
      <c r="N45" s="405"/>
      <c r="O45" s="405"/>
      <c r="P45" s="165">
        <v>4</v>
      </c>
      <c r="Q45" s="165">
        <v>3002.9999999999986</v>
      </c>
      <c r="R45" s="165">
        <v>750.74999999999966</v>
      </c>
      <c r="S45" s="181">
        <f t="shared" si="4"/>
        <v>7</v>
      </c>
      <c r="T45" s="410"/>
      <c r="U45" s="165">
        <v>4</v>
      </c>
      <c r="V45" s="165">
        <v>3000.0000000000023</v>
      </c>
      <c r="W45" s="165">
        <v>750.00000000000057</v>
      </c>
      <c r="X45" s="181">
        <f t="shared" si="5"/>
        <v>8</v>
      </c>
      <c r="Y45" s="410"/>
      <c r="Z45" s="165">
        <v>4</v>
      </c>
      <c r="AA45" s="165">
        <v>2964.4444444444462</v>
      </c>
      <c r="AB45" s="165">
        <v>741.11111111111154</v>
      </c>
      <c r="AC45" s="181">
        <f t="shared" si="6"/>
        <v>8</v>
      </c>
      <c r="AD45" s="410"/>
      <c r="AE45" s="165">
        <v>4</v>
      </c>
      <c r="AF45" s="165">
        <v>2929.6551724138035</v>
      </c>
      <c r="AG45" s="165">
        <v>732.41379310345087</v>
      </c>
      <c r="AH45" s="181">
        <f t="shared" si="7"/>
        <v>9</v>
      </c>
      <c r="AI45" s="410"/>
      <c r="AJ45" s="165">
        <v>4</v>
      </c>
      <c r="AK45" s="165">
        <v>2898.4615384615486</v>
      </c>
      <c r="AL45" s="165">
        <v>724.61538461538714</v>
      </c>
      <c r="AM45" s="181">
        <f t="shared" si="8"/>
        <v>8</v>
      </c>
      <c r="AN45" s="410"/>
      <c r="AO45" s="165">
        <v>4</v>
      </c>
      <c r="AP45" s="165">
        <v>3002.6666666666665</v>
      </c>
      <c r="AQ45" s="165">
        <v>750.66666666666663</v>
      </c>
      <c r="AR45" s="181">
        <f t="shared" si="9"/>
        <v>7</v>
      </c>
      <c r="AS45" s="410"/>
      <c r="AT45" s="165">
        <v>4</v>
      </c>
      <c r="AU45" s="165">
        <v>2926.4516129032281</v>
      </c>
      <c r="AV45" s="165">
        <v>731.61290322580703</v>
      </c>
      <c r="AW45" s="181">
        <f t="shared" si="10"/>
        <v>10</v>
      </c>
      <c r="AX45" s="410"/>
    </row>
    <row r="46" spans="2:50">
      <c r="B46" s="419"/>
      <c r="C46" s="181">
        <v>5</v>
      </c>
      <c r="D46" s="181" t="s">
        <v>208</v>
      </c>
      <c r="E46" s="181">
        <v>4</v>
      </c>
      <c r="F46" s="181">
        <v>3001.0000000000027</v>
      </c>
      <c r="G46" s="181">
        <v>750.25000000000068</v>
      </c>
      <c r="H46" s="410"/>
      <c r="I46" s="165">
        <f t="shared" si="11"/>
        <v>4</v>
      </c>
      <c r="J46" s="165">
        <f t="shared" si="12"/>
        <v>2974.1787172011668</v>
      </c>
      <c r="K46" s="179">
        <f t="shared" si="13"/>
        <v>743.5446793002917</v>
      </c>
      <c r="L46" s="410"/>
      <c r="M46" s="165">
        <f>RANK(K46, K$42:$K$71)</f>
        <v>7</v>
      </c>
      <c r="N46" s="405"/>
      <c r="O46" s="405"/>
      <c r="P46" s="165">
        <v>4</v>
      </c>
      <c r="Q46" s="165">
        <v>3001.0000000000027</v>
      </c>
      <c r="R46" s="165">
        <v>750.25000000000068</v>
      </c>
      <c r="S46" s="181">
        <f t="shared" si="4"/>
        <v>8</v>
      </c>
      <c r="T46" s="410"/>
      <c r="U46" s="165">
        <v>4</v>
      </c>
      <c r="V46" s="165">
        <v>3007.4999999999977</v>
      </c>
      <c r="W46" s="165">
        <v>751.87499999999943</v>
      </c>
      <c r="X46" s="181">
        <f t="shared" si="5"/>
        <v>7</v>
      </c>
      <c r="Y46" s="410"/>
      <c r="Z46" s="165">
        <v>4</v>
      </c>
      <c r="AA46" s="165">
        <v>2979.6000000000031</v>
      </c>
      <c r="AB46" s="165">
        <v>744.90000000000077</v>
      </c>
      <c r="AC46" s="181">
        <f t="shared" si="6"/>
        <v>7</v>
      </c>
      <c r="AD46" s="410"/>
      <c r="AE46" s="165">
        <v>4</v>
      </c>
      <c r="AF46" s="165">
        <v>2944.2857142857133</v>
      </c>
      <c r="AG46" s="165">
        <v>736.07142857142833</v>
      </c>
      <c r="AH46" s="181">
        <f t="shared" si="7"/>
        <v>8</v>
      </c>
      <c r="AI46" s="410"/>
      <c r="AJ46" s="165">
        <v>4</v>
      </c>
      <c r="AK46" s="165">
        <v>2932.8571428571418</v>
      </c>
      <c r="AL46" s="165">
        <v>733.21428571428544</v>
      </c>
      <c r="AM46" s="181">
        <f t="shared" si="8"/>
        <v>7</v>
      </c>
      <c r="AN46" s="410"/>
      <c r="AO46" s="165">
        <v>4</v>
      </c>
      <c r="AP46" s="165">
        <v>2973.6000000000008</v>
      </c>
      <c r="AQ46" s="165">
        <v>743.4000000000002</v>
      </c>
      <c r="AR46" s="181">
        <f t="shared" si="9"/>
        <v>8</v>
      </c>
      <c r="AS46" s="410"/>
      <c r="AT46" s="165">
        <v>4</v>
      </c>
      <c r="AU46" s="165">
        <v>2980.4081632653069</v>
      </c>
      <c r="AV46" s="165">
        <v>745.10204081632673</v>
      </c>
      <c r="AW46" s="181">
        <f t="shared" si="10"/>
        <v>8</v>
      </c>
      <c r="AX46" s="410"/>
    </row>
    <row r="47" spans="2:50">
      <c r="B47" s="419"/>
      <c r="C47" s="181">
        <v>6</v>
      </c>
      <c r="D47" s="181" t="s">
        <v>209</v>
      </c>
      <c r="E47" s="181">
        <v>3</v>
      </c>
      <c r="F47" s="181">
        <v>2989.7727272727279</v>
      </c>
      <c r="G47" s="181">
        <v>996.59090909090935</v>
      </c>
      <c r="H47" s="410"/>
      <c r="I47" s="165">
        <f t="shared" si="11"/>
        <v>3</v>
      </c>
      <c r="J47" s="165">
        <f t="shared" si="12"/>
        <v>2985.0304611892675</v>
      </c>
      <c r="K47" s="179">
        <f t="shared" si="13"/>
        <v>995.01015372975587</v>
      </c>
      <c r="L47" s="410"/>
      <c r="M47" s="165">
        <f>RANK(K47, K$42:$K$71)</f>
        <v>1</v>
      </c>
      <c r="N47" s="405"/>
      <c r="O47" s="405"/>
      <c r="P47" s="165">
        <v>3</v>
      </c>
      <c r="Q47" s="165">
        <v>2989.7727272727279</v>
      </c>
      <c r="R47" s="165">
        <v>996.59090909090935</v>
      </c>
      <c r="S47" s="181">
        <f t="shared" si="4"/>
        <v>1</v>
      </c>
      <c r="T47" s="410"/>
      <c r="U47" s="165">
        <v>3</v>
      </c>
      <c r="V47" s="165">
        <v>2976.7058823529424</v>
      </c>
      <c r="W47" s="165">
        <v>992.23529411764741</v>
      </c>
      <c r="X47" s="181">
        <f t="shared" si="5"/>
        <v>1</v>
      </c>
      <c r="Y47" s="410"/>
      <c r="Z47" s="165">
        <v>3</v>
      </c>
      <c r="AA47" s="165">
        <v>2992.7710843373516</v>
      </c>
      <c r="AB47" s="165">
        <v>997.59036144578386</v>
      </c>
      <c r="AC47" s="181">
        <f t="shared" si="6"/>
        <v>1</v>
      </c>
      <c r="AD47" s="410"/>
      <c r="AE47" s="165">
        <v>3</v>
      </c>
      <c r="AF47" s="165">
        <v>3011.1428571428555</v>
      </c>
      <c r="AG47" s="165">
        <v>1003.7142857142852</v>
      </c>
      <c r="AH47" s="181">
        <f t="shared" si="7"/>
        <v>1</v>
      </c>
      <c r="AI47" s="410"/>
      <c r="AJ47" s="165">
        <v>3</v>
      </c>
      <c r="AK47" s="165">
        <v>2962.6086956521726</v>
      </c>
      <c r="AL47" s="165">
        <v>987.53623188405754</v>
      </c>
      <c r="AM47" s="181">
        <f t="shared" si="8"/>
        <v>1</v>
      </c>
      <c r="AN47" s="410"/>
      <c r="AO47" s="165">
        <v>3</v>
      </c>
      <c r="AP47" s="165">
        <v>2979.3548387096789</v>
      </c>
      <c r="AQ47" s="165">
        <v>993.11827956989293</v>
      </c>
      <c r="AR47" s="181">
        <f t="shared" si="9"/>
        <v>1</v>
      </c>
      <c r="AS47" s="410"/>
      <c r="AT47" s="165">
        <v>3</v>
      </c>
      <c r="AU47" s="165">
        <v>2982.857142857144</v>
      </c>
      <c r="AV47" s="165">
        <v>994.28571428571468</v>
      </c>
      <c r="AW47" s="181">
        <f t="shared" si="10"/>
        <v>1</v>
      </c>
      <c r="AX47" s="410"/>
    </row>
    <row r="48" spans="2:50">
      <c r="B48" s="419"/>
      <c r="C48" s="181">
        <v>7</v>
      </c>
      <c r="D48" s="181" t="s">
        <v>210</v>
      </c>
      <c r="E48" s="181">
        <v>4</v>
      </c>
      <c r="F48" s="181">
        <v>2441.0526315789457</v>
      </c>
      <c r="G48" s="181">
        <v>610.26315789473642</v>
      </c>
      <c r="H48" s="410"/>
      <c r="I48" s="165">
        <f t="shared" si="11"/>
        <v>4</v>
      </c>
      <c r="J48" s="165">
        <f t="shared" si="12"/>
        <v>2438.3967060508389</v>
      </c>
      <c r="K48" s="179">
        <f t="shared" si="13"/>
        <v>609.59917651270973</v>
      </c>
      <c r="L48" s="410"/>
      <c r="M48" s="165">
        <f>RANK(K48, K$42:$K$71)</f>
        <v>16</v>
      </c>
      <c r="N48" s="405"/>
      <c r="O48" s="405"/>
      <c r="P48" s="165">
        <v>4</v>
      </c>
      <c r="Q48" s="165">
        <v>2441.0526315789457</v>
      </c>
      <c r="R48" s="165">
        <v>610.26315789473642</v>
      </c>
      <c r="S48" s="181">
        <f t="shared" si="4"/>
        <v>16</v>
      </c>
      <c r="T48" s="410"/>
      <c r="U48" s="165">
        <v>4</v>
      </c>
      <c r="V48" s="165">
        <v>2403.1578947368407</v>
      </c>
      <c r="W48" s="165">
        <v>600.78947368421018</v>
      </c>
      <c r="X48" s="181">
        <f t="shared" si="5"/>
        <v>17</v>
      </c>
      <c r="Y48" s="410"/>
      <c r="Z48" s="165">
        <v>4</v>
      </c>
      <c r="AA48" s="165">
        <v>2433.3333333333312</v>
      </c>
      <c r="AB48" s="165">
        <v>608.3333333333328</v>
      </c>
      <c r="AC48" s="181">
        <f t="shared" si="6"/>
        <v>16</v>
      </c>
      <c r="AD48" s="410"/>
      <c r="AE48" s="165">
        <v>4</v>
      </c>
      <c r="AF48" s="165">
        <v>2494.2857142857092</v>
      </c>
      <c r="AG48" s="165">
        <v>623.5714285714273</v>
      </c>
      <c r="AH48" s="181">
        <f t="shared" si="7"/>
        <v>14</v>
      </c>
      <c r="AI48" s="410"/>
      <c r="AJ48" s="165">
        <v>4</v>
      </c>
      <c r="AK48" s="165">
        <v>2429.999999999995</v>
      </c>
      <c r="AL48" s="165">
        <v>607.49999999999875</v>
      </c>
      <c r="AM48" s="181">
        <f t="shared" si="8"/>
        <v>16</v>
      </c>
      <c r="AN48" s="410"/>
      <c r="AO48" s="165">
        <v>4</v>
      </c>
      <c r="AP48" s="165">
        <v>2447.9999999999991</v>
      </c>
      <c r="AQ48" s="165">
        <v>611.99999999999977</v>
      </c>
      <c r="AR48" s="181">
        <f t="shared" si="9"/>
        <v>17</v>
      </c>
      <c r="AS48" s="410"/>
      <c r="AT48" s="165">
        <v>4</v>
      </c>
      <c r="AU48" s="165">
        <v>2418.9473684210507</v>
      </c>
      <c r="AV48" s="165">
        <v>604.73684210526267</v>
      </c>
      <c r="AW48" s="181">
        <f t="shared" si="10"/>
        <v>17</v>
      </c>
      <c r="AX48" s="410"/>
    </row>
    <row r="49" spans="2:50">
      <c r="B49" s="419"/>
      <c r="C49" s="181">
        <v>8</v>
      </c>
      <c r="D49" s="181" t="s">
        <v>211</v>
      </c>
      <c r="E49" s="181">
        <v>3</v>
      </c>
      <c r="F49" s="181">
        <v>2497.0212765957449</v>
      </c>
      <c r="G49" s="181">
        <v>832.340425531915</v>
      </c>
      <c r="H49" s="410"/>
      <c r="I49" s="165">
        <f t="shared" si="11"/>
        <v>3</v>
      </c>
      <c r="J49" s="165">
        <f t="shared" si="12"/>
        <v>2472.1002162139807</v>
      </c>
      <c r="K49" s="179">
        <f t="shared" si="13"/>
        <v>824.03340540466013</v>
      </c>
      <c r="L49" s="410"/>
      <c r="M49" s="165">
        <f>RANK(K49, K$42:$K$71)</f>
        <v>5</v>
      </c>
      <c r="N49" s="405"/>
      <c r="O49" s="405"/>
      <c r="P49" s="165">
        <v>3</v>
      </c>
      <c r="Q49" s="165">
        <v>2497.0212765957449</v>
      </c>
      <c r="R49" s="165">
        <v>832.340425531915</v>
      </c>
      <c r="S49" s="181">
        <f t="shared" si="4"/>
        <v>5</v>
      </c>
      <c r="T49" s="410"/>
      <c r="U49" s="165">
        <v>3</v>
      </c>
      <c r="V49" s="165">
        <v>2456.1702127659578</v>
      </c>
      <c r="W49" s="165">
        <v>818.72340425531922</v>
      </c>
      <c r="X49" s="181">
        <f t="shared" si="5"/>
        <v>5</v>
      </c>
      <c r="Y49" s="410"/>
      <c r="Z49" s="165">
        <v>3</v>
      </c>
      <c r="AA49" s="165">
        <v>2473.3333333333312</v>
      </c>
      <c r="AB49" s="165">
        <v>824.44444444444377</v>
      </c>
      <c r="AC49" s="181">
        <f t="shared" si="6"/>
        <v>4</v>
      </c>
      <c r="AD49" s="410"/>
      <c r="AE49" s="165">
        <v>3</v>
      </c>
      <c r="AF49" s="165">
        <v>2453.9999999999991</v>
      </c>
      <c r="AG49" s="165">
        <v>817.99999999999966</v>
      </c>
      <c r="AH49" s="181">
        <f t="shared" si="7"/>
        <v>5</v>
      </c>
      <c r="AI49" s="410"/>
      <c r="AJ49" s="165">
        <v>3</v>
      </c>
      <c r="AK49" s="165">
        <v>2484.3243243243223</v>
      </c>
      <c r="AL49" s="165">
        <v>828.10810810810744</v>
      </c>
      <c r="AM49" s="181">
        <f t="shared" si="8"/>
        <v>4</v>
      </c>
      <c r="AN49" s="410"/>
      <c r="AO49" s="165">
        <v>3</v>
      </c>
      <c r="AP49" s="165">
        <v>2473.4693877551026</v>
      </c>
      <c r="AQ49" s="165">
        <v>824.48979591836758</v>
      </c>
      <c r="AR49" s="181">
        <f t="shared" si="9"/>
        <v>4</v>
      </c>
      <c r="AS49" s="410"/>
      <c r="AT49" s="165">
        <v>3</v>
      </c>
      <c r="AU49" s="165">
        <v>2466.3829787234044</v>
      </c>
      <c r="AV49" s="165">
        <v>822.12765957446811</v>
      </c>
      <c r="AW49" s="181">
        <f t="shared" si="10"/>
        <v>5</v>
      </c>
      <c r="AX49" s="410"/>
    </row>
    <row r="50" spans="2:50">
      <c r="B50" s="419"/>
      <c r="C50" s="181">
        <v>9</v>
      </c>
      <c r="D50" s="181" t="s">
        <v>212</v>
      </c>
      <c r="E50" s="181">
        <v>3</v>
      </c>
      <c r="F50" s="181">
        <v>2503.6363636363658</v>
      </c>
      <c r="G50" s="181">
        <v>834.5454545454553</v>
      </c>
      <c r="H50" s="410"/>
      <c r="I50" s="165">
        <f t="shared" si="11"/>
        <v>3</v>
      </c>
      <c r="J50" s="165">
        <f t="shared" si="12"/>
        <v>2489.3412635786431</v>
      </c>
      <c r="K50" s="179">
        <f t="shared" si="13"/>
        <v>829.78042119288091</v>
      </c>
      <c r="L50" s="410"/>
      <c r="M50" s="165">
        <f>RANK(K50, K$42:$K$71)</f>
        <v>4</v>
      </c>
      <c r="N50" s="405"/>
      <c r="O50" s="405"/>
      <c r="P50" s="165">
        <v>3</v>
      </c>
      <c r="Q50" s="165">
        <v>2503.6363636363658</v>
      </c>
      <c r="R50" s="165">
        <v>834.5454545454553</v>
      </c>
      <c r="S50" s="181">
        <f t="shared" si="4"/>
        <v>4</v>
      </c>
      <c r="T50" s="410"/>
      <c r="U50" s="165">
        <v>3</v>
      </c>
      <c r="V50" s="165">
        <v>2487.2727272727293</v>
      </c>
      <c r="W50" s="165">
        <v>829.0909090909098</v>
      </c>
      <c r="X50" s="181">
        <f t="shared" si="5"/>
        <v>4</v>
      </c>
      <c r="Y50" s="410"/>
      <c r="Z50" s="165">
        <v>3</v>
      </c>
      <c r="AA50" s="165">
        <v>2458.6363636363658</v>
      </c>
      <c r="AB50" s="165">
        <v>819.5454545454553</v>
      </c>
      <c r="AC50" s="181">
        <f t="shared" si="6"/>
        <v>5</v>
      </c>
      <c r="AD50" s="410"/>
      <c r="AE50" s="165">
        <v>3</v>
      </c>
      <c r="AF50" s="165">
        <v>2467.8947368421013</v>
      </c>
      <c r="AG50" s="165">
        <v>822.63157894736707</v>
      </c>
      <c r="AH50" s="181">
        <f t="shared" si="7"/>
        <v>4</v>
      </c>
      <c r="AI50" s="410"/>
      <c r="AJ50" s="165">
        <v>3</v>
      </c>
      <c r="AK50" s="165">
        <v>2469.729729729725</v>
      </c>
      <c r="AL50" s="165">
        <v>823.24324324324164</v>
      </c>
      <c r="AM50" s="181">
        <f t="shared" si="8"/>
        <v>5</v>
      </c>
      <c r="AN50" s="410"/>
      <c r="AO50" s="165">
        <v>3</v>
      </c>
      <c r="AP50" s="165">
        <v>2463.6734693877579</v>
      </c>
      <c r="AQ50" s="165">
        <v>821.22448979591934</v>
      </c>
      <c r="AR50" s="181">
        <f t="shared" si="9"/>
        <v>5</v>
      </c>
      <c r="AS50" s="410"/>
      <c r="AT50" s="165">
        <v>3</v>
      </c>
      <c r="AU50" s="165">
        <v>2574.5454545454563</v>
      </c>
      <c r="AV50" s="165">
        <v>858.18181818181881</v>
      </c>
      <c r="AW50" s="181">
        <f t="shared" si="10"/>
        <v>4</v>
      </c>
      <c r="AX50" s="410"/>
    </row>
    <row r="51" spans="2:50">
      <c r="B51" s="419"/>
      <c r="C51" s="181">
        <v>10</v>
      </c>
      <c r="D51" s="181" t="s">
        <v>213</v>
      </c>
      <c r="E51" s="181">
        <v>4</v>
      </c>
      <c r="F51" s="181">
        <v>2491.0344827586227</v>
      </c>
      <c r="G51" s="181">
        <v>622.75862068965569</v>
      </c>
      <c r="H51" s="410"/>
      <c r="I51" s="165">
        <f t="shared" si="11"/>
        <v>4</v>
      </c>
      <c r="J51" s="165">
        <f t="shared" si="12"/>
        <v>2462.655331320515</v>
      </c>
      <c r="K51" s="179">
        <f t="shared" si="13"/>
        <v>615.66383283012874</v>
      </c>
      <c r="L51" s="410"/>
      <c r="M51" s="165">
        <f>RANK(K51, K$42:$K$71)</f>
        <v>15</v>
      </c>
      <c r="N51" s="405"/>
      <c r="O51" s="405"/>
      <c r="P51" s="165">
        <v>4</v>
      </c>
      <c r="Q51" s="165">
        <v>2491.0344827586227</v>
      </c>
      <c r="R51" s="165">
        <v>622.75862068965569</v>
      </c>
      <c r="S51" s="181">
        <f t="shared" si="4"/>
        <v>13</v>
      </c>
      <c r="T51" s="410"/>
      <c r="U51" s="165">
        <v>4</v>
      </c>
      <c r="V51" s="165">
        <v>2436.0000000000023</v>
      </c>
      <c r="W51" s="165">
        <v>609.00000000000057</v>
      </c>
      <c r="X51" s="181">
        <f t="shared" si="5"/>
        <v>16</v>
      </c>
      <c r="Y51" s="410"/>
      <c r="Z51" s="165">
        <v>4</v>
      </c>
      <c r="AA51" s="165">
        <v>2462.0689655172432</v>
      </c>
      <c r="AB51" s="165">
        <v>615.5172413793108</v>
      </c>
      <c r="AC51" s="181">
        <f t="shared" si="6"/>
        <v>15</v>
      </c>
      <c r="AD51" s="410"/>
      <c r="AE51" s="165">
        <v>4</v>
      </c>
      <c r="AF51" s="165">
        <v>2447.4999999999923</v>
      </c>
      <c r="AG51" s="165">
        <v>611.87499999999807</v>
      </c>
      <c r="AH51" s="181">
        <f t="shared" si="7"/>
        <v>17</v>
      </c>
      <c r="AI51" s="410"/>
      <c r="AJ51" s="165">
        <v>4</v>
      </c>
      <c r="AK51" s="165">
        <v>2432.4999999999927</v>
      </c>
      <c r="AL51" s="165">
        <v>608.12499999999818</v>
      </c>
      <c r="AM51" s="181">
        <f t="shared" si="8"/>
        <v>15</v>
      </c>
      <c r="AN51" s="410"/>
      <c r="AO51" s="165">
        <v>4</v>
      </c>
      <c r="AP51" s="165">
        <v>2475.4838709677442</v>
      </c>
      <c r="AQ51" s="165">
        <v>618.87096774193606</v>
      </c>
      <c r="AR51" s="181">
        <f t="shared" si="9"/>
        <v>14</v>
      </c>
      <c r="AS51" s="410"/>
      <c r="AT51" s="165">
        <v>4</v>
      </c>
      <c r="AU51" s="165">
        <v>2494.0000000000086</v>
      </c>
      <c r="AV51" s="165">
        <v>623.50000000000216</v>
      </c>
      <c r="AW51" s="181">
        <f t="shared" si="10"/>
        <v>13</v>
      </c>
      <c r="AX51" s="410"/>
    </row>
    <row r="52" spans="2:50">
      <c r="B52" s="419"/>
      <c r="C52" s="181">
        <v>11</v>
      </c>
      <c r="D52" s="181" t="s">
        <v>214</v>
      </c>
      <c r="E52" s="181">
        <v>4</v>
      </c>
      <c r="F52" s="181">
        <v>2472.2448979591845</v>
      </c>
      <c r="G52" s="181">
        <v>618.06122448979613</v>
      </c>
      <c r="H52" s="410"/>
      <c r="I52" s="165">
        <f t="shared" si="11"/>
        <v>4</v>
      </c>
      <c r="J52" s="165">
        <f t="shared" si="12"/>
        <v>2478.087379051</v>
      </c>
      <c r="K52" s="179">
        <f t="shared" si="13"/>
        <v>619.52184476274999</v>
      </c>
      <c r="L52" s="410"/>
      <c r="M52" s="165">
        <f>RANK(K52, K$42:$K$71)</f>
        <v>14</v>
      </c>
      <c r="N52" s="405"/>
      <c r="O52" s="405"/>
      <c r="P52" s="165">
        <v>4</v>
      </c>
      <c r="Q52" s="165">
        <v>2472.2448979591845</v>
      </c>
      <c r="R52" s="165">
        <v>618.06122448979613</v>
      </c>
      <c r="S52" s="181">
        <f t="shared" si="4"/>
        <v>14</v>
      </c>
      <c r="T52" s="410"/>
      <c r="U52" s="165">
        <v>4</v>
      </c>
      <c r="V52" s="165">
        <v>2456.3265306122494</v>
      </c>
      <c r="W52" s="165">
        <v>614.08163265306234</v>
      </c>
      <c r="X52" s="181">
        <f t="shared" si="5"/>
        <v>15</v>
      </c>
      <c r="Y52" s="410"/>
      <c r="Z52" s="165">
        <v>4</v>
      </c>
      <c r="AA52" s="165">
        <v>2542.666666666667</v>
      </c>
      <c r="AB52" s="165">
        <v>635.66666666666674</v>
      </c>
      <c r="AC52" s="181">
        <f t="shared" si="6"/>
        <v>12</v>
      </c>
      <c r="AD52" s="410"/>
      <c r="AE52" s="165">
        <v>4</v>
      </c>
      <c r="AF52" s="165">
        <v>2447.9999999999991</v>
      </c>
      <c r="AG52" s="165">
        <v>611.99999999999977</v>
      </c>
      <c r="AH52" s="181">
        <f t="shared" si="7"/>
        <v>16</v>
      </c>
      <c r="AI52" s="410"/>
      <c r="AJ52" s="165">
        <v>4</v>
      </c>
      <c r="AK52" s="165">
        <v>2439.9999999999986</v>
      </c>
      <c r="AL52" s="165">
        <v>609.99999999999966</v>
      </c>
      <c r="AM52" s="181">
        <f t="shared" si="8"/>
        <v>14</v>
      </c>
      <c r="AN52" s="410"/>
      <c r="AO52" s="165">
        <v>4</v>
      </c>
      <c r="AP52" s="165">
        <v>2486.9387755102048</v>
      </c>
      <c r="AQ52" s="165">
        <v>621.73469387755119</v>
      </c>
      <c r="AR52" s="181">
        <f t="shared" si="9"/>
        <v>13</v>
      </c>
      <c r="AS52" s="410"/>
      <c r="AT52" s="165">
        <v>4</v>
      </c>
      <c r="AU52" s="165">
        <v>2500.4347826086955</v>
      </c>
      <c r="AV52" s="165">
        <v>625.10869565217388</v>
      </c>
      <c r="AW52" s="181">
        <f t="shared" si="10"/>
        <v>12</v>
      </c>
      <c r="AX52" s="410"/>
    </row>
    <row r="53" spans="2:50">
      <c r="B53" s="419"/>
      <c r="C53" s="181">
        <v>12</v>
      </c>
      <c r="D53" s="181" t="s">
        <v>215</v>
      </c>
      <c r="E53" s="181">
        <v>3</v>
      </c>
      <c r="F53" s="181">
        <v>2365.714285714294</v>
      </c>
      <c r="G53" s="181">
        <v>788.57142857143128</v>
      </c>
      <c r="H53" s="410"/>
      <c r="I53" s="165">
        <f t="shared" si="11"/>
        <v>3</v>
      </c>
      <c r="J53" s="165">
        <f t="shared" si="12"/>
        <v>2359.9968602825757</v>
      </c>
      <c r="K53" s="179">
        <f t="shared" si="13"/>
        <v>786.66562009419192</v>
      </c>
      <c r="L53" s="410"/>
      <c r="M53" s="165">
        <f>RANK(K53, K$42:$K$71)</f>
        <v>6</v>
      </c>
      <c r="N53" s="405"/>
      <c r="O53" s="405"/>
      <c r="P53" s="165">
        <v>3</v>
      </c>
      <c r="Q53" s="165">
        <v>2365.714285714294</v>
      </c>
      <c r="R53" s="165">
        <v>788.57142857143128</v>
      </c>
      <c r="S53" s="181">
        <f t="shared" si="4"/>
        <v>6</v>
      </c>
      <c r="T53" s="410"/>
      <c r="U53" s="165">
        <v>3</v>
      </c>
      <c r="V53" s="165">
        <v>2352.8571428571508</v>
      </c>
      <c r="W53" s="165">
        <v>784.28571428571695</v>
      </c>
      <c r="X53" s="181">
        <f t="shared" si="5"/>
        <v>6</v>
      </c>
      <c r="Y53" s="410"/>
      <c r="Z53" s="165">
        <v>3</v>
      </c>
      <c r="AA53" s="165">
        <v>2326.1538461538398</v>
      </c>
      <c r="AB53" s="165">
        <v>775.38461538461331</v>
      </c>
      <c r="AC53" s="181">
        <f t="shared" si="6"/>
        <v>6</v>
      </c>
      <c r="AD53" s="410"/>
      <c r="AE53" s="165">
        <v>3</v>
      </c>
      <c r="AF53" s="165">
        <v>2321.9999999999895</v>
      </c>
      <c r="AG53" s="165">
        <v>773.99999999999648</v>
      </c>
      <c r="AH53" s="181">
        <f t="shared" si="7"/>
        <v>6</v>
      </c>
      <c r="AI53" s="410"/>
      <c r="AJ53" s="165">
        <v>3</v>
      </c>
      <c r="AK53" s="165">
        <v>2406.0000000000086</v>
      </c>
      <c r="AL53" s="165">
        <v>802.00000000000284</v>
      </c>
      <c r="AM53" s="181">
        <f t="shared" si="8"/>
        <v>6</v>
      </c>
      <c r="AN53" s="410"/>
      <c r="AO53" s="165">
        <v>3</v>
      </c>
      <c r="AP53" s="165">
        <v>2425.7142857142944</v>
      </c>
      <c r="AQ53" s="165">
        <v>808.57142857143151</v>
      </c>
      <c r="AR53" s="181">
        <f t="shared" si="9"/>
        <v>6</v>
      </c>
      <c r="AS53" s="410"/>
      <c r="AT53" s="165">
        <v>3</v>
      </c>
      <c r="AU53" s="165">
        <v>2321.5384615384555</v>
      </c>
      <c r="AV53" s="165">
        <v>773.84615384615188</v>
      </c>
      <c r="AW53" s="181">
        <f t="shared" si="10"/>
        <v>6</v>
      </c>
      <c r="AX53" s="410"/>
    </row>
    <row r="54" spans="2:50">
      <c r="B54" s="419"/>
      <c r="C54" s="181">
        <v>13</v>
      </c>
      <c r="D54" s="181" t="s">
        <v>216</v>
      </c>
      <c r="E54" s="181">
        <v>4</v>
      </c>
      <c r="F54" s="181">
        <v>2554.1538461538453</v>
      </c>
      <c r="G54" s="181">
        <v>638.53846153846132</v>
      </c>
      <c r="H54" s="410"/>
      <c r="I54" s="165">
        <f t="shared" si="11"/>
        <v>4</v>
      </c>
      <c r="J54" s="165">
        <f t="shared" si="12"/>
        <v>2490.9256363899012</v>
      </c>
      <c r="K54" s="179">
        <f t="shared" si="13"/>
        <v>622.73140909747531</v>
      </c>
      <c r="L54" s="410"/>
      <c r="M54" s="165">
        <f>RANK(K54, K$42:$K$71)</f>
        <v>12</v>
      </c>
      <c r="N54" s="405"/>
      <c r="O54" s="405"/>
      <c r="P54" s="165">
        <v>4</v>
      </c>
      <c r="Q54" s="165">
        <v>2554.1538461538453</v>
      </c>
      <c r="R54" s="165">
        <v>638.53846153846132</v>
      </c>
      <c r="S54" s="181">
        <f t="shared" si="4"/>
        <v>12</v>
      </c>
      <c r="T54" s="410"/>
      <c r="U54" s="165">
        <v>4</v>
      </c>
      <c r="V54" s="165">
        <v>2498.76923076923</v>
      </c>
      <c r="W54" s="165">
        <v>624.69230769230751</v>
      </c>
      <c r="X54" s="181">
        <f t="shared" si="5"/>
        <v>12</v>
      </c>
      <c r="Y54" s="410"/>
      <c r="Z54" s="165">
        <v>4</v>
      </c>
      <c r="AA54" s="165">
        <v>2481.5624999999995</v>
      </c>
      <c r="AB54" s="165">
        <v>620.39062499999989</v>
      </c>
      <c r="AC54" s="181">
        <f t="shared" si="6"/>
        <v>13</v>
      </c>
      <c r="AD54" s="410"/>
      <c r="AE54" s="165">
        <v>4</v>
      </c>
      <c r="AF54" s="165">
        <v>2461.0714285714289</v>
      </c>
      <c r="AG54" s="165">
        <v>615.26785714285722</v>
      </c>
      <c r="AH54" s="181">
        <f t="shared" si="7"/>
        <v>15</v>
      </c>
      <c r="AI54" s="410"/>
      <c r="AJ54" s="165">
        <v>4</v>
      </c>
      <c r="AK54" s="165">
        <v>2474.716981132075</v>
      </c>
      <c r="AL54" s="165">
        <v>618.67924528301876</v>
      </c>
      <c r="AM54" s="181">
        <f t="shared" si="8"/>
        <v>13</v>
      </c>
      <c r="AN54" s="410"/>
      <c r="AO54" s="165">
        <v>4</v>
      </c>
      <c r="AP54" s="165">
        <v>2472.6760563380271</v>
      </c>
      <c r="AQ54" s="165">
        <v>618.16901408450678</v>
      </c>
      <c r="AR54" s="181">
        <f t="shared" si="9"/>
        <v>15</v>
      </c>
      <c r="AS54" s="410"/>
      <c r="AT54" s="165">
        <v>4</v>
      </c>
      <c r="AU54" s="165">
        <v>2493.5294117647045</v>
      </c>
      <c r="AV54" s="165">
        <v>623.38235294117612</v>
      </c>
      <c r="AW54" s="181">
        <f t="shared" si="10"/>
        <v>14</v>
      </c>
      <c r="AX54" s="410"/>
    </row>
    <row r="55" spans="2:50">
      <c r="B55" s="419"/>
      <c r="C55" s="181">
        <v>14</v>
      </c>
      <c r="D55" s="181" t="s">
        <v>217</v>
      </c>
      <c r="E55" s="181">
        <v>4</v>
      </c>
      <c r="F55" s="181">
        <v>2467.9999999999995</v>
      </c>
      <c r="G55" s="181">
        <v>616.99999999999989</v>
      </c>
      <c r="H55" s="410"/>
      <c r="I55" s="165">
        <f t="shared" si="11"/>
        <v>4</v>
      </c>
      <c r="J55" s="165">
        <f t="shared" si="12"/>
        <v>2483.4931730231269</v>
      </c>
      <c r="K55" s="179">
        <f t="shared" si="13"/>
        <v>620.87329325578173</v>
      </c>
      <c r="L55" s="410"/>
      <c r="M55" s="165">
        <f>RANK(K55, K$42:$K$71)</f>
        <v>13</v>
      </c>
      <c r="N55" s="405"/>
      <c r="O55" s="405"/>
      <c r="P55" s="165">
        <v>4</v>
      </c>
      <c r="Q55" s="165">
        <v>2467.9999999999995</v>
      </c>
      <c r="R55" s="165">
        <v>616.99999999999989</v>
      </c>
      <c r="S55" s="181">
        <f t="shared" si="4"/>
        <v>15</v>
      </c>
      <c r="T55" s="410"/>
      <c r="U55" s="165">
        <v>4</v>
      </c>
      <c r="V55" s="165">
        <v>2483.9999999999995</v>
      </c>
      <c r="W55" s="165">
        <v>620.99999999999989</v>
      </c>
      <c r="X55" s="181">
        <f t="shared" si="5"/>
        <v>14</v>
      </c>
      <c r="Y55" s="410"/>
      <c r="Z55" s="165">
        <v>4</v>
      </c>
      <c r="AA55" s="165">
        <v>2477.0270270270303</v>
      </c>
      <c r="AB55" s="165">
        <v>619.25675675675757</v>
      </c>
      <c r="AC55" s="181">
        <f t="shared" si="6"/>
        <v>14</v>
      </c>
      <c r="AD55" s="410"/>
      <c r="AE55" s="165">
        <v>4</v>
      </c>
      <c r="AF55" s="165">
        <v>2497.1428571428551</v>
      </c>
      <c r="AG55" s="165">
        <v>624.28571428571377</v>
      </c>
      <c r="AH55" s="181">
        <f t="shared" si="7"/>
        <v>13</v>
      </c>
      <c r="AI55" s="410"/>
      <c r="AJ55" s="165">
        <v>4</v>
      </c>
      <c r="AK55" s="165">
        <v>2498.709677419356</v>
      </c>
      <c r="AL55" s="165">
        <v>624.677419354839</v>
      </c>
      <c r="AM55" s="181">
        <f t="shared" si="8"/>
        <v>12</v>
      </c>
      <c r="AN55" s="410"/>
      <c r="AO55" s="165">
        <v>4</v>
      </c>
      <c r="AP55" s="165">
        <v>2471.111111111109</v>
      </c>
      <c r="AQ55" s="165">
        <v>617.77777777777726</v>
      </c>
      <c r="AR55" s="181">
        <f t="shared" si="9"/>
        <v>16</v>
      </c>
      <c r="AS55" s="410"/>
      <c r="AT55" s="165">
        <v>4</v>
      </c>
      <c r="AU55" s="165">
        <v>2488.4615384615381</v>
      </c>
      <c r="AV55" s="165">
        <v>622.11538461538453</v>
      </c>
      <c r="AW55" s="181">
        <f t="shared" si="10"/>
        <v>15</v>
      </c>
      <c r="AX55" s="410"/>
    </row>
    <row r="56" spans="2:50">
      <c r="B56" s="419"/>
      <c r="C56" s="181">
        <v>15</v>
      </c>
      <c r="D56" s="181" t="s">
        <v>218</v>
      </c>
      <c r="E56" s="181">
        <v>4</v>
      </c>
      <c r="F56" s="181">
        <v>2746.0000000000095</v>
      </c>
      <c r="G56" s="181">
        <v>686.50000000000239</v>
      </c>
      <c r="H56" s="410"/>
      <c r="I56" s="165">
        <f t="shared" si="11"/>
        <v>4</v>
      </c>
      <c r="J56" s="165">
        <f t="shared" si="12"/>
        <v>2705.5115071167561</v>
      </c>
      <c r="K56" s="179">
        <f t="shared" si="13"/>
        <v>676.37787677918902</v>
      </c>
      <c r="L56" s="410"/>
      <c r="M56" s="165">
        <f>RANK(K56, K$42:$K$71)</f>
        <v>11</v>
      </c>
      <c r="N56" s="405"/>
      <c r="O56" s="405"/>
      <c r="P56" s="165">
        <v>4</v>
      </c>
      <c r="Q56" s="165">
        <v>2746.0000000000095</v>
      </c>
      <c r="R56" s="165">
        <v>686.50000000000239</v>
      </c>
      <c r="S56" s="181">
        <f t="shared" si="4"/>
        <v>11</v>
      </c>
      <c r="T56" s="410"/>
      <c r="U56" s="165">
        <v>4</v>
      </c>
      <c r="V56" s="165">
        <v>2797.2413793103392</v>
      </c>
      <c r="W56" s="165">
        <v>699.3103448275848</v>
      </c>
      <c r="X56" s="181">
        <f t="shared" si="5"/>
        <v>11</v>
      </c>
      <c r="Y56" s="410"/>
      <c r="Z56" s="165">
        <v>4</v>
      </c>
      <c r="AA56" s="165">
        <v>2753.5714285714384</v>
      </c>
      <c r="AB56" s="165">
        <v>688.39285714285961</v>
      </c>
      <c r="AC56" s="181">
        <f t="shared" si="6"/>
        <v>11</v>
      </c>
      <c r="AD56" s="410"/>
      <c r="AE56" s="165">
        <v>4</v>
      </c>
      <c r="AF56" s="165">
        <v>2740.7999999999925</v>
      </c>
      <c r="AG56" s="165">
        <v>685.19999999999811</v>
      </c>
      <c r="AH56" s="181">
        <f t="shared" si="7"/>
        <v>11</v>
      </c>
      <c r="AI56" s="410"/>
      <c r="AJ56" s="165">
        <v>4</v>
      </c>
      <c r="AK56" s="165">
        <v>2544.0000000000091</v>
      </c>
      <c r="AL56" s="165">
        <v>636.00000000000227</v>
      </c>
      <c r="AM56" s="181">
        <f t="shared" si="8"/>
        <v>11</v>
      </c>
      <c r="AN56" s="410"/>
      <c r="AO56" s="165">
        <v>4</v>
      </c>
      <c r="AP56" s="165">
        <v>2730.9677419354935</v>
      </c>
      <c r="AQ56" s="165">
        <v>682.74193548387336</v>
      </c>
      <c r="AR56" s="181">
        <f t="shared" si="9"/>
        <v>11</v>
      </c>
      <c r="AS56" s="410"/>
      <c r="AT56" s="165">
        <v>4</v>
      </c>
      <c r="AU56" s="165">
        <v>2626.0000000000091</v>
      </c>
      <c r="AV56" s="165">
        <v>656.50000000000227</v>
      </c>
      <c r="AW56" s="181">
        <f t="shared" si="10"/>
        <v>11</v>
      </c>
      <c r="AX56" s="410"/>
    </row>
    <row r="57" spans="2:50">
      <c r="B57" s="419"/>
      <c r="C57" s="181">
        <v>16</v>
      </c>
      <c r="D57" s="181" t="s">
        <v>219</v>
      </c>
      <c r="E57" s="181">
        <v>3</v>
      </c>
      <c r="F57" s="181">
        <v>2190.0000000000077</v>
      </c>
      <c r="G57" s="181">
        <v>730.00000000000261</v>
      </c>
      <c r="H57" s="410"/>
      <c r="I57" s="165">
        <f t="shared" si="11"/>
        <v>3</v>
      </c>
      <c r="J57" s="165">
        <f t="shared" si="12"/>
        <v>2151.7659063625529</v>
      </c>
      <c r="K57" s="179">
        <f t="shared" si="13"/>
        <v>717.25530212085084</v>
      </c>
      <c r="L57" s="410"/>
      <c r="M57" s="165">
        <f>RANK(K57, K$42:$K$71)</f>
        <v>10</v>
      </c>
      <c r="N57" s="405"/>
      <c r="O57" s="405"/>
      <c r="P57" s="165">
        <v>3</v>
      </c>
      <c r="Q57" s="165">
        <v>2190.0000000000077</v>
      </c>
      <c r="R57" s="165">
        <v>730.00000000000261</v>
      </c>
      <c r="S57" s="181">
        <f t="shared" si="4"/>
        <v>10</v>
      </c>
      <c r="T57" s="410"/>
      <c r="U57" s="165">
        <v>3</v>
      </c>
      <c r="V57" s="165">
        <v>2146.0000000000077</v>
      </c>
      <c r="W57" s="165">
        <v>715.33333333333587</v>
      </c>
      <c r="X57" s="181">
        <f t="shared" si="5"/>
        <v>10</v>
      </c>
      <c r="Y57" s="410"/>
      <c r="Z57" s="165">
        <v>3</v>
      </c>
      <c r="AA57" s="165">
        <v>2074.0000000000073</v>
      </c>
      <c r="AB57" s="165">
        <v>691.33333333333576</v>
      </c>
      <c r="AC57" s="181">
        <f t="shared" si="6"/>
        <v>10</v>
      </c>
      <c r="AD57" s="410"/>
      <c r="AE57" s="165">
        <v>3</v>
      </c>
      <c r="AF57" s="165">
        <v>2140.7142857142935</v>
      </c>
      <c r="AG57" s="165">
        <v>713.57142857143117</v>
      </c>
      <c r="AH57" s="181">
        <f t="shared" si="7"/>
        <v>10</v>
      </c>
      <c r="AI57" s="410"/>
      <c r="AJ57" s="165">
        <v>3</v>
      </c>
      <c r="AK57" s="165">
        <v>2114.0000000000073</v>
      </c>
      <c r="AL57" s="165">
        <v>704.66666666666913</v>
      </c>
      <c r="AM57" s="181">
        <f t="shared" si="8"/>
        <v>10</v>
      </c>
      <c r="AN57" s="410"/>
      <c r="AO57" s="165">
        <v>3</v>
      </c>
      <c r="AP57" s="165">
        <v>2147.647058823537</v>
      </c>
      <c r="AQ57" s="165">
        <v>715.88235294117897</v>
      </c>
      <c r="AR57" s="181">
        <f t="shared" si="9"/>
        <v>10</v>
      </c>
      <c r="AS57" s="410"/>
      <c r="AT57" s="165">
        <v>3</v>
      </c>
      <c r="AU57" s="165">
        <v>2250.0000000000082</v>
      </c>
      <c r="AV57" s="165">
        <v>750.00000000000273</v>
      </c>
      <c r="AW57" s="181">
        <f t="shared" si="10"/>
        <v>7</v>
      </c>
      <c r="AX57" s="410"/>
    </row>
    <row r="58" spans="2:50">
      <c r="B58" s="419"/>
      <c r="C58" s="181">
        <v>17</v>
      </c>
      <c r="D58" s="181" t="s">
        <v>220</v>
      </c>
      <c r="E58" s="181">
        <v>4</v>
      </c>
      <c r="F58" s="181">
        <v>2150.769230769225</v>
      </c>
      <c r="G58" s="181">
        <v>537.69230769230626</v>
      </c>
      <c r="H58" s="410"/>
      <c r="I58" s="165">
        <f t="shared" si="11"/>
        <v>4</v>
      </c>
      <c r="J58" s="165">
        <f t="shared" si="12"/>
        <v>2173.6762269476458</v>
      </c>
      <c r="K58" s="179">
        <f t="shared" si="13"/>
        <v>543.41905673691144</v>
      </c>
      <c r="L58" s="410"/>
      <c r="M58" s="165">
        <f>RANK(K58, K$42:$K$71)</f>
        <v>18</v>
      </c>
      <c r="N58" s="405"/>
      <c r="O58" s="405"/>
      <c r="P58" s="165">
        <v>4</v>
      </c>
      <c r="Q58" s="165">
        <v>2150.769230769225</v>
      </c>
      <c r="R58" s="165">
        <v>537.69230769230626</v>
      </c>
      <c r="S58" s="181">
        <f t="shared" si="4"/>
        <v>18</v>
      </c>
      <c r="T58" s="410"/>
      <c r="U58" s="165">
        <v>4</v>
      </c>
      <c r="V58" s="165">
        <v>2192.4999999999786</v>
      </c>
      <c r="W58" s="165">
        <v>548.12499999999466</v>
      </c>
      <c r="X58" s="181">
        <f t="shared" si="5"/>
        <v>18</v>
      </c>
      <c r="Y58" s="410"/>
      <c r="Z58" s="165">
        <v>4</v>
      </c>
      <c r="AA58" s="165">
        <v>2288.1818181818098</v>
      </c>
      <c r="AB58" s="165">
        <v>572.04545454545246</v>
      </c>
      <c r="AC58" s="181">
        <f t="shared" si="6"/>
        <v>17</v>
      </c>
      <c r="AD58" s="410"/>
      <c r="AE58" s="165">
        <v>4</v>
      </c>
      <c r="AF58" s="165">
        <v>2208.0000000000077</v>
      </c>
      <c r="AG58" s="165">
        <v>552.00000000000193</v>
      </c>
      <c r="AH58" s="181">
        <f t="shared" si="7"/>
        <v>18</v>
      </c>
      <c r="AI58" s="410"/>
      <c r="AJ58" s="165">
        <v>4</v>
      </c>
      <c r="AK58" s="165">
        <v>2121.599999999994</v>
      </c>
      <c r="AL58" s="165">
        <v>530.3999999999985</v>
      </c>
      <c r="AM58" s="181">
        <f t="shared" si="8"/>
        <v>18</v>
      </c>
      <c r="AN58" s="410"/>
      <c r="AO58" s="165">
        <v>4</v>
      </c>
      <c r="AP58" s="165">
        <v>2191.1111111110927</v>
      </c>
      <c r="AQ58" s="165">
        <v>547.77777777777317</v>
      </c>
      <c r="AR58" s="181">
        <f t="shared" si="9"/>
        <v>18</v>
      </c>
      <c r="AS58" s="410"/>
      <c r="AT58" s="165">
        <v>4</v>
      </c>
      <c r="AU58" s="165">
        <v>2063.5714285714121</v>
      </c>
      <c r="AV58" s="165">
        <v>515.89285714285302</v>
      </c>
      <c r="AW58" s="181">
        <f t="shared" si="10"/>
        <v>18</v>
      </c>
      <c r="AX58" s="410"/>
    </row>
    <row r="59" spans="2:50">
      <c r="B59" s="419"/>
      <c r="C59" s="181">
        <v>18</v>
      </c>
      <c r="D59" s="181" t="s">
        <v>221</v>
      </c>
      <c r="E59" s="181">
        <v>4</v>
      </c>
      <c r="F59" s="181">
        <v>2432.9032258064522</v>
      </c>
      <c r="G59" s="181">
        <v>608.22580645161304</v>
      </c>
      <c r="H59" s="410"/>
      <c r="I59" s="165">
        <f t="shared" si="11"/>
        <v>4</v>
      </c>
      <c r="J59" s="165">
        <f t="shared" si="12"/>
        <v>2435.7299856215936</v>
      </c>
      <c r="K59" s="179">
        <f t="shared" si="13"/>
        <v>608.93249640539841</v>
      </c>
      <c r="L59" s="410"/>
      <c r="M59" s="165">
        <f>RANK(K59, K$42:$K$71)</f>
        <v>17</v>
      </c>
      <c r="N59" s="405"/>
      <c r="O59" s="405"/>
      <c r="P59" s="165">
        <v>4</v>
      </c>
      <c r="Q59" s="165">
        <v>2432.9032258064522</v>
      </c>
      <c r="R59" s="165">
        <v>608.22580645161304</v>
      </c>
      <c r="S59" s="181">
        <f t="shared" si="4"/>
        <v>17</v>
      </c>
      <c r="T59" s="410"/>
      <c r="U59" s="165">
        <v>4</v>
      </c>
      <c r="V59" s="165">
        <v>2493.1034482758619</v>
      </c>
      <c r="W59" s="165">
        <v>623.27586206896547</v>
      </c>
      <c r="X59" s="181">
        <f t="shared" si="5"/>
        <v>13</v>
      </c>
      <c r="Y59" s="410"/>
      <c r="Z59" s="165">
        <v>4</v>
      </c>
      <c r="AA59" s="165">
        <v>2267.9999997359701</v>
      </c>
      <c r="AB59" s="165">
        <v>566.99999993399251</v>
      </c>
      <c r="AC59" s="181">
        <f t="shared" si="6"/>
        <v>18</v>
      </c>
      <c r="AD59" s="410"/>
      <c r="AE59" s="165">
        <v>4</v>
      </c>
      <c r="AF59" s="165">
        <v>2575.199999999993</v>
      </c>
      <c r="AG59" s="165">
        <v>643.79999999999825</v>
      </c>
      <c r="AH59" s="181">
        <f t="shared" si="7"/>
        <v>12</v>
      </c>
      <c r="AI59" s="410"/>
      <c r="AJ59" s="165">
        <v>4</v>
      </c>
      <c r="AK59" s="165">
        <v>2349.999999726424</v>
      </c>
      <c r="AL59" s="165">
        <v>587.499999931606</v>
      </c>
      <c r="AM59" s="181">
        <f t="shared" si="8"/>
        <v>17</v>
      </c>
      <c r="AN59" s="410"/>
      <c r="AO59" s="165">
        <v>4</v>
      </c>
      <c r="AP59" s="165">
        <v>2492.9032258064522</v>
      </c>
      <c r="AQ59" s="165">
        <v>623.22580645161304</v>
      </c>
      <c r="AR59" s="181">
        <f t="shared" si="9"/>
        <v>12</v>
      </c>
      <c r="AS59" s="410"/>
      <c r="AT59" s="165">
        <v>4</v>
      </c>
      <c r="AU59" s="165">
        <v>2438</v>
      </c>
      <c r="AV59" s="165">
        <v>609.5</v>
      </c>
      <c r="AW59" s="181">
        <f t="shared" si="10"/>
        <v>16</v>
      </c>
      <c r="AX59" s="410"/>
    </row>
    <row r="60" spans="2:50">
      <c r="B60" s="419"/>
      <c r="C60" s="181">
        <v>19</v>
      </c>
      <c r="D60" s="181" t="s">
        <v>222</v>
      </c>
      <c r="E60" s="181">
        <v>3</v>
      </c>
      <c r="F60" s="181">
        <v>2676.6666666666647</v>
      </c>
      <c r="G60" s="181">
        <v>892.2222222222216</v>
      </c>
      <c r="H60" s="410"/>
      <c r="I60" s="165">
        <f t="shared" si="11"/>
        <v>3</v>
      </c>
      <c r="J60" s="165">
        <f t="shared" si="12"/>
        <v>2678.6823171760693</v>
      </c>
      <c r="K60" s="179">
        <f t="shared" si="13"/>
        <v>892.89410572535655</v>
      </c>
      <c r="L60" s="410"/>
      <c r="M60" s="165">
        <f>RANK(K60, K$42:$K$71)</f>
        <v>3</v>
      </c>
      <c r="N60" s="405"/>
      <c r="O60" s="405"/>
      <c r="P60" s="165">
        <v>3</v>
      </c>
      <c r="Q60" s="165">
        <v>2676.6666666666647</v>
      </c>
      <c r="R60" s="165">
        <v>892.2222222222216</v>
      </c>
      <c r="S60" s="181">
        <f t="shared" si="4"/>
        <v>2</v>
      </c>
      <c r="T60" s="410"/>
      <c r="U60" s="165">
        <v>3</v>
      </c>
      <c r="V60" s="165">
        <v>2671.7647058823563</v>
      </c>
      <c r="W60" s="165">
        <v>890.58823529411882</v>
      </c>
      <c r="X60" s="181">
        <f t="shared" si="5"/>
        <v>3</v>
      </c>
      <c r="Y60" s="410"/>
      <c r="Z60" s="165">
        <v>3</v>
      </c>
      <c r="AA60" s="165">
        <v>2664.4444444444421</v>
      </c>
      <c r="AB60" s="165">
        <v>888.14814814814736</v>
      </c>
      <c r="AC60" s="181">
        <f t="shared" si="6"/>
        <v>2</v>
      </c>
      <c r="AD60" s="410"/>
      <c r="AE60" s="165">
        <v>3</v>
      </c>
      <c r="AF60" s="165">
        <v>2683.4042553191493</v>
      </c>
      <c r="AG60" s="165">
        <v>894.46808510638311</v>
      </c>
      <c r="AH60" s="181">
        <f t="shared" si="7"/>
        <v>3</v>
      </c>
      <c r="AI60" s="410"/>
      <c r="AJ60" s="165">
        <v>3</v>
      </c>
      <c r="AK60" s="165">
        <v>2700</v>
      </c>
      <c r="AL60" s="165">
        <v>900</v>
      </c>
      <c r="AM60" s="181">
        <f t="shared" si="8"/>
        <v>3</v>
      </c>
      <c r="AN60" s="410"/>
      <c r="AO60" s="165">
        <v>3</v>
      </c>
      <c r="AP60" s="165">
        <v>2680.6779661016935</v>
      </c>
      <c r="AQ60" s="165">
        <v>893.55932203389784</v>
      </c>
      <c r="AR60" s="181">
        <f t="shared" si="9"/>
        <v>2</v>
      </c>
      <c r="AS60" s="410"/>
      <c r="AT60" s="165">
        <v>3</v>
      </c>
      <c r="AU60" s="165">
        <v>2673.8181818181797</v>
      </c>
      <c r="AV60" s="165">
        <v>891.27272727272657</v>
      </c>
      <c r="AW60" s="181">
        <f t="shared" si="10"/>
        <v>3</v>
      </c>
      <c r="AX60" s="410"/>
    </row>
    <row r="61" spans="2:50">
      <c r="B61" s="419"/>
      <c r="C61" s="181">
        <v>20</v>
      </c>
      <c r="D61" s="181"/>
      <c r="E61" s="181"/>
      <c r="F61" s="181"/>
      <c r="G61" s="181"/>
      <c r="H61" s="410"/>
      <c r="I61" s="165"/>
      <c r="J61" s="165"/>
      <c r="K61" s="179"/>
      <c r="L61" s="410"/>
      <c r="M61" s="165" t="e">
        <f>RANK(K61, K$42:$K$71)</f>
        <v>#N/A</v>
      </c>
      <c r="N61" s="405"/>
      <c r="O61" s="405"/>
      <c r="P61" s="165"/>
      <c r="Q61" s="165"/>
      <c r="R61" s="165"/>
      <c r="S61" s="181" t="e">
        <f t="shared" si="4"/>
        <v>#N/A</v>
      </c>
      <c r="T61" s="410"/>
      <c r="U61" s="165"/>
      <c r="V61" s="165"/>
      <c r="W61" s="165"/>
      <c r="X61" s="181" t="e">
        <f t="shared" si="5"/>
        <v>#N/A</v>
      </c>
      <c r="Y61" s="410"/>
      <c r="Z61" s="165"/>
      <c r="AA61" s="165"/>
      <c r="AB61" s="165"/>
      <c r="AC61" s="181" t="e">
        <f t="shared" si="6"/>
        <v>#N/A</v>
      </c>
      <c r="AD61" s="410"/>
      <c r="AE61" s="165"/>
      <c r="AF61" s="165"/>
      <c r="AG61" s="165"/>
      <c r="AH61" s="181" t="e">
        <f t="shared" si="7"/>
        <v>#N/A</v>
      </c>
      <c r="AI61" s="410"/>
      <c r="AJ61" s="165"/>
      <c r="AK61" s="165"/>
      <c r="AL61" s="165"/>
      <c r="AM61" s="181" t="e">
        <f t="shared" si="8"/>
        <v>#N/A</v>
      </c>
      <c r="AN61" s="410"/>
      <c r="AO61" s="165"/>
      <c r="AP61" s="165"/>
      <c r="AQ61" s="165"/>
      <c r="AR61" s="181" t="e">
        <f t="shared" si="9"/>
        <v>#N/A</v>
      </c>
      <c r="AS61" s="410"/>
      <c r="AT61" s="165"/>
      <c r="AU61" s="165"/>
      <c r="AV61" s="165"/>
      <c r="AW61" s="181" t="e">
        <f t="shared" si="10"/>
        <v>#N/A</v>
      </c>
      <c r="AX61" s="410"/>
    </row>
    <row r="62" spans="2:50">
      <c r="B62" s="419"/>
      <c r="C62" s="181">
        <v>21</v>
      </c>
      <c r="D62" s="181"/>
      <c r="E62" s="181"/>
      <c r="F62" s="181"/>
      <c r="G62" s="181"/>
      <c r="H62" s="410"/>
      <c r="I62" s="181"/>
      <c r="J62" s="181"/>
      <c r="K62" s="181"/>
      <c r="L62" s="410"/>
      <c r="M62" s="165" t="e">
        <f>RANK(K62, K$42:$K$71)</f>
        <v>#N/A</v>
      </c>
      <c r="N62" s="405"/>
      <c r="O62" s="405"/>
      <c r="P62" s="181"/>
      <c r="Q62" s="165"/>
      <c r="R62" s="179"/>
      <c r="S62" s="181" t="e">
        <f t="shared" si="4"/>
        <v>#N/A</v>
      </c>
      <c r="T62" s="410"/>
      <c r="U62" s="181"/>
      <c r="V62" s="165"/>
      <c r="W62" s="179"/>
      <c r="X62" s="181" t="e">
        <f t="shared" si="5"/>
        <v>#N/A</v>
      </c>
      <c r="Y62" s="410"/>
      <c r="Z62" s="181"/>
      <c r="AA62" s="165"/>
      <c r="AB62" s="179"/>
      <c r="AC62" s="181" t="e">
        <f t="shared" si="6"/>
        <v>#N/A</v>
      </c>
      <c r="AD62" s="410"/>
      <c r="AE62" s="181"/>
      <c r="AF62" s="165"/>
      <c r="AG62" s="179"/>
      <c r="AH62" s="181" t="e">
        <f t="shared" si="7"/>
        <v>#N/A</v>
      </c>
      <c r="AI62" s="410"/>
      <c r="AJ62" s="181"/>
      <c r="AK62" s="165"/>
      <c r="AL62" s="179"/>
      <c r="AM62" s="181" t="e">
        <f t="shared" si="8"/>
        <v>#N/A</v>
      </c>
      <c r="AN62" s="410"/>
      <c r="AO62" s="181"/>
      <c r="AP62" s="165"/>
      <c r="AQ62" s="165"/>
      <c r="AR62" s="181" t="e">
        <f t="shared" si="9"/>
        <v>#N/A</v>
      </c>
      <c r="AS62" s="410"/>
      <c r="AT62" s="181"/>
      <c r="AU62" s="165"/>
      <c r="AV62" s="165"/>
      <c r="AW62" s="181" t="e">
        <f t="shared" si="10"/>
        <v>#N/A</v>
      </c>
      <c r="AX62" s="410"/>
    </row>
    <row r="63" spans="2:50">
      <c r="B63" s="419"/>
      <c r="C63" s="181">
        <v>22</v>
      </c>
      <c r="D63" s="181"/>
      <c r="E63" s="181"/>
      <c r="F63" s="181"/>
      <c r="G63" s="181"/>
      <c r="H63" s="410"/>
      <c r="I63" s="181"/>
      <c r="J63" s="181"/>
      <c r="K63" s="181"/>
      <c r="L63" s="410"/>
      <c r="M63" s="165" t="e">
        <f>RANK(K63, K$42:$K$71)</f>
        <v>#N/A</v>
      </c>
      <c r="N63" s="405"/>
      <c r="O63" s="405"/>
      <c r="P63" s="181"/>
      <c r="Q63" s="165"/>
      <c r="R63" s="179"/>
      <c r="S63" s="181" t="e">
        <f t="shared" si="4"/>
        <v>#N/A</v>
      </c>
      <c r="T63" s="410"/>
      <c r="U63" s="181"/>
      <c r="V63" s="165"/>
      <c r="W63" s="179"/>
      <c r="X63" s="181" t="e">
        <f t="shared" si="5"/>
        <v>#N/A</v>
      </c>
      <c r="Y63" s="410"/>
      <c r="Z63" s="181"/>
      <c r="AA63" s="165"/>
      <c r="AB63" s="179"/>
      <c r="AC63" s="181" t="e">
        <f t="shared" si="6"/>
        <v>#N/A</v>
      </c>
      <c r="AD63" s="410"/>
      <c r="AE63" s="181"/>
      <c r="AF63" s="165"/>
      <c r="AG63" s="179"/>
      <c r="AH63" s="181" t="e">
        <f t="shared" si="7"/>
        <v>#N/A</v>
      </c>
      <c r="AI63" s="410"/>
      <c r="AJ63" s="181"/>
      <c r="AK63" s="165"/>
      <c r="AL63" s="179"/>
      <c r="AM63" s="181" t="e">
        <f t="shared" si="8"/>
        <v>#N/A</v>
      </c>
      <c r="AN63" s="410"/>
      <c r="AO63" s="181"/>
      <c r="AP63" s="165"/>
      <c r="AQ63" s="165"/>
      <c r="AR63" s="181" t="e">
        <f t="shared" si="9"/>
        <v>#N/A</v>
      </c>
      <c r="AS63" s="410"/>
      <c r="AT63" s="181"/>
      <c r="AU63" s="165"/>
      <c r="AV63" s="165"/>
      <c r="AW63" s="181" t="e">
        <f t="shared" si="10"/>
        <v>#N/A</v>
      </c>
      <c r="AX63" s="410"/>
    </row>
    <row r="64" spans="2:50">
      <c r="B64" s="419"/>
      <c r="C64" s="181">
        <v>23</v>
      </c>
      <c r="D64" s="181"/>
      <c r="E64" s="181"/>
      <c r="F64" s="181"/>
      <c r="G64" s="181"/>
      <c r="H64" s="410"/>
      <c r="I64" s="181"/>
      <c r="J64" s="181"/>
      <c r="K64" s="181"/>
      <c r="L64" s="410"/>
      <c r="M64" s="165" t="e">
        <f>RANK(K64, K$42:$K$71)</f>
        <v>#N/A</v>
      </c>
      <c r="N64" s="405"/>
      <c r="O64" s="405"/>
      <c r="P64" s="181"/>
      <c r="Q64" s="181"/>
      <c r="R64" s="179"/>
      <c r="S64" s="181" t="e">
        <f t="shared" si="4"/>
        <v>#N/A</v>
      </c>
      <c r="T64" s="410"/>
      <c r="U64" s="181"/>
      <c r="V64" s="165"/>
      <c r="W64" s="179"/>
      <c r="X64" s="181" t="e">
        <f t="shared" si="5"/>
        <v>#N/A</v>
      </c>
      <c r="Y64" s="410"/>
      <c r="Z64" s="181"/>
      <c r="AA64" s="165"/>
      <c r="AB64" s="179"/>
      <c r="AC64" s="181" t="e">
        <f t="shared" si="6"/>
        <v>#N/A</v>
      </c>
      <c r="AD64" s="410"/>
      <c r="AE64" s="181"/>
      <c r="AF64" s="165"/>
      <c r="AG64" s="179"/>
      <c r="AH64" s="181" t="e">
        <f t="shared" si="7"/>
        <v>#N/A</v>
      </c>
      <c r="AI64" s="410"/>
      <c r="AJ64" s="181"/>
      <c r="AK64" s="165"/>
      <c r="AL64" s="179"/>
      <c r="AM64" s="181" t="e">
        <f t="shared" si="8"/>
        <v>#N/A</v>
      </c>
      <c r="AN64" s="410"/>
      <c r="AO64" s="181"/>
      <c r="AP64" s="165"/>
      <c r="AQ64" s="165"/>
      <c r="AR64" s="181" t="e">
        <f t="shared" si="9"/>
        <v>#N/A</v>
      </c>
      <c r="AS64" s="410"/>
      <c r="AT64" s="181"/>
      <c r="AU64" s="165"/>
      <c r="AV64" s="165"/>
      <c r="AW64" s="181" t="e">
        <f t="shared" si="10"/>
        <v>#N/A</v>
      </c>
      <c r="AX64" s="410"/>
    </row>
    <row r="65" spans="2:50">
      <c r="B65" s="419"/>
      <c r="C65" s="181">
        <v>24</v>
      </c>
      <c r="D65" s="181"/>
      <c r="E65" s="181"/>
      <c r="F65" s="181"/>
      <c r="G65" s="181"/>
      <c r="H65" s="410"/>
      <c r="I65" s="181"/>
      <c r="J65" s="181"/>
      <c r="K65" s="181"/>
      <c r="L65" s="410"/>
      <c r="M65" s="165" t="e">
        <f>RANK(K65, K$42:$K$71)</f>
        <v>#N/A</v>
      </c>
      <c r="N65" s="405"/>
      <c r="O65" s="405"/>
      <c r="P65" s="181"/>
      <c r="Q65" s="181"/>
      <c r="R65" s="181"/>
      <c r="S65" s="181" t="e">
        <f t="shared" si="4"/>
        <v>#N/A</v>
      </c>
      <c r="T65" s="410"/>
      <c r="U65" s="181"/>
      <c r="V65" s="181"/>
      <c r="W65" s="181"/>
      <c r="X65" s="181" t="e">
        <f t="shared" si="5"/>
        <v>#N/A</v>
      </c>
      <c r="Y65" s="410"/>
      <c r="Z65" s="181"/>
      <c r="AA65" s="181"/>
      <c r="AB65" s="181"/>
      <c r="AC65" s="181" t="e">
        <f t="shared" si="6"/>
        <v>#N/A</v>
      </c>
      <c r="AD65" s="410"/>
      <c r="AE65" s="181"/>
      <c r="AF65" s="181"/>
      <c r="AG65" s="181"/>
      <c r="AH65" s="181" t="e">
        <f t="shared" si="7"/>
        <v>#N/A</v>
      </c>
      <c r="AI65" s="410"/>
      <c r="AJ65" s="181"/>
      <c r="AK65" s="181"/>
      <c r="AL65" s="181"/>
      <c r="AM65" s="181" t="e">
        <f t="shared" si="8"/>
        <v>#N/A</v>
      </c>
      <c r="AN65" s="410"/>
      <c r="AO65" s="181"/>
      <c r="AP65" s="181"/>
      <c r="AQ65" s="181"/>
      <c r="AR65" s="181" t="e">
        <f t="shared" si="9"/>
        <v>#N/A</v>
      </c>
      <c r="AS65" s="410"/>
      <c r="AT65" s="181"/>
      <c r="AU65" s="181"/>
      <c r="AV65" s="181"/>
      <c r="AW65" s="181" t="e">
        <f t="shared" si="10"/>
        <v>#N/A</v>
      </c>
      <c r="AX65" s="410"/>
    </row>
    <row r="66" spans="2:50">
      <c r="B66" s="419"/>
      <c r="C66" s="181">
        <v>25</v>
      </c>
      <c r="D66" s="181"/>
      <c r="E66" s="181"/>
      <c r="F66" s="181"/>
      <c r="G66" s="181"/>
      <c r="H66" s="410"/>
      <c r="I66" s="181"/>
      <c r="J66" s="181"/>
      <c r="K66" s="181"/>
      <c r="L66" s="410"/>
      <c r="M66" s="165" t="e">
        <f>RANK(K66, K$42:$K$71)</f>
        <v>#N/A</v>
      </c>
      <c r="N66" s="405"/>
      <c r="O66" s="405"/>
      <c r="P66" s="181"/>
      <c r="Q66" s="181"/>
      <c r="R66" s="181"/>
      <c r="S66" s="181" t="e">
        <f t="shared" si="4"/>
        <v>#N/A</v>
      </c>
      <c r="T66" s="410"/>
      <c r="U66" s="181"/>
      <c r="V66" s="181"/>
      <c r="W66" s="181"/>
      <c r="X66" s="181" t="e">
        <f t="shared" si="5"/>
        <v>#N/A</v>
      </c>
      <c r="Y66" s="410"/>
      <c r="Z66" s="181"/>
      <c r="AA66" s="181"/>
      <c r="AB66" s="181"/>
      <c r="AC66" s="181" t="e">
        <f t="shared" si="6"/>
        <v>#N/A</v>
      </c>
      <c r="AD66" s="410"/>
      <c r="AE66" s="181"/>
      <c r="AF66" s="181"/>
      <c r="AG66" s="181"/>
      <c r="AH66" s="181" t="e">
        <f t="shared" si="7"/>
        <v>#N/A</v>
      </c>
      <c r="AI66" s="410"/>
      <c r="AJ66" s="181"/>
      <c r="AK66" s="181"/>
      <c r="AL66" s="181"/>
      <c r="AM66" s="181" t="e">
        <f t="shared" si="8"/>
        <v>#N/A</v>
      </c>
      <c r="AN66" s="410"/>
      <c r="AO66" s="181"/>
      <c r="AP66" s="181"/>
      <c r="AQ66" s="181"/>
      <c r="AR66" s="181" t="e">
        <f t="shared" si="9"/>
        <v>#N/A</v>
      </c>
      <c r="AS66" s="410"/>
      <c r="AT66" s="181"/>
      <c r="AU66" s="181"/>
      <c r="AV66" s="181"/>
      <c r="AW66" s="181" t="e">
        <f t="shared" si="10"/>
        <v>#N/A</v>
      </c>
      <c r="AX66" s="410"/>
    </row>
    <row r="67" spans="2:50">
      <c r="B67" s="419"/>
      <c r="C67" s="181">
        <v>26</v>
      </c>
      <c r="D67" s="181"/>
      <c r="E67" s="181"/>
      <c r="F67" s="181"/>
      <c r="G67" s="181"/>
      <c r="H67" s="410"/>
      <c r="I67" s="181"/>
      <c r="J67" s="181"/>
      <c r="K67" s="181"/>
      <c r="L67" s="410"/>
      <c r="M67" s="165" t="e">
        <f>RANK(K67, K$42:$K$71)</f>
        <v>#N/A</v>
      </c>
      <c r="N67" s="405"/>
      <c r="O67" s="405"/>
      <c r="P67" s="181"/>
      <c r="Q67" s="181"/>
      <c r="R67" s="181"/>
      <c r="S67" s="181" t="e">
        <f t="shared" si="4"/>
        <v>#N/A</v>
      </c>
      <c r="T67" s="410"/>
      <c r="U67" s="181"/>
      <c r="V67" s="181"/>
      <c r="W67" s="181"/>
      <c r="X67" s="181" t="e">
        <f t="shared" si="5"/>
        <v>#N/A</v>
      </c>
      <c r="Y67" s="410"/>
      <c r="Z67" s="181"/>
      <c r="AA67" s="181"/>
      <c r="AB67" s="181"/>
      <c r="AC67" s="181" t="e">
        <f t="shared" si="6"/>
        <v>#N/A</v>
      </c>
      <c r="AD67" s="410"/>
      <c r="AE67" s="181"/>
      <c r="AF67" s="181"/>
      <c r="AG67" s="181"/>
      <c r="AH67" s="181" t="e">
        <f t="shared" si="7"/>
        <v>#N/A</v>
      </c>
      <c r="AI67" s="410"/>
      <c r="AJ67" s="181"/>
      <c r="AK67" s="181"/>
      <c r="AL67" s="181"/>
      <c r="AM67" s="181" t="e">
        <f t="shared" si="8"/>
        <v>#N/A</v>
      </c>
      <c r="AN67" s="410"/>
      <c r="AO67" s="181"/>
      <c r="AP67" s="181"/>
      <c r="AQ67" s="181"/>
      <c r="AR67" s="181" t="e">
        <f t="shared" si="9"/>
        <v>#N/A</v>
      </c>
      <c r="AS67" s="410"/>
      <c r="AT67" s="181"/>
      <c r="AU67" s="181"/>
      <c r="AV67" s="181"/>
      <c r="AW67" s="181" t="e">
        <f t="shared" si="10"/>
        <v>#N/A</v>
      </c>
      <c r="AX67" s="410"/>
    </row>
    <row r="68" spans="2:50">
      <c r="B68" s="419"/>
      <c r="C68" s="181">
        <v>27</v>
      </c>
      <c r="D68" s="181"/>
      <c r="E68" s="181"/>
      <c r="F68" s="181"/>
      <c r="G68" s="181"/>
      <c r="H68" s="410"/>
      <c r="I68" s="181"/>
      <c r="J68" s="181"/>
      <c r="K68" s="181"/>
      <c r="L68" s="410"/>
      <c r="M68" s="165" t="e">
        <f>RANK(K68, K$42:$K$71)</f>
        <v>#N/A</v>
      </c>
      <c r="N68" s="405"/>
      <c r="O68" s="405"/>
      <c r="P68" s="181"/>
      <c r="Q68" s="181"/>
      <c r="R68" s="181"/>
      <c r="S68" s="181" t="e">
        <f t="shared" si="4"/>
        <v>#N/A</v>
      </c>
      <c r="T68" s="410"/>
      <c r="U68" s="181"/>
      <c r="V68" s="181"/>
      <c r="W68" s="181"/>
      <c r="X68" s="181" t="e">
        <f t="shared" si="5"/>
        <v>#N/A</v>
      </c>
      <c r="Y68" s="410"/>
      <c r="Z68" s="181"/>
      <c r="AA68" s="181"/>
      <c r="AB68" s="181"/>
      <c r="AC68" s="181" t="e">
        <f t="shared" si="6"/>
        <v>#N/A</v>
      </c>
      <c r="AD68" s="410"/>
      <c r="AE68" s="181"/>
      <c r="AF68" s="181"/>
      <c r="AG68" s="181"/>
      <c r="AH68" s="181" t="e">
        <f t="shared" si="7"/>
        <v>#N/A</v>
      </c>
      <c r="AI68" s="410"/>
      <c r="AJ68" s="181"/>
      <c r="AK68" s="181"/>
      <c r="AL68" s="181"/>
      <c r="AM68" s="181" t="e">
        <f t="shared" si="8"/>
        <v>#N/A</v>
      </c>
      <c r="AN68" s="410"/>
      <c r="AO68" s="181"/>
      <c r="AP68" s="181"/>
      <c r="AQ68" s="181"/>
      <c r="AR68" s="181" t="e">
        <f t="shared" si="9"/>
        <v>#N/A</v>
      </c>
      <c r="AS68" s="410"/>
      <c r="AT68" s="181"/>
      <c r="AU68" s="181"/>
      <c r="AV68" s="181"/>
      <c r="AW68" s="181" t="e">
        <f t="shared" si="10"/>
        <v>#N/A</v>
      </c>
      <c r="AX68" s="410"/>
    </row>
    <row r="69" spans="2:50">
      <c r="B69" s="419"/>
      <c r="C69" s="181">
        <v>28</v>
      </c>
      <c r="D69" s="181"/>
      <c r="E69" s="181"/>
      <c r="F69" s="181"/>
      <c r="G69" s="181"/>
      <c r="H69" s="410"/>
      <c r="I69" s="181"/>
      <c r="J69" s="181"/>
      <c r="K69" s="181"/>
      <c r="L69" s="410"/>
      <c r="M69" s="165" t="e">
        <f>RANK(K69, K$42:$K$71)</f>
        <v>#N/A</v>
      </c>
      <c r="N69" s="405"/>
      <c r="O69" s="405"/>
      <c r="P69" s="181"/>
      <c r="Q69" s="181"/>
      <c r="R69" s="181"/>
      <c r="S69" s="181" t="e">
        <f t="shared" si="4"/>
        <v>#N/A</v>
      </c>
      <c r="T69" s="410"/>
      <c r="U69" s="181"/>
      <c r="V69" s="181"/>
      <c r="W69" s="181"/>
      <c r="X69" s="181" t="e">
        <f t="shared" si="5"/>
        <v>#N/A</v>
      </c>
      <c r="Y69" s="410"/>
      <c r="Z69" s="181"/>
      <c r="AA69" s="181"/>
      <c r="AB69" s="181"/>
      <c r="AC69" s="181" t="e">
        <f t="shared" si="6"/>
        <v>#N/A</v>
      </c>
      <c r="AD69" s="410"/>
      <c r="AE69" s="181"/>
      <c r="AF69" s="181"/>
      <c r="AG69" s="181"/>
      <c r="AH69" s="181" t="e">
        <f t="shared" si="7"/>
        <v>#N/A</v>
      </c>
      <c r="AI69" s="410"/>
      <c r="AJ69" s="181"/>
      <c r="AK69" s="181"/>
      <c r="AL69" s="181"/>
      <c r="AM69" s="181" t="e">
        <f t="shared" si="8"/>
        <v>#N/A</v>
      </c>
      <c r="AN69" s="410"/>
      <c r="AO69" s="181"/>
      <c r="AP69" s="181"/>
      <c r="AQ69" s="181"/>
      <c r="AR69" s="181" t="e">
        <f t="shared" si="9"/>
        <v>#N/A</v>
      </c>
      <c r="AS69" s="410"/>
      <c r="AT69" s="181"/>
      <c r="AU69" s="181"/>
      <c r="AV69" s="181"/>
      <c r="AW69" s="181" t="e">
        <f t="shared" si="10"/>
        <v>#N/A</v>
      </c>
      <c r="AX69" s="410"/>
    </row>
    <row r="70" spans="2:50">
      <c r="B70" s="419"/>
      <c r="C70" s="181">
        <v>29</v>
      </c>
      <c r="D70" s="181"/>
      <c r="E70" s="181"/>
      <c r="F70" s="181"/>
      <c r="G70" s="181"/>
      <c r="H70" s="410"/>
      <c r="I70" s="181"/>
      <c r="J70" s="181"/>
      <c r="K70" s="181"/>
      <c r="L70" s="410"/>
      <c r="M70" s="165" t="e">
        <f>RANK(K70, K$42:$K$71)</f>
        <v>#N/A</v>
      </c>
      <c r="N70" s="405"/>
      <c r="O70" s="405"/>
      <c r="P70" s="181"/>
      <c r="Q70" s="181"/>
      <c r="R70" s="181"/>
      <c r="S70" s="181" t="e">
        <f t="shared" si="4"/>
        <v>#N/A</v>
      </c>
      <c r="T70" s="410"/>
      <c r="U70" s="181"/>
      <c r="V70" s="181"/>
      <c r="W70" s="181"/>
      <c r="X70" s="181" t="e">
        <f t="shared" si="5"/>
        <v>#N/A</v>
      </c>
      <c r="Y70" s="410"/>
      <c r="Z70" s="181"/>
      <c r="AA70" s="181"/>
      <c r="AB70" s="181"/>
      <c r="AC70" s="181" t="e">
        <f t="shared" si="6"/>
        <v>#N/A</v>
      </c>
      <c r="AD70" s="410"/>
      <c r="AE70" s="181"/>
      <c r="AF70" s="181"/>
      <c r="AG70" s="181"/>
      <c r="AH70" s="181" t="e">
        <f t="shared" si="7"/>
        <v>#N/A</v>
      </c>
      <c r="AI70" s="410"/>
      <c r="AJ70" s="181"/>
      <c r="AK70" s="181"/>
      <c r="AL70" s="181"/>
      <c r="AM70" s="181" t="e">
        <f t="shared" si="8"/>
        <v>#N/A</v>
      </c>
      <c r="AN70" s="410"/>
      <c r="AO70" s="181"/>
      <c r="AP70" s="181"/>
      <c r="AQ70" s="181"/>
      <c r="AR70" s="181" t="e">
        <f t="shared" si="9"/>
        <v>#N/A</v>
      </c>
      <c r="AS70" s="410"/>
      <c r="AT70" s="181"/>
      <c r="AU70" s="181"/>
      <c r="AV70" s="181"/>
      <c r="AW70" s="181" t="e">
        <f t="shared" si="10"/>
        <v>#N/A</v>
      </c>
      <c r="AX70" s="410"/>
    </row>
    <row r="71" spans="2:50">
      <c r="B71" s="420"/>
      <c r="C71" s="181">
        <v>30</v>
      </c>
      <c r="D71" s="181"/>
      <c r="E71" s="181"/>
      <c r="F71" s="181"/>
      <c r="G71" s="181"/>
      <c r="H71" s="411"/>
      <c r="I71" s="181"/>
      <c r="J71" s="181"/>
      <c r="K71" s="181"/>
      <c r="L71" s="411"/>
      <c r="M71" s="165" t="e">
        <f>RANK(K71, K$42:$K$71)</f>
        <v>#N/A</v>
      </c>
      <c r="N71" s="398"/>
      <c r="O71" s="398"/>
      <c r="P71" s="181"/>
      <c r="Q71" s="181"/>
      <c r="R71" s="181"/>
      <c r="S71" s="181" t="e">
        <f t="shared" si="4"/>
        <v>#N/A</v>
      </c>
      <c r="T71" s="411"/>
      <c r="U71" s="181"/>
      <c r="V71" s="181"/>
      <c r="W71" s="181"/>
      <c r="X71" s="181" t="e">
        <f t="shared" si="5"/>
        <v>#N/A</v>
      </c>
      <c r="Y71" s="411"/>
      <c r="Z71" s="181"/>
      <c r="AA71" s="181"/>
      <c r="AB71" s="181"/>
      <c r="AC71" s="181" t="e">
        <f t="shared" si="6"/>
        <v>#N/A</v>
      </c>
      <c r="AD71" s="411"/>
      <c r="AE71" s="181"/>
      <c r="AF71" s="181"/>
      <c r="AG71" s="181"/>
      <c r="AH71" s="181" t="e">
        <f t="shared" si="7"/>
        <v>#N/A</v>
      </c>
      <c r="AI71" s="411"/>
      <c r="AJ71" s="181"/>
      <c r="AK71" s="181"/>
      <c r="AL71" s="181"/>
      <c r="AM71" s="181" t="e">
        <f t="shared" si="8"/>
        <v>#N/A</v>
      </c>
      <c r="AN71" s="411"/>
      <c r="AO71" s="181"/>
      <c r="AP71" s="181"/>
      <c r="AQ71" s="181"/>
      <c r="AR71" s="181" t="e">
        <f t="shared" si="9"/>
        <v>#N/A</v>
      </c>
      <c r="AS71" s="411"/>
      <c r="AT71" s="181"/>
      <c r="AU71" s="181"/>
      <c r="AV71" s="181"/>
      <c r="AW71" s="181" t="e">
        <f t="shared" si="10"/>
        <v>#N/A</v>
      </c>
      <c r="AX71" s="411"/>
    </row>
    <row r="72" spans="2:50" ht="15.75">
      <c r="B72" s="424" t="s">
        <v>187</v>
      </c>
      <c r="C72" s="425"/>
      <c r="D72" s="425"/>
      <c r="E72" s="425"/>
      <c r="F72" s="425"/>
      <c r="G72" s="425"/>
      <c r="H72" s="425"/>
      <c r="I72" s="185"/>
      <c r="J72" s="182"/>
      <c r="K72" s="185"/>
      <c r="L72" s="185"/>
      <c r="M72" s="177"/>
      <c r="N72" s="397" t="s">
        <v>188</v>
      </c>
      <c r="O72" s="397" t="s">
        <v>135</v>
      </c>
      <c r="P72" s="399">
        <f>P37+7</f>
        <v>45909</v>
      </c>
      <c r="Q72" s="400"/>
      <c r="R72" s="400"/>
      <c r="S72" s="400"/>
      <c r="T72" s="400"/>
      <c r="U72" s="426">
        <f>P72+1</f>
        <v>45910</v>
      </c>
      <c r="V72" s="427"/>
      <c r="W72" s="427"/>
      <c r="X72" s="427"/>
      <c r="Y72" s="428"/>
      <c r="Z72" s="426">
        <f>U72+1</f>
        <v>45911</v>
      </c>
      <c r="AA72" s="427"/>
      <c r="AB72" s="427"/>
      <c r="AC72" s="427"/>
      <c r="AD72" s="428"/>
      <c r="AE72" s="426">
        <f>Z72+1</f>
        <v>45912</v>
      </c>
      <c r="AF72" s="427"/>
      <c r="AG72" s="427"/>
      <c r="AH72" s="427"/>
      <c r="AI72" s="428"/>
      <c r="AJ72" s="426">
        <f>AE72+1</f>
        <v>45913</v>
      </c>
      <c r="AK72" s="427"/>
      <c r="AL72" s="427"/>
      <c r="AM72" s="427"/>
      <c r="AN72" s="428"/>
      <c r="AO72" s="426">
        <f>AJ72+1</f>
        <v>45914</v>
      </c>
      <c r="AP72" s="427"/>
      <c r="AQ72" s="427"/>
      <c r="AR72" s="427"/>
      <c r="AS72" s="428"/>
      <c r="AT72" s="426">
        <f>AO72+1</f>
        <v>45915</v>
      </c>
      <c r="AU72" s="427"/>
      <c r="AV72" s="427"/>
      <c r="AW72" s="427"/>
      <c r="AX72" s="428"/>
    </row>
    <row r="73" spans="2:50" ht="15.75">
      <c r="B73" s="396"/>
      <c r="C73" s="396"/>
      <c r="D73" s="396"/>
      <c r="E73" s="396"/>
      <c r="F73" s="396"/>
      <c r="G73" s="396"/>
      <c r="H73" s="396"/>
      <c r="I73" s="183"/>
      <c r="J73" s="183"/>
      <c r="K73" s="183"/>
      <c r="L73" s="183"/>
      <c r="M73" s="178"/>
      <c r="N73" s="398"/>
      <c r="O73" s="398"/>
      <c r="P73" s="399" t="s">
        <v>223</v>
      </c>
      <c r="Q73" s="400"/>
      <c r="R73" s="400"/>
      <c r="S73" s="400"/>
      <c r="T73" s="400"/>
      <c r="U73" s="399" t="s">
        <v>224</v>
      </c>
      <c r="V73" s="400"/>
      <c r="W73" s="400"/>
      <c r="X73" s="400"/>
      <c r="Y73" s="400"/>
      <c r="Z73" s="399" t="s">
        <v>225</v>
      </c>
      <c r="AA73" s="400"/>
      <c r="AB73" s="400"/>
      <c r="AC73" s="400"/>
      <c r="AD73" s="400"/>
      <c r="AE73" s="399" t="s">
        <v>226</v>
      </c>
      <c r="AF73" s="400"/>
      <c r="AG73" s="400"/>
      <c r="AH73" s="400"/>
      <c r="AI73" s="400"/>
      <c r="AJ73" s="399" t="s">
        <v>227</v>
      </c>
      <c r="AK73" s="400"/>
      <c r="AL73" s="400"/>
      <c r="AM73" s="400"/>
      <c r="AN73" s="400"/>
      <c r="AO73" s="399" t="s">
        <v>142</v>
      </c>
      <c r="AP73" s="400"/>
      <c r="AQ73" s="400"/>
      <c r="AR73" s="400"/>
      <c r="AS73" s="400"/>
      <c r="AT73" s="399" t="s">
        <v>189</v>
      </c>
      <c r="AU73" s="400"/>
      <c r="AV73" s="400"/>
      <c r="AW73" s="400"/>
      <c r="AX73" s="400"/>
    </row>
    <row r="74" spans="2:50">
      <c r="B74" s="397" t="s">
        <v>190</v>
      </c>
      <c r="C74" s="402" t="s">
        <v>191</v>
      </c>
      <c r="D74" s="421"/>
      <c r="E74" s="406" t="s">
        <v>192</v>
      </c>
      <c r="F74" s="407"/>
      <c r="G74" s="408"/>
      <c r="H74" s="397" t="s">
        <v>193</v>
      </c>
      <c r="I74" s="406" t="s">
        <v>194</v>
      </c>
      <c r="J74" s="407"/>
      <c r="K74" s="408"/>
      <c r="L74" s="397" t="s">
        <v>193</v>
      </c>
      <c r="M74" s="397" t="s">
        <v>195</v>
      </c>
      <c r="N74" s="397"/>
      <c r="O74" s="397" t="s">
        <v>196</v>
      </c>
      <c r="P74" s="406" t="s">
        <v>197</v>
      </c>
      <c r="Q74" s="407"/>
      <c r="R74" s="407"/>
      <c r="S74" s="408"/>
      <c r="T74" s="397" t="s">
        <v>193</v>
      </c>
      <c r="U74" s="406" t="s">
        <v>197</v>
      </c>
      <c r="V74" s="407"/>
      <c r="W74" s="407"/>
      <c r="X74" s="408"/>
      <c r="Y74" s="397" t="s">
        <v>193</v>
      </c>
      <c r="Z74" s="406" t="s">
        <v>197</v>
      </c>
      <c r="AA74" s="407"/>
      <c r="AB74" s="407"/>
      <c r="AC74" s="408"/>
      <c r="AD74" s="397" t="s">
        <v>193</v>
      </c>
      <c r="AE74" s="406" t="s">
        <v>197</v>
      </c>
      <c r="AF74" s="407"/>
      <c r="AG74" s="407"/>
      <c r="AH74" s="408"/>
      <c r="AI74" s="397" t="s">
        <v>193</v>
      </c>
      <c r="AJ74" s="406" t="s">
        <v>197</v>
      </c>
      <c r="AK74" s="407"/>
      <c r="AL74" s="407"/>
      <c r="AM74" s="408"/>
      <c r="AN74" s="397" t="s">
        <v>193</v>
      </c>
      <c r="AO74" s="406" t="s">
        <v>197</v>
      </c>
      <c r="AP74" s="407"/>
      <c r="AQ74" s="407"/>
      <c r="AR74" s="408"/>
      <c r="AS74" s="397" t="s">
        <v>193</v>
      </c>
      <c r="AT74" s="406" t="s">
        <v>197</v>
      </c>
      <c r="AU74" s="407"/>
      <c r="AV74" s="407"/>
      <c r="AW74" s="408"/>
      <c r="AX74" s="397" t="s">
        <v>193</v>
      </c>
    </row>
    <row r="75" spans="2:50">
      <c r="B75" s="405"/>
      <c r="C75" s="403"/>
      <c r="D75" s="422"/>
      <c r="E75" s="406" t="s">
        <v>198</v>
      </c>
      <c r="F75" s="407"/>
      <c r="G75" s="408"/>
      <c r="H75" s="405"/>
      <c r="I75" s="406" t="s">
        <v>198</v>
      </c>
      <c r="J75" s="407"/>
      <c r="K75" s="408"/>
      <c r="L75" s="405"/>
      <c r="M75" s="405"/>
      <c r="N75" s="405"/>
      <c r="O75" s="405"/>
      <c r="P75" s="406" t="s">
        <v>199</v>
      </c>
      <c r="Q75" s="407"/>
      <c r="R75" s="407"/>
      <c r="S75" s="408"/>
      <c r="T75" s="405"/>
      <c r="U75" s="406" t="s">
        <v>199</v>
      </c>
      <c r="V75" s="407"/>
      <c r="W75" s="407"/>
      <c r="X75" s="408"/>
      <c r="Y75" s="405"/>
      <c r="Z75" s="406" t="s">
        <v>199</v>
      </c>
      <c r="AA75" s="407"/>
      <c r="AB75" s="407"/>
      <c r="AC75" s="408"/>
      <c r="AD75" s="405"/>
      <c r="AE75" s="406" t="s">
        <v>199</v>
      </c>
      <c r="AF75" s="407"/>
      <c r="AG75" s="407"/>
      <c r="AH75" s="408"/>
      <c r="AI75" s="405"/>
      <c r="AJ75" s="406" t="s">
        <v>199</v>
      </c>
      <c r="AK75" s="407"/>
      <c r="AL75" s="407"/>
      <c r="AM75" s="408"/>
      <c r="AN75" s="405"/>
      <c r="AO75" s="406" t="s">
        <v>199</v>
      </c>
      <c r="AP75" s="407"/>
      <c r="AQ75" s="407"/>
      <c r="AR75" s="408"/>
      <c r="AS75" s="405"/>
      <c r="AT75" s="406" t="s">
        <v>199</v>
      </c>
      <c r="AU75" s="407"/>
      <c r="AV75" s="407"/>
      <c r="AW75" s="408"/>
      <c r="AX75" s="405"/>
    </row>
    <row r="76" spans="2:50">
      <c r="B76" s="398"/>
      <c r="C76" s="404"/>
      <c r="D76" s="423"/>
      <c r="E76" s="234" t="s">
        <v>200</v>
      </c>
      <c r="F76" s="234" t="s">
        <v>201</v>
      </c>
      <c r="G76" s="234" t="s">
        <v>202</v>
      </c>
      <c r="H76" s="398"/>
      <c r="I76" s="234" t="s">
        <v>200</v>
      </c>
      <c r="J76" s="234" t="s">
        <v>201</v>
      </c>
      <c r="K76" s="234" t="s">
        <v>202</v>
      </c>
      <c r="L76" s="398"/>
      <c r="M76" s="398"/>
      <c r="N76" s="405"/>
      <c r="O76" s="405"/>
      <c r="P76" s="234" t="s">
        <v>200</v>
      </c>
      <c r="Q76" s="234" t="s">
        <v>201</v>
      </c>
      <c r="R76" s="234" t="s">
        <v>202</v>
      </c>
      <c r="S76" s="234" t="s">
        <v>195</v>
      </c>
      <c r="T76" s="398"/>
      <c r="U76" s="234" t="s">
        <v>200</v>
      </c>
      <c r="V76" s="234" t="s">
        <v>201</v>
      </c>
      <c r="W76" s="234" t="s">
        <v>202</v>
      </c>
      <c r="X76" s="234" t="s">
        <v>195</v>
      </c>
      <c r="Y76" s="398"/>
      <c r="Z76" s="234" t="s">
        <v>200</v>
      </c>
      <c r="AA76" s="234" t="s">
        <v>201</v>
      </c>
      <c r="AB76" s="234" t="s">
        <v>202</v>
      </c>
      <c r="AC76" s="234" t="s">
        <v>195</v>
      </c>
      <c r="AD76" s="398"/>
      <c r="AE76" s="234" t="s">
        <v>200</v>
      </c>
      <c r="AF76" s="234" t="s">
        <v>201</v>
      </c>
      <c r="AG76" s="234" t="s">
        <v>202</v>
      </c>
      <c r="AH76" s="234" t="s">
        <v>195</v>
      </c>
      <c r="AI76" s="398"/>
      <c r="AJ76" s="234" t="s">
        <v>200</v>
      </c>
      <c r="AK76" s="234" t="s">
        <v>201</v>
      </c>
      <c r="AL76" s="234" t="s">
        <v>202</v>
      </c>
      <c r="AM76" s="234" t="s">
        <v>195</v>
      </c>
      <c r="AN76" s="398"/>
      <c r="AO76" s="234" t="s">
        <v>200</v>
      </c>
      <c r="AP76" s="234" t="s">
        <v>201</v>
      </c>
      <c r="AQ76" s="234" t="s">
        <v>202</v>
      </c>
      <c r="AR76" s="234" t="s">
        <v>195</v>
      </c>
      <c r="AS76" s="398"/>
      <c r="AT76" s="234" t="s">
        <v>200</v>
      </c>
      <c r="AU76" s="234" t="s">
        <v>201</v>
      </c>
      <c r="AV76" s="234" t="s">
        <v>202</v>
      </c>
      <c r="AW76" s="234" t="s">
        <v>195</v>
      </c>
      <c r="AX76" s="398"/>
    </row>
    <row r="77" spans="2:50">
      <c r="B77" s="418" t="s">
        <v>203</v>
      </c>
      <c r="C77" s="181">
        <v>1</v>
      </c>
      <c r="D77" s="181" t="s">
        <v>204</v>
      </c>
      <c r="E77" s="181">
        <v>4</v>
      </c>
      <c r="F77" s="181">
        <v>2200</v>
      </c>
      <c r="G77" s="181">
        <v>550</v>
      </c>
      <c r="H77" s="409">
        <f>AVERAGE(G77:G106)</f>
        <v>892.0454545454545</v>
      </c>
      <c r="I77" s="165">
        <f>AVERAGE(P77,U77,Z77,AE77,AJ77,AO77,AT77)</f>
        <v>4</v>
      </c>
      <c r="J77" s="165">
        <f>AVERAGE(Q77,V77,AA77,AF77,AK77,AP77,AU77)</f>
        <v>1995.7327476299445</v>
      </c>
      <c r="K77" s="179">
        <f>AVERAGE(R77,W77,AB77,AG77,AL77,AQ77,AV77)</f>
        <v>498.93318690748612</v>
      </c>
      <c r="L77" s="409">
        <f>IFERROR(AVERAGE(K77:K106),"-")</f>
        <v>719.25017684589341</v>
      </c>
      <c r="M77" s="165">
        <f>RANK(K77, K$77:$K$106)</f>
        <v>22</v>
      </c>
      <c r="N77" s="405"/>
      <c r="O77" s="405"/>
      <c r="P77" s="165">
        <v>4</v>
      </c>
      <c r="Q77" s="165">
        <v>2000.21052631579</v>
      </c>
      <c r="R77" s="165">
        <v>500.05263157894751</v>
      </c>
      <c r="S77" s="181">
        <f>RANK(R77, R$77:R$106)</f>
        <v>22</v>
      </c>
      <c r="T77" s="409">
        <f>AVERAGE(R77:R106)</f>
        <v>716.94184872425546</v>
      </c>
      <c r="U77" s="165">
        <v>4</v>
      </c>
      <c r="V77" s="165">
        <v>1998.9473684210527</v>
      </c>
      <c r="W77" s="165">
        <v>499.73684210526318</v>
      </c>
      <c r="X77" s="181">
        <f>RANK(W77, W$77:W$106)</f>
        <v>22</v>
      </c>
      <c r="Y77" s="409">
        <f>AVERAGE(W77:W106)</f>
        <v>715.3280974026236</v>
      </c>
      <c r="Z77" s="165">
        <v>4</v>
      </c>
      <c r="AA77" s="165">
        <v>2000.2173913043471</v>
      </c>
      <c r="AB77" s="165">
        <v>500.05434782608677</v>
      </c>
      <c r="AC77" s="181">
        <f>RANK(AB77, AB$77:AB$106)</f>
        <v>22</v>
      </c>
      <c r="AD77" s="409">
        <f>AVERAGE(AB77:AB106)</f>
        <v>728.15098961848048</v>
      </c>
      <c r="AE77" s="165">
        <v>4</v>
      </c>
      <c r="AF77" s="165">
        <v>1976.8000000000009</v>
      </c>
      <c r="AG77" s="165">
        <v>494.20000000000022</v>
      </c>
      <c r="AH77" s="181">
        <f>RANK(AG77, AG$77:AG$106)</f>
        <v>22</v>
      </c>
      <c r="AI77" s="409">
        <f>AVERAGE(AG77:AG106)</f>
        <v>724.96186149576943</v>
      </c>
      <c r="AJ77" s="165">
        <v>4</v>
      </c>
      <c r="AK77" s="165">
        <v>1989.9999999999991</v>
      </c>
      <c r="AL77" s="165">
        <v>497.49999999999977</v>
      </c>
      <c r="AM77" s="181">
        <f>RANK(AL77, AL$77:AL$106)</f>
        <v>22</v>
      </c>
      <c r="AN77" s="409">
        <f>AVERAGE(AL77:AL106)</f>
        <v>711.55242913345728</v>
      </c>
      <c r="AO77" s="165">
        <v>4</v>
      </c>
      <c r="AP77" s="165">
        <v>2004.3749999999995</v>
      </c>
      <c r="AQ77" s="165">
        <v>501.09374999999989</v>
      </c>
      <c r="AR77" s="181">
        <f>RANK(AQ77, AQ$77:AQ$106)</f>
        <v>22</v>
      </c>
      <c r="AS77" s="409">
        <f>AVERAGE(AQ77:AQ106)</f>
        <v>719.99883032464948</v>
      </c>
      <c r="AT77" s="165">
        <v>4</v>
      </c>
      <c r="AU77" s="165">
        <v>1999.5789473684206</v>
      </c>
      <c r="AV77" s="165">
        <v>499.89473684210515</v>
      </c>
      <c r="AW77" s="181">
        <f>RANK(AV77, AV$77:AV$106)</f>
        <v>22</v>
      </c>
      <c r="AX77" s="409">
        <f>AVERAGE(AV77:AV106)</f>
        <v>717.81718122201676</v>
      </c>
    </row>
    <row r="78" spans="2:50">
      <c r="B78" s="419"/>
      <c r="C78" s="181">
        <v>2</v>
      </c>
      <c r="D78" s="181" t="s">
        <v>205</v>
      </c>
      <c r="E78" s="181">
        <v>3</v>
      </c>
      <c r="F78" s="181">
        <v>2700</v>
      </c>
      <c r="G78" s="181">
        <v>900</v>
      </c>
      <c r="H78" s="410"/>
      <c r="I78" s="165">
        <f t="shared" ref="I78:I95" si="14">AVERAGE(P78,U78,Z78,AE78,AJ78,AO78,AT78)</f>
        <v>3</v>
      </c>
      <c r="J78" s="165">
        <f t="shared" ref="J78:J95" si="15">AVERAGE(Q78,V78,AA78,AF78,AK78,AP78,AU78)</f>
        <v>2667.3800140745948</v>
      </c>
      <c r="K78" s="179">
        <f t="shared" ref="K78:K95" si="16">AVERAGE(R78,W78,AB78,AG78,AL78,AQ78,AV78)</f>
        <v>889.12667135819822</v>
      </c>
      <c r="L78" s="410"/>
      <c r="M78" s="165">
        <f>RANK(K78, K$77:$K$106)</f>
        <v>3</v>
      </c>
      <c r="N78" s="405"/>
      <c r="O78" s="405"/>
      <c r="P78" s="165">
        <v>3</v>
      </c>
      <c r="Q78" s="165">
        <v>2669.1428571428542</v>
      </c>
      <c r="R78" s="165">
        <v>889.71428571428476</v>
      </c>
      <c r="S78" s="181">
        <f t="shared" ref="S78:S106" si="17">RANK(R78, R$77:R$106)</f>
        <v>3</v>
      </c>
      <c r="T78" s="410"/>
      <c r="U78" s="165">
        <v>3</v>
      </c>
      <c r="V78" s="165">
        <v>2685.0000000000005</v>
      </c>
      <c r="W78" s="165">
        <v>895.00000000000011</v>
      </c>
      <c r="X78" s="181">
        <f t="shared" ref="X78:X106" si="18">RANK(W78, W$77:W$106)</f>
        <v>2</v>
      </c>
      <c r="Y78" s="410"/>
      <c r="Z78" s="165">
        <v>3</v>
      </c>
      <c r="AA78" s="165">
        <v>2641.7142857142862</v>
      </c>
      <c r="AB78" s="165">
        <v>880.57142857142878</v>
      </c>
      <c r="AC78" s="181">
        <f t="shared" ref="AC78:AC106" si="19">RANK(AB78, AB$77:AB$106)</f>
        <v>3</v>
      </c>
      <c r="AD78" s="410"/>
      <c r="AE78" s="165">
        <v>3</v>
      </c>
      <c r="AF78" s="165">
        <v>2633.7931034482745</v>
      </c>
      <c r="AG78" s="165">
        <v>877.93103448275815</v>
      </c>
      <c r="AH78" s="181">
        <f t="shared" ref="AH78:AH106" si="20">RANK(AG78, AG$77:AG$106)</f>
        <v>4</v>
      </c>
      <c r="AI78" s="410"/>
      <c r="AJ78" s="165">
        <v>3</v>
      </c>
      <c r="AK78" s="165">
        <v>2631.7241379310331</v>
      </c>
      <c r="AL78" s="165">
        <v>877.24137931034431</v>
      </c>
      <c r="AM78" s="181">
        <f t="shared" ref="AM78:AM106" si="21">RANK(AL78, AL$77:AL$106)</f>
        <v>3</v>
      </c>
      <c r="AN78" s="410"/>
      <c r="AO78" s="165">
        <v>3</v>
      </c>
      <c r="AP78" s="165">
        <v>2737.7142857142862</v>
      </c>
      <c r="AQ78" s="165">
        <v>912.57142857142878</v>
      </c>
      <c r="AR78" s="181">
        <f t="shared" ref="AR78:AR106" si="22">RANK(AQ78, AQ$77:AQ$106)</f>
        <v>2</v>
      </c>
      <c r="AS78" s="410"/>
      <c r="AT78" s="165">
        <v>3</v>
      </c>
      <c r="AU78" s="165">
        <v>2672.5714285714289</v>
      </c>
      <c r="AV78" s="165">
        <v>890.857142857143</v>
      </c>
      <c r="AW78" s="181">
        <f t="shared" ref="AW78:AW106" si="23">RANK(AV78, AV$77:AV$106)</f>
        <v>3</v>
      </c>
      <c r="AX78" s="410"/>
    </row>
    <row r="79" spans="2:50">
      <c r="B79" s="419"/>
      <c r="C79" s="181">
        <v>3</v>
      </c>
      <c r="D79" s="181" t="s">
        <v>206</v>
      </c>
      <c r="E79" s="181">
        <v>4</v>
      </c>
      <c r="F79" s="181">
        <v>3600</v>
      </c>
      <c r="G79" s="181">
        <v>900</v>
      </c>
      <c r="H79" s="410"/>
      <c r="I79" s="165">
        <f t="shared" si="14"/>
        <v>4</v>
      </c>
      <c r="J79" s="165">
        <f t="shared" si="15"/>
        <v>2985.4772403718744</v>
      </c>
      <c r="K79" s="179">
        <f t="shared" si="16"/>
        <v>746.36931009296859</v>
      </c>
      <c r="L79" s="410"/>
      <c r="M79" s="165">
        <f>RANK(K79, K$77:$K$106)</f>
        <v>8</v>
      </c>
      <c r="N79" s="405"/>
      <c r="O79" s="405"/>
      <c r="P79" s="165">
        <v>4</v>
      </c>
      <c r="Q79" s="165">
        <v>2978.9473684210507</v>
      </c>
      <c r="R79" s="165">
        <v>744.73684210526267</v>
      </c>
      <c r="S79" s="181">
        <f t="shared" si="17"/>
        <v>8</v>
      </c>
      <c r="T79" s="410"/>
      <c r="U79" s="165">
        <v>4</v>
      </c>
      <c r="V79" s="165">
        <v>3010.9090909090928</v>
      </c>
      <c r="W79" s="165">
        <v>752.7272727272732</v>
      </c>
      <c r="X79" s="181">
        <f t="shared" si="18"/>
        <v>7</v>
      </c>
      <c r="Y79" s="410"/>
      <c r="Z79" s="165">
        <v>4</v>
      </c>
      <c r="AA79" s="165">
        <v>3008.2758620689679</v>
      </c>
      <c r="AB79" s="165">
        <v>752.06896551724196</v>
      </c>
      <c r="AC79" s="181">
        <f t="shared" si="19"/>
        <v>9</v>
      </c>
      <c r="AD79" s="410"/>
      <c r="AE79" s="165">
        <v>4</v>
      </c>
      <c r="AF79" s="165">
        <v>2995.1999999999962</v>
      </c>
      <c r="AG79" s="165">
        <v>748.79999999999905</v>
      </c>
      <c r="AH79" s="181">
        <f t="shared" si="20"/>
        <v>10</v>
      </c>
      <c r="AI79" s="410"/>
      <c r="AJ79" s="165">
        <v>4</v>
      </c>
      <c r="AK79" s="165">
        <v>2930.7692307692273</v>
      </c>
      <c r="AL79" s="165">
        <v>732.69230769230683</v>
      </c>
      <c r="AM79" s="181">
        <f t="shared" si="21"/>
        <v>10</v>
      </c>
      <c r="AN79" s="410"/>
      <c r="AO79" s="165">
        <v>4</v>
      </c>
      <c r="AP79" s="165">
        <v>2981.739130434783</v>
      </c>
      <c r="AQ79" s="165">
        <v>745.43478260869574</v>
      </c>
      <c r="AR79" s="181">
        <f t="shared" si="22"/>
        <v>10</v>
      </c>
      <c r="AS79" s="410"/>
      <c r="AT79" s="165">
        <v>4</v>
      </c>
      <c r="AU79" s="165">
        <v>2992.5000000000036</v>
      </c>
      <c r="AV79" s="165">
        <v>748.12500000000091</v>
      </c>
      <c r="AW79" s="181">
        <f t="shared" si="23"/>
        <v>7</v>
      </c>
      <c r="AX79" s="410"/>
    </row>
    <row r="80" spans="2:50">
      <c r="B80" s="419"/>
      <c r="C80" s="181">
        <v>4</v>
      </c>
      <c r="D80" s="181" t="s">
        <v>209</v>
      </c>
      <c r="E80" s="181">
        <v>3</v>
      </c>
      <c r="F80" s="181">
        <v>3600</v>
      </c>
      <c r="G80" s="181">
        <v>1200</v>
      </c>
      <c r="H80" s="410"/>
      <c r="I80" s="165">
        <f t="shared" si="14"/>
        <v>3</v>
      </c>
      <c r="J80" s="165">
        <f t="shared" si="15"/>
        <v>2995.366833406265</v>
      </c>
      <c r="K80" s="179">
        <f t="shared" si="16"/>
        <v>998.45561113542169</v>
      </c>
      <c r="L80" s="410"/>
      <c r="M80" s="165">
        <f>RANK(K80, K$77:$K$106)</f>
        <v>1</v>
      </c>
      <c r="N80" s="405"/>
      <c r="O80" s="405"/>
      <c r="P80" s="165">
        <v>3</v>
      </c>
      <c r="Q80" s="165">
        <v>3004.615384615382</v>
      </c>
      <c r="R80" s="165">
        <v>1001.5384615384606</v>
      </c>
      <c r="S80" s="181">
        <f t="shared" si="17"/>
        <v>1</v>
      </c>
      <c r="T80" s="410"/>
      <c r="U80" s="165">
        <v>3</v>
      </c>
      <c r="V80" s="165">
        <v>2975.8695652173915</v>
      </c>
      <c r="W80" s="165">
        <v>991.95652173913049</v>
      </c>
      <c r="X80" s="181">
        <f t="shared" si="18"/>
        <v>1</v>
      </c>
      <c r="Y80" s="410"/>
      <c r="Z80" s="165">
        <v>3</v>
      </c>
      <c r="AA80" s="165">
        <v>2985.168539325844</v>
      </c>
      <c r="AB80" s="165">
        <v>995.05617977528129</v>
      </c>
      <c r="AC80" s="181">
        <f t="shared" si="19"/>
        <v>1</v>
      </c>
      <c r="AD80" s="410"/>
      <c r="AE80" s="165">
        <v>3</v>
      </c>
      <c r="AF80" s="165">
        <v>2979.9999999999986</v>
      </c>
      <c r="AG80" s="165">
        <v>993.33333333333292</v>
      </c>
      <c r="AH80" s="181">
        <f t="shared" si="20"/>
        <v>1</v>
      </c>
      <c r="AI80" s="410"/>
      <c r="AJ80" s="165">
        <v>3</v>
      </c>
      <c r="AK80" s="165">
        <v>2967.3529411764689</v>
      </c>
      <c r="AL80" s="165">
        <v>989.11764705882297</v>
      </c>
      <c r="AM80" s="181">
        <f t="shared" si="21"/>
        <v>1</v>
      </c>
      <c r="AN80" s="410"/>
      <c r="AO80" s="165">
        <v>3</v>
      </c>
      <c r="AP80" s="165">
        <v>3001.8947368421059</v>
      </c>
      <c r="AQ80" s="165">
        <v>1000.6315789473687</v>
      </c>
      <c r="AR80" s="181">
        <f t="shared" si="22"/>
        <v>1</v>
      </c>
      <c r="AS80" s="410"/>
      <c r="AT80" s="165">
        <v>3</v>
      </c>
      <c r="AU80" s="165">
        <v>3052.6666666666679</v>
      </c>
      <c r="AV80" s="165">
        <v>1017.555555555556</v>
      </c>
      <c r="AW80" s="181">
        <f t="shared" si="23"/>
        <v>1</v>
      </c>
      <c r="AX80" s="410"/>
    </row>
    <row r="81" spans="2:50">
      <c r="B81" s="419"/>
      <c r="C81" s="181">
        <v>5</v>
      </c>
      <c r="D81" s="181" t="s">
        <v>208</v>
      </c>
      <c r="E81" s="181">
        <v>3</v>
      </c>
      <c r="F81" s="181">
        <v>3600</v>
      </c>
      <c r="G81" s="181">
        <v>1200</v>
      </c>
      <c r="H81" s="410"/>
      <c r="I81" s="165">
        <f t="shared" si="14"/>
        <v>4</v>
      </c>
      <c r="J81" s="165">
        <f t="shared" si="15"/>
        <v>2965.6925924672164</v>
      </c>
      <c r="K81" s="179">
        <f t="shared" si="16"/>
        <v>741.4231481168041</v>
      </c>
      <c r="L81" s="410"/>
      <c r="M81" s="165">
        <f>RANK(K81, K$77:$K$106)</f>
        <v>10</v>
      </c>
      <c r="N81" s="405"/>
      <c r="O81" s="405"/>
      <c r="P81" s="165">
        <v>4</v>
      </c>
      <c r="Q81" s="165">
        <v>2965.3846153846121</v>
      </c>
      <c r="R81" s="165">
        <v>741.34615384615302</v>
      </c>
      <c r="S81" s="181">
        <f t="shared" si="17"/>
        <v>9</v>
      </c>
      <c r="T81" s="410"/>
      <c r="U81" s="165">
        <v>4</v>
      </c>
      <c r="V81" s="165">
        <v>2967.1698113207563</v>
      </c>
      <c r="W81" s="165">
        <v>741.79245283018906</v>
      </c>
      <c r="X81" s="181">
        <f t="shared" si="18"/>
        <v>10</v>
      </c>
      <c r="Y81" s="410"/>
      <c r="Z81" s="165">
        <v>4</v>
      </c>
      <c r="AA81" s="165">
        <v>3001.2244897959145</v>
      </c>
      <c r="AB81" s="165">
        <v>750.30612244897861</v>
      </c>
      <c r="AC81" s="181">
        <f t="shared" si="19"/>
        <v>10</v>
      </c>
      <c r="AD81" s="410"/>
      <c r="AE81" s="165">
        <v>4</v>
      </c>
      <c r="AF81" s="165">
        <v>2930.7692307692291</v>
      </c>
      <c r="AG81" s="165">
        <v>732.69230769230728</v>
      </c>
      <c r="AH81" s="181">
        <f t="shared" si="20"/>
        <v>11</v>
      </c>
      <c r="AI81" s="410"/>
      <c r="AJ81" s="165">
        <v>4</v>
      </c>
      <c r="AK81" s="165">
        <v>2944.4999999999991</v>
      </c>
      <c r="AL81" s="165">
        <v>736.12499999999977</v>
      </c>
      <c r="AM81" s="181">
        <f t="shared" si="21"/>
        <v>9</v>
      </c>
      <c r="AN81" s="410"/>
      <c r="AO81" s="165">
        <v>4</v>
      </c>
      <c r="AP81" s="165">
        <v>2989.1999999999962</v>
      </c>
      <c r="AQ81" s="165">
        <v>747.29999999999905</v>
      </c>
      <c r="AR81" s="181">
        <f t="shared" si="22"/>
        <v>9</v>
      </c>
      <c r="AS81" s="410"/>
      <c r="AT81" s="165">
        <v>4</v>
      </c>
      <c r="AU81" s="165">
        <v>2961.6000000000058</v>
      </c>
      <c r="AV81" s="165">
        <v>740.40000000000146</v>
      </c>
      <c r="AW81" s="181">
        <f t="shared" si="23"/>
        <v>9</v>
      </c>
      <c r="AX81" s="410"/>
    </row>
    <row r="82" spans="2:50">
      <c r="B82" s="419"/>
      <c r="C82" s="181">
        <v>6</v>
      </c>
      <c r="D82" s="181" t="s">
        <v>207</v>
      </c>
      <c r="E82" s="181">
        <v>4</v>
      </c>
      <c r="F82" s="181">
        <v>3600</v>
      </c>
      <c r="G82" s="181">
        <v>900</v>
      </c>
      <c r="H82" s="410"/>
      <c r="I82" s="165">
        <f t="shared" si="14"/>
        <v>4</v>
      </c>
      <c r="J82" s="165">
        <f t="shared" si="15"/>
        <v>2967.1277340703245</v>
      </c>
      <c r="K82" s="179">
        <f t="shared" si="16"/>
        <v>741.78193351758114</v>
      </c>
      <c r="L82" s="410"/>
      <c r="M82" s="165">
        <f>RANK(K82, K$77:$K$106)</f>
        <v>9</v>
      </c>
      <c r="N82" s="405"/>
      <c r="O82" s="405"/>
      <c r="P82" s="165">
        <v>4</v>
      </c>
      <c r="Q82" s="165">
        <v>2936.1290322580671</v>
      </c>
      <c r="R82" s="165">
        <v>734.03225806451678</v>
      </c>
      <c r="S82" s="181">
        <f t="shared" si="17"/>
        <v>10</v>
      </c>
      <c r="T82" s="410"/>
      <c r="U82" s="165">
        <v>4</v>
      </c>
      <c r="V82" s="165">
        <v>3003.5294117647095</v>
      </c>
      <c r="W82" s="165">
        <v>750.88235294117737</v>
      </c>
      <c r="X82" s="181">
        <f t="shared" si="18"/>
        <v>8</v>
      </c>
      <c r="Y82" s="410"/>
      <c r="Z82" s="165">
        <v>4</v>
      </c>
      <c r="AA82" s="165">
        <v>2968.9655172413818</v>
      </c>
      <c r="AB82" s="165">
        <v>742.24137931034545</v>
      </c>
      <c r="AC82" s="181">
        <f t="shared" si="19"/>
        <v>12</v>
      </c>
      <c r="AD82" s="410"/>
      <c r="AE82" s="165">
        <v>4</v>
      </c>
      <c r="AF82" s="165">
        <v>3008.181818181818</v>
      </c>
      <c r="AG82" s="165">
        <v>752.0454545454545</v>
      </c>
      <c r="AH82" s="181">
        <f t="shared" si="20"/>
        <v>9</v>
      </c>
      <c r="AI82" s="410"/>
      <c r="AJ82" s="165">
        <v>4</v>
      </c>
      <c r="AK82" s="165">
        <v>2945.217391304348</v>
      </c>
      <c r="AL82" s="165">
        <v>736.304347826087</v>
      </c>
      <c r="AM82" s="181">
        <f t="shared" si="21"/>
        <v>8</v>
      </c>
      <c r="AN82" s="410"/>
      <c r="AO82" s="165">
        <v>4</v>
      </c>
      <c r="AP82" s="165">
        <v>2943.8709677419461</v>
      </c>
      <c r="AQ82" s="165">
        <v>735.96774193548652</v>
      </c>
      <c r="AR82" s="181">
        <f t="shared" si="22"/>
        <v>12</v>
      </c>
      <c r="AS82" s="410"/>
      <c r="AT82" s="165">
        <v>4</v>
      </c>
      <c r="AU82" s="165">
        <v>2964.0000000000027</v>
      </c>
      <c r="AV82" s="165">
        <v>741.00000000000068</v>
      </c>
      <c r="AW82" s="181">
        <f t="shared" si="23"/>
        <v>8</v>
      </c>
      <c r="AX82" s="410"/>
    </row>
    <row r="83" spans="2:50">
      <c r="B83" s="419"/>
      <c r="C83" s="181">
        <v>7</v>
      </c>
      <c r="D83" s="181" t="s">
        <v>228</v>
      </c>
      <c r="E83" s="181">
        <v>4</v>
      </c>
      <c r="F83" s="181">
        <v>3600</v>
      </c>
      <c r="G83" s="181">
        <v>900</v>
      </c>
      <c r="H83" s="410"/>
      <c r="I83" s="165">
        <f t="shared" si="14"/>
        <v>4</v>
      </c>
      <c r="J83" s="165">
        <f t="shared" si="15"/>
        <v>2949.3367346938876</v>
      </c>
      <c r="K83" s="179">
        <f t="shared" si="16"/>
        <v>737.3341836734719</v>
      </c>
      <c r="L83" s="410"/>
      <c r="M83" s="165">
        <f>RANK(K83, K$77:$K$106)</f>
        <v>11</v>
      </c>
      <c r="N83" s="405"/>
      <c r="O83" s="405"/>
      <c r="P83" s="165">
        <v>4</v>
      </c>
      <c r="Q83" s="165">
        <v>3022.5000000000105</v>
      </c>
      <c r="R83" s="165">
        <v>755.62500000000261</v>
      </c>
      <c r="S83" s="181">
        <f t="shared" si="17"/>
        <v>7</v>
      </c>
      <c r="T83" s="410"/>
      <c r="U83" s="165">
        <v>4</v>
      </c>
      <c r="V83" s="165">
        <v>2977.5000000000105</v>
      </c>
      <c r="W83" s="165">
        <v>744.37500000000261</v>
      </c>
      <c r="X83" s="181">
        <f t="shared" si="18"/>
        <v>9</v>
      </c>
      <c r="Y83" s="410"/>
      <c r="Z83" s="165">
        <v>4</v>
      </c>
      <c r="AA83" s="165">
        <v>3308.5714285714403</v>
      </c>
      <c r="AB83" s="165">
        <v>827.14285714286007</v>
      </c>
      <c r="AC83" s="181">
        <f t="shared" si="19"/>
        <v>7</v>
      </c>
      <c r="AD83" s="410"/>
      <c r="AE83" s="165">
        <v>4</v>
      </c>
      <c r="AF83" s="165">
        <v>2785.7142857142635</v>
      </c>
      <c r="AG83" s="165">
        <v>696.42857142856587</v>
      </c>
      <c r="AH83" s="181">
        <f t="shared" si="20"/>
        <v>13</v>
      </c>
      <c r="AI83" s="410"/>
      <c r="AJ83" s="165">
        <v>4</v>
      </c>
      <c r="AK83" s="165">
        <v>2648.5714285714685</v>
      </c>
      <c r="AL83" s="165">
        <v>662.14285714286711</v>
      </c>
      <c r="AM83" s="181">
        <f t="shared" si="21"/>
        <v>14</v>
      </c>
      <c r="AN83" s="410"/>
      <c r="AO83" s="165">
        <v>4</v>
      </c>
      <c r="AP83" s="165">
        <v>3000.0000000000105</v>
      </c>
      <c r="AQ83" s="165">
        <v>750.00000000000261</v>
      </c>
      <c r="AR83" s="181">
        <f t="shared" si="22"/>
        <v>8</v>
      </c>
      <c r="AS83" s="410"/>
      <c r="AT83" s="165">
        <v>4</v>
      </c>
      <c r="AU83" s="165">
        <v>2902.50000000001</v>
      </c>
      <c r="AV83" s="165">
        <v>725.6250000000025</v>
      </c>
      <c r="AW83" s="181">
        <f t="shared" si="23"/>
        <v>12</v>
      </c>
      <c r="AX83" s="410"/>
    </row>
    <row r="84" spans="2:50">
      <c r="B84" s="419"/>
      <c r="C84" s="181">
        <v>8</v>
      </c>
      <c r="D84" s="181" t="s">
        <v>229</v>
      </c>
      <c r="E84" s="181">
        <v>4</v>
      </c>
      <c r="F84" s="181">
        <v>3600</v>
      </c>
      <c r="G84" s="181">
        <v>900</v>
      </c>
      <c r="H84" s="410"/>
      <c r="I84" s="165">
        <f t="shared" si="14"/>
        <v>4</v>
      </c>
      <c r="J84" s="165">
        <f t="shared" si="15"/>
        <v>2856.0714285714212</v>
      </c>
      <c r="K84" s="179">
        <f t="shared" si="16"/>
        <v>714.01785714285529</v>
      </c>
      <c r="L84" s="410"/>
      <c r="M84" s="165">
        <f>RANK(K84, K$77:$K$106)</f>
        <v>13</v>
      </c>
      <c r="N84" s="405"/>
      <c r="O84" s="405"/>
      <c r="P84" s="165">
        <v>4</v>
      </c>
      <c r="Q84" s="165">
        <v>2677.5000000000095</v>
      </c>
      <c r="R84" s="165">
        <v>669.37500000000239</v>
      </c>
      <c r="S84" s="181">
        <f t="shared" si="17"/>
        <v>14</v>
      </c>
      <c r="T84" s="410"/>
      <c r="U84" s="165">
        <v>4</v>
      </c>
      <c r="V84" s="165">
        <v>2654.9999999999563</v>
      </c>
      <c r="W84" s="165">
        <v>663.74999999998909</v>
      </c>
      <c r="X84" s="181">
        <f t="shared" si="18"/>
        <v>14</v>
      </c>
      <c r="Y84" s="410"/>
      <c r="Z84" s="165">
        <v>4</v>
      </c>
      <c r="AA84" s="165">
        <v>3350.0000000000123</v>
      </c>
      <c r="AB84" s="165">
        <v>837.50000000000307</v>
      </c>
      <c r="AC84" s="181">
        <f t="shared" si="19"/>
        <v>5</v>
      </c>
      <c r="AD84" s="410"/>
      <c r="AE84" s="165">
        <v>4</v>
      </c>
      <c r="AF84" s="165">
        <v>2809.9999999999723</v>
      </c>
      <c r="AG84" s="165">
        <v>702.49999999999307</v>
      </c>
      <c r="AH84" s="181">
        <f t="shared" si="20"/>
        <v>12</v>
      </c>
      <c r="AI84" s="410"/>
      <c r="AJ84" s="165">
        <v>4</v>
      </c>
      <c r="AK84" s="165">
        <v>2680.0000000000095</v>
      </c>
      <c r="AL84" s="165">
        <v>670.00000000000239</v>
      </c>
      <c r="AM84" s="181">
        <f t="shared" si="21"/>
        <v>13</v>
      </c>
      <c r="AN84" s="410"/>
      <c r="AO84" s="165">
        <v>4</v>
      </c>
      <c r="AP84" s="165">
        <v>2974.2857142856906</v>
      </c>
      <c r="AQ84" s="165">
        <v>743.57142857142264</v>
      </c>
      <c r="AR84" s="181">
        <f t="shared" si="22"/>
        <v>11</v>
      </c>
      <c r="AS84" s="410"/>
      <c r="AT84" s="165">
        <v>4</v>
      </c>
      <c r="AU84" s="165">
        <v>2845.7142857142958</v>
      </c>
      <c r="AV84" s="165">
        <v>711.42857142857395</v>
      </c>
      <c r="AW84" s="181">
        <f t="shared" si="23"/>
        <v>13</v>
      </c>
      <c r="AX84" s="410"/>
    </row>
    <row r="85" spans="2:50">
      <c r="B85" s="419"/>
      <c r="C85" s="181">
        <v>9</v>
      </c>
      <c r="D85" s="181" t="s">
        <v>210</v>
      </c>
      <c r="E85" s="181">
        <v>4</v>
      </c>
      <c r="F85" s="181">
        <v>3300</v>
      </c>
      <c r="G85" s="181">
        <v>825</v>
      </c>
      <c r="H85" s="410"/>
      <c r="I85" s="165">
        <f t="shared" si="14"/>
        <v>4</v>
      </c>
      <c r="J85" s="165">
        <f t="shared" si="15"/>
        <v>2417.9611763733806</v>
      </c>
      <c r="K85" s="179">
        <f t="shared" si="16"/>
        <v>604.49029409334514</v>
      </c>
      <c r="L85" s="410"/>
      <c r="M85" s="165">
        <f>RANK(K85, K$77:$K$106)</f>
        <v>20</v>
      </c>
      <c r="N85" s="405"/>
      <c r="O85" s="405"/>
      <c r="P85" s="165">
        <v>4</v>
      </c>
      <c r="Q85" s="165">
        <v>2466.6666666666647</v>
      </c>
      <c r="R85" s="165">
        <v>616.66666666666617</v>
      </c>
      <c r="S85" s="181">
        <f t="shared" si="17"/>
        <v>18</v>
      </c>
      <c r="T85" s="410"/>
      <c r="U85" s="165">
        <v>4</v>
      </c>
      <c r="V85" s="165">
        <v>2403.3333333333312</v>
      </c>
      <c r="W85" s="165">
        <v>600.8333333333328</v>
      </c>
      <c r="X85" s="181">
        <f t="shared" si="18"/>
        <v>20</v>
      </c>
      <c r="Y85" s="410"/>
      <c r="Z85" s="165">
        <v>4</v>
      </c>
      <c r="AA85" s="165">
        <v>2481.1764705882324</v>
      </c>
      <c r="AB85" s="165">
        <v>620.2941176470581</v>
      </c>
      <c r="AC85" s="181">
        <f t="shared" si="19"/>
        <v>16</v>
      </c>
      <c r="AD85" s="410"/>
      <c r="AE85" s="165">
        <v>4</v>
      </c>
      <c r="AF85" s="165">
        <v>2357.1428571428519</v>
      </c>
      <c r="AG85" s="165">
        <v>589.28571428571297</v>
      </c>
      <c r="AH85" s="181">
        <f t="shared" si="20"/>
        <v>20</v>
      </c>
      <c r="AI85" s="410"/>
      <c r="AJ85" s="165">
        <v>4</v>
      </c>
      <c r="AK85" s="165">
        <v>2418.4615384615322</v>
      </c>
      <c r="AL85" s="165">
        <v>604.61538461538305</v>
      </c>
      <c r="AM85" s="181">
        <f t="shared" si="21"/>
        <v>20</v>
      </c>
      <c r="AN85" s="410"/>
      <c r="AO85" s="165">
        <v>4</v>
      </c>
      <c r="AP85" s="165">
        <v>2418.9473684210507</v>
      </c>
      <c r="AQ85" s="165">
        <v>604.73684210526267</v>
      </c>
      <c r="AR85" s="181">
        <f t="shared" si="22"/>
        <v>19</v>
      </c>
      <c r="AS85" s="410"/>
      <c r="AT85" s="165">
        <v>4</v>
      </c>
      <c r="AU85" s="165">
        <v>2379.9999999999982</v>
      </c>
      <c r="AV85" s="165">
        <v>594.99999999999955</v>
      </c>
      <c r="AW85" s="181">
        <f t="shared" si="23"/>
        <v>20</v>
      </c>
      <c r="AX85" s="410"/>
    </row>
    <row r="86" spans="2:50">
      <c r="B86" s="419"/>
      <c r="C86" s="181">
        <v>10</v>
      </c>
      <c r="D86" s="181" t="s">
        <v>211</v>
      </c>
      <c r="E86" s="181">
        <v>3</v>
      </c>
      <c r="F86" s="181">
        <v>3300</v>
      </c>
      <c r="G86" s="181">
        <v>1100</v>
      </c>
      <c r="H86" s="410"/>
      <c r="I86" s="165">
        <f t="shared" si="14"/>
        <v>3</v>
      </c>
      <c r="J86" s="165">
        <f t="shared" si="15"/>
        <v>2484.0467420337895</v>
      </c>
      <c r="K86" s="179">
        <f t="shared" si="16"/>
        <v>828.01558067792996</v>
      </c>
      <c r="L86" s="410"/>
      <c r="M86" s="165">
        <f>RANK(K86, K$77:$K$106)</f>
        <v>4</v>
      </c>
      <c r="N86" s="405"/>
      <c r="O86" s="405"/>
      <c r="P86" s="165">
        <v>3</v>
      </c>
      <c r="Q86" s="165">
        <v>2474.3478260869542</v>
      </c>
      <c r="R86" s="165">
        <v>824.78260869565145</v>
      </c>
      <c r="S86" s="181">
        <f t="shared" si="17"/>
        <v>5</v>
      </c>
      <c r="T86" s="410"/>
      <c r="U86" s="165">
        <v>3</v>
      </c>
      <c r="V86" s="165">
        <v>2497.3333333333312</v>
      </c>
      <c r="W86" s="165">
        <v>832.44444444444377</v>
      </c>
      <c r="X86" s="181">
        <f t="shared" si="18"/>
        <v>4</v>
      </c>
      <c r="Y86" s="410"/>
      <c r="Z86" s="165">
        <v>3</v>
      </c>
      <c r="AA86" s="165">
        <v>2465.4545454545473</v>
      </c>
      <c r="AB86" s="165">
        <v>821.81818181818244</v>
      </c>
      <c r="AC86" s="181">
        <f t="shared" si="19"/>
        <v>8</v>
      </c>
      <c r="AD86" s="410"/>
      <c r="AE86" s="165">
        <v>3</v>
      </c>
      <c r="AF86" s="165">
        <v>2499.9999999999982</v>
      </c>
      <c r="AG86" s="165">
        <v>833.33333333333269</v>
      </c>
      <c r="AH86" s="181">
        <f t="shared" si="20"/>
        <v>6</v>
      </c>
      <c r="AI86" s="410"/>
      <c r="AJ86" s="165">
        <v>3</v>
      </c>
      <c r="AK86" s="165">
        <v>2463.3333333333312</v>
      </c>
      <c r="AL86" s="165">
        <v>821.1111111111104</v>
      </c>
      <c r="AM86" s="181">
        <f t="shared" si="21"/>
        <v>5</v>
      </c>
      <c r="AN86" s="410"/>
      <c r="AO86" s="165">
        <v>3</v>
      </c>
      <c r="AP86" s="165">
        <v>2493.1914893617027</v>
      </c>
      <c r="AQ86" s="165">
        <v>831.06382978723423</v>
      </c>
      <c r="AR86" s="181">
        <f t="shared" si="22"/>
        <v>4</v>
      </c>
      <c r="AS86" s="410"/>
      <c r="AT86" s="165">
        <v>3</v>
      </c>
      <c r="AU86" s="165">
        <v>2494.6666666666642</v>
      </c>
      <c r="AV86" s="165">
        <v>831.55555555555475</v>
      </c>
      <c r="AW86" s="181">
        <f t="shared" si="23"/>
        <v>4</v>
      </c>
      <c r="AX86" s="410"/>
    </row>
    <row r="87" spans="2:50">
      <c r="B87" s="419"/>
      <c r="C87" s="181">
        <v>11</v>
      </c>
      <c r="D87" s="181" t="s">
        <v>212</v>
      </c>
      <c r="E87" s="181">
        <v>3</v>
      </c>
      <c r="F87" s="181">
        <v>3300</v>
      </c>
      <c r="G87" s="181">
        <v>1100</v>
      </c>
      <c r="H87" s="410"/>
      <c r="I87" s="165">
        <f t="shared" si="14"/>
        <v>3</v>
      </c>
      <c r="J87" s="165">
        <f t="shared" si="15"/>
        <v>2477.6056939389523</v>
      </c>
      <c r="K87" s="179">
        <f t="shared" si="16"/>
        <v>825.8685646463174</v>
      </c>
      <c r="L87" s="410"/>
      <c r="M87" s="165">
        <f>RANK(K87, K$77:$K$106)</f>
        <v>5</v>
      </c>
      <c r="N87" s="405"/>
      <c r="O87" s="405"/>
      <c r="P87" s="165">
        <v>3</v>
      </c>
      <c r="Q87" s="165">
        <v>2460.0000000000023</v>
      </c>
      <c r="R87" s="165">
        <v>820.0000000000008</v>
      </c>
      <c r="S87" s="181">
        <f t="shared" si="17"/>
        <v>6</v>
      </c>
      <c r="T87" s="410"/>
      <c r="U87" s="165">
        <v>3</v>
      </c>
      <c r="V87" s="165">
        <v>2483.4782608695677</v>
      </c>
      <c r="W87" s="165">
        <v>827.82608695652254</v>
      </c>
      <c r="X87" s="181">
        <f t="shared" si="18"/>
        <v>5</v>
      </c>
      <c r="Y87" s="410"/>
      <c r="Z87" s="165">
        <v>3</v>
      </c>
      <c r="AA87" s="165">
        <v>2493.3333333333358</v>
      </c>
      <c r="AB87" s="165">
        <v>831.11111111111188</v>
      </c>
      <c r="AC87" s="181">
        <f t="shared" si="19"/>
        <v>6</v>
      </c>
      <c r="AD87" s="410"/>
      <c r="AE87" s="165">
        <v>3</v>
      </c>
      <c r="AF87" s="165">
        <v>2507.027027027028</v>
      </c>
      <c r="AG87" s="165">
        <v>835.67567567567596</v>
      </c>
      <c r="AH87" s="181">
        <f t="shared" si="20"/>
        <v>5</v>
      </c>
      <c r="AI87" s="410"/>
      <c r="AJ87" s="165">
        <v>3</v>
      </c>
      <c r="AK87" s="165">
        <v>2490.8108108108117</v>
      </c>
      <c r="AL87" s="165">
        <v>830.27027027027054</v>
      </c>
      <c r="AM87" s="181">
        <f t="shared" si="21"/>
        <v>4</v>
      </c>
      <c r="AN87" s="410"/>
      <c r="AO87" s="165">
        <v>3</v>
      </c>
      <c r="AP87" s="165">
        <v>2456.2500000000027</v>
      </c>
      <c r="AQ87" s="165">
        <v>818.75000000000091</v>
      </c>
      <c r="AR87" s="181">
        <f t="shared" si="22"/>
        <v>5</v>
      </c>
      <c r="AS87" s="410"/>
      <c r="AT87" s="165">
        <v>3</v>
      </c>
      <c r="AU87" s="165">
        <v>2452.3404255319174</v>
      </c>
      <c r="AV87" s="165">
        <v>817.44680851063913</v>
      </c>
      <c r="AW87" s="181">
        <f t="shared" si="23"/>
        <v>5</v>
      </c>
      <c r="AX87" s="410"/>
    </row>
    <row r="88" spans="2:50">
      <c r="B88" s="419"/>
      <c r="C88" s="181">
        <v>12</v>
      </c>
      <c r="D88" s="181" t="s">
        <v>213</v>
      </c>
      <c r="E88" s="181">
        <v>4</v>
      </c>
      <c r="F88" s="181">
        <v>3300</v>
      </c>
      <c r="G88" s="181">
        <v>825</v>
      </c>
      <c r="H88" s="410"/>
      <c r="I88" s="165">
        <f t="shared" si="14"/>
        <v>4</v>
      </c>
      <c r="J88" s="165">
        <f t="shared" si="15"/>
        <v>2487.7455947351013</v>
      </c>
      <c r="K88" s="179">
        <f t="shared" si="16"/>
        <v>621.93639868377534</v>
      </c>
      <c r="L88" s="410"/>
      <c r="M88" s="165">
        <f>RANK(K88, K$77:$K$106)</f>
        <v>16</v>
      </c>
      <c r="N88" s="405"/>
      <c r="O88" s="405"/>
      <c r="P88" s="165">
        <v>4</v>
      </c>
      <c r="Q88" s="165">
        <v>2430.0000000000023</v>
      </c>
      <c r="R88" s="165">
        <v>607.50000000000057</v>
      </c>
      <c r="S88" s="181">
        <f t="shared" si="17"/>
        <v>19</v>
      </c>
      <c r="T88" s="410"/>
      <c r="U88" s="165">
        <v>4</v>
      </c>
      <c r="V88" s="165">
        <v>2497.2413793103465</v>
      </c>
      <c r="W88" s="165">
        <v>624.31034482758662</v>
      </c>
      <c r="X88" s="181">
        <f t="shared" si="18"/>
        <v>15</v>
      </c>
      <c r="Y88" s="410"/>
      <c r="Z88" s="165">
        <v>4</v>
      </c>
      <c r="AA88" s="165">
        <v>2448.0000000000023</v>
      </c>
      <c r="AB88" s="165">
        <v>612.00000000000057</v>
      </c>
      <c r="AC88" s="181">
        <f t="shared" si="19"/>
        <v>20</v>
      </c>
      <c r="AD88" s="410"/>
      <c r="AE88" s="165">
        <v>4</v>
      </c>
      <c r="AF88" s="165">
        <v>2585.4545454545455</v>
      </c>
      <c r="AG88" s="165">
        <v>646.36363636363637</v>
      </c>
      <c r="AH88" s="181">
        <f t="shared" si="20"/>
        <v>15</v>
      </c>
      <c r="AI88" s="410"/>
      <c r="AJ88" s="165">
        <v>4</v>
      </c>
      <c r="AK88" s="165">
        <v>2428.695652173913</v>
      </c>
      <c r="AL88" s="165">
        <v>607.17391304347825</v>
      </c>
      <c r="AM88" s="181">
        <f t="shared" si="21"/>
        <v>19</v>
      </c>
      <c r="AN88" s="410"/>
      <c r="AO88" s="165">
        <v>4</v>
      </c>
      <c r="AP88" s="165">
        <v>2540.0000000000023</v>
      </c>
      <c r="AQ88" s="165">
        <v>635.00000000000057</v>
      </c>
      <c r="AR88" s="181">
        <f t="shared" si="22"/>
        <v>15</v>
      </c>
      <c r="AS88" s="410"/>
      <c r="AT88" s="165">
        <v>4</v>
      </c>
      <c r="AU88" s="165">
        <v>2484.8275862068986</v>
      </c>
      <c r="AV88" s="165">
        <v>621.20689655172464</v>
      </c>
      <c r="AW88" s="181">
        <f t="shared" si="23"/>
        <v>16</v>
      </c>
      <c r="AX88" s="410"/>
    </row>
    <row r="89" spans="2:50">
      <c r="B89" s="419"/>
      <c r="C89" s="181">
        <v>13</v>
      </c>
      <c r="D89" s="181" t="s">
        <v>214</v>
      </c>
      <c r="E89" s="181">
        <v>4</v>
      </c>
      <c r="F89" s="181">
        <v>2500</v>
      </c>
      <c r="G89" s="181">
        <v>625</v>
      </c>
      <c r="H89" s="410"/>
      <c r="I89" s="165">
        <f t="shared" si="14"/>
        <v>4</v>
      </c>
      <c r="J89" s="165">
        <f t="shared" si="15"/>
        <v>2465.9315447109079</v>
      </c>
      <c r="K89" s="179">
        <f t="shared" si="16"/>
        <v>616.48288617772698</v>
      </c>
      <c r="L89" s="410"/>
      <c r="M89" s="165">
        <f>RANK(K89, K$77:$K$106)</f>
        <v>18</v>
      </c>
      <c r="N89" s="405"/>
      <c r="O89" s="405"/>
      <c r="P89" s="165">
        <v>4</v>
      </c>
      <c r="Q89" s="165">
        <v>2468.0000000000041</v>
      </c>
      <c r="R89" s="165">
        <v>617.00000000000102</v>
      </c>
      <c r="S89" s="181">
        <f t="shared" si="17"/>
        <v>17</v>
      </c>
      <c r="T89" s="410"/>
      <c r="U89" s="165">
        <v>4</v>
      </c>
      <c r="V89" s="165">
        <v>2476</v>
      </c>
      <c r="W89" s="165">
        <v>619</v>
      </c>
      <c r="X89" s="181">
        <f t="shared" si="18"/>
        <v>17</v>
      </c>
      <c r="Y89" s="410"/>
      <c r="Z89" s="165">
        <v>4</v>
      </c>
      <c r="AA89" s="165">
        <v>2476.7441860465115</v>
      </c>
      <c r="AB89" s="165">
        <v>619.18604651162786</v>
      </c>
      <c r="AC89" s="181">
        <f t="shared" si="19"/>
        <v>17</v>
      </c>
      <c r="AD89" s="410"/>
      <c r="AE89" s="165">
        <v>4</v>
      </c>
      <c r="AF89" s="165">
        <v>2447.6470588235261</v>
      </c>
      <c r="AG89" s="165">
        <v>611.91176470588152</v>
      </c>
      <c r="AH89" s="181">
        <f t="shared" si="20"/>
        <v>18</v>
      </c>
      <c r="AI89" s="410"/>
      <c r="AJ89" s="165">
        <v>4</v>
      </c>
      <c r="AK89" s="165">
        <v>2432.5714285714262</v>
      </c>
      <c r="AL89" s="165">
        <v>608.14285714285654</v>
      </c>
      <c r="AM89" s="181">
        <f t="shared" si="21"/>
        <v>18</v>
      </c>
      <c r="AN89" s="410"/>
      <c r="AO89" s="165">
        <v>4</v>
      </c>
      <c r="AP89" s="165">
        <v>2488.0000000000045</v>
      </c>
      <c r="AQ89" s="165">
        <v>622.00000000000114</v>
      </c>
      <c r="AR89" s="181">
        <f t="shared" si="22"/>
        <v>17</v>
      </c>
      <c r="AS89" s="410"/>
      <c r="AT89" s="165">
        <v>4</v>
      </c>
      <c r="AU89" s="165">
        <v>2472.5581395348836</v>
      </c>
      <c r="AV89" s="165">
        <v>618.1395348837209</v>
      </c>
      <c r="AW89" s="181">
        <f t="shared" si="23"/>
        <v>18</v>
      </c>
      <c r="AX89" s="410"/>
    </row>
    <row r="90" spans="2:50">
      <c r="B90" s="419"/>
      <c r="C90" s="181">
        <v>14</v>
      </c>
      <c r="D90" s="181" t="s">
        <v>215</v>
      </c>
      <c r="E90" s="181">
        <v>3</v>
      </c>
      <c r="F90" s="181">
        <v>3300</v>
      </c>
      <c r="G90" s="181">
        <v>1100</v>
      </c>
      <c r="H90" s="410"/>
      <c r="I90" s="165">
        <f t="shared" si="14"/>
        <v>3</v>
      </c>
      <c r="J90" s="165">
        <f t="shared" si="15"/>
        <v>2428.5064935064925</v>
      </c>
      <c r="K90" s="179">
        <f t="shared" si="16"/>
        <v>809.50216450216419</v>
      </c>
      <c r="L90" s="410"/>
      <c r="M90" s="165">
        <f>RANK(K90, K$77:$K$106)</f>
        <v>6</v>
      </c>
      <c r="N90" s="405"/>
      <c r="O90" s="405"/>
      <c r="P90" s="165">
        <v>3</v>
      </c>
      <c r="Q90" s="165">
        <v>2480.0000000000086</v>
      </c>
      <c r="R90" s="165">
        <v>826.66666666666958</v>
      </c>
      <c r="S90" s="181">
        <f t="shared" si="17"/>
        <v>4</v>
      </c>
      <c r="T90" s="410"/>
      <c r="U90" s="165">
        <v>3</v>
      </c>
      <c r="V90" s="165">
        <v>2385.0000000000086</v>
      </c>
      <c r="W90" s="165">
        <v>795.00000000000284</v>
      </c>
      <c r="X90" s="181">
        <f t="shared" si="18"/>
        <v>6</v>
      </c>
      <c r="Y90" s="410"/>
      <c r="Z90" s="165">
        <v>3</v>
      </c>
      <c r="AA90" s="165">
        <v>2514.545454545445</v>
      </c>
      <c r="AB90" s="165">
        <v>838.18181818181495</v>
      </c>
      <c r="AC90" s="181">
        <f t="shared" si="19"/>
        <v>4</v>
      </c>
      <c r="AD90" s="410"/>
      <c r="AE90" s="165">
        <v>3</v>
      </c>
      <c r="AF90" s="165">
        <v>2460.0000000000086</v>
      </c>
      <c r="AG90" s="165">
        <v>820.00000000000284</v>
      </c>
      <c r="AH90" s="181">
        <f t="shared" si="20"/>
        <v>7</v>
      </c>
      <c r="AI90" s="410"/>
      <c r="AJ90" s="165">
        <v>3</v>
      </c>
      <c r="AK90" s="165">
        <v>2415.0000000000086</v>
      </c>
      <c r="AL90" s="165">
        <v>805.00000000000284</v>
      </c>
      <c r="AM90" s="181">
        <f t="shared" si="21"/>
        <v>6</v>
      </c>
      <c r="AN90" s="410"/>
      <c r="AO90" s="165">
        <v>3</v>
      </c>
      <c r="AP90" s="165">
        <v>2439.9999999999927</v>
      </c>
      <c r="AQ90" s="165">
        <v>813.33333333333087</v>
      </c>
      <c r="AR90" s="181">
        <f t="shared" si="22"/>
        <v>6</v>
      </c>
      <c r="AS90" s="410"/>
      <c r="AT90" s="165">
        <v>3</v>
      </c>
      <c r="AU90" s="165">
        <v>2304.9999999999777</v>
      </c>
      <c r="AV90" s="165">
        <v>768.33333333332587</v>
      </c>
      <c r="AW90" s="181">
        <f t="shared" si="23"/>
        <v>6</v>
      </c>
      <c r="AX90" s="410"/>
    </row>
    <row r="91" spans="2:50">
      <c r="B91" s="419"/>
      <c r="C91" s="181">
        <v>15</v>
      </c>
      <c r="D91" s="181" t="s">
        <v>216</v>
      </c>
      <c r="E91" s="181">
        <v>4</v>
      </c>
      <c r="F91" s="181">
        <v>3300</v>
      </c>
      <c r="G91" s="181">
        <v>825</v>
      </c>
      <c r="H91" s="410"/>
      <c r="I91" s="165">
        <f t="shared" si="14"/>
        <v>4</v>
      </c>
      <c r="J91" s="165">
        <f t="shared" si="15"/>
        <v>2477.4292858146232</v>
      </c>
      <c r="K91" s="179">
        <f t="shared" si="16"/>
        <v>619.3573214536558</v>
      </c>
      <c r="L91" s="410"/>
      <c r="M91" s="165">
        <f>RANK(K91, K$77:$K$106)</f>
        <v>17</v>
      </c>
      <c r="N91" s="405"/>
      <c r="O91" s="405"/>
      <c r="P91" s="165">
        <v>4</v>
      </c>
      <c r="Q91" s="165">
        <v>2495.6521739130435</v>
      </c>
      <c r="R91" s="165">
        <v>623.91304347826087</v>
      </c>
      <c r="S91" s="181">
        <f t="shared" si="17"/>
        <v>15</v>
      </c>
      <c r="T91" s="410"/>
      <c r="U91" s="165">
        <v>4</v>
      </c>
      <c r="V91" s="165">
        <v>2467.7142857142849</v>
      </c>
      <c r="W91" s="165">
        <v>616.92857142857122</v>
      </c>
      <c r="X91" s="181">
        <f t="shared" si="18"/>
        <v>18</v>
      </c>
      <c r="Y91" s="410"/>
      <c r="Z91" s="165">
        <v>4</v>
      </c>
      <c r="AA91" s="165">
        <v>2468.8235294117649</v>
      </c>
      <c r="AB91" s="165">
        <v>617.20588235294122</v>
      </c>
      <c r="AC91" s="181">
        <f t="shared" si="19"/>
        <v>19</v>
      </c>
      <c r="AD91" s="410"/>
      <c r="AE91" s="165">
        <v>4</v>
      </c>
      <c r="AF91" s="165">
        <v>2488.8888888888882</v>
      </c>
      <c r="AG91" s="165">
        <v>622.22222222222206</v>
      </c>
      <c r="AH91" s="181">
        <f t="shared" si="20"/>
        <v>17</v>
      </c>
      <c r="AI91" s="410"/>
      <c r="AJ91" s="165">
        <v>4</v>
      </c>
      <c r="AK91" s="165">
        <v>2462.2641509433975</v>
      </c>
      <c r="AL91" s="165">
        <v>615.56603773584936</v>
      </c>
      <c r="AM91" s="181">
        <f t="shared" si="21"/>
        <v>17</v>
      </c>
      <c r="AN91" s="410"/>
      <c r="AO91" s="165">
        <v>4</v>
      </c>
      <c r="AP91" s="165">
        <v>2475.0000000000005</v>
      </c>
      <c r="AQ91" s="165">
        <v>618.75000000000011</v>
      </c>
      <c r="AR91" s="181">
        <f t="shared" si="22"/>
        <v>18</v>
      </c>
      <c r="AS91" s="410"/>
      <c r="AT91" s="165">
        <v>4</v>
      </c>
      <c r="AU91" s="165">
        <v>2483.6619718309848</v>
      </c>
      <c r="AV91" s="165">
        <v>620.91549295774621</v>
      </c>
      <c r="AW91" s="181">
        <f t="shared" si="23"/>
        <v>17</v>
      </c>
      <c r="AX91" s="410"/>
    </row>
    <row r="92" spans="2:50">
      <c r="B92" s="419"/>
      <c r="C92" s="181">
        <v>16</v>
      </c>
      <c r="D92" s="181" t="s">
        <v>217</v>
      </c>
      <c r="E92" s="181">
        <v>4</v>
      </c>
      <c r="F92" s="181">
        <v>3300</v>
      </c>
      <c r="G92" s="181">
        <v>825</v>
      </c>
      <c r="H92" s="410"/>
      <c r="I92" s="165">
        <f t="shared" si="14"/>
        <v>4</v>
      </c>
      <c r="J92" s="165">
        <f t="shared" si="15"/>
        <v>2488.6127262963228</v>
      </c>
      <c r="K92" s="179">
        <f t="shared" si="16"/>
        <v>622.15318157408069</v>
      </c>
      <c r="L92" s="410"/>
      <c r="M92" s="165">
        <f>RANK(K92, K$77:$K$106)</f>
        <v>15</v>
      </c>
      <c r="N92" s="405"/>
      <c r="O92" s="405"/>
      <c r="P92" s="165">
        <v>4</v>
      </c>
      <c r="Q92" s="165">
        <v>2491.5384615384619</v>
      </c>
      <c r="R92" s="165">
        <v>622.88461538461547</v>
      </c>
      <c r="S92" s="181">
        <f t="shared" si="17"/>
        <v>16</v>
      </c>
      <c r="T92" s="410"/>
      <c r="U92" s="165">
        <v>4</v>
      </c>
      <c r="V92" s="165">
        <v>2476.7088607594937</v>
      </c>
      <c r="W92" s="165">
        <v>619.17721518987344</v>
      </c>
      <c r="X92" s="181">
        <f t="shared" si="18"/>
        <v>16</v>
      </c>
      <c r="Y92" s="410"/>
      <c r="Z92" s="165">
        <v>4</v>
      </c>
      <c r="AA92" s="165">
        <v>2474.9999999999995</v>
      </c>
      <c r="AB92" s="165">
        <v>618.74999999999989</v>
      </c>
      <c r="AC92" s="181">
        <f t="shared" si="19"/>
        <v>18</v>
      </c>
      <c r="AD92" s="410"/>
      <c r="AE92" s="165">
        <v>4</v>
      </c>
      <c r="AF92" s="165">
        <v>2517.0491803278696</v>
      </c>
      <c r="AG92" s="165">
        <v>629.26229508196741</v>
      </c>
      <c r="AH92" s="181">
        <f t="shared" si="20"/>
        <v>16</v>
      </c>
      <c r="AI92" s="410"/>
      <c r="AJ92" s="165">
        <v>4</v>
      </c>
      <c r="AK92" s="165">
        <v>2472.786885245901</v>
      </c>
      <c r="AL92" s="165">
        <v>618.19672131147524</v>
      </c>
      <c r="AM92" s="181">
        <f t="shared" si="21"/>
        <v>16</v>
      </c>
      <c r="AN92" s="410"/>
      <c r="AO92" s="165">
        <v>4</v>
      </c>
      <c r="AP92" s="165">
        <v>2490.7500000000014</v>
      </c>
      <c r="AQ92" s="165">
        <v>622.68750000000034</v>
      </c>
      <c r="AR92" s="181">
        <f t="shared" si="22"/>
        <v>16</v>
      </c>
      <c r="AS92" s="410"/>
      <c r="AT92" s="165">
        <v>4</v>
      </c>
      <c r="AU92" s="165">
        <v>2496.4556962025317</v>
      </c>
      <c r="AV92" s="165">
        <v>624.11392405063293</v>
      </c>
      <c r="AW92" s="181">
        <f t="shared" si="23"/>
        <v>15</v>
      </c>
      <c r="AX92" s="410"/>
    </row>
    <row r="93" spans="2:50">
      <c r="B93" s="419"/>
      <c r="C93" s="181">
        <v>17</v>
      </c>
      <c r="D93" s="181" t="s">
        <v>222</v>
      </c>
      <c r="E93" s="181">
        <v>3</v>
      </c>
      <c r="F93" s="181">
        <v>2700</v>
      </c>
      <c r="G93" s="181">
        <v>900</v>
      </c>
      <c r="H93" s="410"/>
      <c r="I93" s="165">
        <f t="shared" si="14"/>
        <v>3</v>
      </c>
      <c r="J93" s="165">
        <f t="shared" si="15"/>
        <v>2676.3256388376853</v>
      </c>
      <c r="K93" s="179">
        <f t="shared" si="16"/>
        <v>892.10854627922834</v>
      </c>
      <c r="L93" s="410"/>
      <c r="M93" s="165">
        <f>RANK(K93, K$77:$K$106)</f>
        <v>2</v>
      </c>
      <c r="N93" s="405"/>
      <c r="O93" s="405"/>
      <c r="P93" s="165">
        <v>3</v>
      </c>
      <c r="Q93" s="165">
        <v>2693.3333333333348</v>
      </c>
      <c r="R93" s="165">
        <v>897.77777777777828</v>
      </c>
      <c r="S93" s="181">
        <f t="shared" si="17"/>
        <v>2</v>
      </c>
      <c r="T93" s="410"/>
      <c r="U93" s="165">
        <v>3</v>
      </c>
      <c r="V93" s="165">
        <v>2666.5384615384587</v>
      </c>
      <c r="W93" s="165">
        <v>888.8461538461529</v>
      </c>
      <c r="X93" s="181">
        <f t="shared" si="18"/>
        <v>3</v>
      </c>
      <c r="Y93" s="410"/>
      <c r="Z93" s="165">
        <v>3</v>
      </c>
      <c r="AA93" s="165">
        <v>2690.4000000000051</v>
      </c>
      <c r="AB93" s="165">
        <v>896.80000000000166</v>
      </c>
      <c r="AC93" s="181">
        <f t="shared" si="19"/>
        <v>2</v>
      </c>
      <c r="AD93" s="410"/>
      <c r="AE93" s="165">
        <v>3</v>
      </c>
      <c r="AF93" s="165">
        <v>2642.9268292682968</v>
      </c>
      <c r="AG93" s="165">
        <v>880.97560975609895</v>
      </c>
      <c r="AH93" s="181">
        <f t="shared" si="20"/>
        <v>3</v>
      </c>
      <c r="AI93" s="410"/>
      <c r="AJ93" s="165">
        <v>3</v>
      </c>
      <c r="AK93" s="165">
        <v>2680.4999999999991</v>
      </c>
      <c r="AL93" s="165">
        <v>893.49999999999966</v>
      </c>
      <c r="AM93" s="181">
        <f t="shared" si="21"/>
        <v>2</v>
      </c>
      <c r="AN93" s="410"/>
      <c r="AO93" s="165">
        <v>3</v>
      </c>
      <c r="AP93" s="165">
        <v>2683.8461538461511</v>
      </c>
      <c r="AQ93" s="165">
        <v>894.61538461538373</v>
      </c>
      <c r="AR93" s="181">
        <f t="shared" si="22"/>
        <v>3</v>
      </c>
      <c r="AS93" s="410"/>
      <c r="AT93" s="165">
        <v>3</v>
      </c>
      <c r="AU93" s="165">
        <v>2676.7346938775518</v>
      </c>
      <c r="AV93" s="165">
        <v>892.24489795918396</v>
      </c>
      <c r="AW93" s="181">
        <f t="shared" si="23"/>
        <v>2</v>
      </c>
      <c r="AX93" s="410"/>
    </row>
    <row r="94" spans="2:50">
      <c r="B94" s="419"/>
      <c r="C94" s="181">
        <v>18</v>
      </c>
      <c r="D94" s="181" t="s">
        <v>218</v>
      </c>
      <c r="E94" s="181">
        <v>4</v>
      </c>
      <c r="F94" s="181">
        <v>3600</v>
      </c>
      <c r="G94" s="181">
        <v>900</v>
      </c>
      <c r="H94" s="410"/>
      <c r="I94" s="165">
        <f t="shared" si="14"/>
        <v>4</v>
      </c>
      <c r="J94" s="165">
        <f t="shared" si="15"/>
        <v>2738.5750566893471</v>
      </c>
      <c r="K94" s="179">
        <f t="shared" si="16"/>
        <v>684.64376417233677</v>
      </c>
      <c r="L94" s="410"/>
      <c r="M94" s="165">
        <f>RANK(K94, K$77:$K$106)</f>
        <v>14</v>
      </c>
      <c r="N94" s="405"/>
      <c r="O94" s="405"/>
      <c r="P94" s="165">
        <v>4</v>
      </c>
      <c r="Q94" s="165">
        <v>2785.7142857142958</v>
      </c>
      <c r="R94" s="165">
        <v>696.42857142857395</v>
      </c>
      <c r="S94" s="181">
        <f t="shared" si="17"/>
        <v>13</v>
      </c>
      <c r="T94" s="410"/>
      <c r="U94" s="165">
        <v>4</v>
      </c>
      <c r="V94" s="165">
        <v>2791.1111111111209</v>
      </c>
      <c r="W94" s="165">
        <v>697.77777777778022</v>
      </c>
      <c r="X94" s="181">
        <f t="shared" si="18"/>
        <v>13</v>
      </c>
      <c r="Y94" s="410"/>
      <c r="Z94" s="165">
        <v>4</v>
      </c>
      <c r="AA94" s="165">
        <v>2721.5999999999922</v>
      </c>
      <c r="AB94" s="165">
        <v>680.39999999999804</v>
      </c>
      <c r="AC94" s="181">
        <f t="shared" si="19"/>
        <v>13</v>
      </c>
      <c r="AD94" s="410"/>
      <c r="AE94" s="165">
        <v>4</v>
      </c>
      <c r="AF94" s="165">
        <v>2697.5999999999922</v>
      </c>
      <c r="AG94" s="165">
        <v>674.39999999999804</v>
      </c>
      <c r="AH94" s="181">
        <f t="shared" si="20"/>
        <v>14</v>
      </c>
      <c r="AI94" s="410"/>
      <c r="AJ94" s="165">
        <v>4</v>
      </c>
      <c r="AK94" s="165">
        <v>2788.8888888888987</v>
      </c>
      <c r="AL94" s="165">
        <v>697.22222222222467</v>
      </c>
      <c r="AM94" s="181">
        <f t="shared" si="21"/>
        <v>12</v>
      </c>
      <c r="AN94" s="410"/>
      <c r="AO94" s="165">
        <v>4</v>
      </c>
      <c r="AP94" s="165">
        <v>2594.0000000000091</v>
      </c>
      <c r="AQ94" s="165">
        <v>648.50000000000227</v>
      </c>
      <c r="AR94" s="181">
        <f t="shared" si="22"/>
        <v>14</v>
      </c>
      <c r="AS94" s="410"/>
      <c r="AT94" s="165">
        <v>4</v>
      </c>
      <c r="AU94" s="165">
        <v>2791.1111111111209</v>
      </c>
      <c r="AV94" s="165">
        <v>697.77777777778022</v>
      </c>
      <c r="AW94" s="181">
        <f t="shared" si="23"/>
        <v>14</v>
      </c>
      <c r="AX94" s="410"/>
    </row>
    <row r="95" spans="2:50">
      <c r="B95" s="419"/>
      <c r="C95" s="181">
        <v>19</v>
      </c>
      <c r="D95" s="181" t="s">
        <v>219</v>
      </c>
      <c r="E95" s="181">
        <v>4</v>
      </c>
      <c r="F95" s="181">
        <v>3000</v>
      </c>
      <c r="G95" s="181">
        <v>750</v>
      </c>
      <c r="H95" s="410"/>
      <c r="I95" s="165">
        <f t="shared" si="14"/>
        <v>3</v>
      </c>
      <c r="J95" s="165">
        <f t="shared" si="15"/>
        <v>2184.6338471317381</v>
      </c>
      <c r="K95" s="179">
        <f t="shared" si="16"/>
        <v>728.21128237724588</v>
      </c>
      <c r="L95" s="410"/>
      <c r="M95" s="165">
        <f>RANK(K95, K$77:$K$106)</f>
        <v>12</v>
      </c>
      <c r="N95" s="405"/>
      <c r="O95" s="405"/>
      <c r="P95" s="165">
        <v>3</v>
      </c>
      <c r="Q95" s="165">
        <v>2144.5161290322658</v>
      </c>
      <c r="R95" s="165">
        <v>714.83870967742189</v>
      </c>
      <c r="S95" s="181">
        <f t="shared" si="17"/>
        <v>11</v>
      </c>
      <c r="T95" s="410"/>
      <c r="U95" s="165">
        <v>3</v>
      </c>
      <c r="V95" s="165">
        <v>2173.5483870967819</v>
      </c>
      <c r="W95" s="165">
        <v>724.51612903226066</v>
      </c>
      <c r="X95" s="181">
        <f t="shared" si="18"/>
        <v>11</v>
      </c>
      <c r="Y95" s="410"/>
      <c r="Z95" s="165">
        <v>3</v>
      </c>
      <c r="AA95" s="165">
        <v>1984.000000000007</v>
      </c>
      <c r="AB95" s="165">
        <v>661.33333333333564</v>
      </c>
      <c r="AC95" s="181">
        <f t="shared" si="19"/>
        <v>14</v>
      </c>
      <c r="AD95" s="410"/>
      <c r="AE95" s="165">
        <v>3</v>
      </c>
      <c r="AF95" s="165">
        <v>2287.1999999999935</v>
      </c>
      <c r="AG95" s="165">
        <v>762.39999999999782</v>
      </c>
      <c r="AH95" s="181">
        <f t="shared" si="20"/>
        <v>8</v>
      </c>
      <c r="AI95" s="410"/>
      <c r="AJ95" s="165">
        <v>3</v>
      </c>
      <c r="AK95" s="165">
        <v>2195.1724137930992</v>
      </c>
      <c r="AL95" s="165">
        <v>731.72413793103306</v>
      </c>
      <c r="AM95" s="181">
        <f t="shared" si="21"/>
        <v>11</v>
      </c>
      <c r="AN95" s="410"/>
      <c r="AO95" s="165">
        <v>3</v>
      </c>
      <c r="AP95" s="165">
        <v>2306.0000000000082</v>
      </c>
      <c r="AQ95" s="165">
        <v>768.66666666666936</v>
      </c>
      <c r="AR95" s="181">
        <f t="shared" si="22"/>
        <v>7</v>
      </c>
      <c r="AS95" s="410"/>
      <c r="AT95" s="165">
        <v>3</v>
      </c>
      <c r="AU95" s="165">
        <v>2202.0000000000077</v>
      </c>
      <c r="AV95" s="165">
        <v>734.00000000000261</v>
      </c>
      <c r="AW95" s="181">
        <f t="shared" si="23"/>
        <v>11</v>
      </c>
      <c r="AX95" s="410"/>
    </row>
    <row r="96" spans="2:50">
      <c r="B96" s="419"/>
      <c r="C96" s="181">
        <v>20</v>
      </c>
      <c r="D96" s="181" t="s">
        <v>220</v>
      </c>
      <c r="E96" s="181">
        <v>4</v>
      </c>
      <c r="F96" s="181">
        <v>3000</v>
      </c>
      <c r="G96" s="181">
        <v>750</v>
      </c>
      <c r="H96" s="410"/>
      <c r="I96" s="165">
        <f t="shared" ref="I96:K98" si="24">AVERAGE(P96,U96,Z96,AE96,AJ96,AO96,AT96)</f>
        <v>4</v>
      </c>
      <c r="J96" s="165">
        <f t="shared" si="24"/>
        <v>2180.8279503105555</v>
      </c>
      <c r="K96" s="179">
        <f t="shared" si="24"/>
        <v>545.20698757763887</v>
      </c>
      <c r="L96" s="410"/>
      <c r="M96" s="165">
        <f>RANK(K96, K$77:$K$106)</f>
        <v>21</v>
      </c>
      <c r="N96" s="405"/>
      <c r="O96" s="405"/>
      <c r="P96" s="165">
        <v>4</v>
      </c>
      <c r="Q96" s="165">
        <v>2210.4000000000078</v>
      </c>
      <c r="R96" s="165">
        <v>552.60000000000196</v>
      </c>
      <c r="S96" s="181">
        <f t="shared" si="17"/>
        <v>21</v>
      </c>
      <c r="T96" s="410"/>
      <c r="U96" s="165">
        <v>4</v>
      </c>
      <c r="V96" s="165">
        <v>2142.5000000000077</v>
      </c>
      <c r="W96" s="165">
        <v>535.62500000000193</v>
      </c>
      <c r="X96" s="181">
        <f t="shared" si="18"/>
        <v>21</v>
      </c>
      <c r="Y96" s="410"/>
      <c r="Z96" s="165">
        <v>4</v>
      </c>
      <c r="AA96" s="165">
        <v>2180.9999999999727</v>
      </c>
      <c r="AB96" s="165">
        <v>545.24999999999318</v>
      </c>
      <c r="AC96" s="181">
        <f t="shared" si="19"/>
        <v>21</v>
      </c>
      <c r="AD96" s="410"/>
      <c r="AE96" s="165">
        <v>4</v>
      </c>
      <c r="AF96" s="165">
        <v>2172.0000000000077</v>
      </c>
      <c r="AG96" s="165">
        <v>543.00000000000193</v>
      </c>
      <c r="AH96" s="181">
        <f t="shared" si="20"/>
        <v>21</v>
      </c>
      <c r="AI96" s="410"/>
      <c r="AJ96" s="165">
        <v>4</v>
      </c>
      <c r="AK96" s="165">
        <v>2188.6956521739207</v>
      </c>
      <c r="AL96" s="165">
        <v>547.17391304348018</v>
      </c>
      <c r="AM96" s="181">
        <f t="shared" si="21"/>
        <v>21</v>
      </c>
      <c r="AN96" s="410"/>
      <c r="AO96" s="165">
        <v>4</v>
      </c>
      <c r="AP96" s="165">
        <v>2191.1999999999939</v>
      </c>
      <c r="AQ96" s="165">
        <v>547.79999999999848</v>
      </c>
      <c r="AR96" s="181">
        <f t="shared" si="22"/>
        <v>21</v>
      </c>
      <c r="AS96" s="410"/>
      <c r="AT96" s="165">
        <v>4</v>
      </c>
      <c r="AU96" s="165">
        <v>2179.9999999999786</v>
      </c>
      <c r="AV96" s="165">
        <v>544.99999999999466</v>
      </c>
      <c r="AW96" s="181">
        <f t="shared" si="23"/>
        <v>21</v>
      </c>
      <c r="AX96" s="410"/>
    </row>
    <row r="97" spans="2:50">
      <c r="B97" s="419"/>
      <c r="C97" s="181">
        <v>21</v>
      </c>
      <c r="D97" s="181" t="s">
        <v>221</v>
      </c>
      <c r="E97" s="181">
        <v>4</v>
      </c>
      <c r="F97" s="181">
        <v>3600</v>
      </c>
      <c r="G97" s="181">
        <v>900</v>
      </c>
      <c r="H97" s="410"/>
      <c r="I97" s="165">
        <f t="shared" si="24"/>
        <v>4</v>
      </c>
      <c r="J97" s="165">
        <f t="shared" si="24"/>
        <v>2445.5067324643469</v>
      </c>
      <c r="K97" s="179">
        <f t="shared" si="24"/>
        <v>611.37668311608672</v>
      </c>
      <c r="L97" s="410"/>
      <c r="M97" s="165">
        <f>RANK(K97, K$77:$K$106)</f>
        <v>19</v>
      </c>
      <c r="N97" s="405"/>
      <c r="O97" s="405"/>
      <c r="P97" s="165">
        <v>4</v>
      </c>
      <c r="Q97" s="165">
        <v>2428.9655172413791</v>
      </c>
      <c r="R97" s="165">
        <v>607.24137931034477</v>
      </c>
      <c r="S97" s="181">
        <f t="shared" si="17"/>
        <v>20</v>
      </c>
      <c r="T97" s="410"/>
      <c r="U97" s="165">
        <v>4</v>
      </c>
      <c r="V97" s="165">
        <v>2445.5172413793102</v>
      </c>
      <c r="W97" s="165">
        <v>611.37931034482756</v>
      </c>
      <c r="X97" s="181">
        <f t="shared" si="18"/>
        <v>19</v>
      </c>
      <c r="Y97" s="410"/>
      <c r="Z97" s="165">
        <v>4</v>
      </c>
      <c r="AA97" s="165">
        <v>2503.2000002331288</v>
      </c>
      <c r="AB97" s="165">
        <v>625.80000005828219</v>
      </c>
      <c r="AC97" s="181">
        <f t="shared" si="19"/>
        <v>15</v>
      </c>
      <c r="AD97" s="410"/>
      <c r="AE97" s="165">
        <v>4</v>
      </c>
      <c r="AF97" s="165">
        <v>2433.5999999999931</v>
      </c>
      <c r="AG97" s="165">
        <v>608.39999999999827</v>
      </c>
      <c r="AH97" s="181">
        <f t="shared" si="20"/>
        <v>19</v>
      </c>
      <c r="AI97" s="410"/>
      <c r="AJ97" s="165">
        <v>4</v>
      </c>
      <c r="AK97" s="165">
        <v>2493.3333339138576</v>
      </c>
      <c r="AL97" s="165">
        <v>623.3333334784644</v>
      </c>
      <c r="AM97" s="181">
        <f t="shared" si="21"/>
        <v>15</v>
      </c>
      <c r="AN97" s="410"/>
      <c r="AO97" s="165">
        <v>4</v>
      </c>
      <c r="AP97" s="165">
        <v>2356.0000000000005</v>
      </c>
      <c r="AQ97" s="165">
        <v>589.00000000000011</v>
      </c>
      <c r="AR97" s="181">
        <f t="shared" si="22"/>
        <v>20</v>
      </c>
      <c r="AS97" s="410"/>
      <c r="AT97" s="165">
        <v>4</v>
      </c>
      <c r="AU97" s="165">
        <v>2457.9310344827591</v>
      </c>
      <c r="AV97" s="165">
        <v>614.48275862068976</v>
      </c>
      <c r="AW97" s="181">
        <f t="shared" si="23"/>
        <v>19</v>
      </c>
      <c r="AX97" s="410"/>
    </row>
    <row r="98" spans="2:50">
      <c r="B98" s="419"/>
      <c r="C98" s="181">
        <v>22</v>
      </c>
      <c r="D98" s="181" t="s">
        <v>230</v>
      </c>
      <c r="E98" s="181">
        <v>4</v>
      </c>
      <c r="F98" s="181">
        <v>3000</v>
      </c>
      <c r="G98" s="181">
        <v>750</v>
      </c>
      <c r="H98" s="410"/>
      <c r="I98" s="165">
        <f t="shared" si="24"/>
        <v>4</v>
      </c>
      <c r="J98" s="165">
        <f t="shared" si="24"/>
        <v>2986.833333333328</v>
      </c>
      <c r="K98" s="179">
        <f t="shared" si="24"/>
        <v>746.70833333333201</v>
      </c>
      <c r="L98" s="410"/>
      <c r="M98" s="165">
        <f>RANK(K98, K$77:$K$106)</f>
        <v>7</v>
      </c>
      <c r="N98" s="405"/>
      <c r="O98" s="405"/>
      <c r="P98" s="165">
        <v>4</v>
      </c>
      <c r="Q98" s="165">
        <v>2832.00000000001</v>
      </c>
      <c r="R98" s="165">
        <v>708.0000000000025</v>
      </c>
      <c r="S98" s="181">
        <f t="shared" si="17"/>
        <v>12</v>
      </c>
      <c r="T98" s="410"/>
      <c r="U98" s="165">
        <v>4</v>
      </c>
      <c r="V98" s="165">
        <v>2813.3333333333435</v>
      </c>
      <c r="W98" s="165">
        <v>703.33333333333587</v>
      </c>
      <c r="X98" s="181">
        <f t="shared" si="18"/>
        <v>12</v>
      </c>
      <c r="Y98" s="410"/>
      <c r="Z98" s="165">
        <v>4</v>
      </c>
      <c r="AA98" s="165">
        <v>2985.0000000000105</v>
      </c>
      <c r="AB98" s="165">
        <v>746.25000000000261</v>
      </c>
      <c r="AC98" s="181">
        <f t="shared" si="19"/>
        <v>11</v>
      </c>
      <c r="AD98" s="410"/>
      <c r="AE98" s="165">
        <v>4</v>
      </c>
      <c r="AF98" s="165">
        <v>3575.9999999999554</v>
      </c>
      <c r="AG98" s="165">
        <v>893.99999999998886</v>
      </c>
      <c r="AH98" s="181">
        <f t="shared" si="20"/>
        <v>2</v>
      </c>
      <c r="AI98" s="410"/>
      <c r="AJ98" s="165">
        <v>4</v>
      </c>
      <c r="AK98" s="165">
        <v>3000.0000000000105</v>
      </c>
      <c r="AL98" s="165">
        <v>750.00000000000261</v>
      </c>
      <c r="AM98" s="181">
        <f t="shared" si="21"/>
        <v>7</v>
      </c>
      <c r="AN98" s="410"/>
      <c r="AO98" s="165">
        <v>4</v>
      </c>
      <c r="AP98" s="165">
        <v>2754.0000000000095</v>
      </c>
      <c r="AQ98" s="165">
        <v>688.50000000000239</v>
      </c>
      <c r="AR98" s="181">
        <f t="shared" si="22"/>
        <v>13</v>
      </c>
      <c r="AS98" s="410"/>
      <c r="AT98" s="165">
        <v>4</v>
      </c>
      <c r="AU98" s="165">
        <v>2947.4999999999513</v>
      </c>
      <c r="AV98" s="165">
        <v>736.87499999998784</v>
      </c>
      <c r="AW98" s="181">
        <f t="shared" si="23"/>
        <v>10</v>
      </c>
      <c r="AX98" s="410"/>
    </row>
    <row r="99" spans="2:50">
      <c r="B99" s="419"/>
      <c r="C99" s="181">
        <v>23</v>
      </c>
      <c r="D99" s="181"/>
      <c r="E99" s="181"/>
      <c r="F99" s="181"/>
      <c r="G99" s="181"/>
      <c r="H99" s="410"/>
      <c r="I99" s="181"/>
      <c r="J99" s="181"/>
      <c r="K99" s="181"/>
      <c r="L99" s="410"/>
      <c r="M99" s="165" t="e">
        <f>RANK(K99, K$77:$K$106)</f>
        <v>#N/A</v>
      </c>
      <c r="N99" s="405"/>
      <c r="O99" s="405"/>
      <c r="P99" s="181"/>
      <c r="Q99" s="181"/>
      <c r="R99" s="179"/>
      <c r="S99" s="181" t="e">
        <f t="shared" si="17"/>
        <v>#N/A</v>
      </c>
      <c r="T99" s="410"/>
      <c r="U99" s="181"/>
      <c r="V99" s="181"/>
      <c r="W99" s="179"/>
      <c r="X99" s="181" t="e">
        <f t="shared" si="18"/>
        <v>#N/A</v>
      </c>
      <c r="Y99" s="410"/>
      <c r="Z99" s="181"/>
      <c r="AA99" s="181"/>
      <c r="AB99" s="179"/>
      <c r="AC99" s="181" t="e">
        <f t="shared" si="19"/>
        <v>#N/A</v>
      </c>
      <c r="AD99" s="410"/>
      <c r="AE99" s="181"/>
      <c r="AF99" s="181"/>
      <c r="AG99" s="179"/>
      <c r="AH99" s="181" t="e">
        <f t="shared" si="20"/>
        <v>#N/A</v>
      </c>
      <c r="AI99" s="410"/>
      <c r="AJ99" s="181"/>
      <c r="AK99" s="181"/>
      <c r="AL99" s="179"/>
      <c r="AM99" s="181" t="e">
        <f t="shared" si="21"/>
        <v>#N/A</v>
      </c>
      <c r="AN99" s="410"/>
      <c r="AO99" s="181"/>
      <c r="AP99" s="181"/>
      <c r="AQ99" s="179"/>
      <c r="AR99" s="181" t="e">
        <f t="shared" si="22"/>
        <v>#N/A</v>
      </c>
      <c r="AS99" s="410"/>
      <c r="AT99" s="181"/>
      <c r="AU99" s="181"/>
      <c r="AV99" s="179"/>
      <c r="AW99" s="181" t="e">
        <f t="shared" si="23"/>
        <v>#N/A</v>
      </c>
      <c r="AX99" s="410"/>
    </row>
    <row r="100" spans="2:50">
      <c r="B100" s="419"/>
      <c r="C100" s="181">
        <v>24</v>
      </c>
      <c r="D100" s="181"/>
      <c r="E100" s="181"/>
      <c r="F100" s="181"/>
      <c r="G100" s="181"/>
      <c r="H100" s="410"/>
      <c r="I100" s="181"/>
      <c r="J100" s="181"/>
      <c r="K100" s="181"/>
      <c r="L100" s="410"/>
      <c r="M100" s="165" t="e">
        <f>RANK(K100, K$77:$K$106)</f>
        <v>#N/A</v>
      </c>
      <c r="N100" s="405"/>
      <c r="O100" s="405"/>
      <c r="P100" s="181"/>
      <c r="Q100" s="181"/>
      <c r="R100" s="181"/>
      <c r="S100" s="181" t="e">
        <f t="shared" si="17"/>
        <v>#N/A</v>
      </c>
      <c r="T100" s="410"/>
      <c r="U100" s="181"/>
      <c r="V100" s="181"/>
      <c r="W100" s="181"/>
      <c r="X100" s="181" t="e">
        <f t="shared" si="18"/>
        <v>#N/A</v>
      </c>
      <c r="Y100" s="410"/>
      <c r="Z100" s="181"/>
      <c r="AA100" s="181"/>
      <c r="AB100" s="181"/>
      <c r="AC100" s="181" t="e">
        <f t="shared" si="19"/>
        <v>#N/A</v>
      </c>
      <c r="AD100" s="410"/>
      <c r="AE100" s="181"/>
      <c r="AF100" s="181"/>
      <c r="AG100" s="181"/>
      <c r="AH100" s="181" t="e">
        <f t="shared" si="20"/>
        <v>#N/A</v>
      </c>
      <c r="AI100" s="410"/>
      <c r="AJ100" s="181"/>
      <c r="AK100" s="181"/>
      <c r="AL100" s="181"/>
      <c r="AM100" s="181" t="e">
        <f t="shared" si="21"/>
        <v>#N/A</v>
      </c>
      <c r="AN100" s="410"/>
      <c r="AO100" s="181"/>
      <c r="AP100" s="181"/>
      <c r="AQ100" s="181"/>
      <c r="AR100" s="181" t="e">
        <f t="shared" si="22"/>
        <v>#N/A</v>
      </c>
      <c r="AS100" s="410"/>
      <c r="AT100" s="181"/>
      <c r="AU100" s="181"/>
      <c r="AV100" s="181"/>
      <c r="AW100" s="181" t="e">
        <f t="shared" si="23"/>
        <v>#N/A</v>
      </c>
      <c r="AX100" s="410"/>
    </row>
    <row r="101" spans="2:50">
      <c r="B101" s="419"/>
      <c r="C101" s="181">
        <v>25</v>
      </c>
      <c r="D101" s="181"/>
      <c r="E101" s="181"/>
      <c r="F101" s="181"/>
      <c r="G101" s="181"/>
      <c r="H101" s="410"/>
      <c r="I101" s="181"/>
      <c r="J101" s="181"/>
      <c r="K101" s="181"/>
      <c r="L101" s="410"/>
      <c r="M101" s="165" t="e">
        <f>RANK(K101, K$77:$K$106)</f>
        <v>#N/A</v>
      </c>
      <c r="N101" s="405"/>
      <c r="O101" s="405"/>
      <c r="P101" s="181"/>
      <c r="Q101" s="181"/>
      <c r="R101" s="181"/>
      <c r="S101" s="181" t="e">
        <f t="shared" si="17"/>
        <v>#N/A</v>
      </c>
      <c r="T101" s="410"/>
      <c r="U101" s="181"/>
      <c r="V101" s="181"/>
      <c r="W101" s="181"/>
      <c r="X101" s="181" t="e">
        <f t="shared" si="18"/>
        <v>#N/A</v>
      </c>
      <c r="Y101" s="410"/>
      <c r="Z101" s="181"/>
      <c r="AA101" s="181"/>
      <c r="AB101" s="181"/>
      <c r="AC101" s="181" t="e">
        <f t="shared" si="19"/>
        <v>#N/A</v>
      </c>
      <c r="AD101" s="410"/>
      <c r="AE101" s="181"/>
      <c r="AF101" s="181"/>
      <c r="AG101" s="181"/>
      <c r="AH101" s="181" t="e">
        <f t="shared" si="20"/>
        <v>#N/A</v>
      </c>
      <c r="AI101" s="410"/>
      <c r="AJ101" s="181"/>
      <c r="AK101" s="181"/>
      <c r="AL101" s="181"/>
      <c r="AM101" s="181" t="e">
        <f t="shared" si="21"/>
        <v>#N/A</v>
      </c>
      <c r="AN101" s="410"/>
      <c r="AO101" s="181"/>
      <c r="AP101" s="181"/>
      <c r="AQ101" s="181"/>
      <c r="AR101" s="181" t="e">
        <f t="shared" si="22"/>
        <v>#N/A</v>
      </c>
      <c r="AS101" s="410"/>
      <c r="AT101" s="181"/>
      <c r="AU101" s="181"/>
      <c r="AV101" s="181"/>
      <c r="AW101" s="181" t="e">
        <f t="shared" si="23"/>
        <v>#N/A</v>
      </c>
      <c r="AX101" s="410"/>
    </row>
    <row r="102" spans="2:50">
      <c r="B102" s="419"/>
      <c r="C102" s="181">
        <v>26</v>
      </c>
      <c r="D102" s="181"/>
      <c r="E102" s="181"/>
      <c r="F102" s="181"/>
      <c r="G102" s="181"/>
      <c r="H102" s="410"/>
      <c r="I102" s="181"/>
      <c r="J102" s="181"/>
      <c r="K102" s="181"/>
      <c r="L102" s="410"/>
      <c r="M102" s="165" t="e">
        <f>RANK(K102, K$77:$K$106)</f>
        <v>#N/A</v>
      </c>
      <c r="N102" s="405"/>
      <c r="O102" s="405"/>
      <c r="P102" s="181"/>
      <c r="Q102" s="181"/>
      <c r="R102" s="181"/>
      <c r="S102" s="181" t="e">
        <f t="shared" si="17"/>
        <v>#N/A</v>
      </c>
      <c r="T102" s="410"/>
      <c r="U102" s="181"/>
      <c r="V102" s="181"/>
      <c r="W102" s="181"/>
      <c r="X102" s="181" t="e">
        <f t="shared" si="18"/>
        <v>#N/A</v>
      </c>
      <c r="Y102" s="410"/>
      <c r="Z102" s="181"/>
      <c r="AA102" s="181"/>
      <c r="AB102" s="181"/>
      <c r="AC102" s="181" t="e">
        <f t="shared" si="19"/>
        <v>#N/A</v>
      </c>
      <c r="AD102" s="410"/>
      <c r="AE102" s="181"/>
      <c r="AF102" s="181"/>
      <c r="AG102" s="181"/>
      <c r="AH102" s="181" t="e">
        <f t="shared" si="20"/>
        <v>#N/A</v>
      </c>
      <c r="AI102" s="410"/>
      <c r="AJ102" s="181"/>
      <c r="AK102" s="181"/>
      <c r="AL102" s="181"/>
      <c r="AM102" s="181" t="e">
        <f t="shared" si="21"/>
        <v>#N/A</v>
      </c>
      <c r="AN102" s="410"/>
      <c r="AO102" s="181"/>
      <c r="AP102" s="181"/>
      <c r="AQ102" s="181"/>
      <c r="AR102" s="181" t="e">
        <f t="shared" si="22"/>
        <v>#N/A</v>
      </c>
      <c r="AS102" s="410"/>
      <c r="AT102" s="181"/>
      <c r="AU102" s="181"/>
      <c r="AV102" s="181"/>
      <c r="AW102" s="181" t="e">
        <f t="shared" si="23"/>
        <v>#N/A</v>
      </c>
      <c r="AX102" s="410"/>
    </row>
    <row r="103" spans="2:50">
      <c r="B103" s="419"/>
      <c r="C103" s="181">
        <v>27</v>
      </c>
      <c r="D103" s="181"/>
      <c r="E103" s="181"/>
      <c r="F103" s="181"/>
      <c r="G103" s="181"/>
      <c r="H103" s="410"/>
      <c r="I103" s="181"/>
      <c r="J103" s="181"/>
      <c r="K103" s="181"/>
      <c r="L103" s="410"/>
      <c r="M103" s="165" t="e">
        <f>RANK(K103, K$77:$K$106)</f>
        <v>#N/A</v>
      </c>
      <c r="N103" s="405"/>
      <c r="O103" s="405"/>
      <c r="P103" s="181"/>
      <c r="Q103" s="181"/>
      <c r="R103" s="181"/>
      <c r="S103" s="181" t="e">
        <f t="shared" si="17"/>
        <v>#N/A</v>
      </c>
      <c r="T103" s="410"/>
      <c r="U103" s="181"/>
      <c r="V103" s="181"/>
      <c r="W103" s="181"/>
      <c r="X103" s="181" t="e">
        <f t="shared" si="18"/>
        <v>#N/A</v>
      </c>
      <c r="Y103" s="410"/>
      <c r="Z103" s="181"/>
      <c r="AA103" s="181"/>
      <c r="AB103" s="181"/>
      <c r="AC103" s="181" t="e">
        <f t="shared" si="19"/>
        <v>#N/A</v>
      </c>
      <c r="AD103" s="410"/>
      <c r="AE103" s="181"/>
      <c r="AF103" s="181"/>
      <c r="AG103" s="181"/>
      <c r="AH103" s="181" t="e">
        <f t="shared" si="20"/>
        <v>#N/A</v>
      </c>
      <c r="AI103" s="410"/>
      <c r="AJ103" s="181"/>
      <c r="AK103" s="181"/>
      <c r="AL103" s="181"/>
      <c r="AM103" s="181" t="e">
        <f t="shared" si="21"/>
        <v>#N/A</v>
      </c>
      <c r="AN103" s="410"/>
      <c r="AO103" s="181"/>
      <c r="AP103" s="181"/>
      <c r="AQ103" s="181"/>
      <c r="AR103" s="181" t="e">
        <f t="shared" si="22"/>
        <v>#N/A</v>
      </c>
      <c r="AS103" s="410"/>
      <c r="AT103" s="181"/>
      <c r="AU103" s="181"/>
      <c r="AV103" s="181"/>
      <c r="AW103" s="181" t="e">
        <f t="shared" si="23"/>
        <v>#N/A</v>
      </c>
      <c r="AX103" s="410"/>
    </row>
    <row r="104" spans="2:50">
      <c r="B104" s="419"/>
      <c r="C104" s="181">
        <v>28</v>
      </c>
      <c r="D104" s="181"/>
      <c r="E104" s="181"/>
      <c r="F104" s="181"/>
      <c r="G104" s="181"/>
      <c r="H104" s="410"/>
      <c r="I104" s="181"/>
      <c r="J104" s="181"/>
      <c r="K104" s="181"/>
      <c r="L104" s="410"/>
      <c r="M104" s="165" t="e">
        <f>RANK(K104, K$77:$K$106)</f>
        <v>#N/A</v>
      </c>
      <c r="N104" s="405"/>
      <c r="O104" s="405"/>
      <c r="P104" s="181"/>
      <c r="Q104" s="181"/>
      <c r="R104" s="181"/>
      <c r="S104" s="181" t="e">
        <f t="shared" si="17"/>
        <v>#N/A</v>
      </c>
      <c r="T104" s="410"/>
      <c r="U104" s="181"/>
      <c r="V104" s="181"/>
      <c r="W104" s="181"/>
      <c r="X104" s="181" t="e">
        <f t="shared" si="18"/>
        <v>#N/A</v>
      </c>
      <c r="Y104" s="410"/>
      <c r="Z104" s="181"/>
      <c r="AA104" s="181"/>
      <c r="AB104" s="181"/>
      <c r="AC104" s="181" t="e">
        <f t="shared" si="19"/>
        <v>#N/A</v>
      </c>
      <c r="AD104" s="410"/>
      <c r="AE104" s="181"/>
      <c r="AF104" s="181"/>
      <c r="AG104" s="181"/>
      <c r="AH104" s="181" t="e">
        <f t="shared" si="20"/>
        <v>#N/A</v>
      </c>
      <c r="AI104" s="410"/>
      <c r="AJ104" s="181"/>
      <c r="AK104" s="181"/>
      <c r="AL104" s="181"/>
      <c r="AM104" s="181" t="e">
        <f t="shared" si="21"/>
        <v>#N/A</v>
      </c>
      <c r="AN104" s="410"/>
      <c r="AO104" s="181"/>
      <c r="AP104" s="181"/>
      <c r="AQ104" s="181"/>
      <c r="AR104" s="181" t="e">
        <f t="shared" si="22"/>
        <v>#N/A</v>
      </c>
      <c r="AS104" s="410"/>
      <c r="AT104" s="181"/>
      <c r="AU104" s="181"/>
      <c r="AV104" s="181"/>
      <c r="AW104" s="181" t="e">
        <f t="shared" si="23"/>
        <v>#N/A</v>
      </c>
      <c r="AX104" s="410"/>
    </row>
    <row r="105" spans="2:50">
      <c r="B105" s="419"/>
      <c r="C105" s="181">
        <v>29</v>
      </c>
      <c r="D105" s="181"/>
      <c r="E105" s="181"/>
      <c r="F105" s="181"/>
      <c r="G105" s="181"/>
      <c r="H105" s="410"/>
      <c r="I105" s="181"/>
      <c r="J105" s="181"/>
      <c r="K105" s="181"/>
      <c r="L105" s="410"/>
      <c r="M105" s="165" t="e">
        <f>RANK(K105, K$77:$K$106)</f>
        <v>#N/A</v>
      </c>
      <c r="N105" s="405"/>
      <c r="O105" s="405"/>
      <c r="P105" s="181"/>
      <c r="Q105" s="181"/>
      <c r="R105" s="181"/>
      <c r="S105" s="181" t="e">
        <f t="shared" si="17"/>
        <v>#N/A</v>
      </c>
      <c r="T105" s="410"/>
      <c r="U105" s="181"/>
      <c r="V105" s="181"/>
      <c r="W105" s="181"/>
      <c r="X105" s="181" t="e">
        <f t="shared" si="18"/>
        <v>#N/A</v>
      </c>
      <c r="Y105" s="410"/>
      <c r="Z105" s="181"/>
      <c r="AA105" s="181"/>
      <c r="AB105" s="181"/>
      <c r="AC105" s="181" t="e">
        <f t="shared" si="19"/>
        <v>#N/A</v>
      </c>
      <c r="AD105" s="410"/>
      <c r="AE105" s="181"/>
      <c r="AF105" s="181"/>
      <c r="AG105" s="181"/>
      <c r="AH105" s="181" t="e">
        <f t="shared" si="20"/>
        <v>#N/A</v>
      </c>
      <c r="AI105" s="410"/>
      <c r="AJ105" s="181"/>
      <c r="AK105" s="181"/>
      <c r="AL105" s="181"/>
      <c r="AM105" s="181" t="e">
        <f t="shared" si="21"/>
        <v>#N/A</v>
      </c>
      <c r="AN105" s="410"/>
      <c r="AO105" s="181"/>
      <c r="AP105" s="181"/>
      <c r="AQ105" s="181"/>
      <c r="AR105" s="181" t="e">
        <f t="shared" si="22"/>
        <v>#N/A</v>
      </c>
      <c r="AS105" s="410"/>
      <c r="AT105" s="181"/>
      <c r="AU105" s="181"/>
      <c r="AV105" s="181"/>
      <c r="AW105" s="181" t="e">
        <f t="shared" si="23"/>
        <v>#N/A</v>
      </c>
      <c r="AX105" s="410"/>
    </row>
    <row r="106" spans="2:50">
      <c r="B106" s="420"/>
      <c r="C106" s="181">
        <v>30</v>
      </c>
      <c r="D106" s="181"/>
      <c r="E106" s="181"/>
      <c r="F106" s="181"/>
      <c r="G106" s="181"/>
      <c r="H106" s="411"/>
      <c r="I106" s="181"/>
      <c r="J106" s="181"/>
      <c r="K106" s="181"/>
      <c r="L106" s="411"/>
      <c r="M106" s="165" t="e">
        <f>RANK(K106, K$77:$K$106)</f>
        <v>#N/A</v>
      </c>
      <c r="N106" s="398"/>
      <c r="O106" s="398"/>
      <c r="P106" s="181"/>
      <c r="Q106" s="181"/>
      <c r="R106" s="181"/>
      <c r="S106" s="181" t="e">
        <f t="shared" si="17"/>
        <v>#N/A</v>
      </c>
      <c r="T106" s="411"/>
      <c r="U106" s="181"/>
      <c r="V106" s="181"/>
      <c r="W106" s="181"/>
      <c r="X106" s="181" t="e">
        <f t="shared" si="18"/>
        <v>#N/A</v>
      </c>
      <c r="Y106" s="411"/>
      <c r="Z106" s="181"/>
      <c r="AA106" s="181"/>
      <c r="AB106" s="181"/>
      <c r="AC106" s="181" t="e">
        <f t="shared" si="19"/>
        <v>#N/A</v>
      </c>
      <c r="AD106" s="411"/>
      <c r="AE106" s="181"/>
      <c r="AF106" s="181"/>
      <c r="AG106" s="181"/>
      <c r="AH106" s="181" t="e">
        <f t="shared" si="20"/>
        <v>#N/A</v>
      </c>
      <c r="AI106" s="411"/>
      <c r="AJ106" s="181"/>
      <c r="AK106" s="181"/>
      <c r="AL106" s="181"/>
      <c r="AM106" s="181" t="e">
        <f t="shared" si="21"/>
        <v>#N/A</v>
      </c>
      <c r="AN106" s="411"/>
      <c r="AO106" s="181"/>
      <c r="AP106" s="181"/>
      <c r="AQ106" s="181"/>
      <c r="AR106" s="181" t="e">
        <f t="shared" si="22"/>
        <v>#N/A</v>
      </c>
      <c r="AS106" s="411"/>
      <c r="AT106" s="181"/>
      <c r="AU106" s="181"/>
      <c r="AV106" s="181"/>
      <c r="AW106" s="181" t="e">
        <f t="shared" si="23"/>
        <v>#N/A</v>
      </c>
      <c r="AX106" s="411"/>
    </row>
    <row r="107" spans="2:50" ht="15.75">
      <c r="B107" s="394" t="s">
        <v>187</v>
      </c>
      <c r="C107" s="395"/>
      <c r="D107" s="395"/>
      <c r="E107" s="395"/>
      <c r="F107" s="395"/>
      <c r="G107" s="395"/>
      <c r="H107" s="395"/>
      <c r="I107" s="185"/>
      <c r="J107" s="185"/>
      <c r="K107" s="185"/>
      <c r="L107" s="185"/>
      <c r="M107" s="184"/>
      <c r="N107" s="397" t="s">
        <v>188</v>
      </c>
      <c r="O107" s="397" t="s">
        <v>135</v>
      </c>
      <c r="P107" s="399">
        <f>P72+7</f>
        <v>45916</v>
      </c>
      <c r="Q107" s="400"/>
      <c r="R107" s="400"/>
      <c r="S107" s="400"/>
      <c r="T107" s="400"/>
      <c r="U107" s="426">
        <f>P107+1</f>
        <v>45917</v>
      </c>
      <c r="V107" s="427"/>
      <c r="W107" s="427"/>
      <c r="X107" s="427"/>
      <c r="Y107" s="428"/>
      <c r="Z107" s="426">
        <f>U107+1</f>
        <v>45918</v>
      </c>
      <c r="AA107" s="427"/>
      <c r="AB107" s="427"/>
      <c r="AC107" s="427"/>
      <c r="AD107" s="428"/>
      <c r="AE107" s="426">
        <f>Z107+1</f>
        <v>45919</v>
      </c>
      <c r="AF107" s="427"/>
      <c r="AG107" s="427"/>
      <c r="AH107" s="427"/>
      <c r="AI107" s="428"/>
      <c r="AJ107" s="426">
        <f>AE107+1</f>
        <v>45920</v>
      </c>
      <c r="AK107" s="427"/>
      <c r="AL107" s="427"/>
      <c r="AM107" s="427"/>
      <c r="AN107" s="428"/>
      <c r="AO107" s="426">
        <f>AJ107+1</f>
        <v>45921</v>
      </c>
      <c r="AP107" s="427"/>
      <c r="AQ107" s="427"/>
      <c r="AR107" s="427"/>
      <c r="AS107" s="428"/>
      <c r="AT107" s="426">
        <f>AO107+1</f>
        <v>45922</v>
      </c>
      <c r="AU107" s="427"/>
      <c r="AV107" s="427"/>
      <c r="AW107" s="427"/>
      <c r="AX107" s="428"/>
    </row>
    <row r="108" spans="2:50" ht="15.75">
      <c r="B108" s="396"/>
      <c r="C108" s="396"/>
      <c r="D108" s="396"/>
      <c r="E108" s="396"/>
      <c r="F108" s="396"/>
      <c r="G108" s="396"/>
      <c r="H108" s="396"/>
      <c r="I108" s="183"/>
      <c r="J108" s="183"/>
      <c r="K108" s="183"/>
      <c r="L108" s="183"/>
      <c r="M108" s="178"/>
      <c r="N108" s="398"/>
      <c r="O108" s="398"/>
      <c r="P108" s="399" t="s">
        <v>223</v>
      </c>
      <c r="Q108" s="400"/>
      <c r="R108" s="400"/>
      <c r="S108" s="400"/>
      <c r="T108" s="400"/>
      <c r="U108" s="399" t="s">
        <v>224</v>
      </c>
      <c r="V108" s="400"/>
      <c r="W108" s="400"/>
      <c r="X108" s="400"/>
      <c r="Y108" s="400"/>
      <c r="Z108" s="399" t="s">
        <v>225</v>
      </c>
      <c r="AA108" s="400"/>
      <c r="AB108" s="400"/>
      <c r="AC108" s="400"/>
      <c r="AD108" s="400"/>
      <c r="AE108" s="399" t="s">
        <v>226</v>
      </c>
      <c r="AF108" s="400"/>
      <c r="AG108" s="400"/>
      <c r="AH108" s="400"/>
      <c r="AI108" s="400"/>
      <c r="AJ108" s="399" t="s">
        <v>227</v>
      </c>
      <c r="AK108" s="400"/>
      <c r="AL108" s="400"/>
      <c r="AM108" s="400"/>
      <c r="AN108" s="400"/>
      <c r="AO108" s="399" t="s">
        <v>142</v>
      </c>
      <c r="AP108" s="400"/>
      <c r="AQ108" s="400"/>
      <c r="AR108" s="400"/>
      <c r="AS108" s="400"/>
      <c r="AT108" s="399" t="s">
        <v>189</v>
      </c>
      <c r="AU108" s="400"/>
      <c r="AV108" s="400"/>
      <c r="AW108" s="400"/>
      <c r="AX108" s="400"/>
    </row>
    <row r="109" spans="2:50">
      <c r="B109" s="401" t="s">
        <v>190</v>
      </c>
      <c r="C109" s="401" t="s">
        <v>191</v>
      </c>
      <c r="D109" s="401"/>
      <c r="E109" s="401" t="s">
        <v>192</v>
      </c>
      <c r="F109" s="401"/>
      <c r="G109" s="401"/>
      <c r="H109" s="402" t="s">
        <v>193</v>
      </c>
      <c r="I109" s="401" t="s">
        <v>194</v>
      </c>
      <c r="J109" s="401"/>
      <c r="K109" s="401"/>
      <c r="L109" s="402" t="s">
        <v>193</v>
      </c>
      <c r="M109" s="397" t="s">
        <v>195</v>
      </c>
      <c r="N109" s="401"/>
      <c r="O109" s="401" t="s">
        <v>196</v>
      </c>
      <c r="P109" s="406" t="s">
        <v>197</v>
      </c>
      <c r="Q109" s="407"/>
      <c r="R109" s="407"/>
      <c r="S109" s="408"/>
      <c r="T109" s="401" t="s">
        <v>193</v>
      </c>
      <c r="U109" s="406" t="s">
        <v>197</v>
      </c>
      <c r="V109" s="407"/>
      <c r="W109" s="407"/>
      <c r="X109" s="408"/>
      <c r="Y109" s="401" t="s">
        <v>193</v>
      </c>
      <c r="Z109" s="406" t="s">
        <v>197</v>
      </c>
      <c r="AA109" s="407"/>
      <c r="AB109" s="407"/>
      <c r="AC109" s="408"/>
      <c r="AD109" s="401" t="s">
        <v>193</v>
      </c>
      <c r="AE109" s="406" t="s">
        <v>197</v>
      </c>
      <c r="AF109" s="407"/>
      <c r="AG109" s="407"/>
      <c r="AH109" s="408"/>
      <c r="AI109" s="401" t="s">
        <v>193</v>
      </c>
      <c r="AJ109" s="406" t="s">
        <v>197</v>
      </c>
      <c r="AK109" s="407"/>
      <c r="AL109" s="407"/>
      <c r="AM109" s="408"/>
      <c r="AN109" s="401" t="s">
        <v>193</v>
      </c>
      <c r="AO109" s="406" t="s">
        <v>197</v>
      </c>
      <c r="AP109" s="407"/>
      <c r="AQ109" s="407"/>
      <c r="AR109" s="408"/>
      <c r="AS109" s="401" t="s">
        <v>193</v>
      </c>
      <c r="AT109" s="406" t="s">
        <v>197</v>
      </c>
      <c r="AU109" s="407"/>
      <c r="AV109" s="407"/>
      <c r="AW109" s="408"/>
      <c r="AX109" s="401" t="s">
        <v>193</v>
      </c>
    </row>
    <row r="110" spans="2:50">
      <c r="B110" s="401"/>
      <c r="C110" s="401"/>
      <c r="D110" s="401"/>
      <c r="E110" s="401" t="s">
        <v>198</v>
      </c>
      <c r="F110" s="401"/>
      <c r="G110" s="401"/>
      <c r="H110" s="403"/>
      <c r="I110" s="401" t="s">
        <v>198</v>
      </c>
      <c r="J110" s="401"/>
      <c r="K110" s="401"/>
      <c r="L110" s="403"/>
      <c r="M110" s="405"/>
      <c r="N110" s="401"/>
      <c r="O110" s="401"/>
      <c r="P110" s="406" t="s">
        <v>199</v>
      </c>
      <c r="Q110" s="407"/>
      <c r="R110" s="407"/>
      <c r="S110" s="408"/>
      <c r="T110" s="401"/>
      <c r="U110" s="406" t="s">
        <v>199</v>
      </c>
      <c r="V110" s="407"/>
      <c r="W110" s="407"/>
      <c r="X110" s="408"/>
      <c r="Y110" s="401"/>
      <c r="Z110" s="406" t="s">
        <v>199</v>
      </c>
      <c r="AA110" s="407"/>
      <c r="AB110" s="407"/>
      <c r="AC110" s="408"/>
      <c r="AD110" s="401"/>
      <c r="AE110" s="406" t="s">
        <v>199</v>
      </c>
      <c r="AF110" s="407"/>
      <c r="AG110" s="407"/>
      <c r="AH110" s="408"/>
      <c r="AI110" s="401"/>
      <c r="AJ110" s="406" t="s">
        <v>199</v>
      </c>
      <c r="AK110" s="407"/>
      <c r="AL110" s="407"/>
      <c r="AM110" s="408"/>
      <c r="AN110" s="401"/>
      <c r="AO110" s="406" t="s">
        <v>199</v>
      </c>
      <c r="AP110" s="407"/>
      <c r="AQ110" s="407"/>
      <c r="AR110" s="408"/>
      <c r="AS110" s="401"/>
      <c r="AT110" s="406" t="s">
        <v>199</v>
      </c>
      <c r="AU110" s="407"/>
      <c r="AV110" s="407"/>
      <c r="AW110" s="408"/>
      <c r="AX110" s="401"/>
    </row>
    <row r="111" spans="2:50">
      <c r="B111" s="401"/>
      <c r="C111" s="401"/>
      <c r="D111" s="401"/>
      <c r="E111" s="234" t="s">
        <v>200</v>
      </c>
      <c r="F111" s="234" t="s">
        <v>201</v>
      </c>
      <c r="G111" s="234" t="s">
        <v>202</v>
      </c>
      <c r="H111" s="404"/>
      <c r="I111" s="234" t="s">
        <v>200</v>
      </c>
      <c r="J111" s="234" t="s">
        <v>201</v>
      </c>
      <c r="K111" s="234" t="s">
        <v>202</v>
      </c>
      <c r="L111" s="404"/>
      <c r="M111" s="398"/>
      <c r="N111" s="401"/>
      <c r="O111" s="401"/>
      <c r="P111" s="234" t="s">
        <v>200</v>
      </c>
      <c r="Q111" s="234" t="s">
        <v>201</v>
      </c>
      <c r="R111" s="234" t="s">
        <v>202</v>
      </c>
      <c r="S111" s="234" t="s">
        <v>195</v>
      </c>
      <c r="T111" s="401"/>
      <c r="U111" s="234" t="s">
        <v>200</v>
      </c>
      <c r="V111" s="234" t="s">
        <v>201</v>
      </c>
      <c r="W111" s="234" t="s">
        <v>202</v>
      </c>
      <c r="X111" s="234" t="s">
        <v>195</v>
      </c>
      <c r="Y111" s="401"/>
      <c r="Z111" s="234" t="s">
        <v>200</v>
      </c>
      <c r="AA111" s="234" t="s">
        <v>201</v>
      </c>
      <c r="AB111" s="234" t="s">
        <v>202</v>
      </c>
      <c r="AC111" s="234" t="s">
        <v>195</v>
      </c>
      <c r="AD111" s="401"/>
      <c r="AE111" s="234" t="s">
        <v>200</v>
      </c>
      <c r="AF111" s="234" t="s">
        <v>201</v>
      </c>
      <c r="AG111" s="234" t="s">
        <v>202</v>
      </c>
      <c r="AH111" s="234" t="s">
        <v>195</v>
      </c>
      <c r="AI111" s="401"/>
      <c r="AJ111" s="234" t="s">
        <v>200</v>
      </c>
      <c r="AK111" s="234" t="s">
        <v>201</v>
      </c>
      <c r="AL111" s="234" t="s">
        <v>202</v>
      </c>
      <c r="AM111" s="234" t="s">
        <v>195</v>
      </c>
      <c r="AN111" s="401"/>
      <c r="AO111" s="234" t="s">
        <v>200</v>
      </c>
      <c r="AP111" s="234" t="s">
        <v>201</v>
      </c>
      <c r="AQ111" s="234" t="s">
        <v>202</v>
      </c>
      <c r="AR111" s="234" t="s">
        <v>195</v>
      </c>
      <c r="AS111" s="401"/>
      <c r="AT111" s="234" t="s">
        <v>200</v>
      </c>
      <c r="AU111" s="234" t="s">
        <v>201</v>
      </c>
      <c r="AV111" s="234" t="s">
        <v>202</v>
      </c>
      <c r="AW111" s="234" t="s">
        <v>195</v>
      </c>
      <c r="AX111" s="401"/>
    </row>
    <row r="112" spans="2:50">
      <c r="B112" s="400" t="s">
        <v>203</v>
      </c>
      <c r="C112" s="181">
        <v>1</v>
      </c>
      <c r="D112" s="181" t="s">
        <v>204</v>
      </c>
      <c r="E112" s="181">
        <v>4</v>
      </c>
      <c r="F112" s="181">
        <v>2200</v>
      </c>
      <c r="G112" s="181">
        <v>550</v>
      </c>
      <c r="H112" s="409">
        <f>AVERAGE(G112:G141)</f>
        <v>889.13043478260875</v>
      </c>
      <c r="I112" s="165">
        <f>AVERAGE(P112,U112,Z112,AE112,AJ112,AO112,AT112)</f>
        <v>4</v>
      </c>
      <c r="J112" s="165">
        <f>AVERAGE(Q112,V112,AA112,AF112,AK112,AP112,AU112)</f>
        <v>1992.2897254884215</v>
      </c>
      <c r="K112" s="179">
        <f>AVERAGE(R112,W112,AB112,AG112,AL112,AQ112,AV112)</f>
        <v>498.07243137210537</v>
      </c>
      <c r="L112" s="412">
        <f>IFERROR(AVERAGE(K112:K141),"-")</f>
        <v>712.3181444722818</v>
      </c>
      <c r="M112" s="165">
        <f>RANK(K112, K$112:$K$141)</f>
        <v>23</v>
      </c>
      <c r="N112" s="401"/>
      <c r="O112" s="401"/>
      <c r="P112" s="181">
        <v>4</v>
      </c>
      <c r="Q112" s="165">
        <v>1995</v>
      </c>
      <c r="R112" s="179">
        <v>498.75</v>
      </c>
      <c r="S112" s="181">
        <f>RANK(R112, R$112:R$141)</f>
        <v>23</v>
      </c>
      <c r="T112" s="409">
        <f>AVERAGE(R112:R141)</f>
        <v>737.7965095242472</v>
      </c>
      <c r="U112" s="181">
        <v>4</v>
      </c>
      <c r="V112" s="165">
        <v>1994.0425531914896</v>
      </c>
      <c r="W112" s="179">
        <v>498.51063829787239</v>
      </c>
      <c r="X112" s="181">
        <f>RANK(W112, W$112:W$141)</f>
        <v>23</v>
      </c>
      <c r="Y112" s="409">
        <f>AVERAGE(W112:W141)</f>
        <v>707.17678292258074</v>
      </c>
      <c r="Z112" s="181">
        <v>4</v>
      </c>
      <c r="AA112" s="165">
        <v>1994.5054945054944</v>
      </c>
      <c r="AB112" s="179">
        <v>498.62637362637361</v>
      </c>
      <c r="AC112" s="181">
        <f>RANK(AB112, AB$112:AB$141)</f>
        <v>23</v>
      </c>
      <c r="AD112" s="409">
        <f>AVERAGE(AB112:AB141)</f>
        <v>704.9247027566696</v>
      </c>
      <c r="AE112" s="181">
        <v>4</v>
      </c>
      <c r="AF112" s="165">
        <v>1990.8333333333339</v>
      </c>
      <c r="AG112" s="179">
        <v>497.70833333333348</v>
      </c>
      <c r="AH112" s="181">
        <f>RANK(AG112, AG$112:AG$141)</f>
        <v>23</v>
      </c>
      <c r="AI112" s="409">
        <f>AVERAGE(AG112:AG141)</f>
        <v>704.11196201817631</v>
      </c>
      <c r="AJ112" s="181">
        <v>4</v>
      </c>
      <c r="AK112" s="165">
        <v>1988.571428571428</v>
      </c>
      <c r="AL112" s="179">
        <v>497.142857142857</v>
      </c>
      <c r="AM112" s="181">
        <f>RANK(AL112, AL$112:AL$141)</f>
        <v>23</v>
      </c>
      <c r="AN112" s="409">
        <f>AVERAGE(AL112:AL141)</f>
        <v>708.33697755013873</v>
      </c>
      <c r="AO112" s="181">
        <v>4</v>
      </c>
      <c r="AP112" s="165">
        <v>1987.7419354838712</v>
      </c>
      <c r="AQ112" s="179">
        <v>496.9354838709678</v>
      </c>
      <c r="AR112" s="181">
        <f>RANK(AQ112, AQ$112:AQ$141)</f>
        <v>23</v>
      </c>
      <c r="AS112" s="409">
        <f>AVERAGE(AQ112:AQ141)</f>
        <v>713.80696384755549</v>
      </c>
      <c r="AT112" s="181">
        <v>4</v>
      </c>
      <c r="AU112" s="165">
        <v>1995.3333333333333</v>
      </c>
      <c r="AV112" s="179">
        <v>498.83333333333331</v>
      </c>
      <c r="AW112" s="181">
        <f>RANK(AV112, AV$112:AV$141)</f>
        <v>23</v>
      </c>
      <c r="AX112" s="409">
        <f>AVERAGE(AV112:AV141)</f>
        <v>710.0731126866043</v>
      </c>
    </row>
    <row r="113" spans="2:50">
      <c r="B113" s="400"/>
      <c r="C113" s="181">
        <v>2</v>
      </c>
      <c r="D113" s="181" t="s">
        <v>205</v>
      </c>
      <c r="E113" s="181">
        <v>3</v>
      </c>
      <c r="F113" s="181">
        <v>2700</v>
      </c>
      <c r="G113" s="181">
        <v>900</v>
      </c>
      <c r="H113" s="410"/>
      <c r="I113" s="165">
        <f t="shared" ref="I113:I131" si="25">AVERAGE(P113,U113,Z113,AE113,AJ113,AO113,AT113)</f>
        <v>3</v>
      </c>
      <c r="J113" s="165">
        <f t="shared" ref="J113:J131" si="26">AVERAGE(Q113,V113,AA113,AF113,AK113,AP113,AU113)</f>
        <v>2694.4386069812531</v>
      </c>
      <c r="K113" s="179">
        <f t="shared" ref="K113:K131" si="27">AVERAGE(R113,W113,AB113,AG113,AL113,AQ113,AV113)</f>
        <v>898.14620232708432</v>
      </c>
      <c r="L113" s="413"/>
      <c r="M113" s="165">
        <f>RANK(K113, K$112:$K$141)</f>
        <v>2</v>
      </c>
      <c r="N113" s="401"/>
      <c r="O113" s="401"/>
      <c r="P113" s="181">
        <v>3</v>
      </c>
      <c r="Q113" s="165">
        <v>2647.0588235294117</v>
      </c>
      <c r="R113" s="179">
        <v>882.35294117647061</v>
      </c>
      <c r="S113" s="181">
        <f t="shared" ref="S113:S141" si="28">RANK(R113, R$112:R$141)</f>
        <v>4</v>
      </c>
      <c r="T113" s="410"/>
      <c r="U113" s="181">
        <v>3</v>
      </c>
      <c r="V113" s="165">
        <v>2645.2941176470586</v>
      </c>
      <c r="W113" s="179">
        <v>881.76470588235281</v>
      </c>
      <c r="X113" s="181">
        <f t="shared" ref="X113:X141" si="29">RANK(W113, W$112:W$141)</f>
        <v>3</v>
      </c>
      <c r="Y113" s="410"/>
      <c r="Z113" s="181">
        <v>3</v>
      </c>
      <c r="AA113" s="165">
        <v>2696.2499999999995</v>
      </c>
      <c r="AB113" s="179">
        <v>898.74999999999989</v>
      </c>
      <c r="AC113" s="181">
        <f t="shared" ref="AC113:AC141" si="30">RANK(AB113, AB$112:AB$141)</f>
        <v>2</v>
      </c>
      <c r="AD113" s="410"/>
      <c r="AE113" s="181">
        <v>3</v>
      </c>
      <c r="AF113" s="165">
        <v>2810.3999999999965</v>
      </c>
      <c r="AG113" s="179">
        <v>936.79999999999882</v>
      </c>
      <c r="AH113" s="181">
        <f t="shared" ref="AH113:AH141" si="31">RANK(AG113, AG$112:AG$141)</f>
        <v>2</v>
      </c>
      <c r="AI113" s="410"/>
      <c r="AJ113" s="181">
        <v>3</v>
      </c>
      <c r="AK113" s="165">
        <v>2637.6923076923044</v>
      </c>
      <c r="AL113" s="179">
        <v>879.23076923076815</v>
      </c>
      <c r="AM113" s="181">
        <f t="shared" ref="AM113:AM141" si="32">RANK(AL113, AL$112:AL$141)</f>
        <v>3</v>
      </c>
      <c r="AN113" s="410"/>
      <c r="AO113" s="181">
        <v>3</v>
      </c>
      <c r="AP113" s="165">
        <v>2743.1249999999995</v>
      </c>
      <c r="AQ113" s="179">
        <v>914.37499999999989</v>
      </c>
      <c r="AR113" s="181">
        <f t="shared" ref="AR113:AR141" si="33">RANK(AQ113, AQ$112:AQ$141)</f>
        <v>2</v>
      </c>
      <c r="AS113" s="410"/>
      <c r="AT113" s="181">
        <v>3</v>
      </c>
      <c r="AU113" s="165">
        <v>2681.2499999999995</v>
      </c>
      <c r="AV113" s="179">
        <v>893.74999999999989</v>
      </c>
      <c r="AW113" s="181">
        <f t="shared" ref="AW113:AW141" si="34">RANK(AV113, AV$112:AV$141)</f>
        <v>2</v>
      </c>
      <c r="AX113" s="410"/>
    </row>
    <row r="114" spans="2:50">
      <c r="B114" s="400"/>
      <c r="C114" s="181">
        <v>3</v>
      </c>
      <c r="D114" s="181" t="s">
        <v>206</v>
      </c>
      <c r="E114" s="181">
        <v>4</v>
      </c>
      <c r="F114" s="181">
        <v>3600</v>
      </c>
      <c r="G114" s="181">
        <v>900</v>
      </c>
      <c r="H114" s="410"/>
      <c r="I114" s="165">
        <f t="shared" si="25"/>
        <v>4</v>
      </c>
      <c r="J114" s="165">
        <f t="shared" si="26"/>
        <v>2940.968639004755</v>
      </c>
      <c r="K114" s="179">
        <f t="shared" si="27"/>
        <v>735.24215975118875</v>
      </c>
      <c r="L114" s="413"/>
      <c r="M114" s="165">
        <f>RANK(K114, K$112:$K$141)</f>
        <v>9</v>
      </c>
      <c r="N114" s="401"/>
      <c r="O114" s="401"/>
      <c r="P114" s="181">
        <v>4</v>
      </c>
      <c r="Q114" s="165">
        <v>2976.77419354839</v>
      </c>
      <c r="R114" s="179">
        <v>744.19354838709751</v>
      </c>
      <c r="S114" s="181">
        <f t="shared" si="28"/>
        <v>9</v>
      </c>
      <c r="T114" s="410"/>
      <c r="U114" s="181">
        <v>4</v>
      </c>
      <c r="V114" s="165">
        <v>2918.1818181818212</v>
      </c>
      <c r="W114" s="179">
        <v>729.5454545454553</v>
      </c>
      <c r="X114" s="181">
        <f t="shared" si="29"/>
        <v>10</v>
      </c>
      <c r="Y114" s="410"/>
      <c r="Z114" s="181">
        <v>4</v>
      </c>
      <c r="AA114" s="165">
        <v>2910.9677419354866</v>
      </c>
      <c r="AB114" s="179">
        <v>727.74193548387166</v>
      </c>
      <c r="AC114" s="181">
        <f t="shared" si="30"/>
        <v>10</v>
      </c>
      <c r="AD114" s="410"/>
      <c r="AE114" s="181">
        <v>4</v>
      </c>
      <c r="AF114" s="165">
        <v>2955.6521739130385</v>
      </c>
      <c r="AG114" s="179">
        <v>738.91304347825962</v>
      </c>
      <c r="AH114" s="181">
        <f t="shared" si="31"/>
        <v>7</v>
      </c>
      <c r="AI114" s="410"/>
      <c r="AJ114" s="181">
        <v>4</v>
      </c>
      <c r="AK114" s="165">
        <v>2915.4545454545396</v>
      </c>
      <c r="AL114" s="179">
        <v>728.8636363636349</v>
      </c>
      <c r="AM114" s="181">
        <f t="shared" si="32"/>
        <v>11</v>
      </c>
      <c r="AN114" s="410"/>
      <c r="AO114" s="181">
        <v>4</v>
      </c>
      <c r="AP114" s="165">
        <v>2996.0000000000068</v>
      </c>
      <c r="AQ114" s="179">
        <v>749.00000000000171</v>
      </c>
      <c r="AR114" s="181">
        <f t="shared" si="33"/>
        <v>8</v>
      </c>
      <c r="AS114" s="410"/>
      <c r="AT114" s="181">
        <v>4</v>
      </c>
      <c r="AU114" s="165">
        <v>2913.7500000000036</v>
      </c>
      <c r="AV114" s="179">
        <v>728.43750000000091</v>
      </c>
      <c r="AW114" s="181">
        <f t="shared" si="34"/>
        <v>11</v>
      </c>
      <c r="AX114" s="410"/>
    </row>
    <row r="115" spans="2:50">
      <c r="B115" s="400"/>
      <c r="C115" s="181">
        <v>4</v>
      </c>
      <c r="D115" s="181" t="s">
        <v>209</v>
      </c>
      <c r="E115" s="181">
        <v>3</v>
      </c>
      <c r="F115" s="181">
        <v>3600</v>
      </c>
      <c r="G115" s="181">
        <v>1200</v>
      </c>
      <c r="H115" s="410"/>
      <c r="I115" s="165">
        <f t="shared" si="25"/>
        <v>3</v>
      </c>
      <c r="J115" s="165">
        <f t="shared" si="26"/>
        <v>2993.2099012574499</v>
      </c>
      <c r="K115" s="179">
        <f t="shared" si="27"/>
        <v>997.73663375248327</v>
      </c>
      <c r="L115" s="413"/>
      <c r="M115" s="165">
        <f>RANK(K115, K$112:$K$141)</f>
        <v>1</v>
      </c>
      <c r="N115" s="401"/>
      <c r="O115" s="401"/>
      <c r="P115" s="181">
        <v>3</v>
      </c>
      <c r="Q115" s="165">
        <v>2992.0879120879135</v>
      </c>
      <c r="R115" s="179">
        <v>997.36263736263788</v>
      </c>
      <c r="S115" s="181">
        <f t="shared" si="28"/>
        <v>2</v>
      </c>
      <c r="T115" s="410"/>
      <c r="U115" s="181">
        <v>3</v>
      </c>
      <c r="V115" s="165">
        <v>2976.5217391304359</v>
      </c>
      <c r="W115" s="179">
        <v>992.17391304347859</v>
      </c>
      <c r="X115" s="181">
        <f t="shared" si="29"/>
        <v>1</v>
      </c>
      <c r="Y115" s="410"/>
      <c r="Z115" s="181">
        <v>3</v>
      </c>
      <c r="AA115" s="165">
        <v>3004.1379310344837</v>
      </c>
      <c r="AB115" s="179">
        <v>1001.3793103448279</v>
      </c>
      <c r="AC115" s="181">
        <f t="shared" si="30"/>
        <v>1</v>
      </c>
      <c r="AD115" s="410"/>
      <c r="AE115" s="181">
        <v>3</v>
      </c>
      <c r="AF115" s="165">
        <v>3036.3636363636379</v>
      </c>
      <c r="AG115" s="179">
        <v>1012.1212121212126</v>
      </c>
      <c r="AH115" s="181">
        <f t="shared" si="31"/>
        <v>1</v>
      </c>
      <c r="AI115" s="410"/>
      <c r="AJ115" s="181">
        <v>3</v>
      </c>
      <c r="AK115" s="165">
        <v>2958.4615384615395</v>
      </c>
      <c r="AL115" s="179">
        <v>986.15384615384653</v>
      </c>
      <c r="AM115" s="181">
        <f t="shared" si="32"/>
        <v>1</v>
      </c>
      <c r="AN115" s="410"/>
      <c r="AO115" s="181">
        <v>3</v>
      </c>
      <c r="AP115" s="165">
        <v>2978.0000000000014</v>
      </c>
      <c r="AQ115" s="179">
        <v>992.66666666666708</v>
      </c>
      <c r="AR115" s="181">
        <f t="shared" si="33"/>
        <v>1</v>
      </c>
      <c r="AS115" s="410"/>
      <c r="AT115" s="181">
        <v>3</v>
      </c>
      <c r="AU115" s="165">
        <v>3006.8965517241386</v>
      </c>
      <c r="AV115" s="179">
        <v>1002.2988505747129</v>
      </c>
      <c r="AW115" s="181">
        <f t="shared" si="34"/>
        <v>1</v>
      </c>
      <c r="AX115" s="410"/>
    </row>
    <row r="116" spans="2:50">
      <c r="B116" s="400"/>
      <c r="C116" s="181">
        <v>5</v>
      </c>
      <c r="D116" s="181" t="s">
        <v>208</v>
      </c>
      <c r="E116" s="181">
        <v>3</v>
      </c>
      <c r="F116" s="181">
        <v>3600</v>
      </c>
      <c r="G116" s="181">
        <v>1200</v>
      </c>
      <c r="H116" s="410"/>
      <c r="I116" s="165">
        <f t="shared" si="25"/>
        <v>4</v>
      </c>
      <c r="J116" s="165">
        <f t="shared" si="26"/>
        <v>2959.773880698524</v>
      </c>
      <c r="K116" s="179">
        <f t="shared" si="27"/>
        <v>739.94347017463099</v>
      </c>
      <c r="L116" s="413"/>
      <c r="M116" s="165">
        <f>RANK(K116, K$112:$K$141)</f>
        <v>8</v>
      </c>
      <c r="N116" s="401"/>
      <c r="O116" s="401"/>
      <c r="P116" s="181">
        <v>4</v>
      </c>
      <c r="Q116" s="165">
        <v>2966.2499999999959</v>
      </c>
      <c r="R116" s="179">
        <v>741.56249999999898</v>
      </c>
      <c r="S116" s="181">
        <f t="shared" si="28"/>
        <v>10</v>
      </c>
      <c r="T116" s="410"/>
      <c r="U116" s="181">
        <v>4</v>
      </c>
      <c r="V116" s="165">
        <v>2947.5000000000055</v>
      </c>
      <c r="W116" s="179">
        <v>736.87500000000136</v>
      </c>
      <c r="X116" s="181">
        <f t="shared" si="29"/>
        <v>9</v>
      </c>
      <c r="Y116" s="410"/>
      <c r="Z116" s="181">
        <v>4</v>
      </c>
      <c r="AA116" s="165">
        <v>2962.173913043473</v>
      </c>
      <c r="AB116" s="179">
        <v>740.54347826086826</v>
      </c>
      <c r="AC116" s="181">
        <f t="shared" si="30"/>
        <v>7</v>
      </c>
      <c r="AD116" s="410"/>
      <c r="AE116" s="181">
        <v>4</v>
      </c>
      <c r="AF116" s="165">
        <v>2929.714285714289</v>
      </c>
      <c r="AG116" s="179">
        <v>732.42857142857224</v>
      </c>
      <c r="AH116" s="181">
        <f t="shared" si="31"/>
        <v>8</v>
      </c>
      <c r="AI116" s="410"/>
      <c r="AJ116" s="181">
        <v>4</v>
      </c>
      <c r="AK116" s="165">
        <v>2945.2941176470554</v>
      </c>
      <c r="AL116" s="179">
        <v>736.32352941176384</v>
      </c>
      <c r="AM116" s="181">
        <f t="shared" si="32"/>
        <v>9</v>
      </c>
      <c r="AN116" s="410"/>
      <c r="AO116" s="181">
        <v>4</v>
      </c>
      <c r="AP116" s="165">
        <v>2990.6666666666665</v>
      </c>
      <c r="AQ116" s="179">
        <v>747.66666666666663</v>
      </c>
      <c r="AR116" s="181">
        <f t="shared" si="33"/>
        <v>9</v>
      </c>
      <c r="AS116" s="410"/>
      <c r="AT116" s="181">
        <v>4</v>
      </c>
      <c r="AU116" s="165">
        <v>2976.818181818182</v>
      </c>
      <c r="AV116" s="179">
        <v>744.2045454545455</v>
      </c>
      <c r="AW116" s="181">
        <f t="shared" si="34"/>
        <v>8</v>
      </c>
      <c r="AX116" s="410"/>
    </row>
    <row r="117" spans="2:50">
      <c r="B117" s="400"/>
      <c r="C117" s="181">
        <v>6</v>
      </c>
      <c r="D117" s="181" t="s">
        <v>207</v>
      </c>
      <c r="E117" s="181">
        <v>4</v>
      </c>
      <c r="F117" s="181">
        <v>3600</v>
      </c>
      <c r="G117" s="181">
        <v>900</v>
      </c>
      <c r="H117" s="410"/>
      <c r="I117" s="165">
        <f t="shared" si="25"/>
        <v>4</v>
      </c>
      <c r="J117" s="165">
        <f t="shared" si="26"/>
        <v>2961.0691904385171</v>
      </c>
      <c r="K117" s="179">
        <f t="shared" si="27"/>
        <v>740.26729760962928</v>
      </c>
      <c r="L117" s="413"/>
      <c r="M117" s="165">
        <f>RANK(K117, K$112:$K$141)</f>
        <v>7</v>
      </c>
      <c r="N117" s="401"/>
      <c r="O117" s="401"/>
      <c r="P117" s="181">
        <v>4</v>
      </c>
      <c r="Q117" s="165">
        <v>3014.4827586206916</v>
      </c>
      <c r="R117" s="179">
        <v>753.6206896551729</v>
      </c>
      <c r="S117" s="181">
        <f t="shared" si="28"/>
        <v>8</v>
      </c>
      <c r="T117" s="410"/>
      <c r="U117" s="181">
        <v>4</v>
      </c>
      <c r="V117" s="165">
        <v>3000.0000000000023</v>
      </c>
      <c r="W117" s="179">
        <v>750.00000000000057</v>
      </c>
      <c r="X117" s="181">
        <f t="shared" si="29"/>
        <v>7</v>
      </c>
      <c r="Y117" s="410"/>
      <c r="Z117" s="181">
        <v>4</v>
      </c>
      <c r="AA117" s="165">
        <v>2935.3846153846171</v>
      </c>
      <c r="AB117" s="179">
        <v>733.84615384615427</v>
      </c>
      <c r="AC117" s="181">
        <f t="shared" si="30"/>
        <v>8</v>
      </c>
      <c r="AD117" s="410"/>
      <c r="AE117" s="181">
        <v>4</v>
      </c>
      <c r="AF117" s="165">
        <v>2917.8947368421032</v>
      </c>
      <c r="AG117" s="179">
        <v>729.47368421052579</v>
      </c>
      <c r="AH117" s="181">
        <f t="shared" si="31"/>
        <v>9</v>
      </c>
      <c r="AI117" s="410"/>
      <c r="AJ117" s="181">
        <v>4</v>
      </c>
      <c r="AK117" s="165">
        <v>2939.9999999999841</v>
      </c>
      <c r="AL117" s="179">
        <v>734.99999999999602</v>
      </c>
      <c r="AM117" s="181">
        <f t="shared" si="32"/>
        <v>10</v>
      </c>
      <c r="AN117" s="410"/>
      <c r="AO117" s="181">
        <v>4</v>
      </c>
      <c r="AP117" s="165">
        <v>2942.2222222222326</v>
      </c>
      <c r="AQ117" s="179">
        <v>735.55555555555816</v>
      </c>
      <c r="AR117" s="181">
        <f t="shared" si="33"/>
        <v>10</v>
      </c>
      <c r="AS117" s="410"/>
      <c r="AT117" s="181">
        <v>4</v>
      </c>
      <c r="AU117" s="165">
        <v>2977.4999999999905</v>
      </c>
      <c r="AV117" s="179">
        <v>744.37499999999761</v>
      </c>
      <c r="AW117" s="181">
        <f t="shared" si="34"/>
        <v>7</v>
      </c>
      <c r="AX117" s="410"/>
    </row>
    <row r="118" spans="2:50">
      <c r="B118" s="400"/>
      <c r="C118" s="181">
        <v>7</v>
      </c>
      <c r="D118" s="181" t="s">
        <v>228</v>
      </c>
      <c r="E118" s="181">
        <v>4</v>
      </c>
      <c r="F118" s="181">
        <v>3600</v>
      </c>
      <c r="G118" s="181">
        <v>900</v>
      </c>
      <c r="H118" s="410"/>
      <c r="I118" s="165">
        <f t="shared" si="25"/>
        <v>4</v>
      </c>
      <c r="J118" s="165">
        <f t="shared" si="26"/>
        <v>2871.2040816326517</v>
      </c>
      <c r="K118" s="179">
        <f t="shared" si="27"/>
        <v>717.80102040816291</v>
      </c>
      <c r="L118" s="413"/>
      <c r="M118" s="165">
        <f>RANK(K118, K$112:$K$141)</f>
        <v>11</v>
      </c>
      <c r="N118" s="401"/>
      <c r="O118" s="401"/>
      <c r="P118" s="181">
        <v>4</v>
      </c>
      <c r="Q118" s="165">
        <v>2888.5714285714389</v>
      </c>
      <c r="R118" s="179">
        <v>722.14285714285973</v>
      </c>
      <c r="S118" s="181">
        <f t="shared" si="28"/>
        <v>13</v>
      </c>
      <c r="T118" s="410"/>
      <c r="U118" s="181">
        <v>4</v>
      </c>
      <c r="V118" s="165">
        <v>2982.8571428571195</v>
      </c>
      <c r="W118" s="179">
        <v>745.71428571427987</v>
      </c>
      <c r="X118" s="181">
        <f t="shared" si="29"/>
        <v>8</v>
      </c>
      <c r="Y118" s="410"/>
      <c r="Z118" s="181">
        <v>4</v>
      </c>
      <c r="AA118" s="165">
        <v>2680.0000000000095</v>
      </c>
      <c r="AB118" s="179">
        <v>670.00000000000239</v>
      </c>
      <c r="AC118" s="181">
        <f t="shared" si="30"/>
        <v>13</v>
      </c>
      <c r="AD118" s="410"/>
      <c r="AE118" s="181">
        <v>4</v>
      </c>
      <c r="AF118" s="165">
        <v>2448.0000000000086</v>
      </c>
      <c r="AG118" s="179">
        <v>612.00000000000216</v>
      </c>
      <c r="AH118" s="181">
        <f t="shared" si="31"/>
        <v>20</v>
      </c>
      <c r="AI118" s="410"/>
      <c r="AJ118" s="181">
        <v>4</v>
      </c>
      <c r="AK118" s="165">
        <v>3015.0000000000105</v>
      </c>
      <c r="AL118" s="179">
        <v>753.75000000000261</v>
      </c>
      <c r="AM118" s="181">
        <f t="shared" si="32"/>
        <v>8</v>
      </c>
      <c r="AN118" s="410"/>
      <c r="AO118" s="181">
        <v>4</v>
      </c>
      <c r="AP118" s="165">
        <v>3108.0000000000109</v>
      </c>
      <c r="AQ118" s="179">
        <v>777.00000000000273</v>
      </c>
      <c r="AR118" s="181">
        <f t="shared" si="33"/>
        <v>7</v>
      </c>
      <c r="AS118" s="410"/>
      <c r="AT118" s="181">
        <v>4</v>
      </c>
      <c r="AU118" s="165">
        <v>2975.9999999999632</v>
      </c>
      <c r="AV118" s="179">
        <v>743.99999999999079</v>
      </c>
      <c r="AW118" s="181">
        <f t="shared" si="34"/>
        <v>9</v>
      </c>
      <c r="AX118" s="410"/>
    </row>
    <row r="119" spans="2:50">
      <c r="B119" s="400"/>
      <c r="C119" s="181">
        <v>8</v>
      </c>
      <c r="D119" s="181" t="s">
        <v>229</v>
      </c>
      <c r="E119" s="181">
        <v>4</v>
      </c>
      <c r="F119" s="181">
        <v>3600</v>
      </c>
      <c r="G119" s="181">
        <v>900</v>
      </c>
      <c r="H119" s="410"/>
      <c r="I119" s="165">
        <f t="shared" si="25"/>
        <v>4</v>
      </c>
      <c r="J119" s="165">
        <f t="shared" si="26"/>
        <v>2637.4285714285497</v>
      </c>
      <c r="K119" s="179">
        <f t="shared" si="27"/>
        <v>659.35714285713743</v>
      </c>
      <c r="L119" s="413"/>
      <c r="M119" s="165">
        <f>RANK(K119, K$112:$K$141)</f>
        <v>15</v>
      </c>
      <c r="N119" s="401"/>
      <c r="O119" s="401"/>
      <c r="P119" s="181">
        <v>4</v>
      </c>
      <c r="Q119" s="165">
        <v>2920.0000000000105</v>
      </c>
      <c r="R119" s="179">
        <v>730.00000000000261</v>
      </c>
      <c r="S119" s="181">
        <f t="shared" si="28"/>
        <v>11</v>
      </c>
      <c r="T119" s="410"/>
      <c r="U119" s="181">
        <v>4</v>
      </c>
      <c r="V119" s="165">
        <v>2779.9999999999727</v>
      </c>
      <c r="W119" s="179">
        <v>694.99999999999318</v>
      </c>
      <c r="X119" s="181">
        <f t="shared" si="29"/>
        <v>12</v>
      </c>
      <c r="Y119" s="410"/>
      <c r="Z119" s="181">
        <v>4</v>
      </c>
      <c r="AA119" s="165">
        <v>2651.9999999999668</v>
      </c>
      <c r="AB119" s="179">
        <v>662.9999999999917</v>
      </c>
      <c r="AC119" s="181">
        <f t="shared" si="30"/>
        <v>14</v>
      </c>
      <c r="AD119" s="410"/>
      <c r="AE119" s="181">
        <v>4</v>
      </c>
      <c r="AF119" s="165">
        <v>2489.9999999999091</v>
      </c>
      <c r="AG119" s="179">
        <v>622.49999999997726</v>
      </c>
      <c r="AH119" s="181">
        <f t="shared" si="31"/>
        <v>16</v>
      </c>
      <c r="AI119" s="410"/>
      <c r="AJ119" s="181">
        <v>4</v>
      </c>
      <c r="AK119" s="165">
        <v>2400.0000000000086</v>
      </c>
      <c r="AL119" s="179">
        <v>600.00000000000216</v>
      </c>
      <c r="AM119" s="181">
        <f t="shared" si="32"/>
        <v>20</v>
      </c>
      <c r="AN119" s="410"/>
      <c r="AO119" s="181">
        <v>4</v>
      </c>
      <c r="AP119" s="165">
        <v>2555.9999999999682</v>
      </c>
      <c r="AQ119" s="179">
        <v>638.99999999999204</v>
      </c>
      <c r="AR119" s="181">
        <f t="shared" si="33"/>
        <v>15</v>
      </c>
      <c r="AS119" s="410"/>
      <c r="AT119" s="181">
        <v>4</v>
      </c>
      <c r="AU119" s="165">
        <v>2664.0000000000091</v>
      </c>
      <c r="AV119" s="179">
        <v>666.00000000000227</v>
      </c>
      <c r="AW119" s="181">
        <f t="shared" si="34"/>
        <v>13</v>
      </c>
      <c r="AX119" s="410"/>
    </row>
    <row r="120" spans="2:50">
      <c r="B120" s="400"/>
      <c r="C120" s="181">
        <v>9</v>
      </c>
      <c r="D120" s="181" t="s">
        <v>210</v>
      </c>
      <c r="E120" s="181">
        <v>4</v>
      </c>
      <c r="F120" s="181">
        <v>3300</v>
      </c>
      <c r="G120" s="181">
        <v>825</v>
      </c>
      <c r="H120" s="410"/>
      <c r="I120" s="165">
        <f t="shared" si="25"/>
        <v>4</v>
      </c>
      <c r="J120" s="165">
        <f t="shared" si="26"/>
        <v>2434.102393994031</v>
      </c>
      <c r="K120" s="179">
        <f t="shared" si="27"/>
        <v>608.52559849850775</v>
      </c>
      <c r="L120" s="413"/>
      <c r="M120" s="165">
        <f>RANK(K120, K$112:$K$141)</f>
        <v>20</v>
      </c>
      <c r="N120" s="401"/>
      <c r="O120" s="401"/>
      <c r="P120" s="181">
        <v>4</v>
      </c>
      <c r="Q120" s="165">
        <v>2513.3333333333312</v>
      </c>
      <c r="R120" s="179">
        <v>628.3333333333328</v>
      </c>
      <c r="S120" s="181">
        <f t="shared" si="28"/>
        <v>17</v>
      </c>
      <c r="T120" s="410"/>
      <c r="U120" s="181">
        <v>4</v>
      </c>
      <c r="V120" s="165">
        <v>2377.8947368421032</v>
      </c>
      <c r="W120" s="179">
        <v>594.47368421052579</v>
      </c>
      <c r="X120" s="181">
        <f t="shared" si="29"/>
        <v>21</v>
      </c>
      <c r="Y120" s="410"/>
      <c r="Z120" s="181">
        <v>4</v>
      </c>
      <c r="AA120" s="165">
        <v>2459.9999999999968</v>
      </c>
      <c r="AB120" s="179">
        <v>614.9999999999992</v>
      </c>
      <c r="AC120" s="181">
        <f t="shared" si="30"/>
        <v>20</v>
      </c>
      <c r="AD120" s="410"/>
      <c r="AE120" s="181">
        <v>4</v>
      </c>
      <c r="AF120" s="165">
        <v>2363.076923076917</v>
      </c>
      <c r="AG120" s="179">
        <v>590.76923076922924</v>
      </c>
      <c r="AH120" s="181">
        <f t="shared" si="31"/>
        <v>21</v>
      </c>
      <c r="AI120" s="410"/>
      <c r="AJ120" s="181">
        <v>4</v>
      </c>
      <c r="AK120" s="165">
        <v>2454.9999999999923</v>
      </c>
      <c r="AL120" s="179">
        <v>613.74999999999807</v>
      </c>
      <c r="AM120" s="181">
        <f t="shared" si="32"/>
        <v>18</v>
      </c>
      <c r="AN120" s="410"/>
      <c r="AO120" s="181">
        <v>4</v>
      </c>
      <c r="AP120" s="165">
        <v>2479.9999999999982</v>
      </c>
      <c r="AQ120" s="179">
        <v>619.99999999999955</v>
      </c>
      <c r="AR120" s="181">
        <f t="shared" si="33"/>
        <v>19</v>
      </c>
      <c r="AS120" s="410"/>
      <c r="AT120" s="181">
        <v>4</v>
      </c>
      <c r="AU120" s="165">
        <v>2389.4117647058792</v>
      </c>
      <c r="AV120" s="179">
        <v>597.35294117646981</v>
      </c>
      <c r="AW120" s="181">
        <f t="shared" si="34"/>
        <v>21</v>
      </c>
      <c r="AX120" s="410"/>
    </row>
    <row r="121" spans="2:50">
      <c r="B121" s="400"/>
      <c r="C121" s="181">
        <v>10</v>
      </c>
      <c r="D121" s="181" t="s">
        <v>211</v>
      </c>
      <c r="E121" s="181">
        <v>3</v>
      </c>
      <c r="F121" s="181">
        <v>3300</v>
      </c>
      <c r="G121" s="181">
        <v>1100</v>
      </c>
      <c r="H121" s="410"/>
      <c r="I121" s="165">
        <f t="shared" si="25"/>
        <v>3</v>
      </c>
      <c r="J121" s="165">
        <f t="shared" si="26"/>
        <v>2473.6037738562659</v>
      </c>
      <c r="K121" s="179">
        <f t="shared" si="27"/>
        <v>824.53459128542193</v>
      </c>
      <c r="L121" s="413"/>
      <c r="M121" s="165">
        <f>RANK(K121, K$112:$K$141)</f>
        <v>4</v>
      </c>
      <c r="N121" s="401"/>
      <c r="O121" s="401"/>
      <c r="P121" s="181">
        <v>3</v>
      </c>
      <c r="Q121" s="165">
        <v>2461.3333333333312</v>
      </c>
      <c r="R121" s="179">
        <v>820.44444444444377</v>
      </c>
      <c r="S121" s="181">
        <f t="shared" si="28"/>
        <v>6</v>
      </c>
      <c r="T121" s="410"/>
      <c r="U121" s="181">
        <v>3</v>
      </c>
      <c r="V121" s="165">
        <v>2469.5454545454545</v>
      </c>
      <c r="W121" s="179">
        <v>823.18181818181813</v>
      </c>
      <c r="X121" s="181">
        <f t="shared" si="29"/>
        <v>4</v>
      </c>
      <c r="Y121" s="410"/>
      <c r="Z121" s="181">
        <v>3</v>
      </c>
      <c r="AA121" s="165">
        <v>2465.5813953488396</v>
      </c>
      <c r="AB121" s="179">
        <v>821.8604651162799</v>
      </c>
      <c r="AC121" s="181">
        <f t="shared" si="30"/>
        <v>4</v>
      </c>
      <c r="AD121" s="410"/>
      <c r="AE121" s="181">
        <v>3</v>
      </c>
      <c r="AF121" s="165">
        <v>2498.181818181818</v>
      </c>
      <c r="AG121" s="179">
        <v>832.72727272727263</v>
      </c>
      <c r="AH121" s="181">
        <f t="shared" si="31"/>
        <v>4</v>
      </c>
      <c r="AI121" s="410"/>
      <c r="AJ121" s="181">
        <v>3</v>
      </c>
      <c r="AK121" s="165">
        <v>2449.090909090909</v>
      </c>
      <c r="AL121" s="179">
        <v>816.36363636363637</v>
      </c>
      <c r="AM121" s="181">
        <f t="shared" si="32"/>
        <v>5</v>
      </c>
      <c r="AN121" s="410"/>
      <c r="AO121" s="181">
        <v>3</v>
      </c>
      <c r="AP121" s="165">
        <v>2488.6363636363635</v>
      </c>
      <c r="AQ121" s="179">
        <v>829.5454545454545</v>
      </c>
      <c r="AR121" s="181">
        <f t="shared" si="33"/>
        <v>5</v>
      </c>
      <c r="AS121" s="410"/>
      <c r="AT121" s="181">
        <v>3</v>
      </c>
      <c r="AU121" s="165">
        <v>2482.8571428571445</v>
      </c>
      <c r="AV121" s="179">
        <v>827.61904761904816</v>
      </c>
      <c r="AW121" s="181">
        <f t="shared" si="34"/>
        <v>5</v>
      </c>
      <c r="AX121" s="410"/>
    </row>
    <row r="122" spans="2:50">
      <c r="B122" s="400"/>
      <c r="C122" s="181">
        <v>11</v>
      </c>
      <c r="D122" s="181" t="s">
        <v>212</v>
      </c>
      <c r="E122" s="181">
        <v>3</v>
      </c>
      <c r="F122" s="181">
        <v>3300</v>
      </c>
      <c r="G122" s="181">
        <v>1100</v>
      </c>
      <c r="H122" s="410"/>
      <c r="I122" s="165">
        <f t="shared" si="25"/>
        <v>3</v>
      </c>
      <c r="J122" s="165">
        <f t="shared" si="26"/>
        <v>2473.2111954071984</v>
      </c>
      <c r="K122" s="179">
        <f t="shared" si="27"/>
        <v>824.40373180239953</v>
      </c>
      <c r="L122" s="413"/>
      <c r="M122" s="165">
        <f>RANK(K122, K$112:$K$141)</f>
        <v>5</v>
      </c>
      <c r="N122" s="401"/>
      <c r="O122" s="401"/>
      <c r="P122" s="181">
        <v>3</v>
      </c>
      <c r="Q122" s="165">
        <v>2482.1739130434803</v>
      </c>
      <c r="R122" s="179">
        <v>827.3913043478268</v>
      </c>
      <c r="S122" s="181">
        <f t="shared" si="28"/>
        <v>5</v>
      </c>
      <c r="T122" s="410"/>
      <c r="U122" s="181">
        <v>3</v>
      </c>
      <c r="V122" s="165">
        <v>2463.6734693877579</v>
      </c>
      <c r="W122" s="179">
        <v>821.22448979591934</v>
      </c>
      <c r="X122" s="181">
        <f t="shared" si="29"/>
        <v>5</v>
      </c>
      <c r="Y122" s="410"/>
      <c r="Z122" s="181">
        <v>3</v>
      </c>
      <c r="AA122" s="165">
        <v>2463.8297872340449</v>
      </c>
      <c r="AB122" s="179">
        <v>821.27659574468169</v>
      </c>
      <c r="AC122" s="181">
        <f t="shared" si="30"/>
        <v>5</v>
      </c>
      <c r="AD122" s="410"/>
      <c r="AE122" s="181">
        <v>3</v>
      </c>
      <c r="AF122" s="165">
        <v>2496.6666666666674</v>
      </c>
      <c r="AG122" s="179">
        <v>832.22222222222251</v>
      </c>
      <c r="AH122" s="181">
        <f t="shared" si="31"/>
        <v>5</v>
      </c>
      <c r="AI122" s="410"/>
      <c r="AJ122" s="181">
        <v>3</v>
      </c>
      <c r="AK122" s="165">
        <v>2477.1428571428573</v>
      </c>
      <c r="AL122" s="179">
        <v>825.71428571428578</v>
      </c>
      <c r="AM122" s="181">
        <f t="shared" si="32"/>
        <v>4</v>
      </c>
      <c r="AN122" s="410"/>
      <c r="AO122" s="181">
        <v>3</v>
      </c>
      <c r="AP122" s="165">
        <v>2466.3829787234067</v>
      </c>
      <c r="AQ122" s="179">
        <v>822.12765957446891</v>
      </c>
      <c r="AR122" s="181">
        <f t="shared" si="33"/>
        <v>6</v>
      </c>
      <c r="AS122" s="410"/>
      <c r="AT122" s="181">
        <v>3</v>
      </c>
      <c r="AU122" s="165">
        <v>2462.608695652174</v>
      </c>
      <c r="AV122" s="179">
        <v>820.86956521739137</v>
      </c>
      <c r="AW122" s="181">
        <f t="shared" si="34"/>
        <v>6</v>
      </c>
      <c r="AX122" s="410"/>
    </row>
    <row r="123" spans="2:50">
      <c r="B123" s="400"/>
      <c r="C123" s="181">
        <v>12</v>
      </c>
      <c r="D123" s="181" t="s">
        <v>213</v>
      </c>
      <c r="E123" s="181">
        <v>4</v>
      </c>
      <c r="F123" s="181">
        <v>3300</v>
      </c>
      <c r="G123" s="181">
        <v>825</v>
      </c>
      <c r="H123" s="410"/>
      <c r="I123" s="165">
        <f t="shared" si="25"/>
        <v>4</v>
      </c>
      <c r="J123" s="165">
        <f t="shared" si="26"/>
        <v>2490.974999074042</v>
      </c>
      <c r="K123" s="179">
        <f t="shared" si="27"/>
        <v>622.7437497685105</v>
      </c>
      <c r="L123" s="413"/>
      <c r="M123" s="165">
        <f>RANK(K123, K$112:$K$141)</f>
        <v>17</v>
      </c>
      <c r="N123" s="401"/>
      <c r="O123" s="401"/>
      <c r="P123" s="181">
        <v>4</v>
      </c>
      <c r="Q123" s="165">
        <v>2480.6896551724153</v>
      </c>
      <c r="R123" s="179">
        <v>620.17241379310383</v>
      </c>
      <c r="S123" s="181">
        <f t="shared" si="28"/>
        <v>20</v>
      </c>
      <c r="T123" s="410"/>
      <c r="U123" s="181">
        <v>4</v>
      </c>
      <c r="V123" s="165">
        <v>2468.0000000000091</v>
      </c>
      <c r="W123" s="179">
        <v>617.00000000000227</v>
      </c>
      <c r="X123" s="181">
        <f t="shared" si="29"/>
        <v>19</v>
      </c>
      <c r="Y123" s="410"/>
      <c r="Z123" s="181">
        <v>4</v>
      </c>
      <c r="AA123" s="165">
        <v>2496.4285714285734</v>
      </c>
      <c r="AB123" s="179">
        <v>624.10714285714334</v>
      </c>
      <c r="AC123" s="181">
        <f t="shared" si="30"/>
        <v>16</v>
      </c>
      <c r="AD123" s="410"/>
      <c r="AE123" s="181">
        <v>4</v>
      </c>
      <c r="AF123" s="165">
        <v>2608.4210526315774</v>
      </c>
      <c r="AG123" s="179">
        <v>652.10526315789434</v>
      </c>
      <c r="AH123" s="181">
        <f t="shared" si="31"/>
        <v>13</v>
      </c>
      <c r="AI123" s="410"/>
      <c r="AJ123" s="181">
        <v>4</v>
      </c>
      <c r="AK123" s="165">
        <v>2465.9999999999991</v>
      </c>
      <c r="AL123" s="179">
        <v>616.49999999999977</v>
      </c>
      <c r="AM123" s="181">
        <f t="shared" si="32"/>
        <v>16</v>
      </c>
      <c r="AN123" s="410"/>
      <c r="AO123" s="181">
        <v>4</v>
      </c>
      <c r="AP123" s="165">
        <v>2438.0000000000023</v>
      </c>
      <c r="AQ123" s="179">
        <v>609.50000000000057</v>
      </c>
      <c r="AR123" s="181">
        <f t="shared" si="33"/>
        <v>21</v>
      </c>
      <c r="AS123" s="410"/>
      <c r="AT123" s="181">
        <v>4</v>
      </c>
      <c r="AU123" s="165">
        <v>2479.2857142857197</v>
      </c>
      <c r="AV123" s="179">
        <v>619.82142857142992</v>
      </c>
      <c r="AW123" s="181">
        <f t="shared" si="34"/>
        <v>18</v>
      </c>
      <c r="AX123" s="410"/>
    </row>
    <row r="124" spans="2:50">
      <c r="B124" s="400"/>
      <c r="C124" s="181">
        <v>13</v>
      </c>
      <c r="D124" s="181" t="s">
        <v>214</v>
      </c>
      <c r="E124" s="181">
        <v>4</v>
      </c>
      <c r="F124" s="181">
        <v>2500</v>
      </c>
      <c r="G124" s="181">
        <v>625</v>
      </c>
      <c r="H124" s="410"/>
      <c r="I124" s="165">
        <f t="shared" si="25"/>
        <v>4</v>
      </c>
      <c r="J124" s="165">
        <f t="shared" si="26"/>
        <v>2477.8725821522453</v>
      </c>
      <c r="K124" s="179">
        <f t="shared" si="27"/>
        <v>619.46814553806132</v>
      </c>
      <c r="L124" s="413"/>
      <c r="M124" s="165">
        <f>RANK(K124, K$112:$K$141)</f>
        <v>18</v>
      </c>
      <c r="N124" s="401"/>
      <c r="O124" s="401"/>
      <c r="P124" s="181">
        <v>4</v>
      </c>
      <c r="Q124" s="165">
        <v>2473.170731707316</v>
      </c>
      <c r="R124" s="179">
        <v>618.292682926829</v>
      </c>
      <c r="S124" s="181">
        <f t="shared" si="28"/>
        <v>21</v>
      </c>
      <c r="T124" s="410"/>
      <c r="U124" s="181">
        <v>4</v>
      </c>
      <c r="V124" s="165">
        <v>2471.9999999999991</v>
      </c>
      <c r="W124" s="179">
        <v>617.99999999999977</v>
      </c>
      <c r="X124" s="181">
        <f t="shared" si="29"/>
        <v>18</v>
      </c>
      <c r="Y124" s="410"/>
      <c r="Z124" s="181">
        <v>4</v>
      </c>
      <c r="AA124" s="165">
        <v>2478.9473684210507</v>
      </c>
      <c r="AB124" s="179">
        <v>619.73684210526267</v>
      </c>
      <c r="AC124" s="181">
        <f t="shared" si="30"/>
        <v>18</v>
      </c>
      <c r="AD124" s="410"/>
      <c r="AE124" s="181">
        <v>4</v>
      </c>
      <c r="AF124" s="165">
        <v>2509.2857142857165</v>
      </c>
      <c r="AG124" s="179">
        <v>627.32142857142912</v>
      </c>
      <c r="AH124" s="181">
        <f t="shared" si="31"/>
        <v>15</v>
      </c>
      <c r="AI124" s="410"/>
      <c r="AJ124" s="181">
        <v>4</v>
      </c>
      <c r="AK124" s="165">
        <v>2417.1428571428587</v>
      </c>
      <c r="AL124" s="179">
        <v>604.28571428571468</v>
      </c>
      <c r="AM124" s="181">
        <f t="shared" si="32"/>
        <v>19</v>
      </c>
      <c r="AN124" s="410"/>
      <c r="AO124" s="181">
        <v>4</v>
      </c>
      <c r="AP124" s="165">
        <v>2497.8947368421091</v>
      </c>
      <c r="AQ124" s="179">
        <v>624.47368421052727</v>
      </c>
      <c r="AR124" s="181">
        <f t="shared" si="33"/>
        <v>16</v>
      </c>
      <c r="AS124" s="410"/>
      <c r="AT124" s="181">
        <v>4</v>
      </c>
      <c r="AU124" s="165">
        <v>2496.6666666666647</v>
      </c>
      <c r="AV124" s="179">
        <v>624.16666666666617</v>
      </c>
      <c r="AW124" s="181">
        <f t="shared" si="34"/>
        <v>16</v>
      </c>
      <c r="AX124" s="410"/>
    </row>
    <row r="125" spans="2:50">
      <c r="B125" s="400"/>
      <c r="C125" s="181">
        <v>14</v>
      </c>
      <c r="D125" s="181" t="s">
        <v>215</v>
      </c>
      <c r="E125" s="181">
        <v>3</v>
      </c>
      <c r="F125" s="181">
        <v>3300</v>
      </c>
      <c r="G125" s="181">
        <v>1100</v>
      </c>
      <c r="H125" s="410"/>
      <c r="I125" s="165">
        <f t="shared" si="25"/>
        <v>3</v>
      </c>
      <c r="J125" s="165">
        <f t="shared" si="26"/>
        <v>2399.0340136054333</v>
      </c>
      <c r="K125" s="179">
        <f t="shared" si="27"/>
        <v>799.67800453514451</v>
      </c>
      <c r="L125" s="413"/>
      <c r="M125" s="165">
        <f>RANK(K125, K$112:$K$141)</f>
        <v>6</v>
      </c>
      <c r="N125" s="401"/>
      <c r="O125" s="401"/>
      <c r="P125" s="181">
        <v>3</v>
      </c>
      <c r="Q125" s="165">
        <v>2323.6363636363549</v>
      </c>
      <c r="R125" s="179">
        <v>774.54545454545166</v>
      </c>
      <c r="S125" s="181">
        <f t="shared" si="28"/>
        <v>7</v>
      </c>
      <c r="T125" s="410"/>
      <c r="U125" s="181">
        <v>3</v>
      </c>
      <c r="V125" s="165">
        <v>2356.3636363636274</v>
      </c>
      <c r="W125" s="179">
        <v>785.45454545454243</v>
      </c>
      <c r="X125" s="181">
        <f t="shared" si="29"/>
        <v>6</v>
      </c>
      <c r="Y125" s="410"/>
      <c r="Z125" s="181">
        <v>3</v>
      </c>
      <c r="AA125" s="165">
        <v>2357.9999999999709</v>
      </c>
      <c r="AB125" s="179">
        <v>785.99999999999034</v>
      </c>
      <c r="AC125" s="181">
        <f t="shared" si="30"/>
        <v>6</v>
      </c>
      <c r="AD125" s="410"/>
      <c r="AE125" s="181">
        <v>3</v>
      </c>
      <c r="AF125" s="165">
        <v>2348.5714285714098</v>
      </c>
      <c r="AG125" s="179">
        <v>782.85714285713664</v>
      </c>
      <c r="AH125" s="181">
        <f t="shared" si="31"/>
        <v>6</v>
      </c>
      <c r="AI125" s="410"/>
      <c r="AJ125" s="181">
        <v>3</v>
      </c>
      <c r="AK125" s="165">
        <v>2420.0000000000086</v>
      </c>
      <c r="AL125" s="179">
        <v>806.66666666666958</v>
      </c>
      <c r="AM125" s="181">
        <f t="shared" si="32"/>
        <v>6</v>
      </c>
      <c r="AN125" s="410"/>
      <c r="AO125" s="181">
        <v>3</v>
      </c>
      <c r="AP125" s="165">
        <v>2499.9999999999868</v>
      </c>
      <c r="AQ125" s="179">
        <v>833.33333333332894</v>
      </c>
      <c r="AR125" s="181">
        <f t="shared" si="33"/>
        <v>4</v>
      </c>
      <c r="AS125" s="410"/>
      <c r="AT125" s="181">
        <v>3</v>
      </c>
      <c r="AU125" s="165">
        <v>2486.6666666666756</v>
      </c>
      <c r="AV125" s="179">
        <v>828.88888888889187</v>
      </c>
      <c r="AW125" s="181">
        <f t="shared" si="34"/>
        <v>4</v>
      </c>
      <c r="AX125" s="410"/>
    </row>
    <row r="126" spans="2:50">
      <c r="B126" s="400"/>
      <c r="C126" s="181">
        <v>15</v>
      </c>
      <c r="D126" s="181" t="s">
        <v>216</v>
      </c>
      <c r="E126" s="181">
        <v>4</v>
      </c>
      <c r="F126" s="181">
        <v>3300</v>
      </c>
      <c r="G126" s="181">
        <v>825</v>
      </c>
      <c r="H126" s="410"/>
      <c r="I126" s="165">
        <f t="shared" si="25"/>
        <v>4</v>
      </c>
      <c r="J126" s="165">
        <f t="shared" si="26"/>
        <v>2476.164328898089</v>
      </c>
      <c r="K126" s="179">
        <f t="shared" si="27"/>
        <v>619.04108222452226</v>
      </c>
      <c r="L126" s="413"/>
      <c r="M126" s="165">
        <f>RANK(K126, K$112:$K$141)</f>
        <v>19</v>
      </c>
      <c r="N126" s="401"/>
      <c r="O126" s="401"/>
      <c r="P126" s="181">
        <v>4</v>
      </c>
      <c r="Q126" s="165">
        <v>2481.7391304347816</v>
      </c>
      <c r="R126" s="179">
        <v>620.4347826086954</v>
      </c>
      <c r="S126" s="181">
        <f t="shared" si="28"/>
        <v>19</v>
      </c>
      <c r="T126" s="410"/>
      <c r="U126" s="181">
        <v>4</v>
      </c>
      <c r="V126" s="165">
        <v>2474.5714285714294</v>
      </c>
      <c r="W126" s="179">
        <v>618.64285714285734</v>
      </c>
      <c r="X126" s="181">
        <f t="shared" si="29"/>
        <v>17</v>
      </c>
      <c r="Y126" s="410"/>
      <c r="Z126" s="181">
        <v>4</v>
      </c>
      <c r="AA126" s="165">
        <v>2471.4705882352928</v>
      </c>
      <c r="AB126" s="179">
        <v>617.8676470588232</v>
      </c>
      <c r="AC126" s="181">
        <f t="shared" si="30"/>
        <v>19</v>
      </c>
      <c r="AD126" s="410"/>
      <c r="AE126" s="181">
        <v>4</v>
      </c>
      <c r="AF126" s="165">
        <v>2474.716981132075</v>
      </c>
      <c r="AG126" s="179">
        <v>618.67924528301876</v>
      </c>
      <c r="AH126" s="181">
        <f t="shared" si="31"/>
        <v>18</v>
      </c>
      <c r="AI126" s="410"/>
      <c r="AJ126" s="181">
        <v>4</v>
      </c>
      <c r="AK126" s="165">
        <v>2460.0000000000009</v>
      </c>
      <c r="AL126" s="179">
        <v>615.00000000000023</v>
      </c>
      <c r="AM126" s="181">
        <f t="shared" si="32"/>
        <v>17</v>
      </c>
      <c r="AN126" s="410"/>
      <c r="AO126" s="181">
        <v>4</v>
      </c>
      <c r="AP126" s="165">
        <v>2495.6521739130435</v>
      </c>
      <c r="AQ126" s="179">
        <v>623.91304347826087</v>
      </c>
      <c r="AR126" s="181">
        <f t="shared" si="33"/>
        <v>17</v>
      </c>
      <c r="AS126" s="410"/>
      <c r="AT126" s="181">
        <v>4</v>
      </c>
      <c r="AU126" s="165">
        <v>2475</v>
      </c>
      <c r="AV126" s="179">
        <v>618.75</v>
      </c>
      <c r="AW126" s="181">
        <f t="shared" si="34"/>
        <v>20</v>
      </c>
      <c r="AX126" s="410"/>
    </row>
    <row r="127" spans="2:50">
      <c r="B127" s="400"/>
      <c r="C127" s="181">
        <v>16</v>
      </c>
      <c r="D127" s="181" t="s">
        <v>217</v>
      </c>
      <c r="E127" s="181">
        <v>4</v>
      </c>
      <c r="F127" s="181">
        <v>3300</v>
      </c>
      <c r="G127" s="181">
        <v>825</v>
      </c>
      <c r="H127" s="410"/>
      <c r="I127" s="165">
        <f t="shared" si="25"/>
        <v>4</v>
      </c>
      <c r="J127" s="165">
        <f t="shared" si="26"/>
        <v>2867.4588623325462</v>
      </c>
      <c r="K127" s="179">
        <f t="shared" si="27"/>
        <v>716.86471558313656</v>
      </c>
      <c r="L127" s="413"/>
      <c r="M127" s="165">
        <f>RANK(K127, K$112:$K$141)</f>
        <v>12</v>
      </c>
      <c r="N127" s="401"/>
      <c r="O127" s="401"/>
      <c r="P127" s="181">
        <v>4</v>
      </c>
      <c r="Q127" s="165">
        <v>5077.8947368421068</v>
      </c>
      <c r="R127" s="179">
        <v>1269.4736842105267</v>
      </c>
      <c r="S127" s="181">
        <f t="shared" si="28"/>
        <v>1</v>
      </c>
      <c r="T127" s="410"/>
      <c r="U127" s="181">
        <v>4</v>
      </c>
      <c r="V127" s="165">
        <v>2488.4615384615381</v>
      </c>
      <c r="W127" s="179">
        <v>622.11538461538453</v>
      </c>
      <c r="X127" s="181">
        <f t="shared" si="29"/>
        <v>15</v>
      </c>
      <c r="Y127" s="410"/>
      <c r="Z127" s="181">
        <v>4</v>
      </c>
      <c r="AA127" s="165">
        <v>2498.9189189189183</v>
      </c>
      <c r="AB127" s="179">
        <v>624.72972972972957</v>
      </c>
      <c r="AC127" s="181">
        <f t="shared" si="30"/>
        <v>15</v>
      </c>
      <c r="AD127" s="410"/>
      <c r="AE127" s="181">
        <v>4</v>
      </c>
      <c r="AF127" s="165">
        <v>2463.0000000000009</v>
      </c>
      <c r="AG127" s="179">
        <v>615.75000000000023</v>
      </c>
      <c r="AH127" s="181">
        <f t="shared" si="31"/>
        <v>19</v>
      </c>
      <c r="AI127" s="410"/>
      <c r="AJ127" s="181">
        <v>4</v>
      </c>
      <c r="AK127" s="165">
        <v>2489.4736842105244</v>
      </c>
      <c r="AL127" s="179">
        <v>622.36842105263111</v>
      </c>
      <c r="AM127" s="181">
        <f t="shared" si="32"/>
        <v>14</v>
      </c>
      <c r="AN127" s="410"/>
      <c r="AO127" s="181">
        <v>4</v>
      </c>
      <c r="AP127" s="165">
        <v>2575.2631578947362</v>
      </c>
      <c r="AQ127" s="179">
        <v>643.81578947368405</v>
      </c>
      <c r="AR127" s="181">
        <f t="shared" si="33"/>
        <v>14</v>
      </c>
      <c r="AS127" s="410"/>
      <c r="AT127" s="181">
        <v>4</v>
      </c>
      <c r="AU127" s="165">
        <v>2479.1999999999998</v>
      </c>
      <c r="AV127" s="179">
        <v>619.79999999999995</v>
      </c>
      <c r="AW127" s="181">
        <f t="shared" si="34"/>
        <v>19</v>
      </c>
      <c r="AX127" s="410"/>
    </row>
    <row r="128" spans="2:50">
      <c r="B128" s="400"/>
      <c r="C128" s="181">
        <v>17</v>
      </c>
      <c r="D128" s="181" t="s">
        <v>222</v>
      </c>
      <c r="E128" s="181">
        <v>3</v>
      </c>
      <c r="F128" s="181">
        <v>2700</v>
      </c>
      <c r="G128" s="181">
        <v>900</v>
      </c>
      <c r="H128" s="410"/>
      <c r="I128" s="165">
        <f t="shared" si="25"/>
        <v>3</v>
      </c>
      <c r="J128" s="165">
        <f t="shared" si="26"/>
        <v>2663.773906665811</v>
      </c>
      <c r="K128" s="179">
        <f t="shared" si="27"/>
        <v>887.92463555527036</v>
      </c>
      <c r="L128" s="413"/>
      <c r="M128" s="165">
        <f>RANK(K128, K$112:$K$141)</f>
        <v>3</v>
      </c>
      <c r="N128" s="401"/>
      <c r="O128" s="401"/>
      <c r="P128" s="181">
        <v>3</v>
      </c>
      <c r="Q128" s="165">
        <v>2654.0425531914898</v>
      </c>
      <c r="R128" s="179">
        <v>884.68085106382989</v>
      </c>
      <c r="S128" s="181">
        <f t="shared" si="28"/>
        <v>3</v>
      </c>
      <c r="T128" s="410"/>
      <c r="U128" s="181">
        <v>3</v>
      </c>
      <c r="V128" s="165">
        <v>2680.9090909090955</v>
      </c>
      <c r="W128" s="179">
        <v>893.63636363636522</v>
      </c>
      <c r="X128" s="181">
        <f t="shared" si="29"/>
        <v>2</v>
      </c>
      <c r="Y128" s="410"/>
      <c r="Z128" s="181">
        <v>3</v>
      </c>
      <c r="AA128" s="165">
        <v>2687.1428571428564</v>
      </c>
      <c r="AB128" s="179">
        <v>895.71428571428544</v>
      </c>
      <c r="AC128" s="181">
        <f t="shared" si="30"/>
        <v>3</v>
      </c>
      <c r="AD128" s="410"/>
      <c r="AE128" s="181">
        <v>3</v>
      </c>
      <c r="AF128" s="165">
        <v>2641.7647058823495</v>
      </c>
      <c r="AG128" s="179">
        <v>880.58823529411654</v>
      </c>
      <c r="AH128" s="181">
        <f t="shared" si="31"/>
        <v>3</v>
      </c>
      <c r="AI128" s="410"/>
      <c r="AJ128" s="181">
        <v>3</v>
      </c>
      <c r="AK128" s="165">
        <v>2643.6363636363603</v>
      </c>
      <c r="AL128" s="179">
        <v>881.21212121212011</v>
      </c>
      <c r="AM128" s="181">
        <f t="shared" si="32"/>
        <v>2</v>
      </c>
      <c r="AN128" s="410"/>
      <c r="AO128" s="181">
        <v>3</v>
      </c>
      <c r="AP128" s="165">
        <v>2686.3636363636365</v>
      </c>
      <c r="AQ128" s="179">
        <v>895.4545454545455</v>
      </c>
      <c r="AR128" s="181">
        <f t="shared" si="33"/>
        <v>3</v>
      </c>
      <c r="AS128" s="410"/>
      <c r="AT128" s="181">
        <v>3</v>
      </c>
      <c r="AU128" s="165">
        <v>2652.5581395348881</v>
      </c>
      <c r="AV128" s="179">
        <v>884.18604651162934</v>
      </c>
      <c r="AW128" s="181">
        <f t="shared" si="34"/>
        <v>3</v>
      </c>
      <c r="AX128" s="410"/>
    </row>
    <row r="129" spans="2:50">
      <c r="B129" s="400"/>
      <c r="C129" s="181">
        <v>18</v>
      </c>
      <c r="D129" s="181" t="s">
        <v>218</v>
      </c>
      <c r="E129" s="181">
        <v>4</v>
      </c>
      <c r="F129" s="181">
        <v>3600</v>
      </c>
      <c r="G129" s="181">
        <v>900</v>
      </c>
      <c r="H129" s="410"/>
      <c r="I129" s="165">
        <f t="shared" si="25"/>
        <v>4</v>
      </c>
      <c r="J129" s="165">
        <f t="shared" si="26"/>
        <v>2746.5029478458068</v>
      </c>
      <c r="K129" s="179">
        <f t="shared" si="27"/>
        <v>686.62573696145171</v>
      </c>
      <c r="L129" s="413"/>
      <c r="M129" s="165">
        <f>RANK(K129, K$112:$K$141)</f>
        <v>13</v>
      </c>
      <c r="N129" s="401"/>
      <c r="O129" s="401"/>
      <c r="P129" s="181">
        <v>4</v>
      </c>
      <c r="Q129" s="165">
        <v>2526.0000000000091</v>
      </c>
      <c r="R129" s="179">
        <v>631.50000000000227</v>
      </c>
      <c r="S129" s="181">
        <f t="shared" si="28"/>
        <v>16</v>
      </c>
      <c r="T129" s="410"/>
      <c r="U129" s="181">
        <v>4</v>
      </c>
      <c r="V129" s="165">
        <v>2779.2857142857238</v>
      </c>
      <c r="W129" s="179">
        <v>694.82142857143094</v>
      </c>
      <c r="X129" s="181">
        <f t="shared" si="29"/>
        <v>13</v>
      </c>
      <c r="Y129" s="410"/>
      <c r="Z129" s="181">
        <v>4</v>
      </c>
      <c r="AA129" s="165">
        <v>2918.3999999999915</v>
      </c>
      <c r="AB129" s="179">
        <v>729.59999999999786</v>
      </c>
      <c r="AC129" s="181">
        <f t="shared" si="30"/>
        <v>9</v>
      </c>
      <c r="AD129" s="410"/>
      <c r="AE129" s="181">
        <v>4</v>
      </c>
      <c r="AF129" s="165">
        <v>2565.5999999999926</v>
      </c>
      <c r="AG129" s="179">
        <v>641.39999999999816</v>
      </c>
      <c r="AH129" s="181">
        <f t="shared" si="31"/>
        <v>14</v>
      </c>
      <c r="AI129" s="410"/>
      <c r="AJ129" s="181">
        <v>4</v>
      </c>
      <c r="AK129" s="165">
        <v>2865.5999999999917</v>
      </c>
      <c r="AL129" s="179">
        <v>716.39999999999793</v>
      </c>
      <c r="AM129" s="181">
        <f t="shared" si="32"/>
        <v>12</v>
      </c>
      <c r="AN129" s="410"/>
      <c r="AO129" s="181">
        <v>4</v>
      </c>
      <c r="AP129" s="165">
        <v>2772.8571428571527</v>
      </c>
      <c r="AQ129" s="179">
        <v>693.21428571428817</v>
      </c>
      <c r="AR129" s="181">
        <f t="shared" si="33"/>
        <v>12</v>
      </c>
      <c r="AS129" s="410"/>
      <c r="AT129" s="181">
        <v>4</v>
      </c>
      <c r="AU129" s="165">
        <v>2797.7777777777878</v>
      </c>
      <c r="AV129" s="179">
        <v>699.44444444444696</v>
      </c>
      <c r="AW129" s="181">
        <f t="shared" si="34"/>
        <v>12</v>
      </c>
      <c r="AX129" s="410"/>
    </row>
    <row r="130" spans="2:50">
      <c r="B130" s="400"/>
      <c r="C130" s="181">
        <v>19</v>
      </c>
      <c r="D130" s="181" t="s">
        <v>219</v>
      </c>
      <c r="E130" s="181">
        <v>4</v>
      </c>
      <c r="F130" s="181">
        <v>3000</v>
      </c>
      <c r="G130" s="181">
        <v>750</v>
      </c>
      <c r="H130" s="410"/>
      <c r="I130" s="165">
        <f t="shared" si="25"/>
        <v>3</v>
      </c>
      <c r="J130" s="165">
        <f t="shared" si="26"/>
        <v>2180.3304805793318</v>
      </c>
      <c r="K130" s="179">
        <f t="shared" si="27"/>
        <v>726.77682685977743</v>
      </c>
      <c r="L130" s="413"/>
      <c r="M130" s="165">
        <f>RANK(K130, K$112:$K$141)</f>
        <v>10</v>
      </c>
      <c r="N130" s="401"/>
      <c r="O130" s="401"/>
      <c r="P130" s="181">
        <v>3</v>
      </c>
      <c r="Q130" s="165">
        <v>2184.0000000000077</v>
      </c>
      <c r="R130" s="179">
        <v>728.00000000000261</v>
      </c>
      <c r="S130" s="181">
        <f t="shared" si="28"/>
        <v>12</v>
      </c>
      <c r="T130" s="410"/>
      <c r="U130" s="181">
        <v>3</v>
      </c>
      <c r="V130" s="165">
        <v>2160.0000000000077</v>
      </c>
      <c r="W130" s="179">
        <v>720.00000000000261</v>
      </c>
      <c r="X130" s="181">
        <f t="shared" si="29"/>
        <v>11</v>
      </c>
      <c r="Y130" s="410"/>
      <c r="Z130" s="181">
        <v>3</v>
      </c>
      <c r="AA130" s="165">
        <v>2138.5714285714362</v>
      </c>
      <c r="AB130" s="179">
        <v>712.85714285714539</v>
      </c>
      <c r="AC130" s="181">
        <f t="shared" si="30"/>
        <v>12</v>
      </c>
      <c r="AD130" s="410"/>
      <c r="AE130" s="181">
        <v>3</v>
      </c>
      <c r="AF130" s="165">
        <v>2075.9999999999941</v>
      </c>
      <c r="AG130" s="179">
        <v>691.99999999999807</v>
      </c>
      <c r="AH130" s="181">
        <f t="shared" si="31"/>
        <v>11</v>
      </c>
      <c r="AI130" s="410"/>
      <c r="AJ130" s="181">
        <v>3</v>
      </c>
      <c r="AK130" s="165">
        <v>2339.9999999999932</v>
      </c>
      <c r="AL130" s="179">
        <v>779.99999999999773</v>
      </c>
      <c r="AM130" s="181">
        <f t="shared" si="32"/>
        <v>7</v>
      </c>
      <c r="AN130" s="410"/>
      <c r="AO130" s="181">
        <v>3</v>
      </c>
      <c r="AP130" s="165">
        <v>2167.7419354838789</v>
      </c>
      <c r="AQ130" s="179">
        <v>722.58064516129298</v>
      </c>
      <c r="AR130" s="181">
        <f t="shared" si="33"/>
        <v>11</v>
      </c>
      <c r="AS130" s="410"/>
      <c r="AT130" s="181">
        <v>3</v>
      </c>
      <c r="AU130" s="165">
        <v>2196.0000000000077</v>
      </c>
      <c r="AV130" s="179">
        <v>732.00000000000261</v>
      </c>
      <c r="AW130" s="181">
        <f t="shared" si="34"/>
        <v>10</v>
      </c>
      <c r="AX130" s="410"/>
    </row>
    <row r="131" spans="2:50">
      <c r="B131" s="400"/>
      <c r="C131" s="181">
        <v>20</v>
      </c>
      <c r="D131" s="181" t="s">
        <v>220</v>
      </c>
      <c r="E131" s="181">
        <v>4</v>
      </c>
      <c r="F131" s="181">
        <v>3000</v>
      </c>
      <c r="G131" s="181">
        <v>750</v>
      </c>
      <c r="H131" s="410"/>
      <c r="I131" s="165">
        <f t="shared" si="25"/>
        <v>4</v>
      </c>
      <c r="J131" s="165">
        <f t="shared" si="26"/>
        <v>2239.73534726143</v>
      </c>
      <c r="K131" s="179">
        <f t="shared" si="27"/>
        <v>559.93383681535749</v>
      </c>
      <c r="L131" s="413"/>
      <c r="M131" s="165">
        <f>RANK(K131, K$112:$K$141)</f>
        <v>22</v>
      </c>
      <c r="N131" s="401"/>
      <c r="O131" s="401"/>
      <c r="P131" s="181">
        <v>4</v>
      </c>
      <c r="Q131" s="165">
        <v>2182.4999999999786</v>
      </c>
      <c r="R131" s="179">
        <v>545.62499999999466</v>
      </c>
      <c r="S131" s="181">
        <f t="shared" si="28"/>
        <v>22</v>
      </c>
      <c r="T131" s="410"/>
      <c r="U131" s="181">
        <v>4</v>
      </c>
      <c r="V131" s="165">
        <v>2206.9565217391232</v>
      </c>
      <c r="W131" s="179">
        <v>551.7391304347808</v>
      </c>
      <c r="X131" s="181">
        <f t="shared" si="29"/>
        <v>22</v>
      </c>
      <c r="Y131" s="410"/>
      <c r="Z131" s="181">
        <v>4</v>
      </c>
      <c r="AA131" s="165">
        <v>2059.0909090909017</v>
      </c>
      <c r="AB131" s="179">
        <v>514.77272727272543</v>
      </c>
      <c r="AC131" s="181">
        <f t="shared" si="30"/>
        <v>22</v>
      </c>
      <c r="AD131" s="410"/>
      <c r="AE131" s="181">
        <v>4</v>
      </c>
      <c r="AF131" s="165">
        <v>2628.0000000000091</v>
      </c>
      <c r="AG131" s="179">
        <v>657.00000000000227</v>
      </c>
      <c r="AH131" s="181">
        <f t="shared" si="31"/>
        <v>12</v>
      </c>
      <c r="AI131" s="410"/>
      <c r="AJ131" s="181">
        <v>4</v>
      </c>
      <c r="AK131" s="165">
        <v>2355.0000000000086</v>
      </c>
      <c r="AL131" s="179">
        <v>588.75000000000216</v>
      </c>
      <c r="AM131" s="181">
        <f t="shared" si="32"/>
        <v>22</v>
      </c>
      <c r="AN131" s="410"/>
      <c r="AO131" s="181">
        <v>4</v>
      </c>
      <c r="AP131" s="165">
        <v>2121.6000000000076</v>
      </c>
      <c r="AQ131" s="179">
        <v>530.40000000000191</v>
      </c>
      <c r="AR131" s="181">
        <f t="shared" si="33"/>
        <v>22</v>
      </c>
      <c r="AS131" s="410"/>
      <c r="AT131" s="181">
        <v>4</v>
      </c>
      <c r="AU131" s="165">
        <v>2124.9999999999795</v>
      </c>
      <c r="AV131" s="179">
        <v>531.24999999999488</v>
      </c>
      <c r="AW131" s="181">
        <f t="shared" si="34"/>
        <v>22</v>
      </c>
      <c r="AX131" s="410"/>
    </row>
    <row r="132" spans="2:50">
      <c r="B132" s="400"/>
      <c r="C132" s="181">
        <v>21</v>
      </c>
      <c r="D132" s="181" t="s">
        <v>221</v>
      </c>
      <c r="E132" s="181">
        <v>4</v>
      </c>
      <c r="F132" s="181">
        <v>3600</v>
      </c>
      <c r="G132" s="181">
        <v>900</v>
      </c>
      <c r="H132" s="410"/>
      <c r="I132" s="165">
        <f t="shared" ref="I132:K134" si="35">AVERAGE(P132,U132,Z132,AE132,AJ132,AO132,AT132)</f>
        <v>4</v>
      </c>
      <c r="J132" s="165">
        <f t="shared" si="35"/>
        <v>2387.6043956656385</v>
      </c>
      <c r="K132" s="179">
        <f t="shared" si="35"/>
        <v>596.90109891640964</v>
      </c>
      <c r="L132" s="413"/>
      <c r="M132" s="165">
        <f>RANK(K132, K$112:$K$141)</f>
        <v>21</v>
      </c>
      <c r="N132" s="401"/>
      <c r="O132" s="401"/>
      <c r="P132" s="181">
        <v>4</v>
      </c>
      <c r="Q132" s="165">
        <v>2568</v>
      </c>
      <c r="R132" s="179">
        <v>642</v>
      </c>
      <c r="S132" s="181">
        <f t="shared" si="28"/>
        <v>15</v>
      </c>
      <c r="T132" s="410"/>
      <c r="U132" s="181">
        <v>4</v>
      </c>
      <c r="V132" s="165">
        <v>2425.3846153846157</v>
      </c>
      <c r="W132" s="179">
        <v>606.34615384615392</v>
      </c>
      <c r="X132" s="181">
        <f t="shared" si="29"/>
        <v>20</v>
      </c>
      <c r="Y132" s="410"/>
      <c r="Z132" s="181">
        <v>4</v>
      </c>
      <c r="AA132" s="165">
        <v>2229.6000002076476</v>
      </c>
      <c r="AB132" s="179">
        <v>557.40000005191189</v>
      </c>
      <c r="AC132" s="181">
        <f t="shared" si="30"/>
        <v>21</v>
      </c>
      <c r="AD132" s="410"/>
      <c r="AE132" s="181">
        <v>4</v>
      </c>
      <c r="AF132" s="165">
        <v>2181.599999999994</v>
      </c>
      <c r="AG132" s="179">
        <v>545.3999999999985</v>
      </c>
      <c r="AH132" s="181">
        <f t="shared" si="31"/>
        <v>22</v>
      </c>
      <c r="AI132" s="410"/>
      <c r="AJ132" s="181">
        <v>4</v>
      </c>
      <c r="AK132" s="165">
        <v>2373.600000221059</v>
      </c>
      <c r="AL132" s="179">
        <v>593.40000005526474</v>
      </c>
      <c r="AM132" s="181">
        <f t="shared" si="32"/>
        <v>21</v>
      </c>
      <c r="AN132" s="410"/>
      <c r="AO132" s="181">
        <v>4</v>
      </c>
      <c r="AP132" s="165">
        <v>2443.8461538461538</v>
      </c>
      <c r="AQ132" s="179">
        <v>610.96153846153845</v>
      </c>
      <c r="AR132" s="181">
        <f t="shared" si="33"/>
        <v>20</v>
      </c>
      <c r="AS132" s="410"/>
      <c r="AT132" s="181">
        <v>4</v>
      </c>
      <c r="AU132" s="165">
        <v>2491.2000000000003</v>
      </c>
      <c r="AV132" s="179">
        <v>622.80000000000007</v>
      </c>
      <c r="AW132" s="181">
        <f t="shared" si="34"/>
        <v>17</v>
      </c>
      <c r="AX132" s="410"/>
    </row>
    <row r="133" spans="2:50">
      <c r="B133" s="400"/>
      <c r="C133" s="181">
        <v>22</v>
      </c>
      <c r="D133" s="181" t="s">
        <v>230</v>
      </c>
      <c r="E133" s="181">
        <v>4</v>
      </c>
      <c r="F133" s="181">
        <v>3000</v>
      </c>
      <c r="G133" s="181">
        <v>750</v>
      </c>
      <c r="H133" s="410"/>
      <c r="I133" s="165">
        <f t="shared" si="35"/>
        <v>4</v>
      </c>
      <c r="J133" s="165">
        <f t="shared" si="35"/>
        <v>2718.1428571428628</v>
      </c>
      <c r="K133" s="179">
        <f t="shared" si="35"/>
        <v>679.5357142857157</v>
      </c>
      <c r="L133" s="413"/>
      <c r="M133" s="165">
        <f>RANK(K133, K$112:$K$141)</f>
        <v>14</v>
      </c>
      <c r="N133" s="401"/>
      <c r="O133" s="401"/>
      <c r="P133" s="181">
        <v>4</v>
      </c>
      <c r="Q133" s="165">
        <v>2670.0000000000095</v>
      </c>
      <c r="R133" s="179">
        <v>667.50000000000239</v>
      </c>
      <c r="S133" s="181">
        <f t="shared" si="28"/>
        <v>14</v>
      </c>
      <c r="T133" s="410"/>
      <c r="U133" s="181">
        <v>4</v>
      </c>
      <c r="V133" s="165">
        <v>2589.99999999994</v>
      </c>
      <c r="W133" s="179">
        <v>647.49999999998499</v>
      </c>
      <c r="X133" s="181">
        <f t="shared" si="29"/>
        <v>14</v>
      </c>
      <c r="Y133" s="410"/>
      <c r="Z133" s="181">
        <v>4</v>
      </c>
      <c r="AA133" s="165">
        <v>2868.00000000001</v>
      </c>
      <c r="AB133" s="179">
        <v>717.0000000000025</v>
      </c>
      <c r="AC133" s="181">
        <f t="shared" si="30"/>
        <v>11</v>
      </c>
      <c r="AD133" s="410"/>
      <c r="AE133" s="181">
        <v>4</v>
      </c>
      <c r="AF133" s="165">
        <v>2895.00000000001</v>
      </c>
      <c r="AG133" s="179">
        <v>723.7500000000025</v>
      </c>
      <c r="AH133" s="181">
        <f t="shared" si="31"/>
        <v>10</v>
      </c>
      <c r="AI133" s="410"/>
      <c r="AJ133" s="181">
        <v>4</v>
      </c>
      <c r="AK133" s="165">
        <v>2700.0000000000095</v>
      </c>
      <c r="AL133" s="179">
        <v>675.00000000000239</v>
      </c>
      <c r="AM133" s="181">
        <f t="shared" si="32"/>
        <v>13</v>
      </c>
      <c r="AN133" s="410"/>
      <c r="AO133" s="181">
        <v>4</v>
      </c>
      <c r="AP133" s="165">
        <v>2736.00000000001</v>
      </c>
      <c r="AQ133" s="179">
        <v>684.0000000000025</v>
      </c>
      <c r="AR133" s="181">
        <f t="shared" si="33"/>
        <v>13</v>
      </c>
      <c r="AS133" s="410"/>
      <c r="AT133" s="181">
        <v>4</v>
      </c>
      <c r="AU133" s="165">
        <v>2568.00000000005</v>
      </c>
      <c r="AV133" s="179">
        <v>642.00000000001251</v>
      </c>
      <c r="AW133" s="181">
        <f t="shared" si="34"/>
        <v>14</v>
      </c>
      <c r="AX133" s="410"/>
    </row>
    <row r="134" spans="2:50">
      <c r="B134" s="400"/>
      <c r="C134" s="181">
        <v>23</v>
      </c>
      <c r="D134" s="181" t="s">
        <v>231</v>
      </c>
      <c r="E134" s="181">
        <v>4</v>
      </c>
      <c r="F134" s="181">
        <v>3300</v>
      </c>
      <c r="G134" s="181">
        <v>825</v>
      </c>
      <c r="H134" s="410"/>
      <c r="I134" s="165">
        <f t="shared" si="35"/>
        <v>4</v>
      </c>
      <c r="J134" s="165">
        <f t="shared" si="35"/>
        <v>2495.173983921492</v>
      </c>
      <c r="K134" s="179">
        <f t="shared" si="35"/>
        <v>623.793495980373</v>
      </c>
      <c r="L134" s="413"/>
      <c r="M134" s="165">
        <f>RANK(K134, K$112:$K$141)</f>
        <v>16</v>
      </c>
      <c r="N134" s="401"/>
      <c r="O134" s="401"/>
      <c r="P134" s="181">
        <v>4</v>
      </c>
      <c r="Q134" s="165">
        <v>2483.7623762376224</v>
      </c>
      <c r="R134" s="179">
        <v>620.94059405940561</v>
      </c>
      <c r="S134" s="181">
        <f t="shared" si="28"/>
        <v>18</v>
      </c>
      <c r="T134" s="410"/>
      <c r="U134" s="181">
        <v>4</v>
      </c>
      <c r="V134" s="165">
        <v>2485.3846153846139</v>
      </c>
      <c r="W134" s="179">
        <v>621.34615384615347</v>
      </c>
      <c r="X134" s="181">
        <f t="shared" si="29"/>
        <v>16</v>
      </c>
      <c r="Y134" s="410"/>
      <c r="Z134" s="181">
        <v>4</v>
      </c>
      <c r="AA134" s="165">
        <v>2485.8333333333312</v>
      </c>
      <c r="AB134" s="179">
        <v>621.4583333333328</v>
      </c>
      <c r="AC134" s="181">
        <f t="shared" si="30"/>
        <v>17</v>
      </c>
      <c r="AD134" s="410"/>
      <c r="AE134" s="181">
        <v>4</v>
      </c>
      <c r="AF134" s="165">
        <v>2480.2409638554232</v>
      </c>
      <c r="AG134" s="179">
        <v>620.06024096385579</v>
      </c>
      <c r="AH134" s="181">
        <f t="shared" si="31"/>
        <v>17</v>
      </c>
      <c r="AI134" s="410"/>
      <c r="AJ134" s="181">
        <v>4</v>
      </c>
      <c r="AK134" s="165">
        <v>2479.4999999999991</v>
      </c>
      <c r="AL134" s="179">
        <v>619.87499999999977</v>
      </c>
      <c r="AM134" s="181">
        <f t="shared" si="32"/>
        <v>15</v>
      </c>
      <c r="AN134" s="410"/>
      <c r="AO134" s="181">
        <v>4</v>
      </c>
      <c r="AP134" s="165">
        <v>2488.163265306121</v>
      </c>
      <c r="AQ134" s="179">
        <v>622.04081632653026</v>
      </c>
      <c r="AR134" s="181">
        <f t="shared" si="33"/>
        <v>18</v>
      </c>
      <c r="AS134" s="410"/>
      <c r="AT134" s="181">
        <v>4</v>
      </c>
      <c r="AU134" s="165">
        <v>2563.3333333333335</v>
      </c>
      <c r="AV134" s="179">
        <v>640.83333333333337</v>
      </c>
      <c r="AW134" s="181">
        <f t="shared" si="34"/>
        <v>15</v>
      </c>
      <c r="AX134" s="410"/>
    </row>
    <row r="135" spans="2:50">
      <c r="B135" s="400"/>
      <c r="C135" s="181">
        <v>24</v>
      </c>
      <c r="D135" s="181"/>
      <c r="E135" s="181"/>
      <c r="F135" s="181"/>
      <c r="G135" s="181"/>
      <c r="H135" s="410"/>
      <c r="I135" s="181"/>
      <c r="J135" s="181"/>
      <c r="K135" s="181"/>
      <c r="L135" s="413"/>
      <c r="M135" s="165" t="e">
        <f>RANK(K135, K$112:$K$141)</f>
        <v>#N/A</v>
      </c>
      <c r="N135" s="401"/>
      <c r="O135" s="401"/>
      <c r="P135" s="181"/>
      <c r="Q135" s="165"/>
      <c r="R135" s="179"/>
      <c r="S135" s="181" t="e">
        <f t="shared" si="28"/>
        <v>#N/A</v>
      </c>
      <c r="T135" s="410"/>
      <c r="U135" s="181"/>
      <c r="V135" s="181"/>
      <c r="W135" s="181"/>
      <c r="X135" s="181" t="e">
        <f t="shared" si="29"/>
        <v>#N/A</v>
      </c>
      <c r="Y135" s="410"/>
      <c r="Z135" s="181"/>
      <c r="AA135" s="181"/>
      <c r="AB135" s="181"/>
      <c r="AC135" s="181" t="e">
        <f t="shared" si="30"/>
        <v>#N/A</v>
      </c>
      <c r="AD135" s="410"/>
      <c r="AE135" s="181"/>
      <c r="AF135" s="181"/>
      <c r="AG135" s="181"/>
      <c r="AH135" s="181" t="e">
        <f t="shared" si="31"/>
        <v>#N/A</v>
      </c>
      <c r="AI135" s="410"/>
      <c r="AJ135" s="181"/>
      <c r="AK135" s="181"/>
      <c r="AL135" s="181"/>
      <c r="AM135" s="181" t="e">
        <f t="shared" si="32"/>
        <v>#N/A</v>
      </c>
      <c r="AN135" s="410"/>
      <c r="AO135" s="181"/>
      <c r="AP135" s="181"/>
      <c r="AQ135" s="181"/>
      <c r="AR135" s="181" t="e">
        <f t="shared" si="33"/>
        <v>#N/A</v>
      </c>
      <c r="AS135" s="410"/>
      <c r="AT135" s="181"/>
      <c r="AU135" s="181"/>
      <c r="AV135" s="181"/>
      <c r="AW135" s="181" t="e">
        <f t="shared" si="34"/>
        <v>#N/A</v>
      </c>
      <c r="AX135" s="410"/>
    </row>
    <row r="136" spans="2:50">
      <c r="B136" s="400"/>
      <c r="C136" s="181">
        <v>25</v>
      </c>
      <c r="D136" s="181"/>
      <c r="E136" s="181"/>
      <c r="F136" s="181"/>
      <c r="G136" s="181"/>
      <c r="H136" s="410"/>
      <c r="I136" s="181"/>
      <c r="J136" s="181"/>
      <c r="K136" s="181"/>
      <c r="L136" s="413"/>
      <c r="M136" s="165" t="e">
        <f>RANK(K136, K$112:$K$141)</f>
        <v>#N/A</v>
      </c>
      <c r="N136" s="401"/>
      <c r="O136" s="401"/>
      <c r="P136" s="181"/>
      <c r="Q136" s="165"/>
      <c r="R136" s="179"/>
      <c r="S136" s="181" t="e">
        <f t="shared" si="28"/>
        <v>#N/A</v>
      </c>
      <c r="T136" s="410"/>
      <c r="U136" s="181"/>
      <c r="V136" s="181"/>
      <c r="W136" s="181"/>
      <c r="X136" s="181" t="e">
        <f t="shared" si="29"/>
        <v>#N/A</v>
      </c>
      <c r="Y136" s="410"/>
      <c r="Z136" s="181"/>
      <c r="AA136" s="181"/>
      <c r="AB136" s="181"/>
      <c r="AC136" s="181" t="e">
        <f t="shared" si="30"/>
        <v>#N/A</v>
      </c>
      <c r="AD136" s="410"/>
      <c r="AE136" s="181"/>
      <c r="AF136" s="181"/>
      <c r="AG136" s="181"/>
      <c r="AH136" s="181" t="e">
        <f t="shared" si="31"/>
        <v>#N/A</v>
      </c>
      <c r="AI136" s="410"/>
      <c r="AJ136" s="181"/>
      <c r="AK136" s="181"/>
      <c r="AL136" s="181"/>
      <c r="AM136" s="181" t="e">
        <f t="shared" si="32"/>
        <v>#N/A</v>
      </c>
      <c r="AN136" s="410"/>
      <c r="AO136" s="181"/>
      <c r="AP136" s="181"/>
      <c r="AQ136" s="181"/>
      <c r="AR136" s="181" t="e">
        <f t="shared" si="33"/>
        <v>#N/A</v>
      </c>
      <c r="AS136" s="410"/>
      <c r="AT136" s="181"/>
      <c r="AU136" s="181"/>
      <c r="AV136" s="181"/>
      <c r="AW136" s="181" t="e">
        <f t="shared" si="34"/>
        <v>#N/A</v>
      </c>
      <c r="AX136" s="410"/>
    </row>
    <row r="137" spans="2:50">
      <c r="B137" s="400"/>
      <c r="C137" s="181">
        <v>26</v>
      </c>
      <c r="D137" s="181"/>
      <c r="E137" s="181"/>
      <c r="F137" s="181"/>
      <c r="G137" s="181"/>
      <c r="H137" s="410"/>
      <c r="I137" s="181"/>
      <c r="J137" s="181"/>
      <c r="K137" s="181"/>
      <c r="L137" s="413"/>
      <c r="M137" s="165" t="e">
        <f>RANK(K137, K$112:$K$141)</f>
        <v>#N/A</v>
      </c>
      <c r="N137" s="401"/>
      <c r="O137" s="401"/>
      <c r="P137" s="181"/>
      <c r="Q137" s="165"/>
      <c r="R137" s="179"/>
      <c r="S137" s="181" t="e">
        <f t="shared" si="28"/>
        <v>#N/A</v>
      </c>
      <c r="T137" s="410"/>
      <c r="U137" s="181"/>
      <c r="V137" s="181"/>
      <c r="W137" s="181"/>
      <c r="X137" s="181" t="e">
        <f t="shared" si="29"/>
        <v>#N/A</v>
      </c>
      <c r="Y137" s="410"/>
      <c r="Z137" s="181"/>
      <c r="AA137" s="181"/>
      <c r="AB137" s="181"/>
      <c r="AC137" s="181" t="e">
        <f t="shared" si="30"/>
        <v>#N/A</v>
      </c>
      <c r="AD137" s="410"/>
      <c r="AE137" s="181"/>
      <c r="AF137" s="181"/>
      <c r="AG137" s="181"/>
      <c r="AH137" s="181" t="e">
        <f t="shared" si="31"/>
        <v>#N/A</v>
      </c>
      <c r="AI137" s="410"/>
      <c r="AJ137" s="181"/>
      <c r="AK137" s="181"/>
      <c r="AL137" s="181"/>
      <c r="AM137" s="181" t="e">
        <f t="shared" si="32"/>
        <v>#N/A</v>
      </c>
      <c r="AN137" s="410"/>
      <c r="AO137" s="181"/>
      <c r="AP137" s="181"/>
      <c r="AQ137" s="181"/>
      <c r="AR137" s="181" t="e">
        <f t="shared" si="33"/>
        <v>#N/A</v>
      </c>
      <c r="AS137" s="410"/>
      <c r="AT137" s="181"/>
      <c r="AU137" s="181"/>
      <c r="AV137" s="181"/>
      <c r="AW137" s="181" t="e">
        <f t="shared" si="34"/>
        <v>#N/A</v>
      </c>
      <c r="AX137" s="410"/>
    </row>
    <row r="138" spans="2:50">
      <c r="B138" s="400"/>
      <c r="C138" s="181">
        <v>27</v>
      </c>
      <c r="D138" s="181"/>
      <c r="E138" s="181"/>
      <c r="F138" s="181"/>
      <c r="G138" s="181"/>
      <c r="H138" s="410"/>
      <c r="I138" s="181"/>
      <c r="J138" s="181"/>
      <c r="K138" s="181"/>
      <c r="L138" s="413"/>
      <c r="M138" s="165" t="e">
        <f>RANK(K138, K$112:$K$141)</f>
        <v>#N/A</v>
      </c>
      <c r="N138" s="401"/>
      <c r="O138" s="401"/>
      <c r="P138" s="181"/>
      <c r="Q138" s="165"/>
      <c r="R138" s="179"/>
      <c r="S138" s="181" t="e">
        <f t="shared" si="28"/>
        <v>#N/A</v>
      </c>
      <c r="T138" s="410"/>
      <c r="U138" s="181"/>
      <c r="V138" s="181"/>
      <c r="W138" s="181"/>
      <c r="X138" s="181" t="e">
        <f t="shared" si="29"/>
        <v>#N/A</v>
      </c>
      <c r="Y138" s="410"/>
      <c r="Z138" s="181"/>
      <c r="AA138" s="181"/>
      <c r="AB138" s="181"/>
      <c r="AC138" s="181" t="e">
        <f t="shared" si="30"/>
        <v>#N/A</v>
      </c>
      <c r="AD138" s="410"/>
      <c r="AE138" s="181"/>
      <c r="AF138" s="181"/>
      <c r="AG138" s="181"/>
      <c r="AH138" s="181" t="e">
        <f t="shared" si="31"/>
        <v>#N/A</v>
      </c>
      <c r="AI138" s="410"/>
      <c r="AJ138" s="181"/>
      <c r="AK138" s="181"/>
      <c r="AL138" s="181"/>
      <c r="AM138" s="181" t="e">
        <f t="shared" si="32"/>
        <v>#N/A</v>
      </c>
      <c r="AN138" s="410"/>
      <c r="AO138" s="181"/>
      <c r="AP138" s="181"/>
      <c r="AQ138" s="181"/>
      <c r="AR138" s="181" t="e">
        <f t="shared" si="33"/>
        <v>#N/A</v>
      </c>
      <c r="AS138" s="410"/>
      <c r="AT138" s="181"/>
      <c r="AU138" s="181"/>
      <c r="AV138" s="181"/>
      <c r="AW138" s="181" t="e">
        <f t="shared" si="34"/>
        <v>#N/A</v>
      </c>
      <c r="AX138" s="410"/>
    </row>
    <row r="139" spans="2:50">
      <c r="B139" s="400"/>
      <c r="C139" s="181">
        <v>28</v>
      </c>
      <c r="D139" s="181"/>
      <c r="E139" s="181"/>
      <c r="F139" s="181"/>
      <c r="G139" s="181"/>
      <c r="H139" s="410"/>
      <c r="I139" s="181"/>
      <c r="J139" s="181"/>
      <c r="K139" s="181"/>
      <c r="L139" s="413"/>
      <c r="M139" s="165" t="e">
        <f>RANK(K139, K$112:$K$141)</f>
        <v>#N/A</v>
      </c>
      <c r="N139" s="401"/>
      <c r="O139" s="401"/>
      <c r="P139" s="181"/>
      <c r="Q139" s="165"/>
      <c r="R139" s="179"/>
      <c r="S139" s="181" t="e">
        <f t="shared" si="28"/>
        <v>#N/A</v>
      </c>
      <c r="T139" s="410"/>
      <c r="U139" s="181"/>
      <c r="V139" s="181"/>
      <c r="W139" s="181"/>
      <c r="X139" s="181" t="e">
        <f t="shared" si="29"/>
        <v>#N/A</v>
      </c>
      <c r="Y139" s="410"/>
      <c r="Z139" s="181"/>
      <c r="AA139" s="181"/>
      <c r="AB139" s="181"/>
      <c r="AC139" s="181" t="e">
        <f t="shared" si="30"/>
        <v>#N/A</v>
      </c>
      <c r="AD139" s="410"/>
      <c r="AE139" s="181"/>
      <c r="AF139" s="181"/>
      <c r="AG139" s="181"/>
      <c r="AH139" s="181" t="e">
        <f t="shared" si="31"/>
        <v>#N/A</v>
      </c>
      <c r="AI139" s="410"/>
      <c r="AJ139" s="181"/>
      <c r="AK139" s="181"/>
      <c r="AL139" s="181"/>
      <c r="AM139" s="181" t="e">
        <f t="shared" si="32"/>
        <v>#N/A</v>
      </c>
      <c r="AN139" s="410"/>
      <c r="AO139" s="181"/>
      <c r="AP139" s="181"/>
      <c r="AQ139" s="181"/>
      <c r="AR139" s="181" t="e">
        <f t="shared" si="33"/>
        <v>#N/A</v>
      </c>
      <c r="AS139" s="410"/>
      <c r="AT139" s="181"/>
      <c r="AU139" s="181"/>
      <c r="AV139" s="181"/>
      <c r="AW139" s="181" t="e">
        <f t="shared" si="34"/>
        <v>#N/A</v>
      </c>
      <c r="AX139" s="410"/>
    </row>
    <row r="140" spans="2:50">
      <c r="B140" s="400"/>
      <c r="C140" s="181">
        <v>29</v>
      </c>
      <c r="D140" s="181"/>
      <c r="E140" s="181"/>
      <c r="F140" s="181"/>
      <c r="G140" s="181"/>
      <c r="H140" s="410"/>
      <c r="I140" s="181"/>
      <c r="J140" s="181"/>
      <c r="K140" s="181"/>
      <c r="L140" s="413"/>
      <c r="M140" s="165" t="e">
        <f>RANK(K140, K$112:$K$141)</f>
        <v>#N/A</v>
      </c>
      <c r="N140" s="401"/>
      <c r="O140" s="401"/>
      <c r="P140" s="181"/>
      <c r="Q140" s="165"/>
      <c r="R140" s="179"/>
      <c r="S140" s="181" t="e">
        <f t="shared" si="28"/>
        <v>#N/A</v>
      </c>
      <c r="T140" s="410"/>
      <c r="U140" s="181"/>
      <c r="V140" s="181"/>
      <c r="W140" s="181"/>
      <c r="X140" s="181" t="e">
        <f t="shared" si="29"/>
        <v>#N/A</v>
      </c>
      <c r="Y140" s="410"/>
      <c r="Z140" s="181"/>
      <c r="AA140" s="181"/>
      <c r="AB140" s="181"/>
      <c r="AC140" s="181" t="e">
        <f t="shared" si="30"/>
        <v>#N/A</v>
      </c>
      <c r="AD140" s="410"/>
      <c r="AE140" s="181"/>
      <c r="AF140" s="181"/>
      <c r="AG140" s="181"/>
      <c r="AH140" s="181" t="e">
        <f t="shared" si="31"/>
        <v>#N/A</v>
      </c>
      <c r="AI140" s="410"/>
      <c r="AJ140" s="181"/>
      <c r="AK140" s="181"/>
      <c r="AL140" s="181"/>
      <c r="AM140" s="181" t="e">
        <f t="shared" si="32"/>
        <v>#N/A</v>
      </c>
      <c r="AN140" s="410"/>
      <c r="AO140" s="181"/>
      <c r="AP140" s="181"/>
      <c r="AQ140" s="181"/>
      <c r="AR140" s="181" t="e">
        <f t="shared" si="33"/>
        <v>#N/A</v>
      </c>
      <c r="AS140" s="410"/>
      <c r="AT140" s="181"/>
      <c r="AU140" s="181"/>
      <c r="AV140" s="181"/>
      <c r="AW140" s="181" t="e">
        <f t="shared" si="34"/>
        <v>#N/A</v>
      </c>
      <c r="AX140" s="410"/>
    </row>
    <row r="141" spans="2:50">
      <c r="B141" s="400"/>
      <c r="C141" s="181">
        <v>30</v>
      </c>
      <c r="D141" s="181"/>
      <c r="E141" s="181"/>
      <c r="F141" s="181"/>
      <c r="G141" s="181"/>
      <c r="H141" s="411"/>
      <c r="I141" s="181"/>
      <c r="J141" s="181"/>
      <c r="K141" s="181"/>
      <c r="L141" s="414"/>
      <c r="M141" s="165" t="e">
        <f>RANK(K141, K$112:$K$141)</f>
        <v>#N/A</v>
      </c>
      <c r="N141" s="401"/>
      <c r="O141" s="401"/>
      <c r="P141" s="181"/>
      <c r="Q141" s="165"/>
      <c r="R141" s="179"/>
      <c r="S141" s="181" t="e">
        <f t="shared" si="28"/>
        <v>#N/A</v>
      </c>
      <c r="T141" s="411"/>
      <c r="U141" s="181"/>
      <c r="V141" s="181"/>
      <c r="W141" s="181"/>
      <c r="X141" s="181" t="e">
        <f t="shared" si="29"/>
        <v>#N/A</v>
      </c>
      <c r="Y141" s="411"/>
      <c r="Z141" s="181"/>
      <c r="AA141" s="181"/>
      <c r="AB141" s="181"/>
      <c r="AC141" s="181" t="e">
        <f t="shared" si="30"/>
        <v>#N/A</v>
      </c>
      <c r="AD141" s="411"/>
      <c r="AE141" s="181"/>
      <c r="AF141" s="181"/>
      <c r="AG141" s="181"/>
      <c r="AH141" s="181" t="e">
        <f t="shared" si="31"/>
        <v>#N/A</v>
      </c>
      <c r="AI141" s="411"/>
      <c r="AJ141" s="181"/>
      <c r="AK141" s="181"/>
      <c r="AL141" s="181"/>
      <c r="AM141" s="181" t="e">
        <f t="shared" si="32"/>
        <v>#N/A</v>
      </c>
      <c r="AN141" s="411"/>
      <c r="AO141" s="181"/>
      <c r="AP141" s="181"/>
      <c r="AQ141" s="181"/>
      <c r="AR141" s="181" t="e">
        <f t="shared" si="33"/>
        <v>#N/A</v>
      </c>
      <c r="AS141" s="411"/>
      <c r="AT141" s="181"/>
      <c r="AU141" s="181"/>
      <c r="AV141" s="181"/>
      <c r="AW141" s="181" t="e">
        <f t="shared" si="34"/>
        <v>#N/A</v>
      </c>
      <c r="AX141" s="411"/>
    </row>
    <row r="142" spans="2:50" ht="15.75">
      <c r="B142" s="394" t="s">
        <v>187</v>
      </c>
      <c r="C142" s="395"/>
      <c r="D142" s="395"/>
      <c r="E142" s="395"/>
      <c r="F142" s="395"/>
      <c r="G142" s="395"/>
      <c r="H142" s="395"/>
      <c r="I142" s="185"/>
      <c r="J142" s="185"/>
      <c r="K142" s="185"/>
      <c r="L142" s="185"/>
      <c r="M142" s="184"/>
      <c r="N142" s="397" t="s">
        <v>188</v>
      </c>
      <c r="O142" s="397" t="s">
        <v>135</v>
      </c>
      <c r="P142" s="399">
        <f>P107+7</f>
        <v>45923</v>
      </c>
      <c r="Q142" s="400"/>
      <c r="R142" s="400"/>
      <c r="S142" s="400"/>
      <c r="T142" s="400"/>
      <c r="U142" s="426">
        <f>P142+1</f>
        <v>45924</v>
      </c>
      <c r="V142" s="427"/>
      <c r="W142" s="427"/>
      <c r="X142" s="427"/>
      <c r="Y142" s="428"/>
      <c r="Z142" s="426">
        <f>U142+1</f>
        <v>45925</v>
      </c>
      <c r="AA142" s="427"/>
      <c r="AB142" s="427"/>
      <c r="AC142" s="427"/>
      <c r="AD142" s="428"/>
      <c r="AE142" s="426">
        <f>Z142+1</f>
        <v>45926</v>
      </c>
      <c r="AF142" s="427"/>
      <c r="AG142" s="427"/>
      <c r="AH142" s="427"/>
      <c r="AI142" s="428"/>
      <c r="AJ142" s="426">
        <f>AE142+1</f>
        <v>45927</v>
      </c>
      <c r="AK142" s="427"/>
      <c r="AL142" s="427"/>
      <c r="AM142" s="427"/>
      <c r="AN142" s="428"/>
      <c r="AO142" s="426">
        <f>AJ142+1</f>
        <v>45928</v>
      </c>
      <c r="AP142" s="427"/>
      <c r="AQ142" s="427"/>
      <c r="AR142" s="427"/>
      <c r="AS142" s="428"/>
      <c r="AT142" s="426">
        <f>AO142+1</f>
        <v>45929</v>
      </c>
      <c r="AU142" s="427"/>
      <c r="AV142" s="427"/>
      <c r="AW142" s="427"/>
      <c r="AX142" s="428"/>
    </row>
    <row r="143" spans="2:50" ht="15.75">
      <c r="B143" s="396"/>
      <c r="C143" s="396"/>
      <c r="D143" s="396"/>
      <c r="E143" s="396"/>
      <c r="F143" s="396"/>
      <c r="G143" s="396"/>
      <c r="H143" s="396"/>
      <c r="I143" s="183"/>
      <c r="J143" s="183"/>
      <c r="K143" s="183"/>
      <c r="L143" s="183"/>
      <c r="M143" s="178"/>
      <c r="N143" s="398"/>
      <c r="O143" s="398"/>
      <c r="P143" s="399" t="s">
        <v>223</v>
      </c>
      <c r="Q143" s="400"/>
      <c r="R143" s="400"/>
      <c r="S143" s="400"/>
      <c r="T143" s="400"/>
      <c r="U143" s="399" t="s">
        <v>224</v>
      </c>
      <c r="V143" s="400"/>
      <c r="W143" s="400"/>
      <c r="X143" s="400"/>
      <c r="Y143" s="400"/>
      <c r="Z143" s="399" t="s">
        <v>225</v>
      </c>
      <c r="AA143" s="400"/>
      <c r="AB143" s="400"/>
      <c r="AC143" s="400"/>
      <c r="AD143" s="400"/>
      <c r="AE143" s="399" t="s">
        <v>226</v>
      </c>
      <c r="AF143" s="400"/>
      <c r="AG143" s="400"/>
      <c r="AH143" s="400"/>
      <c r="AI143" s="400"/>
      <c r="AJ143" s="399" t="s">
        <v>227</v>
      </c>
      <c r="AK143" s="400"/>
      <c r="AL143" s="400"/>
      <c r="AM143" s="400"/>
      <c r="AN143" s="400"/>
      <c r="AO143" s="399" t="s">
        <v>142</v>
      </c>
      <c r="AP143" s="400"/>
      <c r="AQ143" s="400"/>
      <c r="AR143" s="400"/>
      <c r="AS143" s="400"/>
      <c r="AT143" s="399" t="s">
        <v>189</v>
      </c>
      <c r="AU143" s="400"/>
      <c r="AV143" s="400"/>
      <c r="AW143" s="400"/>
      <c r="AX143" s="400"/>
    </row>
    <row r="144" spans="2:50">
      <c r="B144" s="401" t="s">
        <v>190</v>
      </c>
      <c r="C144" s="401" t="s">
        <v>191</v>
      </c>
      <c r="D144" s="401"/>
      <c r="E144" s="401" t="s">
        <v>192</v>
      </c>
      <c r="F144" s="401"/>
      <c r="G144" s="401"/>
      <c r="H144" s="402" t="s">
        <v>193</v>
      </c>
      <c r="I144" s="401" t="s">
        <v>194</v>
      </c>
      <c r="J144" s="401"/>
      <c r="K144" s="401"/>
      <c r="L144" s="402" t="s">
        <v>193</v>
      </c>
      <c r="M144" s="397" t="s">
        <v>195</v>
      </c>
      <c r="N144" s="401"/>
      <c r="O144" s="401" t="s">
        <v>196</v>
      </c>
      <c r="P144" s="406" t="s">
        <v>197</v>
      </c>
      <c r="Q144" s="407"/>
      <c r="R144" s="407"/>
      <c r="S144" s="408"/>
      <c r="T144" s="401" t="s">
        <v>193</v>
      </c>
      <c r="U144" s="406" t="s">
        <v>197</v>
      </c>
      <c r="V144" s="407"/>
      <c r="W144" s="407"/>
      <c r="X144" s="408"/>
      <c r="Y144" s="401" t="s">
        <v>193</v>
      </c>
      <c r="Z144" s="406" t="s">
        <v>197</v>
      </c>
      <c r="AA144" s="407"/>
      <c r="AB144" s="407"/>
      <c r="AC144" s="408"/>
      <c r="AD144" s="401" t="s">
        <v>193</v>
      </c>
      <c r="AE144" s="406" t="s">
        <v>197</v>
      </c>
      <c r="AF144" s="407"/>
      <c r="AG144" s="407"/>
      <c r="AH144" s="408"/>
      <c r="AI144" s="401" t="s">
        <v>193</v>
      </c>
      <c r="AJ144" s="406" t="s">
        <v>197</v>
      </c>
      <c r="AK144" s="407"/>
      <c r="AL144" s="407"/>
      <c r="AM144" s="408"/>
      <c r="AN144" s="401" t="s">
        <v>193</v>
      </c>
      <c r="AO144" s="406" t="s">
        <v>197</v>
      </c>
      <c r="AP144" s="407"/>
      <c r="AQ144" s="407"/>
      <c r="AR144" s="408"/>
      <c r="AS144" s="401" t="s">
        <v>193</v>
      </c>
      <c r="AT144" s="406" t="s">
        <v>197</v>
      </c>
      <c r="AU144" s="407"/>
      <c r="AV144" s="407"/>
      <c r="AW144" s="408"/>
      <c r="AX144" s="401" t="s">
        <v>193</v>
      </c>
    </row>
    <row r="145" spans="2:50">
      <c r="B145" s="401"/>
      <c r="C145" s="401"/>
      <c r="D145" s="401"/>
      <c r="E145" s="401" t="s">
        <v>198</v>
      </c>
      <c r="F145" s="401"/>
      <c r="G145" s="401"/>
      <c r="H145" s="403"/>
      <c r="I145" s="401" t="s">
        <v>198</v>
      </c>
      <c r="J145" s="401"/>
      <c r="K145" s="401"/>
      <c r="L145" s="403"/>
      <c r="M145" s="405"/>
      <c r="N145" s="401"/>
      <c r="O145" s="401"/>
      <c r="P145" s="406" t="s">
        <v>199</v>
      </c>
      <c r="Q145" s="407"/>
      <c r="R145" s="407"/>
      <c r="S145" s="408"/>
      <c r="T145" s="401"/>
      <c r="U145" s="406" t="s">
        <v>199</v>
      </c>
      <c r="V145" s="407"/>
      <c r="W145" s="407"/>
      <c r="X145" s="408"/>
      <c r="Y145" s="401"/>
      <c r="Z145" s="406" t="s">
        <v>199</v>
      </c>
      <c r="AA145" s="407"/>
      <c r="AB145" s="407"/>
      <c r="AC145" s="408"/>
      <c r="AD145" s="401"/>
      <c r="AE145" s="406" t="s">
        <v>199</v>
      </c>
      <c r="AF145" s="407"/>
      <c r="AG145" s="407"/>
      <c r="AH145" s="408"/>
      <c r="AI145" s="401"/>
      <c r="AJ145" s="406" t="s">
        <v>199</v>
      </c>
      <c r="AK145" s="407"/>
      <c r="AL145" s="407"/>
      <c r="AM145" s="408"/>
      <c r="AN145" s="401"/>
      <c r="AO145" s="406" t="s">
        <v>199</v>
      </c>
      <c r="AP145" s="407"/>
      <c r="AQ145" s="407"/>
      <c r="AR145" s="408"/>
      <c r="AS145" s="401"/>
      <c r="AT145" s="406" t="s">
        <v>199</v>
      </c>
      <c r="AU145" s="407"/>
      <c r="AV145" s="407"/>
      <c r="AW145" s="408"/>
      <c r="AX145" s="401"/>
    </row>
    <row r="146" spans="2:50">
      <c r="B146" s="401"/>
      <c r="C146" s="401"/>
      <c r="D146" s="401"/>
      <c r="E146" s="234" t="s">
        <v>200</v>
      </c>
      <c r="F146" s="234" t="s">
        <v>201</v>
      </c>
      <c r="G146" s="234" t="s">
        <v>202</v>
      </c>
      <c r="H146" s="404"/>
      <c r="I146" s="234" t="s">
        <v>200</v>
      </c>
      <c r="J146" s="234" t="s">
        <v>201</v>
      </c>
      <c r="K146" s="234" t="s">
        <v>202</v>
      </c>
      <c r="L146" s="404"/>
      <c r="M146" s="398"/>
      <c r="N146" s="401"/>
      <c r="O146" s="401"/>
      <c r="P146" s="234" t="s">
        <v>200</v>
      </c>
      <c r="Q146" s="234" t="s">
        <v>201</v>
      </c>
      <c r="R146" s="234" t="s">
        <v>202</v>
      </c>
      <c r="S146" s="234" t="s">
        <v>195</v>
      </c>
      <c r="T146" s="401"/>
      <c r="U146" s="234" t="s">
        <v>200</v>
      </c>
      <c r="V146" s="234" t="s">
        <v>201</v>
      </c>
      <c r="W146" s="234" t="s">
        <v>202</v>
      </c>
      <c r="X146" s="234" t="s">
        <v>195</v>
      </c>
      <c r="Y146" s="401"/>
      <c r="Z146" s="234" t="s">
        <v>200</v>
      </c>
      <c r="AA146" s="234" t="s">
        <v>201</v>
      </c>
      <c r="AB146" s="234" t="s">
        <v>202</v>
      </c>
      <c r="AC146" s="234" t="s">
        <v>195</v>
      </c>
      <c r="AD146" s="401"/>
      <c r="AE146" s="234" t="s">
        <v>200</v>
      </c>
      <c r="AF146" s="234" t="s">
        <v>201</v>
      </c>
      <c r="AG146" s="234" t="s">
        <v>202</v>
      </c>
      <c r="AH146" s="234" t="s">
        <v>195</v>
      </c>
      <c r="AI146" s="401"/>
      <c r="AJ146" s="234" t="s">
        <v>200</v>
      </c>
      <c r="AK146" s="234" t="s">
        <v>201</v>
      </c>
      <c r="AL146" s="234" t="s">
        <v>202</v>
      </c>
      <c r="AM146" s="234" t="s">
        <v>195</v>
      </c>
      <c r="AN146" s="401"/>
      <c r="AO146" s="234" t="s">
        <v>200</v>
      </c>
      <c r="AP146" s="234" t="s">
        <v>201</v>
      </c>
      <c r="AQ146" s="234" t="s">
        <v>202</v>
      </c>
      <c r="AR146" s="234" t="s">
        <v>195</v>
      </c>
      <c r="AS146" s="401"/>
      <c r="AT146" s="234" t="s">
        <v>200</v>
      </c>
      <c r="AU146" s="234" t="s">
        <v>201</v>
      </c>
      <c r="AV146" s="234" t="s">
        <v>202</v>
      </c>
      <c r="AW146" s="234" t="s">
        <v>195</v>
      </c>
      <c r="AX146" s="401"/>
    </row>
    <row r="147" spans="2:50">
      <c r="B147" s="400" t="s">
        <v>203</v>
      </c>
      <c r="C147" s="181">
        <v>1</v>
      </c>
      <c r="D147" s="181" t="s">
        <v>204</v>
      </c>
      <c r="E147" s="181">
        <v>4</v>
      </c>
      <c r="F147" s="181">
        <v>2200</v>
      </c>
      <c r="G147" s="181">
        <v>550</v>
      </c>
      <c r="H147" s="409">
        <f>AVERAGE(G147:G176)</f>
        <v>889.13043478260875</v>
      </c>
      <c r="I147" s="165">
        <f>AVERAGE(P147,U147,Z147,AE147,AJ147,AO147,AT147)</f>
        <v>4</v>
      </c>
      <c r="J147" s="165">
        <f>AVERAGE(Q147,V147,AA147,AF147,AK147,AP147,AU147)</f>
        <v>1993.9166641487391</v>
      </c>
      <c r="K147" s="179">
        <f>AVERAGE(R147,W147,AB147,AG147,AL147,AQ147,AV147)</f>
        <v>498.47916603718477</v>
      </c>
      <c r="L147" s="412">
        <f>IFERROR(AVERAGE(K147:K176),"-")</f>
        <v>703.27086108636047</v>
      </c>
      <c r="M147" s="165">
        <f>RANK(K147, K$147:$K$176)</f>
        <v>23</v>
      </c>
      <c r="N147" s="401"/>
      <c r="O147" s="401"/>
      <c r="P147" s="165">
        <v>4</v>
      </c>
      <c r="Q147" s="165">
        <v>2004.2553191489367</v>
      </c>
      <c r="R147" s="179">
        <v>501.06382978723417</v>
      </c>
      <c r="S147" s="181">
        <f>RANK(R147, R$147:R$176)</f>
        <v>23</v>
      </c>
      <c r="T147" s="409">
        <f>AVERAGE(R147:R176)</f>
        <v>707.14366357488427</v>
      </c>
      <c r="U147" s="165">
        <v>4</v>
      </c>
      <c r="V147" s="165">
        <v>1989.0322580645166</v>
      </c>
      <c r="W147" s="179">
        <v>497.25806451612914</v>
      </c>
      <c r="X147" s="181">
        <f>RANK(W147, W$147:W$176)</f>
        <v>23</v>
      </c>
      <c r="Y147" s="409">
        <f>AVERAGE(W147:W176)</f>
        <v>707.03921431371782</v>
      </c>
      <c r="Z147" s="165">
        <v>4</v>
      </c>
      <c r="AA147" s="165">
        <v>1993.7931034482754</v>
      </c>
      <c r="AB147" s="179">
        <v>498.44827586206884</v>
      </c>
      <c r="AC147" s="181">
        <f>RANK(AB147, AB$147:AB$176)</f>
        <v>23</v>
      </c>
      <c r="AD147" s="409">
        <f>AVERAGE(AB147:AB176)</f>
        <v>702.38400685719466</v>
      </c>
      <c r="AE147" s="165">
        <v>4</v>
      </c>
      <c r="AF147" s="165">
        <v>1980.8695652173913</v>
      </c>
      <c r="AG147" s="179">
        <v>495.21739130434781</v>
      </c>
      <c r="AH147" s="181">
        <f>RANK(AG147, AG$147:AG$176)</f>
        <v>22</v>
      </c>
      <c r="AI147" s="409">
        <f>AVERAGE(AG147:AG176)</f>
        <v>688.02844898938508</v>
      </c>
      <c r="AJ147" s="165">
        <v>4</v>
      </c>
      <c r="AK147" s="165">
        <v>1994.9999999999995</v>
      </c>
      <c r="AL147" s="179">
        <v>498.74999999999989</v>
      </c>
      <c r="AM147" s="181">
        <f>RANK(AL147, AL$147:AL$176)</f>
        <v>23</v>
      </c>
      <c r="AN147" s="409">
        <f>AVERAGE(AL147:AL176)</f>
        <v>711.53414870440258</v>
      </c>
      <c r="AO147" s="165">
        <v>4</v>
      </c>
      <c r="AP147" s="165">
        <v>2002.7272727272725</v>
      </c>
      <c r="AQ147" s="179">
        <v>500.68181818181813</v>
      </c>
      <c r="AR147" s="181">
        <f>RANK(AQ147, AQ$147:AQ$176)</f>
        <v>23</v>
      </c>
      <c r="AS147" s="409">
        <f>AVERAGE(AQ147:AQ176)</f>
        <v>706.79802519362386</v>
      </c>
      <c r="AT147" s="165">
        <v>4</v>
      </c>
      <c r="AU147" s="165">
        <v>1991.7391304347827</v>
      </c>
      <c r="AV147" s="179">
        <v>497.93478260869568</v>
      </c>
      <c r="AW147" s="181">
        <f>RANK(AV147, AV$147:AV$176)</f>
        <v>23</v>
      </c>
      <c r="AX147" s="409">
        <f>AVERAGE(AV147:AV176)</f>
        <v>699.96851997131557</v>
      </c>
    </row>
    <row r="148" spans="2:50">
      <c r="B148" s="400"/>
      <c r="C148" s="181">
        <v>2</v>
      </c>
      <c r="D148" s="181" t="s">
        <v>205</v>
      </c>
      <c r="E148" s="181">
        <v>3</v>
      </c>
      <c r="F148" s="181">
        <v>2700</v>
      </c>
      <c r="G148" s="181">
        <v>900</v>
      </c>
      <c r="H148" s="410"/>
      <c r="I148" s="165">
        <f t="shared" ref="I148:I156" si="36">AVERAGE(P148,U148,Z148,AE148,AJ148,AO148,AT148)</f>
        <v>3</v>
      </c>
      <c r="J148" s="165">
        <f t="shared" ref="J148:J156" si="37">AVERAGE(Q148,V148,AA148,AF148,AK148,AP148,AU148)</f>
        <v>2683.3484987262759</v>
      </c>
      <c r="K148" s="179">
        <f t="shared" ref="K148:K156" si="38">AVERAGE(R148,W148,AB148,AG148,AL148,AQ148,AV148)</f>
        <v>894.44949957542519</v>
      </c>
      <c r="L148" s="413"/>
      <c r="M148" s="165">
        <f>RANK(K148, K$147:$K$176)</f>
        <v>2</v>
      </c>
      <c r="N148" s="401"/>
      <c r="O148" s="401"/>
      <c r="P148" s="181">
        <v>3</v>
      </c>
      <c r="Q148" s="165">
        <v>2678.7096774193537</v>
      </c>
      <c r="R148" s="179">
        <v>892.90322580645125</v>
      </c>
      <c r="S148" s="181">
        <f t="shared" ref="S148:S176" si="39">RANK(R148, R$147:R$176)</f>
        <v>3</v>
      </c>
      <c r="T148" s="410"/>
      <c r="U148" s="181">
        <v>3</v>
      </c>
      <c r="V148" s="165">
        <v>2729.9999999999986</v>
      </c>
      <c r="W148" s="179">
        <v>909.99999999999955</v>
      </c>
      <c r="X148" s="181">
        <f t="shared" ref="X148:X176" si="40">RANK(W148, W$147:W$176)</f>
        <v>2</v>
      </c>
      <c r="Y148" s="410"/>
      <c r="Z148" s="181">
        <v>3</v>
      </c>
      <c r="AA148" s="165">
        <v>2792.1428571428551</v>
      </c>
      <c r="AB148" s="179">
        <v>930.71428571428498</v>
      </c>
      <c r="AC148" s="181">
        <f t="shared" ref="AC148:AC176" si="41">RANK(AB148, AB$147:AB$176)</f>
        <v>2</v>
      </c>
      <c r="AD148" s="410"/>
      <c r="AE148" s="181">
        <v>3</v>
      </c>
      <c r="AF148" s="165">
        <v>2707.826086956517</v>
      </c>
      <c r="AG148" s="179">
        <v>902.60869565217229</v>
      </c>
      <c r="AH148" s="181">
        <f t="shared" ref="AH148:AH176" si="42">RANK(AG148, AG$147:AG$176)</f>
        <v>2</v>
      </c>
      <c r="AI148" s="410"/>
      <c r="AJ148" s="181">
        <v>3</v>
      </c>
      <c r="AK148" s="165">
        <v>2598.2608695652129</v>
      </c>
      <c r="AL148" s="179">
        <v>866.08695652173765</v>
      </c>
      <c r="AM148" s="181">
        <f t="shared" ref="AM148:AM176" si="43">RANK(AL148, AL$147:AL$176)</f>
        <v>3</v>
      </c>
      <c r="AN148" s="410"/>
      <c r="AO148" s="181">
        <v>3</v>
      </c>
      <c r="AP148" s="165">
        <v>2592.4999999999964</v>
      </c>
      <c r="AQ148" s="179">
        <v>864.16666666666549</v>
      </c>
      <c r="AR148" s="181">
        <f t="shared" ref="AR148:AR176" si="44">RANK(AQ148, AQ$147:AQ$176)</f>
        <v>3</v>
      </c>
      <c r="AS148" s="410"/>
      <c r="AT148" s="181">
        <v>3</v>
      </c>
      <c r="AU148" s="165">
        <v>2683.9999999999986</v>
      </c>
      <c r="AV148" s="179">
        <v>894.66666666666617</v>
      </c>
      <c r="AW148" s="181">
        <f t="shared" ref="AW148:AW176" si="45">RANK(AV148, AV$147:AV$176)</f>
        <v>2</v>
      </c>
      <c r="AX148" s="410"/>
    </row>
    <row r="149" spans="2:50">
      <c r="B149" s="400"/>
      <c r="C149" s="181">
        <v>3</v>
      </c>
      <c r="D149" s="181" t="s">
        <v>206</v>
      </c>
      <c r="E149" s="181">
        <v>4</v>
      </c>
      <c r="F149" s="181">
        <v>3600</v>
      </c>
      <c r="G149" s="181">
        <v>900</v>
      </c>
      <c r="H149" s="410"/>
      <c r="I149" s="165">
        <f t="shared" si="36"/>
        <v>4</v>
      </c>
      <c r="J149" s="165">
        <f t="shared" si="37"/>
        <v>2958.9923693615351</v>
      </c>
      <c r="K149" s="179">
        <f t="shared" si="38"/>
        <v>739.74809234038378</v>
      </c>
      <c r="L149" s="413"/>
      <c r="M149" s="165">
        <f>RANK(K149, K$147:$K$176)</f>
        <v>8</v>
      </c>
      <c r="N149" s="401"/>
      <c r="O149" s="401"/>
      <c r="P149" s="181">
        <v>4</v>
      </c>
      <c r="Q149" s="165">
        <v>2911.9999999999986</v>
      </c>
      <c r="R149" s="179">
        <v>727.99999999999966</v>
      </c>
      <c r="S149" s="181">
        <f t="shared" si="39"/>
        <v>10</v>
      </c>
      <c r="T149" s="410"/>
      <c r="U149" s="181">
        <v>4</v>
      </c>
      <c r="V149" s="165">
        <v>2973.10344827586</v>
      </c>
      <c r="W149" s="179">
        <v>743.27586206896501</v>
      </c>
      <c r="X149" s="181">
        <f t="shared" si="40"/>
        <v>8</v>
      </c>
      <c r="Y149" s="410"/>
      <c r="Z149" s="181">
        <v>4</v>
      </c>
      <c r="AA149" s="165">
        <v>2926.6666666666642</v>
      </c>
      <c r="AB149" s="179">
        <v>731.66666666666606</v>
      </c>
      <c r="AC149" s="181">
        <f t="shared" si="41"/>
        <v>10</v>
      </c>
      <c r="AD149" s="410"/>
      <c r="AE149" s="181">
        <v>4</v>
      </c>
      <c r="AF149" s="165">
        <v>3009.9999999999977</v>
      </c>
      <c r="AG149" s="179">
        <v>752.49999999999943</v>
      </c>
      <c r="AH149" s="181">
        <f t="shared" si="42"/>
        <v>6</v>
      </c>
      <c r="AI149" s="410"/>
      <c r="AJ149" s="181">
        <v>4</v>
      </c>
      <c r="AK149" s="165">
        <v>3021.1764705882315</v>
      </c>
      <c r="AL149" s="179">
        <v>755.29411764705787</v>
      </c>
      <c r="AM149" s="181">
        <f t="shared" si="43"/>
        <v>6</v>
      </c>
      <c r="AN149" s="410"/>
      <c r="AO149" s="181">
        <v>4</v>
      </c>
      <c r="AP149" s="165">
        <v>2969.9999999999973</v>
      </c>
      <c r="AQ149" s="179">
        <v>742.49999999999932</v>
      </c>
      <c r="AR149" s="181">
        <f t="shared" si="44"/>
        <v>7</v>
      </c>
      <c r="AS149" s="410"/>
      <c r="AT149" s="181">
        <v>4</v>
      </c>
      <c r="AU149" s="165">
        <v>2899.9999999999973</v>
      </c>
      <c r="AV149" s="179">
        <v>724.99999999999932</v>
      </c>
      <c r="AW149" s="181">
        <f t="shared" si="45"/>
        <v>10</v>
      </c>
      <c r="AX149" s="410"/>
    </row>
    <row r="150" spans="2:50">
      <c r="B150" s="400"/>
      <c r="C150" s="181">
        <v>4</v>
      </c>
      <c r="D150" s="181" t="s">
        <v>209</v>
      </c>
      <c r="E150" s="181">
        <v>3</v>
      </c>
      <c r="F150" s="181">
        <v>3600</v>
      </c>
      <c r="G150" s="181">
        <v>1200</v>
      </c>
      <c r="H150" s="410"/>
      <c r="I150" s="165">
        <f t="shared" si="36"/>
        <v>3</v>
      </c>
      <c r="J150" s="165">
        <f t="shared" si="37"/>
        <v>2980.0288880797093</v>
      </c>
      <c r="K150" s="179">
        <f t="shared" si="38"/>
        <v>993.34296269323659</v>
      </c>
      <c r="L150" s="413"/>
      <c r="M150" s="165">
        <f>RANK(K150, K$147:$K$176)</f>
        <v>1</v>
      </c>
      <c r="N150" s="401"/>
      <c r="O150" s="401"/>
      <c r="P150" s="181">
        <v>3</v>
      </c>
      <c r="Q150" s="165">
        <v>2986.3043478260884</v>
      </c>
      <c r="R150" s="179">
        <v>995.43478260869608</v>
      </c>
      <c r="S150" s="181">
        <f t="shared" si="39"/>
        <v>1</v>
      </c>
      <c r="T150" s="410"/>
      <c r="U150" s="181">
        <v>3</v>
      </c>
      <c r="V150" s="165">
        <v>2992.5000000000009</v>
      </c>
      <c r="W150" s="179">
        <v>997.50000000000034</v>
      </c>
      <c r="X150" s="181">
        <f t="shared" si="40"/>
        <v>1</v>
      </c>
      <c r="Y150" s="410"/>
      <c r="Z150" s="181">
        <v>3</v>
      </c>
      <c r="AA150" s="165">
        <v>2995.6626506024072</v>
      </c>
      <c r="AB150" s="179">
        <v>998.55421686746911</v>
      </c>
      <c r="AC150" s="181">
        <f t="shared" si="41"/>
        <v>1</v>
      </c>
      <c r="AD150" s="410"/>
      <c r="AE150" s="181">
        <v>3</v>
      </c>
      <c r="AF150" s="165">
        <v>2975.806451612902</v>
      </c>
      <c r="AG150" s="179">
        <v>991.93548387096735</v>
      </c>
      <c r="AH150" s="181">
        <f t="shared" si="42"/>
        <v>1</v>
      </c>
      <c r="AI150" s="410"/>
      <c r="AJ150" s="181">
        <v>3</v>
      </c>
      <c r="AK150" s="165">
        <v>3048.4210526315769</v>
      </c>
      <c r="AL150" s="179">
        <v>1016.1403508771923</v>
      </c>
      <c r="AM150" s="181">
        <f t="shared" si="43"/>
        <v>1</v>
      </c>
      <c r="AN150" s="410"/>
      <c r="AO150" s="181">
        <v>3</v>
      </c>
      <c r="AP150" s="165">
        <v>2991.290322580644</v>
      </c>
      <c r="AQ150" s="179">
        <v>997.09677419354796</v>
      </c>
      <c r="AR150" s="181">
        <f t="shared" si="44"/>
        <v>1</v>
      </c>
      <c r="AS150" s="410"/>
      <c r="AT150" s="181">
        <v>3</v>
      </c>
      <c r="AU150" s="165">
        <v>2870.2173913043471</v>
      </c>
      <c r="AV150" s="179">
        <v>956.7391304347824</v>
      </c>
      <c r="AW150" s="181">
        <f t="shared" si="45"/>
        <v>1</v>
      </c>
      <c r="AX150" s="410"/>
    </row>
    <row r="151" spans="2:50">
      <c r="B151" s="400"/>
      <c r="C151" s="181">
        <v>5</v>
      </c>
      <c r="D151" s="181" t="s">
        <v>208</v>
      </c>
      <c r="E151" s="181">
        <v>3</v>
      </c>
      <c r="F151" s="181">
        <v>3600</v>
      </c>
      <c r="G151" s="181">
        <v>1200</v>
      </c>
      <c r="H151" s="410"/>
      <c r="I151" s="165">
        <f t="shared" si="36"/>
        <v>4</v>
      </c>
      <c r="J151" s="165">
        <f t="shared" si="37"/>
        <v>2974.1032047845642</v>
      </c>
      <c r="K151" s="179">
        <f t="shared" si="38"/>
        <v>743.52580119614106</v>
      </c>
      <c r="L151" s="413"/>
      <c r="M151" s="165">
        <f>RANK(K151, K$147:$K$176)</f>
        <v>7</v>
      </c>
      <c r="N151" s="401"/>
      <c r="O151" s="401"/>
      <c r="P151" s="181">
        <v>4</v>
      </c>
      <c r="Q151" s="165">
        <v>2962.3255813953429</v>
      </c>
      <c r="R151" s="179">
        <v>740.58139534883571</v>
      </c>
      <c r="S151" s="181">
        <f t="shared" si="39"/>
        <v>7</v>
      </c>
      <c r="T151" s="410"/>
      <c r="U151" s="181">
        <v>4</v>
      </c>
      <c r="V151" s="165">
        <v>3059.9999999999991</v>
      </c>
      <c r="W151" s="179">
        <v>764.99999999999977</v>
      </c>
      <c r="X151" s="181">
        <f t="shared" si="40"/>
        <v>7</v>
      </c>
      <c r="Y151" s="410"/>
      <c r="Z151" s="181">
        <v>4</v>
      </c>
      <c r="AA151" s="165">
        <v>2951.9999999999991</v>
      </c>
      <c r="AB151" s="179">
        <v>737.99999999999977</v>
      </c>
      <c r="AC151" s="181">
        <f t="shared" si="41"/>
        <v>9</v>
      </c>
      <c r="AD151" s="410"/>
      <c r="AE151" s="181">
        <v>4</v>
      </c>
      <c r="AF151" s="165">
        <v>2981.3793103448297</v>
      </c>
      <c r="AG151" s="179">
        <v>745.34482758620743</v>
      </c>
      <c r="AH151" s="181">
        <f t="shared" si="42"/>
        <v>7</v>
      </c>
      <c r="AI151" s="410"/>
      <c r="AJ151" s="181">
        <v>4</v>
      </c>
      <c r="AK151" s="165">
        <v>2942.1428571428592</v>
      </c>
      <c r="AL151" s="179">
        <v>735.53571428571479</v>
      </c>
      <c r="AM151" s="181">
        <f t="shared" si="43"/>
        <v>11</v>
      </c>
      <c r="AN151" s="410"/>
      <c r="AO151" s="181">
        <v>4</v>
      </c>
      <c r="AP151" s="165">
        <v>2929.6551724137953</v>
      </c>
      <c r="AQ151" s="179">
        <v>732.41379310344882</v>
      </c>
      <c r="AR151" s="181">
        <f t="shared" si="44"/>
        <v>11</v>
      </c>
      <c r="AS151" s="410"/>
      <c r="AT151" s="181">
        <v>4</v>
      </c>
      <c r="AU151" s="165">
        <v>2991.2195121951263</v>
      </c>
      <c r="AV151" s="179">
        <v>747.80487804878157</v>
      </c>
      <c r="AW151" s="181">
        <f t="shared" si="45"/>
        <v>8</v>
      </c>
      <c r="AX151" s="410"/>
    </row>
    <row r="152" spans="2:50">
      <c r="B152" s="400"/>
      <c r="C152" s="181">
        <v>6</v>
      </c>
      <c r="D152" s="181" t="s">
        <v>207</v>
      </c>
      <c r="E152" s="181">
        <v>4</v>
      </c>
      <c r="F152" s="181">
        <v>3600</v>
      </c>
      <c r="G152" s="181">
        <v>900</v>
      </c>
      <c r="H152" s="410"/>
      <c r="I152" s="165">
        <f t="shared" si="36"/>
        <v>4</v>
      </c>
      <c r="J152" s="165">
        <f t="shared" si="37"/>
        <v>2941.9703153988871</v>
      </c>
      <c r="K152" s="179">
        <f t="shared" si="38"/>
        <v>735.49257884972178</v>
      </c>
      <c r="L152" s="413"/>
      <c r="M152" s="165">
        <f>RANK(K152, K$147:$K$176)</f>
        <v>9</v>
      </c>
      <c r="N152" s="401"/>
      <c r="O152" s="401"/>
      <c r="P152" s="181">
        <v>4</v>
      </c>
      <c r="Q152" s="165">
        <v>2944.8000000000006</v>
      </c>
      <c r="R152" s="179">
        <v>736.20000000000016</v>
      </c>
      <c r="S152" s="181">
        <f t="shared" si="39"/>
        <v>8</v>
      </c>
      <c r="T152" s="410"/>
      <c r="U152" s="181">
        <v>4</v>
      </c>
      <c r="V152" s="165">
        <v>2923.1999999999916</v>
      </c>
      <c r="W152" s="179">
        <v>730.79999999999791</v>
      </c>
      <c r="X152" s="181">
        <f t="shared" si="40"/>
        <v>9</v>
      </c>
      <c r="Y152" s="410"/>
      <c r="Z152" s="181">
        <v>4</v>
      </c>
      <c r="AA152" s="165">
        <v>2953.6363636363526</v>
      </c>
      <c r="AB152" s="179">
        <v>738.40909090908815</v>
      </c>
      <c r="AC152" s="181">
        <f t="shared" si="41"/>
        <v>8</v>
      </c>
      <c r="AD152" s="410"/>
      <c r="AE152" s="181">
        <v>4</v>
      </c>
      <c r="AF152" s="165">
        <v>2868.00000000001</v>
      </c>
      <c r="AG152" s="179">
        <v>717.0000000000025</v>
      </c>
      <c r="AH152" s="181">
        <f t="shared" si="42"/>
        <v>9</v>
      </c>
      <c r="AI152" s="410"/>
      <c r="AJ152" s="181">
        <v>4</v>
      </c>
      <c r="AK152" s="165">
        <v>2948.5714285714389</v>
      </c>
      <c r="AL152" s="179">
        <v>737.14285714285973</v>
      </c>
      <c r="AM152" s="181">
        <f t="shared" si="43"/>
        <v>10</v>
      </c>
      <c r="AN152" s="410"/>
      <c r="AO152" s="181">
        <v>4</v>
      </c>
      <c r="AP152" s="165">
        <v>2952.8571428571531</v>
      </c>
      <c r="AQ152" s="179">
        <v>738.21428571428828</v>
      </c>
      <c r="AR152" s="181">
        <f t="shared" si="44"/>
        <v>8</v>
      </c>
      <c r="AS152" s="410"/>
      <c r="AT152" s="181">
        <v>4</v>
      </c>
      <c r="AU152" s="165">
        <v>3002.7272727272616</v>
      </c>
      <c r="AV152" s="179">
        <v>750.6818181818154</v>
      </c>
      <c r="AW152" s="181">
        <f t="shared" si="45"/>
        <v>7</v>
      </c>
      <c r="AX152" s="410"/>
    </row>
    <row r="153" spans="2:50">
      <c r="B153" s="400"/>
      <c r="C153" s="181">
        <v>7</v>
      </c>
      <c r="D153" s="181" t="s">
        <v>228</v>
      </c>
      <c r="E153" s="181">
        <v>4</v>
      </c>
      <c r="F153" s="181">
        <v>3600</v>
      </c>
      <c r="G153" s="181">
        <v>900</v>
      </c>
      <c r="H153" s="410"/>
      <c r="I153" s="165">
        <f t="shared" si="36"/>
        <v>4</v>
      </c>
      <c r="J153" s="165">
        <f t="shared" si="37"/>
        <v>2664.0000000000082</v>
      </c>
      <c r="K153" s="179">
        <f t="shared" si="38"/>
        <v>666.00000000000205</v>
      </c>
      <c r="L153" s="413"/>
      <c r="M153" s="165">
        <f>RANK(K153, K$147:$K$176)</f>
        <v>12</v>
      </c>
      <c r="N153" s="401"/>
      <c r="O153" s="401"/>
      <c r="P153" s="181">
        <v>4</v>
      </c>
      <c r="Q153" s="165">
        <v>2724.0000000000095</v>
      </c>
      <c r="R153" s="179">
        <v>681.00000000000239</v>
      </c>
      <c r="S153" s="181">
        <f t="shared" si="39"/>
        <v>13</v>
      </c>
      <c r="T153" s="410"/>
      <c r="U153" s="181">
        <v>4</v>
      </c>
      <c r="V153" s="165">
        <v>2735.9999999999659</v>
      </c>
      <c r="W153" s="179">
        <v>683.99999999999147</v>
      </c>
      <c r="X153" s="181">
        <f t="shared" si="40"/>
        <v>12</v>
      </c>
      <c r="Y153" s="410"/>
      <c r="Z153" s="181">
        <v>4</v>
      </c>
      <c r="AA153" s="165">
        <v>2448.0000000000482</v>
      </c>
      <c r="AB153" s="179">
        <v>612.00000000001205</v>
      </c>
      <c r="AC153" s="181">
        <f t="shared" si="41"/>
        <v>18</v>
      </c>
      <c r="AD153" s="410"/>
      <c r="AE153" s="181">
        <v>4</v>
      </c>
      <c r="AF153" s="165">
        <v>2840.00000000001</v>
      </c>
      <c r="AG153" s="179">
        <v>710.0000000000025</v>
      </c>
      <c r="AH153" s="181">
        <f t="shared" si="42"/>
        <v>10</v>
      </c>
      <c r="AI153" s="410"/>
      <c r="AJ153" s="181">
        <v>4</v>
      </c>
      <c r="AK153" s="165">
        <v>2680.0000000000095</v>
      </c>
      <c r="AL153" s="179">
        <v>670.00000000000239</v>
      </c>
      <c r="AM153" s="181">
        <f t="shared" si="43"/>
        <v>14</v>
      </c>
      <c r="AN153" s="410"/>
      <c r="AO153" s="181">
        <v>4</v>
      </c>
      <c r="AP153" s="165">
        <v>2760.00000000001</v>
      </c>
      <c r="AQ153" s="179">
        <v>690.0000000000025</v>
      </c>
      <c r="AR153" s="181">
        <f t="shared" si="44"/>
        <v>13</v>
      </c>
      <c r="AS153" s="410"/>
      <c r="AT153" s="181">
        <v>4</v>
      </c>
      <c r="AU153" s="165">
        <v>2460.0000000000086</v>
      </c>
      <c r="AV153" s="179">
        <v>615.00000000000216</v>
      </c>
      <c r="AW153" s="181">
        <f t="shared" si="45"/>
        <v>19</v>
      </c>
      <c r="AX153" s="410"/>
    </row>
    <row r="154" spans="2:50">
      <c r="B154" s="400"/>
      <c r="C154" s="181">
        <v>8</v>
      </c>
      <c r="D154" s="181" t="s">
        <v>229</v>
      </c>
      <c r="E154" s="181">
        <v>4</v>
      </c>
      <c r="F154" s="181">
        <v>3600</v>
      </c>
      <c r="G154" s="181">
        <v>900</v>
      </c>
      <c r="H154" s="410"/>
      <c r="I154" s="165">
        <f t="shared" si="36"/>
        <v>4</v>
      </c>
      <c r="J154" s="165">
        <f t="shared" si="37"/>
        <v>2619.2857142857238</v>
      </c>
      <c r="K154" s="179">
        <f t="shared" si="38"/>
        <v>654.82142857143094</v>
      </c>
      <c r="L154" s="413"/>
      <c r="M154" s="165">
        <f>RANK(K154, K$147:$K$176)</f>
        <v>13</v>
      </c>
      <c r="N154" s="401"/>
      <c r="O154" s="401"/>
      <c r="P154" s="181">
        <v>4</v>
      </c>
      <c r="Q154" s="165">
        <v>2805.00000000001</v>
      </c>
      <c r="R154" s="179">
        <v>701.2500000000025</v>
      </c>
      <c r="S154" s="181">
        <f t="shared" si="39"/>
        <v>11</v>
      </c>
      <c r="T154" s="410"/>
      <c r="U154" s="181">
        <v>4</v>
      </c>
      <c r="V154" s="165">
        <v>2760.00000000001</v>
      </c>
      <c r="W154" s="179">
        <v>690.0000000000025</v>
      </c>
      <c r="X154" s="181">
        <f t="shared" si="40"/>
        <v>11</v>
      </c>
      <c r="Y154" s="410"/>
      <c r="Z154" s="181">
        <v>4</v>
      </c>
      <c r="AA154" s="165">
        <v>2430.0000000000086</v>
      </c>
      <c r="AB154" s="179">
        <v>607.50000000000216</v>
      </c>
      <c r="AC154" s="181">
        <f t="shared" si="41"/>
        <v>21</v>
      </c>
      <c r="AD154" s="410"/>
      <c r="AE154" s="181">
        <v>4</v>
      </c>
      <c r="AF154" s="165">
        <v>2060.0000000000073</v>
      </c>
      <c r="AG154" s="179">
        <v>515.00000000000182</v>
      </c>
      <c r="AH154" s="181">
        <f t="shared" si="42"/>
        <v>21</v>
      </c>
      <c r="AI154" s="410"/>
      <c r="AJ154" s="181">
        <v>4</v>
      </c>
      <c r="AK154" s="165">
        <v>3000.0000000000105</v>
      </c>
      <c r="AL154" s="179">
        <v>750.00000000000261</v>
      </c>
      <c r="AM154" s="181">
        <f t="shared" si="43"/>
        <v>7</v>
      </c>
      <c r="AN154" s="410"/>
      <c r="AO154" s="181">
        <v>4</v>
      </c>
      <c r="AP154" s="165">
        <v>2940.00000000001</v>
      </c>
      <c r="AQ154" s="179">
        <v>735.0000000000025</v>
      </c>
      <c r="AR154" s="181">
        <f t="shared" si="44"/>
        <v>10</v>
      </c>
      <c r="AS154" s="410"/>
      <c r="AT154" s="181">
        <v>4</v>
      </c>
      <c r="AU154" s="165">
        <v>2340.0000000000086</v>
      </c>
      <c r="AV154" s="179">
        <v>585.00000000000216</v>
      </c>
      <c r="AW154" s="181">
        <f t="shared" si="45"/>
        <v>20</v>
      </c>
      <c r="AX154" s="410"/>
    </row>
    <row r="155" spans="2:50">
      <c r="B155" s="400"/>
      <c r="C155" s="181">
        <v>9</v>
      </c>
      <c r="D155" s="181" t="s">
        <v>210</v>
      </c>
      <c r="E155" s="181">
        <v>4</v>
      </c>
      <c r="F155" s="181">
        <v>3300</v>
      </c>
      <c r="G155" s="181">
        <v>825</v>
      </c>
      <c r="H155" s="410"/>
      <c r="I155" s="165">
        <f t="shared" si="36"/>
        <v>4</v>
      </c>
      <c r="J155" s="165">
        <f t="shared" si="37"/>
        <v>2433.3113063407118</v>
      </c>
      <c r="K155" s="179">
        <f t="shared" si="38"/>
        <v>608.32782658517795</v>
      </c>
      <c r="L155" s="413"/>
      <c r="M155" s="165">
        <f>RANK(K155, K$147:$K$176)</f>
        <v>21</v>
      </c>
      <c r="N155" s="401"/>
      <c r="O155" s="401"/>
      <c r="P155" s="181">
        <v>4</v>
      </c>
      <c r="Q155" s="165">
        <v>2497.4999999999964</v>
      </c>
      <c r="R155" s="179">
        <v>624.37499999999909</v>
      </c>
      <c r="S155" s="181">
        <f t="shared" si="39"/>
        <v>16</v>
      </c>
      <c r="T155" s="410"/>
      <c r="U155" s="181">
        <v>4</v>
      </c>
      <c r="V155" s="165">
        <v>2350.5882352941148</v>
      </c>
      <c r="W155" s="179">
        <v>587.64705882352871</v>
      </c>
      <c r="X155" s="181">
        <f t="shared" si="40"/>
        <v>20</v>
      </c>
      <c r="Y155" s="410"/>
      <c r="Z155" s="181">
        <v>4</v>
      </c>
      <c r="AA155" s="165">
        <v>2447.9999999999955</v>
      </c>
      <c r="AB155" s="179">
        <v>611.99999999999886</v>
      </c>
      <c r="AC155" s="181">
        <f t="shared" si="41"/>
        <v>19</v>
      </c>
      <c r="AD155" s="410"/>
      <c r="AE155" s="181">
        <v>4</v>
      </c>
      <c r="AF155" s="165">
        <v>2361.8181818181729</v>
      </c>
      <c r="AG155" s="179">
        <v>590.45454545454322</v>
      </c>
      <c r="AH155" s="181">
        <f t="shared" si="42"/>
        <v>20</v>
      </c>
      <c r="AI155" s="410"/>
      <c r="AJ155" s="181">
        <v>4</v>
      </c>
      <c r="AK155" s="165">
        <v>2435.9999999999891</v>
      </c>
      <c r="AL155" s="179">
        <v>608.99999999999727</v>
      </c>
      <c r="AM155" s="181">
        <f t="shared" si="43"/>
        <v>19</v>
      </c>
      <c r="AN155" s="410"/>
      <c r="AO155" s="181">
        <v>4</v>
      </c>
      <c r="AP155" s="165">
        <v>2307.2727272727188</v>
      </c>
      <c r="AQ155" s="179">
        <v>576.81818181817971</v>
      </c>
      <c r="AR155" s="181">
        <f t="shared" si="44"/>
        <v>21</v>
      </c>
      <c r="AS155" s="410"/>
      <c r="AT155" s="181">
        <v>4</v>
      </c>
      <c r="AU155" s="165">
        <v>2631.9999999999955</v>
      </c>
      <c r="AV155" s="179">
        <v>657.99999999999886</v>
      </c>
      <c r="AW155" s="181">
        <f t="shared" si="45"/>
        <v>12</v>
      </c>
      <c r="AX155" s="410"/>
    </row>
    <row r="156" spans="2:50">
      <c r="B156" s="400"/>
      <c r="C156" s="181">
        <v>10</v>
      </c>
      <c r="D156" s="181" t="s">
        <v>211</v>
      </c>
      <c r="E156" s="181">
        <v>3</v>
      </c>
      <c r="F156" s="181">
        <v>3300</v>
      </c>
      <c r="G156" s="181">
        <v>1100</v>
      </c>
      <c r="H156" s="410"/>
      <c r="I156" s="165">
        <f t="shared" si="36"/>
        <v>3</v>
      </c>
      <c r="J156" s="165">
        <f t="shared" si="37"/>
        <v>2500.9098097024917</v>
      </c>
      <c r="K156" s="179">
        <f t="shared" si="38"/>
        <v>833.636603234164</v>
      </c>
      <c r="L156" s="413"/>
      <c r="M156" s="165">
        <f>RANK(K156, K$147:$K$176)</f>
        <v>4</v>
      </c>
      <c r="N156" s="401"/>
      <c r="O156" s="401"/>
      <c r="P156" s="181">
        <v>3</v>
      </c>
      <c r="Q156" s="165">
        <v>2477.5609756097551</v>
      </c>
      <c r="R156" s="179">
        <v>825.85365853658504</v>
      </c>
      <c r="S156" s="181">
        <f t="shared" si="39"/>
        <v>4</v>
      </c>
      <c r="T156" s="410"/>
      <c r="U156" s="181">
        <v>3</v>
      </c>
      <c r="V156" s="165">
        <v>2539.5000000000014</v>
      </c>
      <c r="W156" s="179">
        <v>846.50000000000045</v>
      </c>
      <c r="X156" s="181">
        <f t="shared" si="40"/>
        <v>4</v>
      </c>
      <c r="Y156" s="410"/>
      <c r="Z156" s="181">
        <v>3</v>
      </c>
      <c r="AA156" s="165">
        <v>2452.307692307691</v>
      </c>
      <c r="AB156" s="179">
        <v>817.435897435897</v>
      </c>
      <c r="AC156" s="181">
        <f t="shared" si="41"/>
        <v>5</v>
      </c>
      <c r="AD156" s="410"/>
      <c r="AE156" s="181">
        <v>3</v>
      </c>
      <c r="AF156" s="165">
        <v>2545.9999999999991</v>
      </c>
      <c r="AG156" s="179">
        <v>848.6666666666664</v>
      </c>
      <c r="AH156" s="181">
        <f t="shared" si="42"/>
        <v>4</v>
      </c>
      <c r="AI156" s="410"/>
      <c r="AJ156" s="181">
        <v>3</v>
      </c>
      <c r="AK156" s="165">
        <v>2465.9999999999986</v>
      </c>
      <c r="AL156" s="179">
        <v>821.99999999999955</v>
      </c>
      <c r="AM156" s="181">
        <f t="shared" si="43"/>
        <v>5</v>
      </c>
      <c r="AN156" s="410"/>
      <c r="AO156" s="181">
        <v>3</v>
      </c>
      <c r="AP156" s="165">
        <v>2483.9999999999986</v>
      </c>
      <c r="AQ156" s="179">
        <v>827.99999999999955</v>
      </c>
      <c r="AR156" s="181">
        <f t="shared" si="44"/>
        <v>4</v>
      </c>
      <c r="AS156" s="410"/>
      <c r="AT156" s="181">
        <v>3</v>
      </c>
      <c r="AU156" s="165">
        <v>2540.9999999999991</v>
      </c>
      <c r="AV156" s="179">
        <v>846.99999999999966</v>
      </c>
      <c r="AW156" s="181">
        <f t="shared" si="45"/>
        <v>4</v>
      </c>
      <c r="AX156" s="410"/>
    </row>
    <row r="157" spans="2:50">
      <c r="B157" s="400"/>
      <c r="C157" s="181">
        <v>11</v>
      </c>
      <c r="D157" s="181" t="s">
        <v>212</v>
      </c>
      <c r="E157" s="181">
        <v>3</v>
      </c>
      <c r="F157" s="181">
        <v>3300</v>
      </c>
      <c r="G157" s="181">
        <v>1100</v>
      </c>
      <c r="H157" s="410"/>
      <c r="I157" s="165">
        <f t="shared" ref="I157:I166" si="46">AVERAGE(P157,U157,Z157,AE157,AJ157,AO157,AT157)</f>
        <v>3</v>
      </c>
      <c r="J157" s="165">
        <f t="shared" ref="J157:J166" si="47">AVERAGE(Q157,V157,AA157,AF157,AK157,AP157,AU157)</f>
        <v>2494.468559162794</v>
      </c>
      <c r="K157" s="179">
        <f t="shared" ref="K157:K166" si="48">AVERAGE(R157,W157,AB157,AG157,AL157,AQ157,AV157)</f>
        <v>831.48951972093141</v>
      </c>
      <c r="L157" s="413"/>
      <c r="M157" s="165">
        <f>RANK(K157, K$147:$K$176)</f>
        <v>5</v>
      </c>
      <c r="N157" s="401"/>
      <c r="O157" s="401"/>
      <c r="P157" s="181">
        <v>3</v>
      </c>
      <c r="Q157" s="165">
        <v>2462.6086956521763</v>
      </c>
      <c r="R157" s="179">
        <v>820.86956521739205</v>
      </c>
      <c r="S157" s="181">
        <f t="shared" si="39"/>
        <v>5</v>
      </c>
      <c r="T157" s="410"/>
      <c r="U157" s="181">
        <v>3</v>
      </c>
      <c r="V157" s="165">
        <v>2517.3333333333358</v>
      </c>
      <c r="W157" s="179">
        <v>839.11111111111188</v>
      </c>
      <c r="X157" s="181">
        <f t="shared" si="40"/>
        <v>5</v>
      </c>
      <c r="Y157" s="410"/>
      <c r="Z157" s="181">
        <v>3</v>
      </c>
      <c r="AA157" s="165">
        <v>2541.4285714285684</v>
      </c>
      <c r="AB157" s="179">
        <v>847.14285714285609</v>
      </c>
      <c r="AC157" s="181">
        <f t="shared" si="41"/>
        <v>4</v>
      </c>
      <c r="AD157" s="410"/>
      <c r="AE157" s="181">
        <v>3</v>
      </c>
      <c r="AF157" s="165">
        <v>2452.9411764705851</v>
      </c>
      <c r="AG157" s="179">
        <v>817.64705882352837</v>
      </c>
      <c r="AH157" s="181">
        <f t="shared" si="42"/>
        <v>5</v>
      </c>
      <c r="AI157" s="410"/>
      <c r="AJ157" s="181">
        <v>3</v>
      </c>
      <c r="AK157" s="165">
        <v>2533.1249999999964</v>
      </c>
      <c r="AL157" s="179">
        <v>844.37499999999875</v>
      </c>
      <c r="AM157" s="181">
        <f t="shared" si="43"/>
        <v>4</v>
      </c>
      <c r="AN157" s="410"/>
      <c r="AO157" s="181">
        <v>3</v>
      </c>
      <c r="AP157" s="165">
        <v>2451.1764705882324</v>
      </c>
      <c r="AQ157" s="179">
        <v>817.0588235294108</v>
      </c>
      <c r="AR157" s="181">
        <f t="shared" si="44"/>
        <v>5</v>
      </c>
      <c r="AS157" s="410"/>
      <c r="AT157" s="181">
        <v>3</v>
      </c>
      <c r="AU157" s="165">
        <v>2502.6666666666642</v>
      </c>
      <c r="AV157" s="179">
        <v>834.22222222222138</v>
      </c>
      <c r="AW157" s="181">
        <f t="shared" si="45"/>
        <v>5</v>
      </c>
      <c r="AX157" s="410"/>
    </row>
    <row r="158" spans="2:50">
      <c r="B158" s="400"/>
      <c r="C158" s="181">
        <v>12</v>
      </c>
      <c r="D158" s="181" t="s">
        <v>213</v>
      </c>
      <c r="E158" s="181">
        <v>4</v>
      </c>
      <c r="F158" s="181">
        <v>3300</v>
      </c>
      <c r="G158" s="181">
        <v>825</v>
      </c>
      <c r="H158" s="410"/>
      <c r="I158" s="165">
        <f t="shared" si="46"/>
        <v>4</v>
      </c>
      <c r="J158" s="165">
        <f t="shared" si="47"/>
        <v>2517.9915301073229</v>
      </c>
      <c r="K158" s="179">
        <f t="shared" si="48"/>
        <v>629.49788252683072</v>
      </c>
      <c r="L158" s="413"/>
      <c r="M158" s="165">
        <f>RANK(K158, K$147:$K$176)</f>
        <v>14</v>
      </c>
      <c r="N158" s="401"/>
      <c r="O158" s="401"/>
      <c r="P158" s="181">
        <v>4</v>
      </c>
      <c r="Q158" s="165">
        <v>2497.7777777777792</v>
      </c>
      <c r="R158" s="179">
        <v>624.4444444444448</v>
      </c>
      <c r="S158" s="181">
        <f t="shared" si="39"/>
        <v>15</v>
      </c>
      <c r="T158" s="410"/>
      <c r="U158" s="181">
        <v>4</v>
      </c>
      <c r="V158" s="165">
        <v>2497.7777777777792</v>
      </c>
      <c r="W158" s="179">
        <v>624.4444444444448</v>
      </c>
      <c r="X158" s="181">
        <f t="shared" si="40"/>
        <v>16</v>
      </c>
      <c r="Y158" s="410"/>
      <c r="Z158" s="181">
        <v>4</v>
      </c>
      <c r="AA158" s="165">
        <v>2534.3999999999928</v>
      </c>
      <c r="AB158" s="179">
        <v>633.5999999999982</v>
      </c>
      <c r="AC158" s="181">
        <f t="shared" si="41"/>
        <v>13</v>
      </c>
      <c r="AD158" s="410"/>
      <c r="AE158" s="181">
        <v>4</v>
      </c>
      <c r="AF158" s="165">
        <v>2415.0000000000086</v>
      </c>
      <c r="AG158" s="179">
        <v>603.75000000000216</v>
      </c>
      <c r="AH158" s="181">
        <f t="shared" si="42"/>
        <v>19</v>
      </c>
      <c r="AI158" s="410"/>
      <c r="AJ158" s="181">
        <v>4</v>
      </c>
      <c r="AK158" s="165">
        <v>2603.3333333333426</v>
      </c>
      <c r="AL158" s="179">
        <v>650.83333333333564</v>
      </c>
      <c r="AM158" s="181">
        <f t="shared" si="43"/>
        <v>15</v>
      </c>
      <c r="AN158" s="410"/>
      <c r="AO158" s="181">
        <v>4</v>
      </c>
      <c r="AP158" s="165">
        <v>2488.4210526315878</v>
      </c>
      <c r="AQ158" s="179">
        <v>622.10526315789696</v>
      </c>
      <c r="AR158" s="181">
        <f t="shared" si="44"/>
        <v>17</v>
      </c>
      <c r="AS158" s="410"/>
      <c r="AT158" s="181">
        <v>4</v>
      </c>
      <c r="AU158" s="165">
        <v>2589.2307692307704</v>
      </c>
      <c r="AV158" s="179">
        <v>647.30769230769261</v>
      </c>
      <c r="AW158" s="181">
        <f t="shared" si="45"/>
        <v>13</v>
      </c>
      <c r="AX158" s="410"/>
    </row>
    <row r="159" spans="2:50">
      <c r="B159" s="400"/>
      <c r="C159" s="181">
        <v>13</v>
      </c>
      <c r="D159" s="181" t="s">
        <v>214</v>
      </c>
      <c r="E159" s="181">
        <v>4</v>
      </c>
      <c r="F159" s="181">
        <v>2500</v>
      </c>
      <c r="G159" s="181">
        <v>625</v>
      </c>
      <c r="H159" s="410"/>
      <c r="I159" s="165">
        <f t="shared" si="46"/>
        <v>4</v>
      </c>
      <c r="J159" s="165">
        <f t="shared" si="47"/>
        <v>2474.8679017061395</v>
      </c>
      <c r="K159" s="179">
        <f t="shared" si="48"/>
        <v>618.71697542653487</v>
      </c>
      <c r="L159" s="413"/>
      <c r="M159" s="165">
        <f>RANK(K159, K$147:$K$176)</f>
        <v>19</v>
      </c>
      <c r="N159" s="401"/>
      <c r="O159" s="401"/>
      <c r="P159" s="181">
        <v>4</v>
      </c>
      <c r="Q159" s="165">
        <v>2438.3333333333367</v>
      </c>
      <c r="R159" s="179">
        <v>609.58333333333417</v>
      </c>
      <c r="S159" s="181">
        <f t="shared" si="39"/>
        <v>21</v>
      </c>
      <c r="T159" s="410"/>
      <c r="U159" s="181">
        <v>4</v>
      </c>
      <c r="V159" s="165">
        <v>2581.7647058823495</v>
      </c>
      <c r="W159" s="179">
        <v>645.44117647058738</v>
      </c>
      <c r="X159" s="181">
        <f t="shared" si="40"/>
        <v>14</v>
      </c>
      <c r="Y159" s="410"/>
      <c r="Z159" s="181">
        <v>4</v>
      </c>
      <c r="AA159" s="165">
        <v>2441.2499999999964</v>
      </c>
      <c r="AB159" s="179">
        <v>610.31249999999909</v>
      </c>
      <c r="AC159" s="181">
        <f t="shared" si="41"/>
        <v>20</v>
      </c>
      <c r="AD159" s="410"/>
      <c r="AE159" s="181">
        <v>4</v>
      </c>
      <c r="AF159" s="165">
        <v>2498.1818181818271</v>
      </c>
      <c r="AG159" s="179">
        <v>624.54545454545678</v>
      </c>
      <c r="AH159" s="181">
        <f t="shared" si="42"/>
        <v>15</v>
      </c>
      <c r="AI159" s="410"/>
      <c r="AJ159" s="181">
        <v>4</v>
      </c>
      <c r="AK159" s="165">
        <v>2391.818181818182</v>
      </c>
      <c r="AL159" s="179">
        <v>597.9545454545455</v>
      </c>
      <c r="AM159" s="181">
        <f t="shared" si="43"/>
        <v>20</v>
      </c>
      <c r="AN159" s="410"/>
      <c r="AO159" s="181">
        <v>4</v>
      </c>
      <c r="AP159" s="165">
        <v>2487.2727272727361</v>
      </c>
      <c r="AQ159" s="179">
        <v>621.81818181818403</v>
      </c>
      <c r="AR159" s="181">
        <f t="shared" si="44"/>
        <v>18</v>
      </c>
      <c r="AS159" s="410"/>
      <c r="AT159" s="181">
        <v>4</v>
      </c>
      <c r="AU159" s="165">
        <v>2485.4545454545482</v>
      </c>
      <c r="AV159" s="179">
        <v>621.36363636363706</v>
      </c>
      <c r="AW159" s="181">
        <f t="shared" si="45"/>
        <v>17</v>
      </c>
      <c r="AX159" s="410"/>
    </row>
    <row r="160" spans="2:50">
      <c r="B160" s="400"/>
      <c r="C160" s="181">
        <v>14</v>
      </c>
      <c r="D160" s="181" t="s">
        <v>215</v>
      </c>
      <c r="E160" s="181">
        <v>3</v>
      </c>
      <c r="F160" s="181">
        <v>3300</v>
      </c>
      <c r="G160" s="181">
        <v>1100</v>
      </c>
      <c r="H160" s="410"/>
      <c r="I160" s="165">
        <f t="shared" si="46"/>
        <v>3</v>
      </c>
      <c r="J160" s="165">
        <f t="shared" si="47"/>
        <v>2312.3571428571495</v>
      </c>
      <c r="K160" s="179">
        <f t="shared" si="48"/>
        <v>770.78571428571649</v>
      </c>
      <c r="L160" s="413"/>
      <c r="M160" s="165">
        <f>RANK(K160, K$147:$K$176)</f>
        <v>6</v>
      </c>
      <c r="N160" s="401"/>
      <c r="O160" s="401"/>
      <c r="P160" s="181">
        <v>3</v>
      </c>
      <c r="Q160" s="165">
        <v>2400.00000000003</v>
      </c>
      <c r="R160" s="179">
        <v>800.00000000001</v>
      </c>
      <c r="S160" s="181">
        <f t="shared" si="39"/>
        <v>6</v>
      </c>
      <c r="T160" s="410"/>
      <c r="U160" s="181">
        <v>3</v>
      </c>
      <c r="V160" s="165">
        <v>2400.0000000000086</v>
      </c>
      <c r="W160" s="179">
        <v>800.00000000000284</v>
      </c>
      <c r="X160" s="181">
        <f t="shared" si="40"/>
        <v>6</v>
      </c>
      <c r="Y160" s="410"/>
      <c r="Z160" s="181">
        <v>3</v>
      </c>
      <c r="AA160" s="165">
        <v>2407.5000000000086</v>
      </c>
      <c r="AB160" s="179">
        <v>802.50000000000284</v>
      </c>
      <c r="AC160" s="181">
        <f t="shared" si="41"/>
        <v>6</v>
      </c>
      <c r="AD160" s="410"/>
      <c r="AE160" s="181">
        <v>3</v>
      </c>
      <c r="AF160" s="165">
        <v>2232.0000000000077</v>
      </c>
      <c r="AG160" s="179">
        <v>744.00000000000261</v>
      </c>
      <c r="AH160" s="181">
        <f t="shared" si="42"/>
        <v>8</v>
      </c>
      <c r="AI160" s="410"/>
      <c r="AJ160" s="181">
        <v>3</v>
      </c>
      <c r="AK160" s="165">
        <v>2244.0000000000082</v>
      </c>
      <c r="AL160" s="179">
        <v>748.00000000000273</v>
      </c>
      <c r="AM160" s="181">
        <f t="shared" si="43"/>
        <v>9</v>
      </c>
      <c r="AN160" s="410"/>
      <c r="AO160" s="181">
        <v>3</v>
      </c>
      <c r="AP160" s="165">
        <v>2027.9999999999748</v>
      </c>
      <c r="AQ160" s="179">
        <v>675.99999999999159</v>
      </c>
      <c r="AR160" s="181">
        <f t="shared" si="44"/>
        <v>15</v>
      </c>
      <c r="AS160" s="410"/>
      <c r="AT160" s="181">
        <v>3</v>
      </c>
      <c r="AU160" s="165">
        <v>2475.0000000000091</v>
      </c>
      <c r="AV160" s="179">
        <v>825.00000000000307</v>
      </c>
      <c r="AW160" s="181">
        <f t="shared" si="45"/>
        <v>6</v>
      </c>
      <c r="AX160" s="410"/>
    </row>
    <row r="161" spans="2:50">
      <c r="B161" s="400"/>
      <c r="C161" s="181">
        <v>15</v>
      </c>
      <c r="D161" s="181" t="s">
        <v>216</v>
      </c>
      <c r="E161" s="181">
        <v>4</v>
      </c>
      <c r="F161" s="181">
        <v>3300</v>
      </c>
      <c r="G161" s="181">
        <v>825</v>
      </c>
      <c r="H161" s="410"/>
      <c r="I161" s="165">
        <f t="shared" si="46"/>
        <v>4</v>
      </c>
      <c r="J161" s="165">
        <f t="shared" si="47"/>
        <v>2478.4056627887453</v>
      </c>
      <c r="K161" s="179">
        <f t="shared" si="48"/>
        <v>619.60141569718633</v>
      </c>
      <c r="L161" s="413"/>
      <c r="M161" s="165">
        <f>RANK(K161, K$147:$K$176)</f>
        <v>18</v>
      </c>
      <c r="N161" s="401"/>
      <c r="O161" s="401"/>
      <c r="P161" s="181">
        <v>4</v>
      </c>
      <c r="Q161" s="165">
        <v>2483.0136986301363</v>
      </c>
      <c r="R161" s="179">
        <v>620.75342465753408</v>
      </c>
      <c r="S161" s="181">
        <f t="shared" ref="S161:S175" si="49">RANK(R161, R$147:R$176)</f>
        <v>19</v>
      </c>
      <c r="T161" s="410"/>
      <c r="U161" s="181">
        <v>4</v>
      </c>
      <c r="V161" s="165">
        <v>2483.478260869565</v>
      </c>
      <c r="W161" s="179">
        <v>620.86956521739125</v>
      </c>
      <c r="X161" s="181">
        <f t="shared" ref="X161:X175" si="50">RANK(W161, W$147:W$176)</f>
        <v>18</v>
      </c>
      <c r="Y161" s="410"/>
      <c r="Z161" s="181">
        <v>4</v>
      </c>
      <c r="AA161" s="165">
        <v>2476.8749999999995</v>
      </c>
      <c r="AB161" s="179">
        <v>619.21874999999989</v>
      </c>
      <c r="AC161" s="181">
        <f t="shared" ref="AC161:AC175" si="51">RANK(AB161, AB$147:AB$176)</f>
        <v>16</v>
      </c>
      <c r="AD161" s="410"/>
      <c r="AE161" s="181">
        <v>4</v>
      </c>
      <c r="AF161" s="165">
        <v>2497.959183673468</v>
      </c>
      <c r="AG161" s="179">
        <v>624.48979591836701</v>
      </c>
      <c r="AH161" s="181">
        <f t="shared" ref="AH161:AH175" si="52">RANK(AG161, AG$147:AG$176)</f>
        <v>16</v>
      </c>
      <c r="AI161" s="410"/>
      <c r="AJ161" s="181">
        <v>4</v>
      </c>
      <c r="AK161" s="165">
        <v>2456.1702127659578</v>
      </c>
      <c r="AL161" s="179">
        <v>614.04255319148945</v>
      </c>
      <c r="AM161" s="181">
        <f t="shared" ref="AM161:AM175" si="53">RANK(AL161, AL$147:AL$176)</f>
        <v>18</v>
      </c>
      <c r="AN161" s="410"/>
      <c r="AO161" s="181">
        <v>4</v>
      </c>
      <c r="AP161" s="165">
        <v>2460.0000000000009</v>
      </c>
      <c r="AQ161" s="179">
        <v>615.00000000000023</v>
      </c>
      <c r="AR161" s="181">
        <f t="shared" ref="AR161:AR175" si="54">RANK(AQ161, AQ$147:AQ$176)</f>
        <v>20</v>
      </c>
      <c r="AS161" s="410"/>
      <c r="AT161" s="181">
        <v>4</v>
      </c>
      <c r="AU161" s="165">
        <v>2491.3432835820895</v>
      </c>
      <c r="AV161" s="179">
        <v>622.83582089552237</v>
      </c>
      <c r="AW161" s="181">
        <f t="shared" ref="AW161:AW175" si="55">RANK(AV161, AV$147:AV$176)</f>
        <v>16</v>
      </c>
      <c r="AX161" s="410"/>
    </row>
    <row r="162" spans="2:50">
      <c r="B162" s="400"/>
      <c r="C162" s="181">
        <v>16</v>
      </c>
      <c r="D162" s="181" t="s">
        <v>217</v>
      </c>
      <c r="E162" s="181">
        <v>4</v>
      </c>
      <c r="F162" s="181">
        <v>3300</v>
      </c>
      <c r="G162" s="181">
        <v>825</v>
      </c>
      <c r="H162" s="410"/>
      <c r="I162" s="165">
        <f t="shared" si="46"/>
        <v>4</v>
      </c>
      <c r="J162" s="165">
        <f t="shared" si="47"/>
        <v>2484.1746161107062</v>
      </c>
      <c r="K162" s="179">
        <f t="shared" si="48"/>
        <v>621.04365402767655</v>
      </c>
      <c r="L162" s="413"/>
      <c r="M162" s="165">
        <f>RANK(K162, K$147:$K$176)</f>
        <v>17</v>
      </c>
      <c r="N162" s="401"/>
      <c r="O162" s="401"/>
      <c r="P162" s="181">
        <v>4</v>
      </c>
      <c r="Q162" s="165">
        <v>2485.2631578947362</v>
      </c>
      <c r="R162" s="179">
        <v>621.31578947368405</v>
      </c>
      <c r="S162" s="181">
        <f t="shared" si="49"/>
        <v>18</v>
      </c>
      <c r="T162" s="410"/>
      <c r="U162" s="181">
        <v>4</v>
      </c>
      <c r="V162" s="165">
        <v>2486.8421052631575</v>
      </c>
      <c r="W162" s="179">
        <v>621.71052631578937</v>
      </c>
      <c r="X162" s="181">
        <f t="shared" si="50"/>
        <v>17</v>
      </c>
      <c r="Y162" s="410"/>
      <c r="Z162" s="181">
        <v>4</v>
      </c>
      <c r="AA162" s="165">
        <v>2498.3333333333321</v>
      </c>
      <c r="AB162" s="179">
        <v>624.58333333333303</v>
      </c>
      <c r="AC162" s="181">
        <f t="shared" si="51"/>
        <v>14</v>
      </c>
      <c r="AD162" s="410"/>
      <c r="AE162" s="181">
        <v>4</v>
      </c>
      <c r="AF162" s="165">
        <v>2499.6428571428569</v>
      </c>
      <c r="AG162" s="179">
        <v>624.91071428571422</v>
      </c>
      <c r="AH162" s="181">
        <f t="shared" si="52"/>
        <v>14</v>
      </c>
      <c r="AI162" s="410"/>
      <c r="AJ162" s="181">
        <v>4</v>
      </c>
      <c r="AK162" s="165">
        <v>2476.1538461538457</v>
      </c>
      <c r="AL162" s="179">
        <v>619.03846153846143</v>
      </c>
      <c r="AM162" s="181">
        <f t="shared" si="53"/>
        <v>17</v>
      </c>
      <c r="AN162" s="410"/>
      <c r="AO162" s="181">
        <v>4</v>
      </c>
      <c r="AP162" s="165">
        <v>2472.8571428571445</v>
      </c>
      <c r="AQ162" s="179">
        <v>618.21428571428612</v>
      </c>
      <c r="AR162" s="181">
        <f t="shared" si="54"/>
        <v>19</v>
      </c>
      <c r="AS162" s="410"/>
      <c r="AT162" s="181">
        <v>4</v>
      </c>
      <c r="AU162" s="165">
        <v>2470.1298701298701</v>
      </c>
      <c r="AV162" s="179">
        <v>617.53246753246754</v>
      </c>
      <c r="AW162" s="181">
        <f t="shared" si="55"/>
        <v>18</v>
      </c>
      <c r="AX162" s="410"/>
    </row>
    <row r="163" spans="2:50">
      <c r="B163" s="400"/>
      <c r="C163" s="181">
        <v>17</v>
      </c>
      <c r="D163" s="181" t="s">
        <v>222</v>
      </c>
      <c r="E163" s="181">
        <v>3</v>
      </c>
      <c r="F163" s="181">
        <v>2700</v>
      </c>
      <c r="G163" s="181">
        <v>900</v>
      </c>
      <c r="H163" s="410"/>
      <c r="I163" s="165">
        <f t="shared" si="46"/>
        <v>3</v>
      </c>
      <c r="J163" s="165">
        <f t="shared" si="47"/>
        <v>2660.4618967936035</v>
      </c>
      <c r="K163" s="179">
        <f t="shared" si="48"/>
        <v>886.82063226453442</v>
      </c>
      <c r="L163" s="413"/>
      <c r="M163" s="165">
        <f>RANK(K163, K$147:$K$176)</f>
        <v>3</v>
      </c>
      <c r="N163" s="401"/>
      <c r="O163" s="401"/>
      <c r="P163" s="181">
        <v>3</v>
      </c>
      <c r="Q163" s="165">
        <v>2683.902439024389</v>
      </c>
      <c r="R163" s="179">
        <v>894.63414634146295</v>
      </c>
      <c r="S163" s="181">
        <f t="shared" si="49"/>
        <v>2</v>
      </c>
      <c r="T163" s="410"/>
      <c r="U163" s="181">
        <v>3</v>
      </c>
      <c r="V163" s="165">
        <v>2693.8461538461579</v>
      </c>
      <c r="W163" s="179">
        <v>897.94871794871926</v>
      </c>
      <c r="X163" s="181">
        <f t="shared" si="50"/>
        <v>3</v>
      </c>
      <c r="Y163" s="410"/>
      <c r="Z163" s="181">
        <v>3</v>
      </c>
      <c r="AA163" s="165">
        <v>2651.3513513513494</v>
      </c>
      <c r="AB163" s="179">
        <v>883.78378378378318</v>
      </c>
      <c r="AC163" s="181">
        <f t="shared" si="51"/>
        <v>3</v>
      </c>
      <c r="AD163" s="410"/>
      <c r="AE163" s="181">
        <v>3</v>
      </c>
      <c r="AF163" s="165">
        <v>2655.555555555557</v>
      </c>
      <c r="AG163" s="179">
        <v>885.18518518518567</v>
      </c>
      <c r="AH163" s="181">
        <f t="shared" si="52"/>
        <v>3</v>
      </c>
      <c r="AI163" s="410"/>
      <c r="AJ163" s="181">
        <v>3</v>
      </c>
      <c r="AK163" s="165">
        <v>2680.8000000000006</v>
      </c>
      <c r="AL163" s="179">
        <v>893.60000000000025</v>
      </c>
      <c r="AM163" s="181">
        <f t="shared" si="53"/>
        <v>2</v>
      </c>
      <c r="AN163" s="410"/>
      <c r="AO163" s="181">
        <v>3</v>
      </c>
      <c r="AP163" s="165">
        <v>2617.7777777777715</v>
      </c>
      <c r="AQ163" s="179">
        <v>872.59259259259045</v>
      </c>
      <c r="AR163" s="181">
        <f t="shared" si="54"/>
        <v>2</v>
      </c>
      <c r="AS163" s="410"/>
      <c r="AT163" s="181">
        <v>3</v>
      </c>
      <c r="AU163" s="165">
        <v>2639.9999999999986</v>
      </c>
      <c r="AV163" s="179">
        <v>879.99999999999955</v>
      </c>
      <c r="AW163" s="181">
        <f t="shared" si="55"/>
        <v>3</v>
      </c>
      <c r="AX163" s="410"/>
    </row>
    <row r="164" spans="2:50">
      <c r="B164" s="400"/>
      <c r="C164" s="181">
        <v>18</v>
      </c>
      <c r="D164" s="181" t="s">
        <v>218</v>
      </c>
      <c r="E164" s="181">
        <v>4</v>
      </c>
      <c r="F164" s="181">
        <v>3600</v>
      </c>
      <c r="G164" s="181">
        <v>900</v>
      </c>
      <c r="H164" s="410"/>
      <c r="I164" s="165">
        <f t="shared" si="46"/>
        <v>4</v>
      </c>
      <c r="J164" s="165">
        <f t="shared" si="47"/>
        <v>2728.6043290043285</v>
      </c>
      <c r="K164" s="179">
        <f t="shared" si="48"/>
        <v>682.15108225108213</v>
      </c>
      <c r="L164" s="413"/>
      <c r="M164" s="165">
        <f>RANK(K164, K$147:$K$176)</f>
        <v>11</v>
      </c>
      <c r="N164" s="401"/>
      <c r="O164" s="401"/>
      <c r="P164" s="181">
        <v>4</v>
      </c>
      <c r="Q164" s="165">
        <v>2766.6666666666765</v>
      </c>
      <c r="R164" s="179">
        <v>691.66666666666913</v>
      </c>
      <c r="S164" s="181">
        <f t="shared" si="49"/>
        <v>12</v>
      </c>
      <c r="T164" s="410"/>
      <c r="U164" s="181">
        <v>4</v>
      </c>
      <c r="V164" s="165">
        <v>2911.1999999999916</v>
      </c>
      <c r="W164" s="179">
        <v>727.79999999999791</v>
      </c>
      <c r="X164" s="181">
        <f t="shared" si="50"/>
        <v>10</v>
      </c>
      <c r="Y164" s="410"/>
      <c r="Z164" s="181">
        <v>4</v>
      </c>
      <c r="AA164" s="165">
        <v>2716.7999999999925</v>
      </c>
      <c r="AB164" s="179">
        <v>679.19999999999811</v>
      </c>
      <c r="AC164" s="181">
        <f t="shared" si="51"/>
        <v>11</v>
      </c>
      <c r="AD164" s="410"/>
      <c r="AE164" s="181">
        <v>4</v>
      </c>
      <c r="AF164" s="165">
        <v>2488.7999999999929</v>
      </c>
      <c r="AG164" s="179">
        <v>622.19999999999823</v>
      </c>
      <c r="AH164" s="181">
        <f t="shared" si="52"/>
        <v>17</v>
      </c>
      <c r="AI164" s="410"/>
      <c r="AJ164" s="181">
        <v>4</v>
      </c>
      <c r="AK164" s="165">
        <v>2746.363636363646</v>
      </c>
      <c r="AL164" s="179">
        <v>686.59090909091151</v>
      </c>
      <c r="AM164" s="181">
        <f t="shared" si="53"/>
        <v>13</v>
      </c>
      <c r="AN164" s="410"/>
      <c r="AO164" s="181">
        <v>4</v>
      </c>
      <c r="AP164" s="165">
        <v>2750.3999999999919</v>
      </c>
      <c r="AQ164" s="179">
        <v>687.59999999999798</v>
      </c>
      <c r="AR164" s="181">
        <f t="shared" si="54"/>
        <v>14</v>
      </c>
      <c r="AS164" s="410"/>
      <c r="AT164" s="181">
        <v>4</v>
      </c>
      <c r="AU164" s="165">
        <v>2720.0000000000095</v>
      </c>
      <c r="AV164" s="179">
        <v>680.00000000000239</v>
      </c>
      <c r="AW164" s="181">
        <f t="shared" si="55"/>
        <v>11</v>
      </c>
      <c r="AX164" s="410"/>
    </row>
    <row r="165" spans="2:50">
      <c r="B165" s="400"/>
      <c r="C165" s="181">
        <v>19</v>
      </c>
      <c r="D165" s="181" t="s">
        <v>219</v>
      </c>
      <c r="E165" s="181">
        <v>4</v>
      </c>
      <c r="F165" s="181">
        <v>3000</v>
      </c>
      <c r="G165" s="181">
        <v>750</v>
      </c>
      <c r="H165" s="410"/>
      <c r="I165" s="165">
        <f t="shared" si="46"/>
        <v>3</v>
      </c>
      <c r="J165" s="165">
        <f t="shared" si="47"/>
        <v>2160.4211669675365</v>
      </c>
      <c r="K165" s="179">
        <f t="shared" si="48"/>
        <v>720.14038898917897</v>
      </c>
      <c r="L165" s="413"/>
      <c r="M165" s="165">
        <f>RANK(K165, K$147:$K$176)</f>
        <v>10</v>
      </c>
      <c r="N165" s="401"/>
      <c r="O165" s="401"/>
      <c r="P165" s="181">
        <v>3</v>
      </c>
      <c r="Q165" s="165">
        <v>2200.7142857142935</v>
      </c>
      <c r="R165" s="179">
        <v>733.57142857143117</v>
      </c>
      <c r="S165" s="181">
        <f t="shared" si="49"/>
        <v>9</v>
      </c>
      <c r="T165" s="410"/>
      <c r="U165" s="181">
        <v>3</v>
      </c>
      <c r="V165" s="165">
        <v>2002.0000000000073</v>
      </c>
      <c r="W165" s="179">
        <v>667.33333333333576</v>
      </c>
      <c r="X165" s="181">
        <f t="shared" si="50"/>
        <v>13</v>
      </c>
      <c r="Y165" s="410"/>
      <c r="Z165" s="181">
        <v>3</v>
      </c>
      <c r="AA165" s="165">
        <v>2217.5999999999935</v>
      </c>
      <c r="AB165" s="179">
        <v>739.19999999999789</v>
      </c>
      <c r="AC165" s="181">
        <f t="shared" si="51"/>
        <v>7</v>
      </c>
      <c r="AD165" s="410"/>
      <c r="AE165" s="181">
        <v>3</v>
      </c>
      <c r="AF165" s="165">
        <v>2059.1999999999939</v>
      </c>
      <c r="AG165" s="179">
        <v>686.39999999999793</v>
      </c>
      <c r="AH165" s="181">
        <f t="shared" si="52"/>
        <v>11</v>
      </c>
      <c r="AI165" s="410"/>
      <c r="AJ165" s="181">
        <v>3</v>
      </c>
      <c r="AK165" s="165">
        <v>2199.1304347826167</v>
      </c>
      <c r="AL165" s="179">
        <v>733.04347826087223</v>
      </c>
      <c r="AM165" s="181">
        <f t="shared" si="53"/>
        <v>12</v>
      </c>
      <c r="AN165" s="410"/>
      <c r="AO165" s="181">
        <v>3</v>
      </c>
      <c r="AP165" s="165">
        <v>2251.1999999999939</v>
      </c>
      <c r="AQ165" s="179">
        <v>750.39999999999793</v>
      </c>
      <c r="AR165" s="181">
        <f t="shared" si="54"/>
        <v>6</v>
      </c>
      <c r="AS165" s="410"/>
      <c r="AT165" s="181">
        <v>3</v>
      </c>
      <c r="AU165" s="165">
        <v>2193.1034482758578</v>
      </c>
      <c r="AV165" s="179">
        <v>731.03448275861922</v>
      </c>
      <c r="AW165" s="181">
        <f t="shared" si="55"/>
        <v>9</v>
      </c>
      <c r="AX165" s="410"/>
    </row>
    <row r="166" spans="2:50">
      <c r="B166" s="400"/>
      <c r="C166" s="181">
        <v>20</v>
      </c>
      <c r="D166" s="181" t="s">
        <v>220</v>
      </c>
      <c r="E166" s="181">
        <v>4</v>
      </c>
      <c r="F166" s="181">
        <v>3000</v>
      </c>
      <c r="G166" s="181">
        <v>750</v>
      </c>
      <c r="H166" s="410"/>
      <c r="I166" s="165">
        <f t="shared" si="46"/>
        <v>4</v>
      </c>
      <c r="J166" s="165">
        <f t="shared" si="47"/>
        <v>2229.8136645962709</v>
      </c>
      <c r="K166" s="179">
        <f t="shared" si="48"/>
        <v>557.45341614906772</v>
      </c>
      <c r="L166" s="413"/>
      <c r="M166" s="165">
        <f>RANK(K166, K$147:$K$176)</f>
        <v>22</v>
      </c>
      <c r="N166" s="401"/>
      <c r="O166" s="401"/>
      <c r="P166" s="181">
        <v>4</v>
      </c>
      <c r="Q166" s="165">
        <v>2189.9999999999918</v>
      </c>
      <c r="R166" s="179">
        <v>547.49999999999795</v>
      </c>
      <c r="S166" s="181">
        <f t="shared" si="49"/>
        <v>22</v>
      </c>
      <c r="T166" s="410"/>
      <c r="U166" s="181">
        <v>4</v>
      </c>
      <c r="V166" s="165">
        <v>2270.9999999999718</v>
      </c>
      <c r="W166" s="179">
        <v>567.74999999999295</v>
      </c>
      <c r="X166" s="181">
        <f t="shared" si="50"/>
        <v>22</v>
      </c>
      <c r="Y166" s="410"/>
      <c r="Z166" s="181">
        <v>4</v>
      </c>
      <c r="AA166" s="165">
        <v>2121.0000000000073</v>
      </c>
      <c r="AB166" s="179">
        <v>530.25000000000182</v>
      </c>
      <c r="AC166" s="181">
        <f t="shared" si="51"/>
        <v>22</v>
      </c>
      <c r="AD166" s="410"/>
      <c r="AE166" s="181">
        <v>4</v>
      </c>
      <c r="AF166" s="165">
        <v>2620.0000000000091</v>
      </c>
      <c r="AG166" s="179">
        <v>655.00000000000227</v>
      </c>
      <c r="AH166" s="181">
        <f t="shared" si="52"/>
        <v>12</v>
      </c>
      <c r="AI166" s="410"/>
      <c r="AJ166" s="181">
        <v>4</v>
      </c>
      <c r="AK166" s="165">
        <v>2189.9999999999886</v>
      </c>
      <c r="AL166" s="179">
        <v>547.49999999999716</v>
      </c>
      <c r="AM166" s="181">
        <f t="shared" si="53"/>
        <v>22</v>
      </c>
      <c r="AN166" s="410"/>
      <c r="AO166" s="181">
        <v>4</v>
      </c>
      <c r="AP166" s="165">
        <v>2088.0000000000073</v>
      </c>
      <c r="AQ166" s="179">
        <v>522.00000000000182</v>
      </c>
      <c r="AR166" s="181">
        <f t="shared" si="54"/>
        <v>22</v>
      </c>
      <c r="AS166" s="410"/>
      <c r="AT166" s="181">
        <v>4</v>
      </c>
      <c r="AU166" s="165">
        <v>2128.6956521739207</v>
      </c>
      <c r="AV166" s="179">
        <v>532.17391304348018</v>
      </c>
      <c r="AW166" s="181">
        <f t="shared" si="55"/>
        <v>22</v>
      </c>
      <c r="AX166" s="410"/>
    </row>
    <row r="167" spans="2:50">
      <c r="B167" s="400"/>
      <c r="C167" s="181">
        <v>21</v>
      </c>
      <c r="D167" s="181" t="s">
        <v>221</v>
      </c>
      <c r="E167" s="181">
        <v>4</v>
      </c>
      <c r="F167" s="181">
        <v>3600</v>
      </c>
      <c r="G167" s="181">
        <v>900</v>
      </c>
      <c r="H167" s="410"/>
      <c r="I167" s="165">
        <f t="shared" ref="I167:I169" si="56">AVERAGE(P167,U167,Z167,AE167,AJ167,AO167,AT167)</f>
        <v>4</v>
      </c>
      <c r="J167" s="165">
        <f t="shared" ref="J167:J169" si="57">AVERAGE(Q167,V167,AA167,AF167,AK167,AP167,AU167)</f>
        <v>2515.4326530152248</v>
      </c>
      <c r="K167" s="179">
        <f t="shared" ref="K167:K169" si="58">AVERAGE(R167,W167,AB167,AG167,AL167,AQ167,AV167)</f>
        <v>628.8581632538062</v>
      </c>
      <c r="L167" s="413"/>
      <c r="M167" s="165">
        <f>RANK(K167, K$147:$K$176)</f>
        <v>15</v>
      </c>
      <c r="N167" s="401"/>
      <c r="O167" s="401"/>
      <c r="P167" s="181">
        <v>4</v>
      </c>
      <c r="Q167" s="165">
        <v>2472.5</v>
      </c>
      <c r="R167" s="179">
        <v>618.125</v>
      </c>
      <c r="S167" s="181">
        <f t="shared" si="49"/>
        <v>20</v>
      </c>
      <c r="T167" s="410"/>
      <c r="U167" s="181">
        <v>4</v>
      </c>
      <c r="V167" s="165">
        <v>2361.6</v>
      </c>
      <c r="W167" s="179">
        <v>590.4</v>
      </c>
      <c r="X167" s="181">
        <f t="shared" si="50"/>
        <v>19</v>
      </c>
      <c r="Y167" s="410"/>
      <c r="Z167" s="181">
        <v>4</v>
      </c>
      <c r="AA167" s="165">
        <v>2649.0000000000091</v>
      </c>
      <c r="AB167" s="179">
        <v>662.25000000000227</v>
      </c>
      <c r="AC167" s="181">
        <f t="shared" si="51"/>
        <v>12</v>
      </c>
      <c r="AD167" s="410"/>
      <c r="AE167" s="181">
        <v>4</v>
      </c>
      <c r="AF167" s="165">
        <v>2460.0000000000086</v>
      </c>
      <c r="AG167" s="179">
        <v>615.00000000000216</v>
      </c>
      <c r="AH167" s="181">
        <f t="shared" si="52"/>
        <v>18</v>
      </c>
      <c r="AI167" s="410"/>
      <c r="AJ167" s="181">
        <v>4</v>
      </c>
      <c r="AK167" s="165">
        <v>2391.428571428562</v>
      </c>
      <c r="AL167" s="179">
        <v>597.8571428571405</v>
      </c>
      <c r="AM167" s="181">
        <f t="shared" si="53"/>
        <v>21</v>
      </c>
      <c r="AN167" s="410"/>
      <c r="AO167" s="181">
        <v>4</v>
      </c>
      <c r="AP167" s="165">
        <v>2765.9999996779952</v>
      </c>
      <c r="AQ167" s="179">
        <v>691.4999999194988</v>
      </c>
      <c r="AR167" s="181">
        <f t="shared" si="54"/>
        <v>12</v>
      </c>
      <c r="AS167" s="410"/>
      <c r="AT167" s="181">
        <v>4</v>
      </c>
      <c r="AU167" s="165">
        <v>2507.4999999999995</v>
      </c>
      <c r="AV167" s="179">
        <v>626.87499999999989</v>
      </c>
      <c r="AW167" s="181">
        <f t="shared" si="55"/>
        <v>14</v>
      </c>
      <c r="AX167" s="410"/>
    </row>
    <row r="168" spans="2:50">
      <c r="B168" s="400"/>
      <c r="C168" s="181">
        <v>22</v>
      </c>
      <c r="D168" s="181" t="s">
        <v>230</v>
      </c>
      <c r="E168" s="181">
        <v>4</v>
      </c>
      <c r="F168" s="181">
        <v>3000</v>
      </c>
      <c r="G168" s="181">
        <v>750</v>
      </c>
      <c r="H168" s="410"/>
      <c r="I168" s="165">
        <f t="shared" si="56"/>
        <v>4</v>
      </c>
      <c r="J168" s="165">
        <f t="shared" si="57"/>
        <v>2470.0000000000173</v>
      </c>
      <c r="K168" s="179">
        <f t="shared" si="58"/>
        <v>617.50000000000432</v>
      </c>
      <c r="L168" s="413"/>
      <c r="M168" s="165">
        <f>RANK(K168, K$147:$K$176)</f>
        <v>20</v>
      </c>
      <c r="N168" s="401"/>
      <c r="O168" s="401"/>
      <c r="P168" s="181">
        <v>4</v>
      </c>
      <c r="Q168" s="165">
        <v>2535.0000000000091</v>
      </c>
      <c r="R168" s="179">
        <v>633.75000000000227</v>
      </c>
      <c r="S168" s="181">
        <f t="shared" si="49"/>
        <v>14</v>
      </c>
      <c r="T168" s="410"/>
      <c r="U168" s="181">
        <v>4</v>
      </c>
      <c r="V168" s="165">
        <v>2325.0000000000082</v>
      </c>
      <c r="W168" s="179">
        <v>581.25000000000205</v>
      </c>
      <c r="X168" s="181">
        <f t="shared" si="50"/>
        <v>21</v>
      </c>
      <c r="Y168" s="410"/>
      <c r="Z168" s="181">
        <v>4</v>
      </c>
      <c r="AA168" s="165">
        <v>2460.0000000000741</v>
      </c>
      <c r="AB168" s="179">
        <v>615.00000000001853</v>
      </c>
      <c r="AC168" s="181">
        <f t="shared" si="51"/>
        <v>17</v>
      </c>
      <c r="AD168" s="410"/>
      <c r="AE168" s="181">
        <v>4</v>
      </c>
      <c r="AF168" s="165">
        <v>1710.0000000000059</v>
      </c>
      <c r="AG168" s="179">
        <v>427.50000000000148</v>
      </c>
      <c r="AH168" s="181">
        <f t="shared" si="52"/>
        <v>23</v>
      </c>
      <c r="AI168" s="410"/>
      <c r="AJ168" s="181">
        <v>4</v>
      </c>
      <c r="AK168" s="165">
        <v>2999.9999999997708</v>
      </c>
      <c r="AL168" s="179">
        <v>749.9999999999427</v>
      </c>
      <c r="AM168" s="181">
        <f t="shared" si="53"/>
        <v>8</v>
      </c>
      <c r="AN168" s="410"/>
      <c r="AO168" s="181">
        <v>4</v>
      </c>
      <c r="AP168" s="165">
        <v>2940.0000000002456</v>
      </c>
      <c r="AQ168" s="179">
        <v>735.00000000006139</v>
      </c>
      <c r="AR168" s="181">
        <f t="shared" si="54"/>
        <v>9</v>
      </c>
      <c r="AS168" s="410"/>
      <c r="AT168" s="181">
        <v>4</v>
      </c>
      <c r="AU168" s="165">
        <v>2320.0000000000082</v>
      </c>
      <c r="AV168" s="179">
        <v>580.00000000000205</v>
      </c>
      <c r="AW168" s="181">
        <f t="shared" si="55"/>
        <v>21</v>
      </c>
      <c r="AX168" s="410"/>
    </row>
    <row r="169" spans="2:50">
      <c r="B169" s="400"/>
      <c r="C169" s="181">
        <v>23</v>
      </c>
      <c r="D169" s="181" t="s">
        <v>231</v>
      </c>
      <c r="E169" s="181">
        <v>4</v>
      </c>
      <c r="F169" s="181">
        <v>3300</v>
      </c>
      <c r="G169" s="181">
        <v>825</v>
      </c>
      <c r="H169" s="410"/>
      <c r="I169" s="165">
        <f t="shared" si="56"/>
        <v>4</v>
      </c>
      <c r="J169" s="165">
        <f t="shared" si="57"/>
        <v>2493.3880052434947</v>
      </c>
      <c r="K169" s="179">
        <f t="shared" si="58"/>
        <v>623.34700131087368</v>
      </c>
      <c r="L169" s="413"/>
      <c r="M169" s="165">
        <f>RANK(K169, K$147:$K$176)</f>
        <v>16</v>
      </c>
      <c r="N169" s="401"/>
      <c r="O169" s="401"/>
      <c r="P169" s="181">
        <v>4</v>
      </c>
      <c r="Q169" s="165">
        <v>2485.7142857142835</v>
      </c>
      <c r="R169" s="179">
        <v>621.42857142857088</v>
      </c>
      <c r="S169" s="181">
        <f t="shared" si="49"/>
        <v>17</v>
      </c>
      <c r="T169" s="410"/>
      <c r="U169" s="181">
        <v>4</v>
      </c>
      <c r="V169" s="165">
        <v>2503.4482758620711</v>
      </c>
      <c r="W169" s="179">
        <v>625.86206896551778</v>
      </c>
      <c r="X169" s="181">
        <f t="shared" si="50"/>
        <v>15</v>
      </c>
      <c r="Y169" s="410"/>
      <c r="Z169" s="181">
        <v>4</v>
      </c>
      <c r="AA169" s="165">
        <v>2492.2499999999991</v>
      </c>
      <c r="AB169" s="179">
        <v>623.06249999999977</v>
      </c>
      <c r="AC169" s="181">
        <f t="shared" si="51"/>
        <v>15</v>
      </c>
      <c r="AD169" s="410"/>
      <c r="AE169" s="181">
        <v>4</v>
      </c>
      <c r="AF169" s="165">
        <v>2501.1940298507461</v>
      </c>
      <c r="AG169" s="179">
        <v>625.29850746268653</v>
      </c>
      <c r="AH169" s="181">
        <f t="shared" si="52"/>
        <v>13</v>
      </c>
      <c r="AI169" s="410"/>
      <c r="AJ169" s="181">
        <v>4</v>
      </c>
      <c r="AK169" s="165">
        <v>2490</v>
      </c>
      <c r="AL169" s="179">
        <v>622.5</v>
      </c>
      <c r="AM169" s="181">
        <f t="shared" si="53"/>
        <v>16</v>
      </c>
      <c r="AN169" s="410"/>
      <c r="AO169" s="181">
        <v>4</v>
      </c>
      <c r="AP169" s="165">
        <v>2488.695652173913</v>
      </c>
      <c r="AQ169" s="179">
        <v>622.17391304347825</v>
      </c>
      <c r="AR169" s="181">
        <f t="shared" si="54"/>
        <v>16</v>
      </c>
      <c r="AS169" s="410"/>
      <c r="AT169" s="181">
        <v>4</v>
      </c>
      <c r="AU169" s="165">
        <v>2492.4137931034502</v>
      </c>
      <c r="AV169" s="179">
        <v>623.10344827586255</v>
      </c>
      <c r="AW169" s="181">
        <f t="shared" si="55"/>
        <v>15</v>
      </c>
      <c r="AX169" s="410"/>
    </row>
    <row r="170" spans="2:50">
      <c r="B170" s="400"/>
      <c r="C170" s="181">
        <v>24</v>
      </c>
      <c r="D170" s="181"/>
      <c r="E170" s="181"/>
      <c r="F170" s="181"/>
      <c r="G170" s="181"/>
      <c r="H170" s="410"/>
      <c r="I170" s="181"/>
      <c r="J170" s="181"/>
      <c r="K170" s="181"/>
      <c r="L170" s="413"/>
      <c r="M170" s="165" t="e">
        <f>RANK(K170, K$147:$K$176)</f>
        <v>#N/A</v>
      </c>
      <c r="N170" s="401"/>
      <c r="O170" s="401"/>
      <c r="P170" s="181"/>
      <c r="Q170" s="165"/>
      <c r="R170" s="179"/>
      <c r="S170" s="181" t="e">
        <f t="shared" si="49"/>
        <v>#N/A</v>
      </c>
      <c r="T170" s="410"/>
      <c r="U170" s="181"/>
      <c r="V170" s="181"/>
      <c r="W170" s="181"/>
      <c r="X170" s="181" t="e">
        <f t="shared" si="50"/>
        <v>#N/A</v>
      </c>
      <c r="Y170" s="410"/>
      <c r="Z170" s="181"/>
      <c r="AA170" s="181"/>
      <c r="AB170" s="181"/>
      <c r="AC170" s="181" t="e">
        <f t="shared" si="51"/>
        <v>#N/A</v>
      </c>
      <c r="AD170" s="410"/>
      <c r="AE170" s="181"/>
      <c r="AF170" s="181"/>
      <c r="AG170" s="181"/>
      <c r="AH170" s="181" t="e">
        <f t="shared" si="52"/>
        <v>#N/A</v>
      </c>
      <c r="AI170" s="410"/>
      <c r="AJ170" s="181"/>
      <c r="AK170" s="181"/>
      <c r="AL170" s="181"/>
      <c r="AM170" s="181" t="e">
        <f t="shared" si="53"/>
        <v>#N/A</v>
      </c>
      <c r="AN170" s="410"/>
      <c r="AO170" s="181"/>
      <c r="AP170" s="181"/>
      <c r="AQ170" s="181"/>
      <c r="AR170" s="181" t="e">
        <f t="shared" si="54"/>
        <v>#N/A</v>
      </c>
      <c r="AS170" s="410"/>
      <c r="AT170" s="181"/>
      <c r="AU170" s="181"/>
      <c r="AV170" s="181"/>
      <c r="AW170" s="181" t="e">
        <f t="shared" si="55"/>
        <v>#N/A</v>
      </c>
      <c r="AX170" s="410"/>
    </row>
    <row r="171" spans="2:50">
      <c r="B171" s="400"/>
      <c r="C171" s="181">
        <v>25</v>
      </c>
      <c r="D171" s="181"/>
      <c r="E171" s="181"/>
      <c r="F171" s="181"/>
      <c r="G171" s="181"/>
      <c r="H171" s="410"/>
      <c r="I171" s="181"/>
      <c r="J171" s="181"/>
      <c r="K171" s="181"/>
      <c r="L171" s="413"/>
      <c r="M171" s="165" t="e">
        <f>RANK(K171, K$147:$K$176)</f>
        <v>#N/A</v>
      </c>
      <c r="N171" s="401"/>
      <c r="O171" s="401"/>
      <c r="P171" s="181"/>
      <c r="Q171" s="181"/>
      <c r="R171" s="181"/>
      <c r="S171" s="181" t="e">
        <f t="shared" si="49"/>
        <v>#N/A</v>
      </c>
      <c r="T171" s="410"/>
      <c r="U171" s="181"/>
      <c r="V171" s="181"/>
      <c r="W171" s="181"/>
      <c r="X171" s="181" t="e">
        <f t="shared" si="50"/>
        <v>#N/A</v>
      </c>
      <c r="Y171" s="410"/>
      <c r="Z171" s="181"/>
      <c r="AA171" s="181"/>
      <c r="AB171" s="181"/>
      <c r="AC171" s="181" t="e">
        <f t="shared" si="51"/>
        <v>#N/A</v>
      </c>
      <c r="AD171" s="410"/>
      <c r="AE171" s="181"/>
      <c r="AF171" s="181"/>
      <c r="AG171" s="181"/>
      <c r="AH171" s="181" t="e">
        <f t="shared" si="52"/>
        <v>#N/A</v>
      </c>
      <c r="AI171" s="410"/>
      <c r="AJ171" s="181"/>
      <c r="AK171" s="181"/>
      <c r="AL171" s="181"/>
      <c r="AM171" s="181" t="e">
        <f t="shared" si="53"/>
        <v>#N/A</v>
      </c>
      <c r="AN171" s="410"/>
      <c r="AO171" s="181"/>
      <c r="AP171" s="181"/>
      <c r="AQ171" s="181"/>
      <c r="AR171" s="181" t="e">
        <f t="shared" si="54"/>
        <v>#N/A</v>
      </c>
      <c r="AS171" s="410"/>
      <c r="AT171" s="181"/>
      <c r="AU171" s="181"/>
      <c r="AV171" s="181"/>
      <c r="AW171" s="181" t="e">
        <f t="shared" si="55"/>
        <v>#N/A</v>
      </c>
      <c r="AX171" s="410"/>
    </row>
    <row r="172" spans="2:50">
      <c r="B172" s="400"/>
      <c r="C172" s="181">
        <v>26</v>
      </c>
      <c r="D172" s="181"/>
      <c r="E172" s="181"/>
      <c r="F172" s="181"/>
      <c r="G172" s="181"/>
      <c r="H172" s="410"/>
      <c r="I172" s="181"/>
      <c r="J172" s="181"/>
      <c r="K172" s="181"/>
      <c r="L172" s="413"/>
      <c r="M172" s="165" t="e">
        <f>RANK(K172, K$147:$K$176)</f>
        <v>#N/A</v>
      </c>
      <c r="N172" s="401"/>
      <c r="O172" s="401"/>
      <c r="P172" s="181"/>
      <c r="Q172" s="181"/>
      <c r="R172" s="181"/>
      <c r="S172" s="181" t="e">
        <f t="shared" si="49"/>
        <v>#N/A</v>
      </c>
      <c r="T172" s="410"/>
      <c r="U172" s="181"/>
      <c r="V172" s="181"/>
      <c r="W172" s="181"/>
      <c r="X172" s="181" t="e">
        <f t="shared" si="50"/>
        <v>#N/A</v>
      </c>
      <c r="Y172" s="410"/>
      <c r="Z172" s="181"/>
      <c r="AA172" s="181"/>
      <c r="AB172" s="181"/>
      <c r="AC172" s="181" t="e">
        <f t="shared" si="51"/>
        <v>#N/A</v>
      </c>
      <c r="AD172" s="410"/>
      <c r="AE172" s="181"/>
      <c r="AF172" s="181"/>
      <c r="AG172" s="181"/>
      <c r="AH172" s="181" t="e">
        <f t="shared" si="52"/>
        <v>#N/A</v>
      </c>
      <c r="AI172" s="410"/>
      <c r="AJ172" s="181"/>
      <c r="AK172" s="181"/>
      <c r="AL172" s="181"/>
      <c r="AM172" s="181" t="e">
        <f t="shared" si="53"/>
        <v>#N/A</v>
      </c>
      <c r="AN172" s="410"/>
      <c r="AO172" s="181"/>
      <c r="AP172" s="181"/>
      <c r="AQ172" s="181"/>
      <c r="AR172" s="181" t="e">
        <f t="shared" si="54"/>
        <v>#N/A</v>
      </c>
      <c r="AS172" s="410"/>
      <c r="AT172" s="181"/>
      <c r="AU172" s="181"/>
      <c r="AV172" s="181"/>
      <c r="AW172" s="181" t="e">
        <f t="shared" si="55"/>
        <v>#N/A</v>
      </c>
      <c r="AX172" s="410"/>
    </row>
    <row r="173" spans="2:50">
      <c r="B173" s="400"/>
      <c r="C173" s="181">
        <v>27</v>
      </c>
      <c r="D173" s="181"/>
      <c r="E173" s="181"/>
      <c r="F173" s="181"/>
      <c r="G173" s="181"/>
      <c r="H173" s="410"/>
      <c r="I173" s="181"/>
      <c r="J173" s="181"/>
      <c r="K173" s="181"/>
      <c r="L173" s="413"/>
      <c r="M173" s="165" t="e">
        <f>RANK(K173, K$147:$K$176)</f>
        <v>#N/A</v>
      </c>
      <c r="N173" s="401"/>
      <c r="O173" s="401"/>
      <c r="P173" s="181"/>
      <c r="Q173" s="181"/>
      <c r="R173" s="181"/>
      <c r="S173" s="181" t="e">
        <f t="shared" si="49"/>
        <v>#N/A</v>
      </c>
      <c r="T173" s="410"/>
      <c r="U173" s="181"/>
      <c r="V173" s="181"/>
      <c r="W173" s="181"/>
      <c r="X173" s="181" t="e">
        <f t="shared" si="50"/>
        <v>#N/A</v>
      </c>
      <c r="Y173" s="410"/>
      <c r="Z173" s="181"/>
      <c r="AA173" s="181"/>
      <c r="AB173" s="181"/>
      <c r="AC173" s="181" t="e">
        <f t="shared" si="51"/>
        <v>#N/A</v>
      </c>
      <c r="AD173" s="410"/>
      <c r="AE173" s="181"/>
      <c r="AF173" s="181"/>
      <c r="AG173" s="181"/>
      <c r="AH173" s="181" t="e">
        <f t="shared" si="52"/>
        <v>#N/A</v>
      </c>
      <c r="AI173" s="410"/>
      <c r="AJ173" s="181"/>
      <c r="AK173" s="181"/>
      <c r="AL173" s="181"/>
      <c r="AM173" s="181" t="e">
        <f t="shared" si="53"/>
        <v>#N/A</v>
      </c>
      <c r="AN173" s="410"/>
      <c r="AO173" s="181"/>
      <c r="AP173" s="181"/>
      <c r="AQ173" s="181"/>
      <c r="AR173" s="181" t="e">
        <f t="shared" si="54"/>
        <v>#N/A</v>
      </c>
      <c r="AS173" s="410"/>
      <c r="AT173" s="181"/>
      <c r="AU173" s="181"/>
      <c r="AV173" s="181"/>
      <c r="AW173" s="181" t="e">
        <f t="shared" si="55"/>
        <v>#N/A</v>
      </c>
      <c r="AX173" s="410"/>
    </row>
    <row r="174" spans="2:50">
      <c r="B174" s="400"/>
      <c r="C174" s="181">
        <v>28</v>
      </c>
      <c r="D174" s="181"/>
      <c r="E174" s="181"/>
      <c r="F174" s="181"/>
      <c r="G174" s="181"/>
      <c r="H174" s="410"/>
      <c r="I174" s="181"/>
      <c r="J174" s="181"/>
      <c r="K174" s="181"/>
      <c r="L174" s="413"/>
      <c r="M174" s="165" t="e">
        <f>RANK(K174, K$147:$K$176)</f>
        <v>#N/A</v>
      </c>
      <c r="N174" s="401"/>
      <c r="O174" s="401"/>
      <c r="P174" s="181"/>
      <c r="Q174" s="181"/>
      <c r="R174" s="181"/>
      <c r="S174" s="181" t="e">
        <f t="shared" si="49"/>
        <v>#N/A</v>
      </c>
      <c r="T174" s="410"/>
      <c r="U174" s="181"/>
      <c r="V174" s="181"/>
      <c r="W174" s="181"/>
      <c r="X174" s="181" t="e">
        <f t="shared" si="50"/>
        <v>#N/A</v>
      </c>
      <c r="Y174" s="410"/>
      <c r="Z174" s="181"/>
      <c r="AA174" s="181"/>
      <c r="AB174" s="181"/>
      <c r="AC174" s="181" t="e">
        <f t="shared" si="51"/>
        <v>#N/A</v>
      </c>
      <c r="AD174" s="410"/>
      <c r="AE174" s="181"/>
      <c r="AF174" s="181"/>
      <c r="AG174" s="181"/>
      <c r="AH174" s="181" t="e">
        <f t="shared" si="52"/>
        <v>#N/A</v>
      </c>
      <c r="AI174" s="410"/>
      <c r="AJ174" s="181"/>
      <c r="AK174" s="181"/>
      <c r="AL174" s="181"/>
      <c r="AM174" s="181" t="e">
        <f t="shared" si="53"/>
        <v>#N/A</v>
      </c>
      <c r="AN174" s="410"/>
      <c r="AO174" s="181"/>
      <c r="AP174" s="181"/>
      <c r="AQ174" s="181"/>
      <c r="AR174" s="181" t="e">
        <f t="shared" si="54"/>
        <v>#N/A</v>
      </c>
      <c r="AS174" s="410"/>
      <c r="AT174" s="181"/>
      <c r="AU174" s="181"/>
      <c r="AV174" s="181"/>
      <c r="AW174" s="181" t="e">
        <f t="shared" si="55"/>
        <v>#N/A</v>
      </c>
      <c r="AX174" s="410"/>
    </row>
    <row r="175" spans="2:50">
      <c r="B175" s="400"/>
      <c r="C175" s="181">
        <v>29</v>
      </c>
      <c r="D175" s="181"/>
      <c r="E175" s="181"/>
      <c r="F175" s="181"/>
      <c r="G175" s="181"/>
      <c r="H175" s="410"/>
      <c r="I175" s="181"/>
      <c r="J175" s="181"/>
      <c r="K175" s="181"/>
      <c r="L175" s="413"/>
      <c r="M175" s="165" t="e">
        <f>RANK(K175, K$147:$K$176)</f>
        <v>#N/A</v>
      </c>
      <c r="N175" s="401"/>
      <c r="O175" s="401"/>
      <c r="P175" s="181"/>
      <c r="Q175" s="181"/>
      <c r="R175" s="181"/>
      <c r="S175" s="181" t="e">
        <f t="shared" si="49"/>
        <v>#N/A</v>
      </c>
      <c r="T175" s="410"/>
      <c r="U175" s="181"/>
      <c r="V175" s="181"/>
      <c r="W175" s="181"/>
      <c r="X175" s="181" t="e">
        <f t="shared" si="50"/>
        <v>#N/A</v>
      </c>
      <c r="Y175" s="410"/>
      <c r="Z175" s="181"/>
      <c r="AA175" s="181"/>
      <c r="AB175" s="181"/>
      <c r="AC175" s="181" t="e">
        <f t="shared" si="51"/>
        <v>#N/A</v>
      </c>
      <c r="AD175" s="410"/>
      <c r="AE175" s="181"/>
      <c r="AF175" s="181"/>
      <c r="AG175" s="181"/>
      <c r="AH175" s="181" t="e">
        <f t="shared" si="52"/>
        <v>#N/A</v>
      </c>
      <c r="AI175" s="410"/>
      <c r="AJ175" s="181"/>
      <c r="AK175" s="181"/>
      <c r="AL175" s="181"/>
      <c r="AM175" s="181" t="e">
        <f t="shared" si="53"/>
        <v>#N/A</v>
      </c>
      <c r="AN175" s="410"/>
      <c r="AO175" s="181"/>
      <c r="AP175" s="181"/>
      <c r="AQ175" s="181"/>
      <c r="AR175" s="181" t="e">
        <f t="shared" si="54"/>
        <v>#N/A</v>
      </c>
      <c r="AS175" s="410"/>
      <c r="AT175" s="181"/>
      <c r="AU175" s="181"/>
      <c r="AV175" s="181"/>
      <c r="AW175" s="181" t="e">
        <f t="shared" si="55"/>
        <v>#N/A</v>
      </c>
      <c r="AX175" s="410"/>
    </row>
    <row r="176" spans="2:50">
      <c r="B176" s="400"/>
      <c r="C176" s="181">
        <v>30</v>
      </c>
      <c r="D176" s="181"/>
      <c r="E176" s="181"/>
      <c r="F176" s="181"/>
      <c r="G176" s="181"/>
      <c r="H176" s="411"/>
      <c r="I176" s="181"/>
      <c r="J176" s="181"/>
      <c r="K176" s="181"/>
      <c r="L176" s="414"/>
      <c r="M176" s="165" t="e">
        <f>RANK(K176, K$147:$K$176)</f>
        <v>#N/A</v>
      </c>
      <c r="N176" s="401"/>
      <c r="O176" s="401"/>
      <c r="P176" s="181"/>
      <c r="Q176" s="181"/>
      <c r="R176" s="181"/>
      <c r="S176" s="181" t="e">
        <f t="shared" si="39"/>
        <v>#N/A</v>
      </c>
      <c r="T176" s="411"/>
      <c r="U176" s="181"/>
      <c r="V176" s="181"/>
      <c r="W176" s="181"/>
      <c r="X176" s="181" t="e">
        <f t="shared" si="40"/>
        <v>#N/A</v>
      </c>
      <c r="Y176" s="411"/>
      <c r="Z176" s="181"/>
      <c r="AA176" s="181"/>
      <c r="AB176" s="181"/>
      <c r="AC176" s="181" t="e">
        <f t="shared" si="41"/>
        <v>#N/A</v>
      </c>
      <c r="AD176" s="411"/>
      <c r="AE176" s="181"/>
      <c r="AF176" s="181"/>
      <c r="AG176" s="181"/>
      <c r="AH176" s="181" t="e">
        <f t="shared" si="42"/>
        <v>#N/A</v>
      </c>
      <c r="AI176" s="411"/>
      <c r="AJ176" s="181"/>
      <c r="AK176" s="181"/>
      <c r="AL176" s="181"/>
      <c r="AM176" s="181" t="e">
        <f t="shared" si="43"/>
        <v>#N/A</v>
      </c>
      <c r="AN176" s="411"/>
      <c r="AO176" s="181"/>
      <c r="AP176" s="181"/>
      <c r="AQ176" s="181"/>
      <c r="AR176" s="181" t="e">
        <f t="shared" si="44"/>
        <v>#N/A</v>
      </c>
      <c r="AS176" s="411"/>
      <c r="AT176" s="181"/>
      <c r="AU176" s="181"/>
      <c r="AV176" s="181"/>
      <c r="AW176" s="181" t="e">
        <f t="shared" si="45"/>
        <v>#N/A</v>
      </c>
      <c r="AX176" s="411"/>
    </row>
    <row r="177" spans="2:39" ht="15.75">
      <c r="B177" s="394" t="s">
        <v>187</v>
      </c>
      <c r="C177" s="395"/>
      <c r="D177" s="395"/>
      <c r="E177" s="395"/>
      <c r="F177" s="395"/>
      <c r="G177" s="395"/>
      <c r="H177" s="395"/>
      <c r="I177" s="185"/>
      <c r="J177" s="185"/>
      <c r="K177" s="185"/>
      <c r="L177" s="185"/>
      <c r="M177" s="184"/>
      <c r="N177" s="397" t="s">
        <v>188</v>
      </c>
      <c r="O177" s="397" t="s">
        <v>135</v>
      </c>
      <c r="P177" s="399">
        <f>P142+7</f>
        <v>45930</v>
      </c>
      <c r="Q177" s="400"/>
      <c r="R177" s="400"/>
      <c r="S177" s="400"/>
      <c r="T177" s="400"/>
      <c r="X177" s="103"/>
      <c r="AC177" s="103"/>
      <c r="AH177" s="103"/>
      <c r="AM177" s="103"/>
    </row>
    <row r="178" spans="2:39" ht="15.75">
      <c r="B178" s="396"/>
      <c r="C178" s="396"/>
      <c r="D178" s="396"/>
      <c r="E178" s="396"/>
      <c r="F178" s="396"/>
      <c r="G178" s="396"/>
      <c r="H178" s="396"/>
      <c r="I178" s="183"/>
      <c r="J178" s="183"/>
      <c r="K178" s="183"/>
      <c r="L178" s="183"/>
      <c r="M178" s="178"/>
      <c r="N178" s="398"/>
      <c r="O178" s="398"/>
      <c r="P178" s="399" t="s">
        <v>223</v>
      </c>
      <c r="Q178" s="400"/>
      <c r="R178" s="400"/>
      <c r="S178" s="400"/>
      <c r="T178" s="400"/>
      <c r="X178" s="103"/>
      <c r="AC178" s="103"/>
      <c r="AH178" s="103"/>
      <c r="AM178" s="103"/>
    </row>
    <row r="179" spans="2:39">
      <c r="B179" s="401" t="s">
        <v>190</v>
      </c>
      <c r="C179" s="401" t="s">
        <v>191</v>
      </c>
      <c r="D179" s="401"/>
      <c r="E179" s="401" t="s">
        <v>192</v>
      </c>
      <c r="F179" s="401"/>
      <c r="G179" s="401"/>
      <c r="H179" s="402" t="s">
        <v>193</v>
      </c>
      <c r="I179" s="401" t="s">
        <v>194</v>
      </c>
      <c r="J179" s="401"/>
      <c r="K179" s="401"/>
      <c r="L179" s="402" t="s">
        <v>193</v>
      </c>
      <c r="M179" s="397" t="s">
        <v>195</v>
      </c>
      <c r="N179" s="401"/>
      <c r="O179" s="401" t="s">
        <v>196</v>
      </c>
      <c r="P179" s="406" t="s">
        <v>197</v>
      </c>
      <c r="Q179" s="407"/>
      <c r="R179" s="407"/>
      <c r="S179" s="408"/>
      <c r="T179" s="401" t="s">
        <v>193</v>
      </c>
      <c r="X179" s="103"/>
      <c r="AC179" s="103"/>
      <c r="AH179" s="103"/>
      <c r="AM179" s="103"/>
    </row>
    <row r="180" spans="2:39">
      <c r="B180" s="401"/>
      <c r="C180" s="401"/>
      <c r="D180" s="401"/>
      <c r="E180" s="401" t="s">
        <v>198</v>
      </c>
      <c r="F180" s="401"/>
      <c r="G180" s="401"/>
      <c r="H180" s="403"/>
      <c r="I180" s="401" t="s">
        <v>198</v>
      </c>
      <c r="J180" s="401"/>
      <c r="K180" s="401"/>
      <c r="L180" s="403"/>
      <c r="M180" s="405"/>
      <c r="N180" s="401"/>
      <c r="O180" s="401"/>
      <c r="P180" s="406" t="s">
        <v>199</v>
      </c>
      <c r="Q180" s="407"/>
      <c r="R180" s="407"/>
      <c r="S180" s="408"/>
      <c r="T180" s="401"/>
      <c r="X180" s="103"/>
      <c r="AC180" s="103"/>
      <c r="AH180" s="103"/>
      <c r="AM180" s="103"/>
    </row>
    <row r="181" spans="2:39">
      <c r="B181" s="401"/>
      <c r="C181" s="401"/>
      <c r="D181" s="401"/>
      <c r="E181" s="234" t="s">
        <v>200</v>
      </c>
      <c r="F181" s="234" t="s">
        <v>201</v>
      </c>
      <c r="G181" s="234" t="s">
        <v>202</v>
      </c>
      <c r="H181" s="404"/>
      <c r="I181" s="234" t="s">
        <v>200</v>
      </c>
      <c r="J181" s="234" t="s">
        <v>201</v>
      </c>
      <c r="K181" s="234" t="s">
        <v>202</v>
      </c>
      <c r="L181" s="404"/>
      <c r="M181" s="398"/>
      <c r="N181" s="401"/>
      <c r="O181" s="401"/>
      <c r="P181" s="234" t="s">
        <v>200</v>
      </c>
      <c r="Q181" s="234" t="s">
        <v>201</v>
      </c>
      <c r="R181" s="234" t="s">
        <v>202</v>
      </c>
      <c r="S181" s="234" t="s">
        <v>195</v>
      </c>
      <c r="T181" s="401"/>
      <c r="X181" s="103"/>
      <c r="AC181" s="103"/>
      <c r="AH181" s="103"/>
      <c r="AM181" s="103"/>
    </row>
    <row r="182" spans="2:39">
      <c r="B182" s="400" t="s">
        <v>203</v>
      </c>
      <c r="C182" s="181">
        <v>1</v>
      </c>
      <c r="D182" s="181" t="s">
        <v>204</v>
      </c>
      <c r="E182" s="181">
        <v>4</v>
      </c>
      <c r="F182" s="181">
        <v>2200</v>
      </c>
      <c r="G182" s="181">
        <v>550</v>
      </c>
      <c r="H182" s="409">
        <f>AVERAGE(G182:G211)</f>
        <v>889.13043478260875</v>
      </c>
      <c r="I182" s="165">
        <f>AVERAGE(P182,U182,Z182,AE182,AJ182,AO182,AT182)</f>
        <v>4</v>
      </c>
      <c r="J182" s="165">
        <f>AVERAGE(Q182,V182,AA182,AF182,AK182,AP182,AU182)</f>
        <v>3004</v>
      </c>
      <c r="K182" s="179">
        <f>AVERAGE(R182,W182,AB182,AG182,AL182,AQ182,AV182)</f>
        <v>751</v>
      </c>
      <c r="L182" s="412">
        <f>IFERROR(AVERAGE(K182:K211),"-")</f>
        <v>734.8740893591297</v>
      </c>
      <c r="M182" s="165">
        <f>RANK(K182, K$182:$K$211)</f>
        <v>9</v>
      </c>
      <c r="N182" s="401"/>
      <c r="O182" s="401"/>
      <c r="P182" s="165">
        <v>4</v>
      </c>
      <c r="Q182" s="165">
        <v>3004</v>
      </c>
      <c r="R182" s="179">
        <v>751</v>
      </c>
      <c r="S182" s="181">
        <f>RANK(R182, R$182:R$211)</f>
        <v>9</v>
      </c>
      <c r="T182" s="409">
        <f>AVERAGE(R182:R211)</f>
        <v>734.8740893591297</v>
      </c>
      <c r="X182" s="103"/>
      <c r="AC182" s="103"/>
      <c r="AH182" s="103"/>
      <c r="AM182" s="103"/>
    </row>
    <row r="183" spans="2:39">
      <c r="B183" s="400"/>
      <c r="C183" s="181">
        <v>2</v>
      </c>
      <c r="D183" s="181" t="s">
        <v>205</v>
      </c>
      <c r="E183" s="181">
        <v>3</v>
      </c>
      <c r="F183" s="181">
        <v>2700</v>
      </c>
      <c r="G183" s="181">
        <v>900</v>
      </c>
      <c r="H183" s="410"/>
      <c r="I183" s="165">
        <f t="shared" ref="I183:I204" si="59">AVERAGE(P183,U183,Z183,AE183,AJ183,AO183,AT183)</f>
        <v>3</v>
      </c>
      <c r="J183" s="165">
        <f t="shared" ref="J183:J204" si="60">AVERAGE(Q183,V183,AA183,AF183,AK183,AP183,AU183)</f>
        <v>2579.9999999999991</v>
      </c>
      <c r="K183" s="179">
        <f t="shared" ref="K183:K204" si="61">AVERAGE(R183,W183,AB183,AG183,AL183,AQ183,AV183)</f>
        <v>859.99999999999966</v>
      </c>
      <c r="L183" s="413"/>
      <c r="M183" s="165">
        <f>RANK(K183, K$182:$K$211)</f>
        <v>3</v>
      </c>
      <c r="N183" s="401"/>
      <c r="O183" s="401"/>
      <c r="P183" s="181">
        <v>3</v>
      </c>
      <c r="Q183" s="165">
        <v>2579.9999999999991</v>
      </c>
      <c r="R183" s="179">
        <v>859.99999999999966</v>
      </c>
      <c r="S183" s="181">
        <f t="shared" ref="S183:S211" si="62">RANK(R183, R$182:R$211)</f>
        <v>3</v>
      </c>
      <c r="T183" s="410"/>
      <c r="X183" s="103"/>
      <c r="AC183" s="103"/>
      <c r="AH183" s="103"/>
      <c r="AM183" s="103"/>
    </row>
    <row r="184" spans="2:39">
      <c r="B184" s="400"/>
      <c r="C184" s="181">
        <v>3</v>
      </c>
      <c r="D184" s="181" t="s">
        <v>206</v>
      </c>
      <c r="E184" s="181">
        <v>4</v>
      </c>
      <c r="F184" s="181">
        <v>3600</v>
      </c>
      <c r="G184" s="181">
        <v>900</v>
      </c>
      <c r="H184" s="410"/>
      <c r="I184" s="165">
        <f t="shared" si="59"/>
        <v>4</v>
      </c>
      <c r="J184" s="165">
        <f t="shared" si="60"/>
        <v>2944.4444444444457</v>
      </c>
      <c r="K184" s="179">
        <f t="shared" si="61"/>
        <v>736.11111111111143</v>
      </c>
      <c r="L184" s="413"/>
      <c r="M184" s="165">
        <f>RANK(K184, K$182:$K$211)</f>
        <v>12</v>
      </c>
      <c r="N184" s="401"/>
      <c r="O184" s="401"/>
      <c r="P184" s="181">
        <v>4</v>
      </c>
      <c r="Q184" s="165">
        <v>2944.4444444444457</v>
      </c>
      <c r="R184" s="179">
        <v>736.11111111111143</v>
      </c>
      <c r="S184" s="181">
        <f t="shared" si="62"/>
        <v>12</v>
      </c>
      <c r="T184" s="410"/>
      <c r="X184" s="103"/>
      <c r="AC184" s="103"/>
      <c r="AH184" s="103"/>
      <c r="AM184" s="103"/>
    </row>
    <row r="185" spans="2:39">
      <c r="B185" s="400"/>
      <c r="C185" s="181">
        <v>4</v>
      </c>
      <c r="D185" s="181" t="s">
        <v>209</v>
      </c>
      <c r="E185" s="181">
        <v>3</v>
      </c>
      <c r="F185" s="181">
        <v>3600</v>
      </c>
      <c r="G185" s="181">
        <v>1200</v>
      </c>
      <c r="H185" s="410"/>
      <c r="I185" s="165">
        <f t="shared" si="59"/>
        <v>3</v>
      </c>
      <c r="J185" s="165">
        <f t="shared" si="60"/>
        <v>3039.9999999999836</v>
      </c>
      <c r="K185" s="179">
        <f t="shared" si="61"/>
        <v>1013.3333333333279</v>
      </c>
      <c r="L185" s="413"/>
      <c r="M185" s="165">
        <f>RANK(K185, K$182:$K$211)</f>
        <v>1</v>
      </c>
      <c r="N185" s="401"/>
      <c r="O185" s="401"/>
      <c r="P185" s="181">
        <v>3</v>
      </c>
      <c r="Q185" s="165">
        <v>3039.9999999999836</v>
      </c>
      <c r="R185" s="179">
        <v>1013.3333333333279</v>
      </c>
      <c r="S185" s="181">
        <f t="shared" si="62"/>
        <v>1</v>
      </c>
      <c r="T185" s="410"/>
      <c r="X185" s="103"/>
      <c r="AC185" s="103"/>
      <c r="AH185" s="103"/>
      <c r="AM185" s="103"/>
    </row>
    <row r="186" spans="2:39">
      <c r="B186" s="400"/>
      <c r="C186" s="181">
        <v>5</v>
      </c>
      <c r="D186" s="181" t="s">
        <v>208</v>
      </c>
      <c r="E186" s="181">
        <v>3</v>
      </c>
      <c r="F186" s="181">
        <v>3600</v>
      </c>
      <c r="G186" s="181">
        <v>1200</v>
      </c>
      <c r="H186" s="410"/>
      <c r="I186" s="165">
        <f t="shared" si="59"/>
        <v>4</v>
      </c>
      <c r="J186" s="165">
        <f t="shared" si="60"/>
        <v>3328.3333333333308</v>
      </c>
      <c r="K186" s="179">
        <f t="shared" si="61"/>
        <v>832.08333333333269</v>
      </c>
      <c r="L186" s="413"/>
      <c r="M186" s="165">
        <f>RANK(K186, K$182:$K$211)</f>
        <v>6</v>
      </c>
      <c r="N186" s="401"/>
      <c r="O186" s="401"/>
      <c r="P186" s="181">
        <v>4</v>
      </c>
      <c r="Q186" s="165">
        <v>3328.3333333333308</v>
      </c>
      <c r="R186" s="179">
        <v>832.08333333333269</v>
      </c>
      <c r="S186" s="181">
        <f t="shared" si="62"/>
        <v>6</v>
      </c>
      <c r="T186" s="410"/>
      <c r="X186" s="103"/>
      <c r="AC186" s="103"/>
      <c r="AH186" s="103"/>
      <c r="AM186" s="103"/>
    </row>
    <row r="187" spans="2:39">
      <c r="B187" s="400"/>
      <c r="C187" s="181">
        <v>6</v>
      </c>
      <c r="D187" s="181" t="s">
        <v>207</v>
      </c>
      <c r="E187" s="181">
        <v>4</v>
      </c>
      <c r="F187" s="181">
        <v>3600</v>
      </c>
      <c r="G187" s="181">
        <v>900</v>
      </c>
      <c r="H187" s="410"/>
      <c r="I187" s="165">
        <f t="shared" si="59"/>
        <v>4</v>
      </c>
      <c r="J187" s="165">
        <f t="shared" si="60"/>
        <v>2950.909090909091</v>
      </c>
      <c r="K187" s="179">
        <f t="shared" si="61"/>
        <v>737.72727272727275</v>
      </c>
      <c r="L187" s="413"/>
      <c r="M187" s="165">
        <f>RANK(K187, K$182:$K$211)</f>
        <v>11</v>
      </c>
      <c r="N187" s="401"/>
      <c r="O187" s="401"/>
      <c r="P187" s="181">
        <v>4</v>
      </c>
      <c r="Q187" s="165">
        <v>2950.909090909091</v>
      </c>
      <c r="R187" s="179">
        <v>737.72727272727275</v>
      </c>
      <c r="S187" s="181">
        <f t="shared" si="62"/>
        <v>11</v>
      </c>
      <c r="T187" s="410"/>
      <c r="X187" s="103"/>
      <c r="AC187" s="103"/>
      <c r="AH187" s="103"/>
      <c r="AM187" s="103"/>
    </row>
    <row r="188" spans="2:39">
      <c r="B188" s="400"/>
      <c r="C188" s="181">
        <v>7</v>
      </c>
      <c r="D188" s="181" t="s">
        <v>228</v>
      </c>
      <c r="E188" s="181">
        <v>4</v>
      </c>
      <c r="F188" s="181">
        <v>3600</v>
      </c>
      <c r="G188" s="181">
        <v>900</v>
      </c>
      <c r="H188" s="410"/>
      <c r="I188" s="165">
        <f t="shared" si="59"/>
        <v>4</v>
      </c>
      <c r="J188" s="165">
        <f t="shared" si="60"/>
        <v>2910.00000000001</v>
      </c>
      <c r="K188" s="179">
        <f t="shared" si="61"/>
        <v>727.5000000000025</v>
      </c>
      <c r="L188" s="413"/>
      <c r="M188" s="165">
        <f>RANK(K188, K$182:$K$211)</f>
        <v>13</v>
      </c>
      <c r="N188" s="401"/>
      <c r="O188" s="401"/>
      <c r="P188" s="181">
        <v>4</v>
      </c>
      <c r="Q188" s="165">
        <v>2910.00000000001</v>
      </c>
      <c r="R188" s="179">
        <v>727.5000000000025</v>
      </c>
      <c r="S188" s="181">
        <f t="shared" si="62"/>
        <v>13</v>
      </c>
      <c r="T188" s="410"/>
      <c r="X188" s="103"/>
      <c r="AC188" s="103"/>
      <c r="AH188" s="103"/>
      <c r="AM188" s="103"/>
    </row>
    <row r="189" spans="2:39">
      <c r="B189" s="400"/>
      <c r="C189" s="181">
        <v>8</v>
      </c>
      <c r="D189" s="181" t="s">
        <v>229</v>
      </c>
      <c r="E189" s="181">
        <v>4</v>
      </c>
      <c r="F189" s="181">
        <v>3600</v>
      </c>
      <c r="G189" s="181">
        <v>900</v>
      </c>
      <c r="H189" s="410"/>
      <c r="I189" s="165">
        <f t="shared" si="59"/>
        <v>4</v>
      </c>
      <c r="J189" s="165">
        <f t="shared" si="60"/>
        <v>3000.0000000000905</v>
      </c>
      <c r="K189" s="179">
        <f t="shared" si="61"/>
        <v>750.00000000002262</v>
      </c>
      <c r="L189" s="413"/>
      <c r="M189" s="165">
        <f>RANK(K189, K$182:$K$211)</f>
        <v>10</v>
      </c>
      <c r="N189" s="401"/>
      <c r="O189" s="401"/>
      <c r="P189" s="181">
        <v>4</v>
      </c>
      <c r="Q189" s="165">
        <v>3000.0000000000905</v>
      </c>
      <c r="R189" s="179">
        <v>750.00000000002262</v>
      </c>
      <c r="S189" s="181">
        <f t="shared" si="62"/>
        <v>10</v>
      </c>
      <c r="T189" s="410"/>
      <c r="X189" s="103"/>
      <c r="AC189" s="103"/>
      <c r="AH189" s="103"/>
      <c r="AM189" s="103"/>
    </row>
    <row r="190" spans="2:39">
      <c r="B190" s="400"/>
      <c r="C190" s="181">
        <v>9</v>
      </c>
      <c r="D190" s="181" t="s">
        <v>210</v>
      </c>
      <c r="E190" s="181">
        <v>4</v>
      </c>
      <c r="F190" s="181">
        <v>3300</v>
      </c>
      <c r="G190" s="181">
        <v>825</v>
      </c>
      <c r="H190" s="410"/>
      <c r="I190" s="165">
        <f t="shared" si="59"/>
        <v>4</v>
      </c>
      <c r="J190" s="165">
        <f t="shared" si="60"/>
        <v>2389.4117647058792</v>
      </c>
      <c r="K190" s="179">
        <f t="shared" si="61"/>
        <v>597.35294117646981</v>
      </c>
      <c r="L190" s="413"/>
      <c r="M190" s="165">
        <f>RANK(K190, K$182:$K$211)</f>
        <v>21</v>
      </c>
      <c r="N190" s="401"/>
      <c r="O190" s="401"/>
      <c r="P190" s="181">
        <v>4</v>
      </c>
      <c r="Q190" s="165">
        <v>2389.4117647058792</v>
      </c>
      <c r="R190" s="179">
        <v>597.35294117646981</v>
      </c>
      <c r="S190" s="181">
        <f t="shared" si="62"/>
        <v>21</v>
      </c>
      <c r="T190" s="410"/>
      <c r="X190" s="103"/>
      <c r="AC190" s="103"/>
      <c r="AH190" s="103"/>
      <c r="AM190" s="103"/>
    </row>
    <row r="191" spans="2:39">
      <c r="B191" s="400"/>
      <c r="C191" s="181">
        <v>10</v>
      </c>
      <c r="D191" s="181" t="s">
        <v>211</v>
      </c>
      <c r="E191" s="181">
        <v>3</v>
      </c>
      <c r="F191" s="181">
        <v>3300</v>
      </c>
      <c r="G191" s="181">
        <v>1100</v>
      </c>
      <c r="H191" s="410"/>
      <c r="I191" s="165">
        <f t="shared" si="59"/>
        <v>3</v>
      </c>
      <c r="J191" s="165">
        <f t="shared" si="60"/>
        <v>2528.9999999999991</v>
      </c>
      <c r="K191" s="179">
        <f t="shared" si="61"/>
        <v>842.99999999999966</v>
      </c>
      <c r="L191" s="413"/>
      <c r="M191" s="165">
        <f>RANK(K191, K$182:$K$211)</f>
        <v>4</v>
      </c>
      <c r="N191" s="401"/>
      <c r="O191" s="401"/>
      <c r="P191" s="181">
        <v>3</v>
      </c>
      <c r="Q191" s="165">
        <v>2528.9999999999991</v>
      </c>
      <c r="R191" s="179">
        <v>842.99999999999966</v>
      </c>
      <c r="S191" s="181">
        <f t="shared" si="62"/>
        <v>4</v>
      </c>
      <c r="T191" s="410"/>
      <c r="X191" s="103"/>
      <c r="AC191" s="103"/>
      <c r="AH191" s="103"/>
      <c r="AM191" s="103"/>
    </row>
    <row r="192" spans="2:39">
      <c r="B192" s="400"/>
      <c r="C192" s="181">
        <v>11</v>
      </c>
      <c r="D192" s="181" t="s">
        <v>212</v>
      </c>
      <c r="E192" s="181">
        <v>3</v>
      </c>
      <c r="F192" s="181">
        <v>3300</v>
      </c>
      <c r="G192" s="181">
        <v>1100</v>
      </c>
      <c r="H192" s="410"/>
      <c r="I192" s="165">
        <f t="shared" si="59"/>
        <v>3</v>
      </c>
      <c r="J192" s="165">
        <f t="shared" si="60"/>
        <v>2475.3191489361702</v>
      </c>
      <c r="K192" s="179">
        <f t="shared" si="61"/>
        <v>825.10638297872345</v>
      </c>
      <c r="L192" s="413"/>
      <c r="M192" s="165">
        <f>RANK(K192, K$182:$K$211)</f>
        <v>7</v>
      </c>
      <c r="N192" s="401"/>
      <c r="O192" s="401"/>
      <c r="P192" s="181">
        <v>3</v>
      </c>
      <c r="Q192" s="165">
        <v>2475.3191489361702</v>
      </c>
      <c r="R192" s="179">
        <v>825.10638297872345</v>
      </c>
      <c r="S192" s="181">
        <f t="shared" si="62"/>
        <v>7</v>
      </c>
      <c r="T192" s="410"/>
      <c r="X192" s="103"/>
      <c r="AC192" s="103"/>
      <c r="AH192" s="103"/>
      <c r="AM192" s="103"/>
    </row>
    <row r="193" spans="2:39">
      <c r="B193" s="400"/>
      <c r="C193" s="181">
        <v>12</v>
      </c>
      <c r="D193" s="181" t="s">
        <v>213</v>
      </c>
      <c r="E193" s="181">
        <v>4</v>
      </c>
      <c r="F193" s="181">
        <v>3300</v>
      </c>
      <c r="G193" s="181">
        <v>825</v>
      </c>
      <c r="H193" s="410"/>
      <c r="I193" s="165">
        <f t="shared" si="59"/>
        <v>4</v>
      </c>
      <c r="J193" s="165">
        <f t="shared" si="60"/>
        <v>2460.0000000000018</v>
      </c>
      <c r="K193" s="179">
        <f t="shared" si="61"/>
        <v>615.00000000000045</v>
      </c>
      <c r="L193" s="413"/>
      <c r="M193" s="165">
        <f>RANK(K193, K$182:$K$211)</f>
        <v>20</v>
      </c>
      <c r="N193" s="401"/>
      <c r="O193" s="401"/>
      <c r="P193" s="181">
        <v>4</v>
      </c>
      <c r="Q193" s="165">
        <v>2460.0000000000018</v>
      </c>
      <c r="R193" s="179">
        <v>615.00000000000045</v>
      </c>
      <c r="S193" s="181">
        <f t="shared" si="62"/>
        <v>20</v>
      </c>
      <c r="T193" s="410"/>
      <c r="X193" s="103"/>
      <c r="AC193" s="103"/>
      <c r="AH193" s="103"/>
      <c r="AM193" s="103"/>
    </row>
    <row r="194" spans="2:39">
      <c r="B194" s="400"/>
      <c r="C194" s="181">
        <v>13</v>
      </c>
      <c r="D194" s="181" t="s">
        <v>214</v>
      </c>
      <c r="E194" s="181">
        <v>4</v>
      </c>
      <c r="F194" s="181">
        <v>2500</v>
      </c>
      <c r="G194" s="181">
        <v>625</v>
      </c>
      <c r="H194" s="410"/>
      <c r="I194" s="165">
        <f t="shared" si="59"/>
        <v>4</v>
      </c>
      <c r="J194" s="165">
        <f t="shared" si="60"/>
        <v>2486.2499999999995</v>
      </c>
      <c r="K194" s="179">
        <f t="shared" si="61"/>
        <v>621.56249999999989</v>
      </c>
      <c r="L194" s="413"/>
      <c r="M194" s="165">
        <f>RANK(K194, K$182:$K$211)</f>
        <v>18</v>
      </c>
      <c r="N194" s="401"/>
      <c r="O194" s="401"/>
      <c r="P194" s="181">
        <v>4</v>
      </c>
      <c r="Q194" s="165">
        <v>2486.2499999999995</v>
      </c>
      <c r="R194" s="179">
        <v>621.56249999999989</v>
      </c>
      <c r="S194" s="181">
        <f t="shared" si="62"/>
        <v>18</v>
      </c>
      <c r="T194" s="410"/>
      <c r="X194" s="103"/>
      <c r="AC194" s="103"/>
      <c r="AH194" s="103"/>
      <c r="AM194" s="103"/>
    </row>
    <row r="195" spans="2:39">
      <c r="B195" s="400"/>
      <c r="C195" s="181">
        <v>14</v>
      </c>
      <c r="D195" s="181" t="s">
        <v>215</v>
      </c>
      <c r="E195" s="181">
        <v>3</v>
      </c>
      <c r="F195" s="181">
        <v>3300</v>
      </c>
      <c r="G195" s="181">
        <v>1100</v>
      </c>
      <c r="H195" s="410"/>
      <c r="I195" s="165">
        <f t="shared" si="59"/>
        <v>3</v>
      </c>
      <c r="J195" s="165">
        <f t="shared" si="60"/>
        <v>2414.9999999999845</v>
      </c>
      <c r="K195" s="179">
        <f t="shared" si="61"/>
        <v>804.99999999999488</v>
      </c>
      <c r="L195" s="413"/>
      <c r="M195" s="165">
        <f>RANK(K195, K$182:$K$211)</f>
        <v>8</v>
      </c>
      <c r="N195" s="401"/>
      <c r="O195" s="401"/>
      <c r="P195" s="181">
        <v>3</v>
      </c>
      <c r="Q195" s="165">
        <v>2414.9999999999845</v>
      </c>
      <c r="R195" s="179">
        <v>804.99999999999488</v>
      </c>
      <c r="S195" s="181">
        <f t="shared" si="62"/>
        <v>8</v>
      </c>
      <c r="T195" s="410"/>
      <c r="X195" s="103"/>
      <c r="AC195" s="103"/>
      <c r="AH195" s="103"/>
      <c r="AM195" s="103"/>
    </row>
    <row r="196" spans="2:39">
      <c r="B196" s="400"/>
      <c r="C196" s="181">
        <v>15</v>
      </c>
      <c r="D196" s="181" t="s">
        <v>216</v>
      </c>
      <c r="E196" s="181">
        <v>4</v>
      </c>
      <c r="F196" s="181">
        <v>3300</v>
      </c>
      <c r="G196" s="181">
        <v>825</v>
      </c>
      <c r="H196" s="410"/>
      <c r="I196" s="165">
        <f t="shared" si="59"/>
        <v>4</v>
      </c>
      <c r="J196" s="165">
        <f t="shared" si="60"/>
        <v>2491.304347826087</v>
      </c>
      <c r="K196" s="179">
        <f t="shared" si="61"/>
        <v>622.82608695652175</v>
      </c>
      <c r="L196" s="413"/>
      <c r="M196" s="165">
        <f>RANK(K196, K$182:$K$211)</f>
        <v>17</v>
      </c>
      <c r="N196" s="401"/>
      <c r="O196" s="401"/>
      <c r="P196" s="181">
        <v>4</v>
      </c>
      <c r="Q196" s="165">
        <v>2491.304347826087</v>
      </c>
      <c r="R196" s="179">
        <v>622.82608695652175</v>
      </c>
      <c r="S196" s="181">
        <f t="shared" si="62"/>
        <v>17</v>
      </c>
      <c r="T196" s="410"/>
      <c r="X196" s="103"/>
      <c r="AC196" s="103"/>
      <c r="AH196" s="103"/>
      <c r="AM196" s="103"/>
    </row>
    <row r="197" spans="2:39">
      <c r="B197" s="400"/>
      <c r="C197" s="181">
        <v>16</v>
      </c>
      <c r="D197" s="181" t="s">
        <v>217</v>
      </c>
      <c r="E197" s="181">
        <v>4</v>
      </c>
      <c r="F197" s="181">
        <v>3300</v>
      </c>
      <c r="G197" s="181">
        <v>825</v>
      </c>
      <c r="H197" s="410"/>
      <c r="I197" s="165">
        <f t="shared" si="59"/>
        <v>4</v>
      </c>
      <c r="J197" s="165">
        <f t="shared" si="60"/>
        <v>2472.4675324675336</v>
      </c>
      <c r="K197" s="179">
        <f t="shared" si="61"/>
        <v>618.1168831168834</v>
      </c>
      <c r="L197" s="413"/>
      <c r="M197" s="165">
        <f>RANK(K197, K$182:$K$211)</f>
        <v>19</v>
      </c>
      <c r="N197" s="401"/>
      <c r="O197" s="401"/>
      <c r="P197" s="181">
        <v>4</v>
      </c>
      <c r="Q197" s="165">
        <v>2472.4675324675336</v>
      </c>
      <c r="R197" s="179">
        <v>618.1168831168834</v>
      </c>
      <c r="S197" s="181">
        <f t="shared" si="62"/>
        <v>19</v>
      </c>
      <c r="T197" s="410"/>
      <c r="X197" s="103"/>
      <c r="AC197" s="103"/>
      <c r="AH197" s="103"/>
      <c r="AM197" s="103"/>
    </row>
    <row r="198" spans="2:39">
      <c r="B198" s="400"/>
      <c r="C198" s="181">
        <v>17</v>
      </c>
      <c r="D198" s="181" t="s">
        <v>222</v>
      </c>
      <c r="E198" s="181">
        <v>3</v>
      </c>
      <c r="F198" s="181">
        <v>2700</v>
      </c>
      <c r="G198" s="181">
        <v>900</v>
      </c>
      <c r="H198" s="410"/>
      <c r="I198" s="165">
        <f t="shared" si="59"/>
        <v>3</v>
      </c>
      <c r="J198" s="165">
        <f t="shared" si="60"/>
        <v>2651.0526315789457</v>
      </c>
      <c r="K198" s="179">
        <f t="shared" si="61"/>
        <v>883.68421052631527</v>
      </c>
      <c r="L198" s="413"/>
      <c r="M198" s="165">
        <f>RANK(K198, K$182:$K$211)</f>
        <v>2</v>
      </c>
      <c r="N198" s="401"/>
      <c r="O198" s="401"/>
      <c r="P198" s="181">
        <v>3</v>
      </c>
      <c r="Q198" s="165">
        <v>2651.0526315789457</v>
      </c>
      <c r="R198" s="179">
        <v>883.68421052631527</v>
      </c>
      <c r="S198" s="181">
        <f t="shared" si="62"/>
        <v>2</v>
      </c>
      <c r="T198" s="410"/>
      <c r="X198" s="103"/>
      <c r="AC198" s="103"/>
      <c r="AH198" s="103"/>
      <c r="AM198" s="103"/>
    </row>
    <row r="199" spans="2:39">
      <c r="B199" s="400"/>
      <c r="C199" s="181">
        <v>18</v>
      </c>
      <c r="D199" s="181" t="s">
        <v>218</v>
      </c>
      <c r="E199" s="181">
        <v>4</v>
      </c>
      <c r="F199" s="181">
        <v>3600</v>
      </c>
      <c r="G199" s="181">
        <v>900</v>
      </c>
      <c r="H199" s="410"/>
      <c r="I199" s="165">
        <f t="shared" si="59"/>
        <v>4</v>
      </c>
      <c r="J199" s="165">
        <f t="shared" si="60"/>
        <v>2659.9999999999955</v>
      </c>
      <c r="K199" s="179">
        <f t="shared" si="61"/>
        <v>664.99999999999886</v>
      </c>
      <c r="L199" s="413"/>
      <c r="M199" s="165">
        <f>RANK(K199, K$182:$K$211)</f>
        <v>16</v>
      </c>
      <c r="N199" s="401"/>
      <c r="O199" s="401"/>
      <c r="P199" s="181">
        <v>4</v>
      </c>
      <c r="Q199" s="165">
        <v>2659.9999999999955</v>
      </c>
      <c r="R199" s="179">
        <v>664.99999999999886</v>
      </c>
      <c r="S199" s="181">
        <f t="shared" si="62"/>
        <v>16</v>
      </c>
      <c r="T199" s="410"/>
      <c r="X199" s="103"/>
      <c r="AC199" s="103"/>
      <c r="AH199" s="103"/>
      <c r="AM199" s="103"/>
    </row>
    <row r="200" spans="2:39">
      <c r="B200" s="400"/>
      <c r="C200" s="181">
        <v>19</v>
      </c>
      <c r="D200" s="181" t="s">
        <v>219</v>
      </c>
      <c r="E200" s="181">
        <v>4</v>
      </c>
      <c r="F200" s="181">
        <v>3000</v>
      </c>
      <c r="G200" s="181">
        <v>750</v>
      </c>
      <c r="H200" s="410"/>
      <c r="I200" s="165">
        <f t="shared" si="59"/>
        <v>3</v>
      </c>
      <c r="J200" s="165">
        <f t="shared" si="60"/>
        <v>2160.0000000000077</v>
      </c>
      <c r="K200" s="179">
        <f t="shared" si="61"/>
        <v>720.00000000000261</v>
      </c>
      <c r="L200" s="413"/>
      <c r="M200" s="165">
        <f>RANK(K200, K$182:$K$211)</f>
        <v>15</v>
      </c>
      <c r="N200" s="401"/>
      <c r="O200" s="401"/>
      <c r="P200" s="181">
        <v>3</v>
      </c>
      <c r="Q200" s="165">
        <v>2160.0000000000077</v>
      </c>
      <c r="R200" s="179">
        <v>720.00000000000261</v>
      </c>
      <c r="S200" s="181">
        <f t="shared" si="62"/>
        <v>15</v>
      </c>
      <c r="T200" s="410"/>
      <c r="X200" s="103"/>
      <c r="AC200" s="103"/>
      <c r="AH200" s="103"/>
      <c r="AM200" s="103"/>
    </row>
    <row r="201" spans="2:39">
      <c r="B201" s="400"/>
      <c r="C201" s="181">
        <v>20</v>
      </c>
      <c r="D201" s="181" t="s">
        <v>220</v>
      </c>
      <c r="E201" s="181">
        <v>4</v>
      </c>
      <c r="F201" s="181">
        <v>3000</v>
      </c>
      <c r="G201" s="181">
        <v>750</v>
      </c>
      <c r="H201" s="410"/>
      <c r="I201" s="165">
        <f t="shared" si="59"/>
        <v>4</v>
      </c>
      <c r="J201" s="165">
        <f t="shared" si="60"/>
        <v>2083.2000000000207</v>
      </c>
      <c r="K201" s="179">
        <f t="shared" si="61"/>
        <v>520.80000000000518</v>
      </c>
      <c r="L201" s="413"/>
      <c r="M201" s="165">
        <f>RANK(K201, K$182:$K$211)</f>
        <v>23</v>
      </c>
      <c r="N201" s="401"/>
      <c r="O201" s="401"/>
      <c r="P201" s="181">
        <v>4</v>
      </c>
      <c r="Q201" s="165">
        <v>2083.2000000000207</v>
      </c>
      <c r="R201" s="179">
        <v>520.80000000000518</v>
      </c>
      <c r="S201" s="181">
        <f t="shared" si="62"/>
        <v>23</v>
      </c>
      <c r="T201" s="410"/>
      <c r="X201" s="103"/>
      <c r="AC201" s="103"/>
      <c r="AH201" s="103"/>
      <c r="AM201" s="103"/>
    </row>
    <row r="202" spans="2:39">
      <c r="B202" s="400"/>
      <c r="C202" s="181">
        <v>21</v>
      </c>
      <c r="D202" s="181" t="s">
        <v>221</v>
      </c>
      <c r="E202" s="181">
        <v>4</v>
      </c>
      <c r="F202" s="181">
        <v>3600</v>
      </c>
      <c r="G202" s="181">
        <v>900</v>
      </c>
      <c r="H202" s="410"/>
      <c r="I202" s="165">
        <f t="shared" si="59"/>
        <v>4</v>
      </c>
      <c r="J202" s="165">
        <f t="shared" si="60"/>
        <v>2349.5999999999935</v>
      </c>
      <c r="K202" s="179">
        <f t="shared" si="61"/>
        <v>587.39999999999839</v>
      </c>
      <c r="L202" s="413"/>
      <c r="M202" s="165">
        <f>RANK(K202, K$182:$K$211)</f>
        <v>22</v>
      </c>
      <c r="N202" s="401"/>
      <c r="O202" s="401"/>
      <c r="P202" s="181">
        <v>4</v>
      </c>
      <c r="Q202" s="165">
        <v>2349.5999999999935</v>
      </c>
      <c r="R202" s="179">
        <v>587.39999999999839</v>
      </c>
      <c r="S202" s="181">
        <f t="shared" si="62"/>
        <v>22</v>
      </c>
      <c r="T202" s="410"/>
      <c r="X202" s="103"/>
      <c r="AC202" s="103"/>
      <c r="AH202" s="103"/>
      <c r="AM202" s="103"/>
    </row>
    <row r="203" spans="2:39">
      <c r="B203" s="400"/>
      <c r="C203" s="181">
        <v>22</v>
      </c>
      <c r="D203" s="181" t="s">
        <v>230</v>
      </c>
      <c r="E203" s="181">
        <v>4</v>
      </c>
      <c r="F203" s="181">
        <v>3000</v>
      </c>
      <c r="G203" s="181">
        <v>750</v>
      </c>
      <c r="H203" s="410"/>
      <c r="I203" s="165">
        <f t="shared" si="59"/>
        <v>4</v>
      </c>
      <c r="J203" s="165">
        <f t="shared" si="60"/>
        <v>2910.00000000001</v>
      </c>
      <c r="K203" s="179">
        <f t="shared" si="61"/>
        <v>727.5000000000025</v>
      </c>
      <c r="L203" s="413"/>
      <c r="M203" s="165">
        <f>RANK(K203, K$182:$K$211)</f>
        <v>13</v>
      </c>
      <c r="N203" s="401"/>
      <c r="O203" s="401"/>
      <c r="P203" s="181">
        <v>4</v>
      </c>
      <c r="Q203" s="165">
        <v>2910.00000000001</v>
      </c>
      <c r="R203" s="179">
        <v>727.5000000000025</v>
      </c>
      <c r="S203" s="181">
        <f t="shared" si="62"/>
        <v>13</v>
      </c>
      <c r="T203" s="410"/>
      <c r="X203" s="103"/>
      <c r="AC203" s="103"/>
      <c r="AH203" s="103"/>
      <c r="AM203" s="103"/>
    </row>
    <row r="204" spans="2:39">
      <c r="B204" s="400"/>
      <c r="C204" s="181">
        <v>23</v>
      </c>
      <c r="D204" s="181" t="s">
        <v>231</v>
      </c>
      <c r="E204" s="181">
        <v>4</v>
      </c>
      <c r="F204" s="181">
        <v>3300</v>
      </c>
      <c r="G204" s="181">
        <v>825</v>
      </c>
      <c r="H204" s="410"/>
      <c r="I204" s="165">
        <f t="shared" si="59"/>
        <v>3</v>
      </c>
      <c r="J204" s="165">
        <f t="shared" si="60"/>
        <v>2526.0000000000014</v>
      </c>
      <c r="K204" s="179">
        <f t="shared" si="61"/>
        <v>842.00000000000045</v>
      </c>
      <c r="L204" s="413"/>
      <c r="M204" s="165">
        <f>RANK(K204, K$182:$K$211)</f>
        <v>5</v>
      </c>
      <c r="N204" s="401"/>
      <c r="O204" s="401"/>
      <c r="P204" s="181">
        <v>3</v>
      </c>
      <c r="Q204" s="165">
        <v>2526.0000000000014</v>
      </c>
      <c r="R204" s="179">
        <v>842.00000000000045</v>
      </c>
      <c r="S204" s="181">
        <f t="shared" si="62"/>
        <v>5</v>
      </c>
      <c r="T204" s="410"/>
      <c r="X204" s="103"/>
      <c r="AC204" s="103"/>
      <c r="AH204" s="103"/>
      <c r="AM204" s="103"/>
    </row>
    <row r="205" spans="2:39">
      <c r="B205" s="400"/>
      <c r="C205" s="181">
        <v>24</v>
      </c>
      <c r="D205" s="181"/>
      <c r="E205" s="181"/>
      <c r="F205" s="181"/>
      <c r="G205" s="181"/>
      <c r="H205" s="410"/>
      <c r="I205" s="181"/>
      <c r="J205" s="181"/>
      <c r="K205" s="181"/>
      <c r="L205" s="413"/>
      <c r="M205" s="165" t="e">
        <f>RANK(K205, K$182:$K$211)</f>
        <v>#N/A</v>
      </c>
      <c r="N205" s="401"/>
      <c r="O205" s="401"/>
      <c r="P205" s="181"/>
      <c r="Q205" s="165"/>
      <c r="R205" s="179"/>
      <c r="S205" s="181" t="e">
        <f t="shared" si="62"/>
        <v>#N/A</v>
      </c>
      <c r="T205" s="410"/>
      <c r="X205" s="103"/>
      <c r="AC205" s="103"/>
      <c r="AH205" s="103"/>
      <c r="AM205" s="103"/>
    </row>
    <row r="206" spans="2:39">
      <c r="B206" s="400"/>
      <c r="C206" s="181">
        <v>25</v>
      </c>
      <c r="D206" s="181"/>
      <c r="E206" s="181"/>
      <c r="F206" s="181"/>
      <c r="G206" s="181"/>
      <c r="H206" s="410"/>
      <c r="I206" s="181"/>
      <c r="J206" s="181"/>
      <c r="K206" s="181"/>
      <c r="L206" s="413"/>
      <c r="M206" s="165" t="e">
        <f>RANK(K206, K$182:$K$211)</f>
        <v>#N/A</v>
      </c>
      <c r="N206" s="401"/>
      <c r="O206" s="401"/>
      <c r="P206" s="181"/>
      <c r="Q206" s="181"/>
      <c r="R206" s="181"/>
      <c r="S206" s="181" t="e">
        <f t="shared" si="62"/>
        <v>#N/A</v>
      </c>
      <c r="T206" s="410"/>
      <c r="X206" s="103"/>
      <c r="AC206" s="103"/>
      <c r="AH206" s="103"/>
      <c r="AM206" s="103"/>
    </row>
    <row r="207" spans="2:39">
      <c r="B207" s="400"/>
      <c r="C207" s="181">
        <v>26</v>
      </c>
      <c r="D207" s="181"/>
      <c r="E207" s="181"/>
      <c r="F207" s="181"/>
      <c r="G207" s="181"/>
      <c r="H207" s="410"/>
      <c r="I207" s="181"/>
      <c r="J207" s="181"/>
      <c r="K207" s="181"/>
      <c r="L207" s="413"/>
      <c r="M207" s="165" t="e">
        <f>RANK(K207, K$182:$K$211)</f>
        <v>#N/A</v>
      </c>
      <c r="N207" s="401"/>
      <c r="O207" s="401"/>
      <c r="P207" s="181"/>
      <c r="Q207" s="181"/>
      <c r="R207" s="181"/>
      <c r="S207" s="181" t="e">
        <f t="shared" si="62"/>
        <v>#N/A</v>
      </c>
      <c r="T207" s="410"/>
      <c r="X207" s="103"/>
      <c r="AC207" s="103"/>
      <c r="AH207" s="103"/>
      <c r="AM207" s="103"/>
    </row>
    <row r="208" spans="2:39">
      <c r="B208" s="400"/>
      <c r="C208" s="181">
        <v>27</v>
      </c>
      <c r="D208" s="181"/>
      <c r="E208" s="181"/>
      <c r="F208" s="181"/>
      <c r="G208" s="181"/>
      <c r="H208" s="410"/>
      <c r="I208" s="181"/>
      <c r="J208" s="181"/>
      <c r="K208" s="181"/>
      <c r="L208" s="413"/>
      <c r="M208" s="165" t="e">
        <f>RANK(K208, K$182:$K$211)</f>
        <v>#N/A</v>
      </c>
      <c r="N208" s="401"/>
      <c r="O208" s="401"/>
      <c r="P208" s="181"/>
      <c r="Q208" s="181"/>
      <c r="R208" s="181"/>
      <c r="S208" s="181" t="e">
        <f t="shared" si="62"/>
        <v>#N/A</v>
      </c>
      <c r="T208" s="410"/>
      <c r="X208" s="103"/>
      <c r="AC208" s="103"/>
      <c r="AH208" s="103"/>
      <c r="AM208" s="103"/>
    </row>
    <row r="209" spans="2:39">
      <c r="B209" s="400"/>
      <c r="C209" s="181">
        <v>28</v>
      </c>
      <c r="D209" s="181"/>
      <c r="E209" s="181"/>
      <c r="F209" s="181"/>
      <c r="G209" s="181"/>
      <c r="H209" s="410"/>
      <c r="I209" s="181"/>
      <c r="J209" s="181"/>
      <c r="K209" s="181"/>
      <c r="L209" s="413"/>
      <c r="M209" s="165" t="e">
        <f>RANK(K209, K$182:$K$211)</f>
        <v>#N/A</v>
      </c>
      <c r="N209" s="401"/>
      <c r="O209" s="401"/>
      <c r="P209" s="181"/>
      <c r="Q209" s="181"/>
      <c r="R209" s="181"/>
      <c r="S209" s="181" t="e">
        <f t="shared" si="62"/>
        <v>#N/A</v>
      </c>
      <c r="T209" s="410"/>
      <c r="X209" s="103"/>
      <c r="AC209" s="103"/>
      <c r="AH209" s="103"/>
      <c r="AM209" s="103"/>
    </row>
    <row r="210" spans="2:39">
      <c r="B210" s="400"/>
      <c r="C210" s="181">
        <v>29</v>
      </c>
      <c r="D210" s="181"/>
      <c r="E210" s="181"/>
      <c r="F210" s="181"/>
      <c r="G210" s="181"/>
      <c r="H210" s="410"/>
      <c r="I210" s="181"/>
      <c r="J210" s="181"/>
      <c r="K210" s="181"/>
      <c r="L210" s="413"/>
      <c r="M210" s="165" t="e">
        <f>RANK(K210, K$182:$K$211)</f>
        <v>#N/A</v>
      </c>
      <c r="N210" s="401"/>
      <c r="O210" s="401"/>
      <c r="P210" s="181"/>
      <c r="Q210" s="181"/>
      <c r="R210" s="181"/>
      <c r="S210" s="181" t="e">
        <f t="shared" si="62"/>
        <v>#N/A</v>
      </c>
      <c r="T210" s="410"/>
      <c r="X210" s="103"/>
      <c r="AC210" s="103"/>
      <c r="AH210" s="103"/>
      <c r="AM210" s="103"/>
    </row>
    <row r="211" spans="2:39">
      <c r="B211" s="400"/>
      <c r="C211" s="181">
        <v>30</v>
      </c>
      <c r="D211" s="181"/>
      <c r="E211" s="181"/>
      <c r="F211" s="181"/>
      <c r="G211" s="181"/>
      <c r="H211" s="411"/>
      <c r="I211" s="181"/>
      <c r="J211" s="181"/>
      <c r="K211" s="181"/>
      <c r="L211" s="414"/>
      <c r="M211" s="165" t="e">
        <f>RANK(K211, K$182:$K$211)</f>
        <v>#N/A</v>
      </c>
      <c r="N211" s="401"/>
      <c r="O211" s="401"/>
      <c r="P211" s="181"/>
      <c r="Q211" s="181"/>
      <c r="R211" s="181"/>
      <c r="S211" s="181" t="e">
        <f t="shared" si="62"/>
        <v>#N/A</v>
      </c>
      <c r="T211" s="411"/>
      <c r="X211" s="103"/>
      <c r="AC211" s="103"/>
      <c r="AH211" s="103"/>
      <c r="AM211" s="103"/>
    </row>
    <row r="212" spans="2:39"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X212" s="103"/>
      <c r="AC212" s="103"/>
      <c r="AH212" s="103"/>
      <c r="AM212" s="103"/>
    </row>
    <row r="213" spans="2:39"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</row>
    <row r="214" spans="2:39"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</row>
    <row r="215" spans="2:39"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</row>
    <row r="216" spans="2:39"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</row>
    <row r="217" spans="2:39"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</row>
    <row r="218" spans="2:39"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</row>
    <row r="219" spans="2:39"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</row>
    <row r="220" spans="2:39"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</row>
    <row r="221" spans="2:39"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</row>
    <row r="222" spans="2:39"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</row>
    <row r="223" spans="2:39"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</row>
    <row r="224" spans="2:39"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</row>
    <row r="225" spans="3:13"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</row>
    <row r="226" spans="3:13"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</row>
    <row r="227" spans="3:13"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</row>
    <row r="228" spans="3:13"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</row>
    <row r="229" spans="3:13"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</row>
    <row r="230" spans="3:13"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</row>
    <row r="231" spans="3:13"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</row>
    <row r="232" spans="3:13"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</row>
    <row r="233" spans="3:13"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</row>
    <row r="234" spans="3:13"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</row>
    <row r="235" spans="3:13"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</row>
    <row r="236" spans="3:13"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</row>
    <row r="237" spans="3:13"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</row>
    <row r="238" spans="3:13"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</row>
    <row r="239" spans="3:13"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</row>
    <row r="240" spans="3:13"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</row>
    <row r="241" spans="3:13"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</row>
    <row r="242" spans="3:13"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</row>
    <row r="243" spans="3:13"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</row>
    <row r="244" spans="3:13"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</row>
    <row r="245" spans="3:13"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</row>
    <row r="246" spans="3:13"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</row>
    <row r="247" spans="3:13"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</row>
    <row r="248" spans="3:13"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</row>
    <row r="249" spans="3:13"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</row>
    <row r="250" spans="3:13"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</row>
  </sheetData>
  <mergeCells count="282"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Y74:Y76"/>
    <mergeCell ref="T77:T106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B147:B176"/>
    <mergeCell ref="H147:H176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E39:G39"/>
    <mergeCell ref="H39:H41"/>
    <mergeCell ref="E40:G40"/>
    <mergeCell ref="N72:N73"/>
    <mergeCell ref="Y77:Y106"/>
    <mergeCell ref="P108:T108"/>
    <mergeCell ref="U108:Y108"/>
    <mergeCell ref="Z108:AD108"/>
    <mergeCell ref="AD77:AD106"/>
    <mergeCell ref="O72:O73"/>
    <mergeCell ref="P72:T72"/>
    <mergeCell ref="U72:Y72"/>
    <mergeCell ref="Z72:AD72"/>
    <mergeCell ref="Z75:AC75"/>
    <mergeCell ref="Z107:AD107"/>
    <mergeCell ref="Z74:AC74"/>
    <mergeCell ref="AD74:AD76"/>
    <mergeCell ref="N39:N71"/>
    <mergeCell ref="O39:O71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E75:AH75"/>
    <mergeCell ref="AT37:AX37"/>
    <mergeCell ref="AT38:AX38"/>
    <mergeCell ref="AX39:AX41"/>
    <mergeCell ref="AX42:AX71"/>
    <mergeCell ref="AT40:AW40"/>
    <mergeCell ref="AJ75:AM75"/>
    <mergeCell ref="N107:N108"/>
    <mergeCell ref="O107:O108"/>
    <mergeCell ref="P107:T107"/>
    <mergeCell ref="U107:Y107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B77:B10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N112:AN141"/>
    <mergeCell ref="AS112:AS141"/>
    <mergeCell ref="AO108:AS108"/>
    <mergeCell ref="Z143:AD143"/>
    <mergeCell ref="AO144:AR144"/>
    <mergeCell ref="AJ110:AM110"/>
    <mergeCell ref="AO110:AR110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108:AN108"/>
    <mergeCell ref="N74:N106"/>
    <mergeCell ref="O74:O106"/>
    <mergeCell ref="T74:T76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N37:N38"/>
    <mergeCell ref="O37:O38"/>
    <mergeCell ref="P37:T37"/>
    <mergeCell ref="U37:Y37"/>
    <mergeCell ref="Z37:AD37"/>
    <mergeCell ref="N2:N3"/>
    <mergeCell ref="B2:H3"/>
    <mergeCell ref="B7:B36"/>
    <mergeCell ref="B4:B6"/>
    <mergeCell ref="C4:D6"/>
    <mergeCell ref="H4:H6"/>
    <mergeCell ref="H7:H36"/>
    <mergeCell ref="E5:G5"/>
    <mergeCell ref="M4:M6"/>
    <mergeCell ref="N4:N36"/>
    <mergeCell ref="O4:O36"/>
    <mergeCell ref="E4:G4"/>
    <mergeCell ref="O2:O3"/>
    <mergeCell ref="B37:H38"/>
    <mergeCell ref="B177:H178"/>
    <mergeCell ref="N177:N178"/>
    <mergeCell ref="O177:O178"/>
    <mergeCell ref="P177:T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E180:G180"/>
    <mergeCell ref="I180:K180"/>
    <mergeCell ref="B182:B211"/>
    <mergeCell ref="P178:T178"/>
    <mergeCell ref="P180:S180"/>
    <mergeCell ref="T182:T211"/>
    <mergeCell ref="H182:H211"/>
    <mergeCell ref="L182:L21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CC"/>
  </sheetPr>
  <dimension ref="A1:AX142"/>
  <sheetViews>
    <sheetView zoomScale="40" zoomScaleNormal="4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205.53713152186845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29" t="s">
        <v>233</v>
      </c>
      <c r="C7" s="181">
        <v>1</v>
      </c>
      <c r="D7" s="181" t="s">
        <v>234</v>
      </c>
      <c r="E7" s="181">
        <v>15</v>
      </c>
      <c r="F7" s="181">
        <v>1200</v>
      </c>
      <c r="G7" s="181">
        <v>80</v>
      </c>
      <c r="H7" s="412">
        <f>AVERAGE(G7:G21)</f>
        <v>201.02857142857144</v>
      </c>
      <c r="I7" s="165">
        <f>AVERAGE(P7,U7,Z7,AE7,AJ7,AO7,AT7)</f>
        <v>13</v>
      </c>
      <c r="J7" s="165">
        <f>AVERAGE(Q7,V7,AA7,AF7,AK7,AP7,AU7)</f>
        <v>1186.0000000000011</v>
      </c>
      <c r="K7" s="179">
        <f>AVERAGE(R7,W7,AB7,AG7,AL7,AQ7,AV7)</f>
        <v>91.230769230769312</v>
      </c>
      <c r="L7" s="412">
        <f>IFERROR(AVERAGE(K7:K21),"-")</f>
        <v>205.87878920333554</v>
      </c>
      <c r="M7" s="180">
        <f>RANK(K7, K$7:$K$21)</f>
        <v>7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81">
        <v>13</v>
      </c>
      <c r="AU7" s="165">
        <v>1186.0000000000011</v>
      </c>
      <c r="AV7" s="179">
        <v>91.230769230769312</v>
      </c>
      <c r="AW7" s="181">
        <f t="shared" ref="AW7:AW21" si="0">RANK(AV7, AV$7:AV$21)</f>
        <v>7</v>
      </c>
      <c r="AX7" s="409">
        <f>AVERAGE(AV7:AV21)</f>
        <v>205.87878920333554</v>
      </c>
    </row>
    <row r="8" spans="1:50" ht="15" customHeight="1">
      <c r="A8" s="79"/>
      <c r="B8" s="400"/>
      <c r="C8" s="181">
        <v>2</v>
      </c>
      <c r="D8" s="181" t="s">
        <v>235</v>
      </c>
      <c r="E8" s="181">
        <v>10</v>
      </c>
      <c r="F8" s="181">
        <v>1500</v>
      </c>
      <c r="G8" s="181">
        <v>150</v>
      </c>
      <c r="H8" s="413"/>
      <c r="I8" s="165">
        <f t="shared" ref="I8:K13" si="1">AVERAGE(P8,U8,Z8,AE8,AJ8,AO8,AT8)</f>
        <v>10</v>
      </c>
      <c r="J8" s="165">
        <f t="shared" si="1"/>
        <v>1558.4999999999995</v>
      </c>
      <c r="K8" s="179">
        <f t="shared" si="1"/>
        <v>155.84999999999997</v>
      </c>
      <c r="L8" s="413"/>
      <c r="M8" s="180">
        <f>RANK(K8, K$7:$K$21)</f>
        <v>5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81">
        <v>10</v>
      </c>
      <c r="AU8" s="165">
        <v>1558.4999999999995</v>
      </c>
      <c r="AV8" s="179">
        <v>155.84999999999997</v>
      </c>
      <c r="AW8" s="181">
        <f t="shared" si="0"/>
        <v>5</v>
      </c>
      <c r="AX8" s="410"/>
    </row>
    <row r="9" spans="1:50">
      <c r="A9" s="79"/>
      <c r="B9" s="400"/>
      <c r="C9" s="181">
        <v>3</v>
      </c>
      <c r="D9" s="181" t="s">
        <v>236</v>
      </c>
      <c r="E9" s="181">
        <v>10</v>
      </c>
      <c r="F9" s="181">
        <v>1636</v>
      </c>
      <c r="G9" s="181">
        <v>163.6</v>
      </c>
      <c r="H9" s="413"/>
      <c r="I9" s="165">
        <f t="shared" si="1"/>
        <v>12</v>
      </c>
      <c r="J9" s="165">
        <f t="shared" si="1"/>
        <v>1794.6666666666667</v>
      </c>
      <c r="K9" s="179">
        <f t="shared" si="1"/>
        <v>149.55555555555557</v>
      </c>
      <c r="L9" s="413"/>
      <c r="M9" s="180">
        <f>RANK(K9, K$7:$K$21)</f>
        <v>6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81">
        <v>12</v>
      </c>
      <c r="AU9" s="165">
        <v>1794.6666666666667</v>
      </c>
      <c r="AV9" s="179">
        <v>149.55555555555557</v>
      </c>
      <c r="AW9" s="181">
        <f t="shared" si="0"/>
        <v>6</v>
      </c>
      <c r="AX9" s="410"/>
    </row>
    <row r="10" spans="1:50">
      <c r="A10" s="79"/>
      <c r="B10" s="400"/>
      <c r="C10" s="181">
        <v>4</v>
      </c>
      <c r="D10" s="181" t="s">
        <v>237</v>
      </c>
      <c r="E10" s="181">
        <v>10</v>
      </c>
      <c r="F10" s="181">
        <v>1636</v>
      </c>
      <c r="G10" s="181">
        <v>163.6</v>
      </c>
      <c r="H10" s="413"/>
      <c r="I10" s="165">
        <f t="shared" si="1"/>
        <v>12</v>
      </c>
      <c r="J10" s="165">
        <f t="shared" si="1"/>
        <v>1873.4999999999993</v>
      </c>
      <c r="K10" s="179">
        <f t="shared" si="1"/>
        <v>156.12499999999994</v>
      </c>
      <c r="L10" s="413"/>
      <c r="M10" s="180">
        <f>RANK(K10, K$7:$K$21)</f>
        <v>4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81">
        <v>12</v>
      </c>
      <c r="AU10" s="165">
        <v>1873.4999999999993</v>
      </c>
      <c r="AV10" s="179">
        <v>156.12499999999994</v>
      </c>
      <c r="AW10" s="181">
        <f t="shared" si="0"/>
        <v>4</v>
      </c>
      <c r="AX10" s="410"/>
    </row>
    <row r="11" spans="1:50">
      <c r="A11" s="79"/>
      <c r="B11" s="400"/>
      <c r="C11" s="181">
        <v>5</v>
      </c>
      <c r="D11" s="181" t="s">
        <v>238</v>
      </c>
      <c r="E11" s="181">
        <v>6</v>
      </c>
      <c r="F11" s="181">
        <v>1500</v>
      </c>
      <c r="G11" s="181">
        <v>250</v>
      </c>
      <c r="H11" s="413"/>
      <c r="I11" s="165">
        <f t="shared" si="1"/>
        <v>5</v>
      </c>
      <c r="J11" s="165">
        <f t="shared" si="1"/>
        <v>1503.1578947368409</v>
      </c>
      <c r="K11" s="179">
        <f t="shared" si="1"/>
        <v>300.63157894736821</v>
      </c>
      <c r="L11" s="413"/>
      <c r="M11" s="180">
        <f>RANK(K11, K$7:$K$21)</f>
        <v>1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81">
        <v>5</v>
      </c>
      <c r="AU11" s="165">
        <v>1503.1578947368409</v>
      </c>
      <c r="AV11" s="179">
        <v>300.63157894736821</v>
      </c>
      <c r="AW11" s="181">
        <f t="shared" si="0"/>
        <v>1</v>
      </c>
      <c r="AX11" s="410"/>
    </row>
    <row r="12" spans="1:50">
      <c r="A12" s="79"/>
      <c r="B12" s="400"/>
      <c r="C12" s="181">
        <v>6</v>
      </c>
      <c r="D12" s="181" t="s">
        <v>239</v>
      </c>
      <c r="E12" s="181">
        <v>5</v>
      </c>
      <c r="F12" s="181">
        <v>1500</v>
      </c>
      <c r="G12" s="181">
        <v>300</v>
      </c>
      <c r="H12" s="413"/>
      <c r="I12" s="165">
        <f t="shared" si="1"/>
        <v>5</v>
      </c>
      <c r="J12" s="165">
        <f t="shared" si="1"/>
        <v>1493.793103448277</v>
      </c>
      <c r="K12" s="179">
        <f t="shared" si="1"/>
        <v>298.7586206896554</v>
      </c>
      <c r="L12" s="413"/>
      <c r="M12" s="180">
        <f>RANK(K12, K$7:$K$21)</f>
        <v>2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81">
        <v>5</v>
      </c>
      <c r="AU12" s="165">
        <v>1493.793103448277</v>
      </c>
      <c r="AV12" s="179">
        <v>298.7586206896554</v>
      </c>
      <c r="AW12" s="181">
        <f t="shared" si="0"/>
        <v>2</v>
      </c>
      <c r="AX12" s="410"/>
    </row>
    <row r="13" spans="1:50">
      <c r="A13" s="79"/>
      <c r="B13" s="400"/>
      <c r="C13" s="181">
        <v>7</v>
      </c>
      <c r="D13" s="181" t="s">
        <v>240</v>
      </c>
      <c r="E13" s="181">
        <v>5</v>
      </c>
      <c r="F13" s="181">
        <v>1500</v>
      </c>
      <c r="G13" s="181">
        <v>300</v>
      </c>
      <c r="H13" s="413"/>
      <c r="I13" s="165">
        <f t="shared" si="1"/>
        <v>5</v>
      </c>
      <c r="J13" s="165">
        <f t="shared" si="1"/>
        <v>1445.0000000000005</v>
      </c>
      <c r="K13" s="179">
        <f t="shared" si="1"/>
        <v>289.00000000000011</v>
      </c>
      <c r="L13" s="413"/>
      <c r="M13" s="180">
        <f>RANK(K13, K$7:$K$21)</f>
        <v>3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81">
        <v>5</v>
      </c>
      <c r="AU13" s="165">
        <v>1445.0000000000005</v>
      </c>
      <c r="AV13" s="179">
        <v>289.00000000000011</v>
      </c>
      <c r="AW13" s="181">
        <f t="shared" si="0"/>
        <v>3</v>
      </c>
      <c r="AX13" s="410"/>
    </row>
    <row r="14" spans="1:50">
      <c r="A14" s="79"/>
      <c r="B14" s="400"/>
      <c r="C14" s="181">
        <v>8</v>
      </c>
      <c r="D14" s="181"/>
      <c r="E14" s="181"/>
      <c r="F14" s="181"/>
      <c r="G14" s="181"/>
      <c r="H14" s="413"/>
      <c r="I14" s="165"/>
      <c r="J14" s="165"/>
      <c r="K14" s="179"/>
      <c r="L14" s="413"/>
      <c r="M14" s="180" t="e">
        <f>RANK(K14, K$7:$K$21)</f>
        <v>#N/A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81"/>
      <c r="AU14" s="165"/>
      <c r="AV14" s="179"/>
      <c r="AW14" s="181" t="e">
        <f t="shared" si="0"/>
        <v>#N/A</v>
      </c>
      <c r="AX14" s="410"/>
    </row>
    <row r="15" spans="1:50">
      <c r="A15" s="79"/>
      <c r="B15" s="400"/>
      <c r="C15" s="181">
        <v>9</v>
      </c>
      <c r="D15" s="181"/>
      <c r="E15" s="181"/>
      <c r="F15" s="181"/>
      <c r="G15" s="181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81"/>
      <c r="AU15" s="165"/>
      <c r="AV15" s="179"/>
      <c r="AW15" s="181" t="e">
        <f t="shared" si="0"/>
        <v>#N/A</v>
      </c>
      <c r="AX15" s="410"/>
    </row>
    <row r="16" spans="1:50">
      <c r="A16" s="79"/>
      <c r="B16" s="400"/>
      <c r="C16" s="181">
        <v>10</v>
      </c>
      <c r="D16" s="181"/>
      <c r="E16" s="181"/>
      <c r="F16" s="181"/>
      <c r="G16" s="181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81"/>
      <c r="AU16" s="165"/>
      <c r="AV16" s="179"/>
      <c r="AW16" s="181" t="e">
        <f t="shared" si="0"/>
        <v>#N/A</v>
      </c>
      <c r="AX16" s="410"/>
    </row>
    <row r="17" spans="2:50">
      <c r="B17" s="400"/>
      <c r="C17" s="181">
        <v>11</v>
      </c>
      <c r="D17" s="181"/>
      <c r="E17" s="181"/>
      <c r="F17" s="181"/>
      <c r="G17" s="181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81"/>
      <c r="AU17" s="181"/>
      <c r="AV17" s="181"/>
      <c r="AW17" s="181" t="e">
        <f t="shared" si="0"/>
        <v>#N/A</v>
      </c>
      <c r="AX17" s="410"/>
    </row>
    <row r="18" spans="2:50">
      <c r="B18" s="400"/>
      <c r="C18" s="181">
        <v>12</v>
      </c>
      <c r="D18" s="181"/>
      <c r="E18" s="181"/>
      <c r="F18" s="181"/>
      <c r="G18" s="181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81"/>
      <c r="AU18" s="181"/>
      <c r="AV18" s="181"/>
      <c r="AW18" s="181" t="e">
        <f t="shared" si="0"/>
        <v>#N/A</v>
      </c>
      <c r="AX18" s="410"/>
    </row>
    <row r="19" spans="2:50">
      <c r="B19" s="400"/>
      <c r="C19" s="181">
        <v>13</v>
      </c>
      <c r="D19" s="181"/>
      <c r="E19" s="181"/>
      <c r="F19" s="181"/>
      <c r="G19" s="181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81"/>
      <c r="AU19" s="181"/>
      <c r="AV19" s="181"/>
      <c r="AW19" s="181" t="e">
        <f t="shared" si="0"/>
        <v>#N/A</v>
      </c>
      <c r="AX19" s="410"/>
    </row>
    <row r="20" spans="2:50">
      <c r="B20" s="400"/>
      <c r="C20" s="181">
        <v>14</v>
      </c>
      <c r="D20" s="181"/>
      <c r="E20" s="181"/>
      <c r="F20" s="181"/>
      <c r="G20" s="181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81"/>
      <c r="AU20" s="181"/>
      <c r="AV20" s="181"/>
      <c r="AW20" s="181" t="e">
        <f t="shared" si="0"/>
        <v>#N/A</v>
      </c>
      <c r="AX20" s="410"/>
    </row>
    <row r="21" spans="2:50">
      <c r="B21" s="400"/>
      <c r="C21" s="181">
        <v>15</v>
      </c>
      <c r="D21" s="181"/>
      <c r="E21" s="181"/>
      <c r="F21" s="181"/>
      <c r="G21" s="181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81"/>
      <c r="AU21" s="181"/>
      <c r="AV21" s="181"/>
      <c r="AW21" s="181" t="e">
        <f t="shared" si="0"/>
        <v>#N/A</v>
      </c>
      <c r="AX21" s="411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29" t="s">
        <v>233</v>
      </c>
      <c r="C27" s="181">
        <v>1</v>
      </c>
      <c r="D27" s="181" t="s">
        <v>234</v>
      </c>
      <c r="E27" s="181">
        <v>13</v>
      </c>
      <c r="F27" s="181">
        <v>1286.4000000000003</v>
      </c>
      <c r="G27" s="165">
        <v>98.953846153846172</v>
      </c>
      <c r="H27" s="412">
        <f>AVERAGE(G27:G41)</f>
        <v>196.72798076923081</v>
      </c>
      <c r="I27" s="165">
        <f>AVERAGE(P27,U27,Z27,AE27,AJ27,AO27,AT27)</f>
        <v>13</v>
      </c>
      <c r="J27" s="165">
        <f>AVERAGE(Q27,V27,AA27,AF27,AK27,AP27,AU27)</f>
        <v>1286.4000000000003</v>
      </c>
      <c r="K27" s="179">
        <f>AVERAGE(R27,W27,AB27,AG27,AL27,AQ27,AV27)</f>
        <v>98.953846153846172</v>
      </c>
      <c r="L27" s="412">
        <f>IFERROR(AVERAGE(K27:K41),"-")</f>
        <v>195.31050160830449</v>
      </c>
      <c r="M27" s="180">
        <f>RANK(K27, K$27:$K$41)</f>
        <v>8</v>
      </c>
      <c r="N27" s="401"/>
      <c r="O27" s="401"/>
      <c r="P27" s="181">
        <v>13</v>
      </c>
      <c r="Q27" s="165">
        <v>1286.4000000000003</v>
      </c>
      <c r="R27" s="179">
        <v>98.953846153846172</v>
      </c>
      <c r="S27" s="181">
        <f t="shared" ref="S27:S41" si="2">RANK(R27, R$27:R$41)</f>
        <v>8</v>
      </c>
      <c r="T27" s="430">
        <f>AVERAGE(R27:R41)</f>
        <v>196.72798076923081</v>
      </c>
      <c r="U27" s="181"/>
      <c r="V27" s="165"/>
      <c r="W27" s="179"/>
      <c r="X27" s="181" t="e">
        <f t="shared" ref="X27:X41" si="3">RANK(W27, W$27:W$41)</f>
        <v>#N/A</v>
      </c>
      <c r="Y27" s="430">
        <f>AVERAGE(W27:W41)</f>
        <v>212.59081349958205</v>
      </c>
      <c r="Z27" s="181"/>
      <c r="AA27" s="165"/>
      <c r="AB27" s="179"/>
      <c r="AC27" s="181" t="e">
        <f t="shared" ref="AC27:AC41" si="4">RANK(AB27, AB$27:AB$41)</f>
        <v>#N/A</v>
      </c>
      <c r="AD27" s="430">
        <f>AVERAGE(AB27:AB41)</f>
        <v>211.72951707296551</v>
      </c>
      <c r="AE27" s="181"/>
      <c r="AF27" s="165"/>
      <c r="AG27" s="179"/>
      <c r="AH27" s="181" t="e">
        <f t="shared" ref="AH27:AH41" si="5">RANK(AG27, AG$27:AG$41)</f>
        <v>#N/A</v>
      </c>
      <c r="AI27" s="430">
        <f>AVERAGE(AG27:AG41)</f>
        <v>197.15053724053766</v>
      </c>
      <c r="AJ27" s="181"/>
      <c r="AK27" s="165"/>
      <c r="AL27" s="179"/>
      <c r="AM27" s="181" t="e">
        <f t="shared" ref="AM27:AM41" si="6">RANK(AL27, AL$27:AL$41)</f>
        <v>#N/A</v>
      </c>
      <c r="AN27" s="430">
        <f>AVERAGE(AL27:AL41)</f>
        <v>209.86735308170071</v>
      </c>
      <c r="AO27" s="181"/>
      <c r="AP27" s="165"/>
      <c r="AQ27" s="179"/>
      <c r="AR27" s="181" t="e">
        <f t="shared" ref="AR27:AR41" si="7">RANK(AQ27, AQ$27:AQ$41)</f>
        <v>#N/A</v>
      </c>
      <c r="AS27" s="409">
        <f>AVERAGE(AQ27:AQ41)</f>
        <v>212.18077804548403</v>
      </c>
      <c r="AT27" s="181"/>
      <c r="AU27" s="165"/>
      <c r="AV27" s="179"/>
      <c r="AW27" s="181" t="e">
        <f t="shared" ref="AW27:AW41" si="8">RANK(AV27, AV$27:AV$41)</f>
        <v>#N/A</v>
      </c>
      <c r="AX27" s="409">
        <f>AVERAGE(AV27:AV41)</f>
        <v>209.31545348660552</v>
      </c>
    </row>
    <row r="28" spans="2:50">
      <c r="B28" s="400"/>
      <c r="C28" s="181">
        <v>2</v>
      </c>
      <c r="D28" s="181" t="s">
        <v>235</v>
      </c>
      <c r="E28" s="181">
        <v>10</v>
      </c>
      <c r="F28" s="181">
        <v>1447.4999999999995</v>
      </c>
      <c r="G28" s="165">
        <v>144.74999999999994</v>
      </c>
      <c r="H28" s="413"/>
      <c r="I28" s="165">
        <f t="shared" ref="I28:I33" si="9">AVERAGE(P28,U28,Z28,AE28,AJ28,AO28,AT28)</f>
        <v>12.571428571428571</v>
      </c>
      <c r="J28" s="165">
        <f t="shared" ref="J28:J33" si="10">AVERAGE(Q28,V28,AA28,AF28,AK28,AP28,AU28)</f>
        <v>1456.5714285714294</v>
      </c>
      <c r="K28" s="179">
        <f t="shared" ref="K28:K33" si="11">AVERAGE(R28,W28,AB28,AG28,AL28,AQ28,AV28)</f>
        <v>116.81593406593413</v>
      </c>
      <c r="L28" s="413"/>
      <c r="M28" s="180">
        <f>RANK(K28, K$27:$K$41)</f>
        <v>7</v>
      </c>
      <c r="N28" s="401"/>
      <c r="O28" s="401"/>
      <c r="P28" s="181">
        <v>10</v>
      </c>
      <c r="Q28" s="165">
        <v>1447.4999999999995</v>
      </c>
      <c r="R28" s="179">
        <v>144.74999999999994</v>
      </c>
      <c r="S28" s="181">
        <f t="shared" si="2"/>
        <v>7</v>
      </c>
      <c r="T28" s="430"/>
      <c r="U28" s="181">
        <v>13</v>
      </c>
      <c r="V28" s="165">
        <v>1394.9999999999966</v>
      </c>
      <c r="W28" s="179">
        <v>107.30769230769205</v>
      </c>
      <c r="X28" s="181">
        <f t="shared" si="3"/>
        <v>7</v>
      </c>
      <c r="Y28" s="430"/>
      <c r="Z28" s="181">
        <v>13</v>
      </c>
      <c r="AA28" s="165">
        <v>1356.0000000000023</v>
      </c>
      <c r="AB28" s="179">
        <v>104.30769230769248</v>
      </c>
      <c r="AC28" s="181">
        <f t="shared" si="4"/>
        <v>7</v>
      </c>
      <c r="AD28" s="430"/>
      <c r="AE28" s="181">
        <v>13</v>
      </c>
      <c r="AF28" s="165">
        <v>1514.0000000000014</v>
      </c>
      <c r="AG28" s="179">
        <v>116.46153846153857</v>
      </c>
      <c r="AH28" s="181">
        <f t="shared" si="5"/>
        <v>7</v>
      </c>
      <c r="AI28" s="430"/>
      <c r="AJ28" s="181">
        <v>13</v>
      </c>
      <c r="AK28" s="165">
        <v>1542.0000000000014</v>
      </c>
      <c r="AL28" s="179">
        <v>118.61538461538473</v>
      </c>
      <c r="AM28" s="181">
        <f t="shared" si="6"/>
        <v>7</v>
      </c>
      <c r="AN28" s="430"/>
      <c r="AO28" s="181">
        <v>13</v>
      </c>
      <c r="AP28" s="165">
        <v>1531.5000000000025</v>
      </c>
      <c r="AQ28" s="179">
        <v>117.80769230769251</v>
      </c>
      <c r="AR28" s="181">
        <f t="shared" si="7"/>
        <v>7</v>
      </c>
      <c r="AS28" s="410"/>
      <c r="AT28" s="181">
        <v>13</v>
      </c>
      <c r="AU28" s="165">
        <v>1410.0000000000023</v>
      </c>
      <c r="AV28" s="179">
        <v>108.46153846153864</v>
      </c>
      <c r="AW28" s="181">
        <f t="shared" si="8"/>
        <v>7</v>
      </c>
      <c r="AX28" s="410"/>
    </row>
    <row r="29" spans="2:50">
      <c r="B29" s="400"/>
      <c r="C29" s="181">
        <v>3</v>
      </c>
      <c r="D29" s="181" t="s">
        <v>236</v>
      </c>
      <c r="E29" s="181">
        <v>12</v>
      </c>
      <c r="F29" s="181">
        <v>1857.3333333333333</v>
      </c>
      <c r="G29" s="165">
        <v>154.77777777777777</v>
      </c>
      <c r="H29" s="413"/>
      <c r="I29" s="165">
        <f t="shared" si="9"/>
        <v>10.285714285714286</v>
      </c>
      <c r="J29" s="165">
        <f t="shared" si="10"/>
        <v>1753.2047619047628</v>
      </c>
      <c r="K29" s="179">
        <f t="shared" si="11"/>
        <v>170.89825396825401</v>
      </c>
      <c r="L29" s="413"/>
      <c r="M29" s="180">
        <f>RANK(K29, K$27:$K$41)</f>
        <v>4</v>
      </c>
      <c r="N29" s="401"/>
      <c r="O29" s="401"/>
      <c r="P29" s="181">
        <v>12</v>
      </c>
      <c r="Q29" s="165">
        <v>1857.3333333333333</v>
      </c>
      <c r="R29" s="179">
        <v>154.77777777777777</v>
      </c>
      <c r="S29" s="181">
        <f t="shared" si="2"/>
        <v>4</v>
      </c>
      <c r="T29" s="430"/>
      <c r="U29" s="181">
        <v>10</v>
      </c>
      <c r="V29" s="165">
        <v>1804.7999999999977</v>
      </c>
      <c r="W29" s="179">
        <v>180.47999999999976</v>
      </c>
      <c r="X29" s="181">
        <f t="shared" si="3"/>
        <v>4</v>
      </c>
      <c r="Y29" s="430"/>
      <c r="Z29" s="181">
        <v>10</v>
      </c>
      <c r="AA29" s="165">
        <v>1807.2000000000037</v>
      </c>
      <c r="AB29" s="179">
        <v>180.72000000000037</v>
      </c>
      <c r="AC29" s="181">
        <f t="shared" si="4"/>
        <v>4</v>
      </c>
      <c r="AD29" s="430"/>
      <c r="AE29" s="181">
        <v>10</v>
      </c>
      <c r="AF29" s="165">
        <v>1422.0000000000027</v>
      </c>
      <c r="AG29" s="179">
        <v>142.20000000000027</v>
      </c>
      <c r="AH29" s="181">
        <f t="shared" si="5"/>
        <v>4</v>
      </c>
      <c r="AI29" s="430"/>
      <c r="AJ29" s="181">
        <v>10</v>
      </c>
      <c r="AK29" s="165">
        <v>1735.4999999999957</v>
      </c>
      <c r="AL29" s="179">
        <v>173.54999999999956</v>
      </c>
      <c r="AM29" s="181">
        <f t="shared" si="6"/>
        <v>4</v>
      </c>
      <c r="AN29" s="430"/>
      <c r="AO29" s="181">
        <v>10</v>
      </c>
      <c r="AP29" s="165">
        <v>1776.0000000000011</v>
      </c>
      <c r="AQ29" s="179">
        <v>177.60000000000011</v>
      </c>
      <c r="AR29" s="181">
        <f t="shared" si="7"/>
        <v>4</v>
      </c>
      <c r="AS29" s="410"/>
      <c r="AT29" s="181">
        <v>10</v>
      </c>
      <c r="AU29" s="165">
        <v>1869.6000000000035</v>
      </c>
      <c r="AV29" s="179">
        <v>186.96000000000035</v>
      </c>
      <c r="AW29" s="181">
        <f t="shared" si="8"/>
        <v>4</v>
      </c>
      <c r="AX29" s="410"/>
    </row>
    <row r="30" spans="2:50">
      <c r="B30" s="400"/>
      <c r="C30" s="181">
        <v>4</v>
      </c>
      <c r="D30" s="181" t="s">
        <v>237</v>
      </c>
      <c r="E30" s="181">
        <v>12</v>
      </c>
      <c r="F30" s="181">
        <v>1850.6666666666667</v>
      </c>
      <c r="G30" s="165">
        <v>154.22222222222223</v>
      </c>
      <c r="H30" s="413"/>
      <c r="I30" s="165">
        <f t="shared" si="9"/>
        <v>12</v>
      </c>
      <c r="J30" s="165">
        <f t="shared" si="10"/>
        <v>1807.3333333333328</v>
      </c>
      <c r="K30" s="179">
        <f t="shared" si="11"/>
        <v>150.61111111111106</v>
      </c>
      <c r="L30" s="413"/>
      <c r="M30" s="180">
        <f>RANK(K30, K$27:$K$41)</f>
        <v>5</v>
      </c>
      <c r="N30" s="401"/>
      <c r="O30" s="401"/>
      <c r="P30" s="181">
        <v>12</v>
      </c>
      <c r="Q30" s="165">
        <v>1850.6666666666667</v>
      </c>
      <c r="R30" s="179">
        <v>154.22222222222223</v>
      </c>
      <c r="S30" s="181">
        <f t="shared" si="2"/>
        <v>5</v>
      </c>
      <c r="T30" s="430"/>
      <c r="U30" s="181">
        <v>12</v>
      </c>
      <c r="V30" s="165">
        <v>1942.6666666666667</v>
      </c>
      <c r="W30" s="179">
        <v>161.88888888888889</v>
      </c>
      <c r="X30" s="181">
        <f t="shared" si="3"/>
        <v>5</v>
      </c>
      <c r="Y30" s="430"/>
      <c r="Z30" s="181">
        <v>12</v>
      </c>
      <c r="AA30" s="165">
        <v>1889.3333333333333</v>
      </c>
      <c r="AB30" s="179">
        <v>157.44444444444443</v>
      </c>
      <c r="AC30" s="181">
        <f t="shared" si="4"/>
        <v>5</v>
      </c>
      <c r="AD30" s="430"/>
      <c r="AE30" s="181">
        <v>12</v>
      </c>
      <c r="AF30" s="165">
        <v>1454.6666666666665</v>
      </c>
      <c r="AG30" s="179">
        <v>121.22222222222221</v>
      </c>
      <c r="AH30" s="181">
        <f t="shared" si="5"/>
        <v>6</v>
      </c>
      <c r="AI30" s="430"/>
      <c r="AJ30" s="181">
        <v>12</v>
      </c>
      <c r="AK30" s="165">
        <v>1835.9999999999982</v>
      </c>
      <c r="AL30" s="179">
        <v>152.99999999999986</v>
      </c>
      <c r="AM30" s="181">
        <f t="shared" si="6"/>
        <v>5</v>
      </c>
      <c r="AN30" s="430"/>
      <c r="AO30" s="181">
        <v>12</v>
      </c>
      <c r="AP30" s="165">
        <v>1891.1999999999975</v>
      </c>
      <c r="AQ30" s="179">
        <v>157.5999999999998</v>
      </c>
      <c r="AR30" s="181">
        <f t="shared" si="7"/>
        <v>5</v>
      </c>
      <c r="AS30" s="410"/>
      <c r="AT30" s="181">
        <v>12</v>
      </c>
      <c r="AU30" s="165">
        <v>1786.8000000000004</v>
      </c>
      <c r="AV30" s="179">
        <v>148.90000000000003</v>
      </c>
      <c r="AW30" s="181">
        <f t="shared" si="8"/>
        <v>6</v>
      </c>
      <c r="AX30" s="410"/>
    </row>
    <row r="31" spans="2:50">
      <c r="B31" s="400"/>
      <c r="C31" s="181">
        <v>5</v>
      </c>
      <c r="D31" s="181" t="s">
        <v>238</v>
      </c>
      <c r="E31" s="181">
        <v>5</v>
      </c>
      <c r="F31" s="181">
        <v>1460.9999999999995</v>
      </c>
      <c r="G31" s="165">
        <v>292.19999999999993</v>
      </c>
      <c r="H31" s="413"/>
      <c r="I31" s="165">
        <f t="shared" si="9"/>
        <v>5</v>
      </c>
      <c r="J31" s="165">
        <f t="shared" si="10"/>
        <v>1457.4030612244896</v>
      </c>
      <c r="K31" s="179">
        <f t="shared" si="11"/>
        <v>291.48061224489794</v>
      </c>
      <c r="L31" s="413"/>
      <c r="M31" s="180">
        <f>RANK(K31, K$27:$K$41)</f>
        <v>2</v>
      </c>
      <c r="N31" s="401"/>
      <c r="O31" s="401"/>
      <c r="P31" s="181">
        <v>5</v>
      </c>
      <c r="Q31" s="165">
        <v>1460.9999999999995</v>
      </c>
      <c r="R31" s="179">
        <v>292.19999999999993</v>
      </c>
      <c r="S31" s="181">
        <f t="shared" si="2"/>
        <v>2</v>
      </c>
      <c r="T31" s="430"/>
      <c r="U31" s="181">
        <v>5</v>
      </c>
      <c r="V31" s="165">
        <v>1487.9999999999993</v>
      </c>
      <c r="W31" s="179">
        <v>297.59999999999985</v>
      </c>
      <c r="X31" s="181">
        <f t="shared" si="3"/>
        <v>3</v>
      </c>
      <c r="Y31" s="430"/>
      <c r="Z31" s="181">
        <v>5</v>
      </c>
      <c r="AA31" s="165">
        <v>1477.1428571428567</v>
      </c>
      <c r="AB31" s="179">
        <v>295.42857142857133</v>
      </c>
      <c r="AC31" s="181">
        <f t="shared" si="4"/>
        <v>2</v>
      </c>
      <c r="AD31" s="430"/>
      <c r="AE31" s="181">
        <v>5</v>
      </c>
      <c r="AF31" s="165">
        <v>1436.2500000000016</v>
      </c>
      <c r="AG31" s="179">
        <v>287.25000000000034</v>
      </c>
      <c r="AH31" s="181">
        <f t="shared" si="5"/>
        <v>2</v>
      </c>
      <c r="AI31" s="430"/>
      <c r="AJ31" s="181">
        <v>5</v>
      </c>
      <c r="AK31" s="165">
        <v>1448.0000000000014</v>
      </c>
      <c r="AL31" s="179">
        <v>289.60000000000025</v>
      </c>
      <c r="AM31" s="181">
        <f t="shared" si="6"/>
        <v>3</v>
      </c>
      <c r="AN31" s="430"/>
      <c r="AO31" s="181">
        <v>5</v>
      </c>
      <c r="AP31" s="165">
        <v>1439.9999999999977</v>
      </c>
      <c r="AQ31" s="179">
        <v>287.99999999999955</v>
      </c>
      <c r="AR31" s="181">
        <f t="shared" si="7"/>
        <v>2</v>
      </c>
      <c r="AS31" s="410"/>
      <c r="AT31" s="181">
        <v>5</v>
      </c>
      <c r="AU31" s="165">
        <v>1451.4285714285709</v>
      </c>
      <c r="AV31" s="179">
        <v>290.28571428571416</v>
      </c>
      <c r="AW31" s="181">
        <f t="shared" si="8"/>
        <v>2</v>
      </c>
      <c r="AX31" s="410"/>
    </row>
    <row r="32" spans="2:50">
      <c r="B32" s="400"/>
      <c r="C32" s="181">
        <v>6</v>
      </c>
      <c r="D32" s="181" t="s">
        <v>239</v>
      </c>
      <c r="E32" s="181">
        <v>5</v>
      </c>
      <c r="F32" s="181">
        <v>1504.0000000000014</v>
      </c>
      <c r="G32" s="165">
        <v>300.8000000000003</v>
      </c>
      <c r="H32" s="413"/>
      <c r="I32" s="165">
        <f t="shared" si="9"/>
        <v>5</v>
      </c>
      <c r="J32" s="165">
        <f t="shared" si="10"/>
        <v>1481.1622129865116</v>
      </c>
      <c r="K32" s="179">
        <f t="shared" si="11"/>
        <v>296.23244259730234</v>
      </c>
      <c r="L32" s="413"/>
      <c r="M32" s="180">
        <f>RANK(K32, K$27:$K$41)</f>
        <v>1</v>
      </c>
      <c r="N32" s="401"/>
      <c r="O32" s="401"/>
      <c r="P32" s="181">
        <v>5</v>
      </c>
      <c r="Q32" s="165">
        <v>1504.0000000000014</v>
      </c>
      <c r="R32" s="179">
        <v>300.8000000000003</v>
      </c>
      <c r="S32" s="181">
        <f t="shared" si="2"/>
        <v>1</v>
      </c>
      <c r="T32" s="430"/>
      <c r="U32" s="181">
        <v>5</v>
      </c>
      <c r="V32" s="165">
        <v>1491.7241379310337</v>
      </c>
      <c r="W32" s="179">
        <v>298.34482758620675</v>
      </c>
      <c r="X32" s="181">
        <f t="shared" si="3"/>
        <v>2</v>
      </c>
      <c r="Y32" s="430"/>
      <c r="Z32" s="181">
        <v>5</v>
      </c>
      <c r="AA32" s="165">
        <v>1475.1724137931046</v>
      </c>
      <c r="AB32" s="179">
        <v>295.03448275862092</v>
      </c>
      <c r="AC32" s="181">
        <f t="shared" si="4"/>
        <v>3</v>
      </c>
      <c r="AD32" s="430"/>
      <c r="AE32" s="181">
        <v>5</v>
      </c>
      <c r="AF32" s="165">
        <v>1455.0000000000027</v>
      </c>
      <c r="AG32" s="179">
        <v>291.00000000000057</v>
      </c>
      <c r="AH32" s="181">
        <f t="shared" si="5"/>
        <v>1</v>
      </c>
      <c r="AI32" s="430"/>
      <c r="AJ32" s="181">
        <v>5</v>
      </c>
      <c r="AK32" s="165">
        <v>1479.1304347826115</v>
      </c>
      <c r="AL32" s="179">
        <v>295.82608695652232</v>
      </c>
      <c r="AM32" s="181">
        <f t="shared" si="6"/>
        <v>1</v>
      </c>
      <c r="AN32" s="430"/>
      <c r="AO32" s="181">
        <v>5</v>
      </c>
      <c r="AP32" s="165">
        <v>1501.818181818182</v>
      </c>
      <c r="AQ32" s="179">
        <v>300.36363636363637</v>
      </c>
      <c r="AR32" s="181">
        <f t="shared" si="7"/>
        <v>1</v>
      </c>
      <c r="AS32" s="410"/>
      <c r="AT32" s="181">
        <v>5</v>
      </c>
      <c r="AU32" s="165">
        <v>1461.2903225806444</v>
      </c>
      <c r="AV32" s="179">
        <v>292.25806451612891</v>
      </c>
      <c r="AW32" s="181">
        <f t="shared" si="8"/>
        <v>1</v>
      </c>
      <c r="AX32" s="410"/>
    </row>
    <row r="33" spans="2:50">
      <c r="B33" s="400"/>
      <c r="C33" s="181">
        <v>7</v>
      </c>
      <c r="D33" s="181" t="s">
        <v>240</v>
      </c>
      <c r="E33" s="181">
        <v>5</v>
      </c>
      <c r="F33" s="181">
        <v>1408.0000000000014</v>
      </c>
      <c r="G33" s="165">
        <v>281.60000000000025</v>
      </c>
      <c r="H33" s="413"/>
      <c r="I33" s="165">
        <f t="shared" si="9"/>
        <v>5</v>
      </c>
      <c r="J33" s="165">
        <f t="shared" si="10"/>
        <v>1449.3733493397369</v>
      </c>
      <c r="K33" s="179">
        <f t="shared" si="11"/>
        <v>289.87466986794732</v>
      </c>
      <c r="L33" s="413"/>
      <c r="M33" s="180">
        <f>RANK(K33, K$27:$K$41)</f>
        <v>3</v>
      </c>
      <c r="N33" s="401"/>
      <c r="O33" s="401"/>
      <c r="P33" s="181">
        <v>5</v>
      </c>
      <c r="Q33" s="165">
        <v>1408.0000000000014</v>
      </c>
      <c r="R33" s="179">
        <v>281.60000000000025</v>
      </c>
      <c r="S33" s="181">
        <f t="shared" si="2"/>
        <v>3</v>
      </c>
      <c r="T33" s="430"/>
      <c r="U33" s="181">
        <v>5</v>
      </c>
      <c r="V33" s="165">
        <v>1508.5714285714339</v>
      </c>
      <c r="W33" s="179">
        <v>301.7142857142868</v>
      </c>
      <c r="X33" s="181">
        <f t="shared" si="3"/>
        <v>1</v>
      </c>
      <c r="Y33" s="430"/>
      <c r="Z33" s="181">
        <v>5</v>
      </c>
      <c r="AA33" s="165">
        <v>1482.857142857144</v>
      </c>
      <c r="AB33" s="179">
        <v>296.57142857142878</v>
      </c>
      <c r="AC33" s="181">
        <f t="shared" si="4"/>
        <v>1</v>
      </c>
      <c r="AD33" s="430"/>
      <c r="AE33" s="181">
        <v>5</v>
      </c>
      <c r="AF33" s="165">
        <v>1404.000000000005</v>
      </c>
      <c r="AG33" s="179">
        <v>280.80000000000098</v>
      </c>
      <c r="AH33" s="181">
        <f t="shared" si="5"/>
        <v>3</v>
      </c>
      <c r="AI33" s="430"/>
      <c r="AJ33" s="181">
        <v>5</v>
      </c>
      <c r="AK33" s="165">
        <v>1469.9999999999907</v>
      </c>
      <c r="AL33" s="179">
        <v>293.99999999999812</v>
      </c>
      <c r="AM33" s="181">
        <f t="shared" si="6"/>
        <v>2</v>
      </c>
      <c r="AN33" s="430"/>
      <c r="AO33" s="181">
        <v>5</v>
      </c>
      <c r="AP33" s="165">
        <v>1436.4705882352991</v>
      </c>
      <c r="AQ33" s="179">
        <v>287.29411764705981</v>
      </c>
      <c r="AR33" s="181">
        <f t="shared" si="7"/>
        <v>3</v>
      </c>
      <c r="AS33" s="410"/>
      <c r="AT33" s="181">
        <v>5</v>
      </c>
      <c r="AU33" s="165">
        <v>1435.7142857142826</v>
      </c>
      <c r="AV33" s="179">
        <v>287.14285714285654</v>
      </c>
      <c r="AW33" s="181">
        <f t="shared" si="8"/>
        <v>3</v>
      </c>
      <c r="AX33" s="410"/>
    </row>
    <row r="34" spans="2:50">
      <c r="B34" s="400"/>
      <c r="C34" s="181">
        <v>8</v>
      </c>
      <c r="D34" s="181" t="s">
        <v>241</v>
      </c>
      <c r="E34" s="181">
        <v>10</v>
      </c>
      <c r="F34" s="181">
        <v>1465.1999999999982</v>
      </c>
      <c r="G34" s="165">
        <v>146.51999999999981</v>
      </c>
      <c r="H34" s="413"/>
      <c r="I34" s="165">
        <f>AVERAGE(P34,U34,Z34,AE34,AJ34,AO34,AT34)</f>
        <v>10</v>
      </c>
      <c r="J34" s="165">
        <f>AVERAGE(Q34,V34,AA34,AF34,AK34,AP34,AU34)</f>
        <v>1476.1714285714299</v>
      </c>
      <c r="K34" s="179">
        <f>AVERAGE(R34,W34,AB34,AG34,AL34,AQ34,AV34)</f>
        <v>147.61714285714297</v>
      </c>
      <c r="L34" s="413"/>
      <c r="M34" s="180">
        <f>RANK(K34, K$27:$K$41)</f>
        <v>6</v>
      </c>
      <c r="N34" s="401"/>
      <c r="O34" s="401"/>
      <c r="P34" s="181">
        <v>10</v>
      </c>
      <c r="Q34" s="165">
        <v>1465.1999999999982</v>
      </c>
      <c r="R34" s="179">
        <v>146.51999999999981</v>
      </c>
      <c r="S34" s="181">
        <f t="shared" si="2"/>
        <v>6</v>
      </c>
      <c r="T34" s="430"/>
      <c r="U34" s="181">
        <v>10</v>
      </c>
      <c r="V34" s="165">
        <v>1408.0000000000025</v>
      </c>
      <c r="W34" s="179">
        <v>140.80000000000024</v>
      </c>
      <c r="X34" s="181">
        <f t="shared" si="3"/>
        <v>6</v>
      </c>
      <c r="Y34" s="430"/>
      <c r="Z34" s="181">
        <v>10</v>
      </c>
      <c r="AA34" s="165">
        <v>1526.0000000000016</v>
      </c>
      <c r="AB34" s="179">
        <v>152.60000000000016</v>
      </c>
      <c r="AC34" s="181">
        <f t="shared" si="4"/>
        <v>6</v>
      </c>
      <c r="AD34" s="430"/>
      <c r="AE34" s="181">
        <v>10</v>
      </c>
      <c r="AF34" s="165">
        <v>1411.200000000005</v>
      </c>
      <c r="AG34" s="179">
        <v>141.12000000000052</v>
      </c>
      <c r="AH34" s="181">
        <f t="shared" si="5"/>
        <v>5</v>
      </c>
      <c r="AI34" s="430"/>
      <c r="AJ34" s="181">
        <v>10</v>
      </c>
      <c r="AK34" s="165">
        <v>1444.8000000000004</v>
      </c>
      <c r="AL34" s="179">
        <v>144.48000000000005</v>
      </c>
      <c r="AM34" s="181">
        <f t="shared" si="6"/>
        <v>6</v>
      </c>
      <c r="AN34" s="430"/>
      <c r="AO34" s="181">
        <v>10</v>
      </c>
      <c r="AP34" s="165">
        <v>1566.0000000000016</v>
      </c>
      <c r="AQ34" s="179">
        <v>156.60000000000016</v>
      </c>
      <c r="AR34" s="181">
        <f t="shared" si="7"/>
        <v>6</v>
      </c>
      <c r="AS34" s="410"/>
      <c r="AT34" s="181">
        <v>10</v>
      </c>
      <c r="AU34" s="165">
        <v>1512.0000000000005</v>
      </c>
      <c r="AV34" s="179">
        <v>151.20000000000005</v>
      </c>
      <c r="AW34" s="181">
        <f t="shared" si="8"/>
        <v>5</v>
      </c>
      <c r="AX34" s="410"/>
    </row>
    <row r="35" spans="2:50">
      <c r="B35" s="400"/>
      <c r="C35" s="181">
        <v>9</v>
      </c>
      <c r="D35" s="181"/>
      <c r="E35" s="181"/>
      <c r="F35" s="181"/>
      <c r="G35" s="165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81"/>
      <c r="Q35" s="165"/>
      <c r="R35" s="179"/>
      <c r="S35" s="181" t="e">
        <f t="shared" si="2"/>
        <v>#N/A</v>
      </c>
      <c r="T35" s="430"/>
      <c r="U35" s="181"/>
      <c r="V35" s="165"/>
      <c r="W35" s="179"/>
      <c r="X35" s="181" t="e">
        <f t="shared" si="3"/>
        <v>#N/A</v>
      </c>
      <c r="Y35" s="430"/>
      <c r="Z35" s="181"/>
      <c r="AA35" s="165"/>
      <c r="AB35" s="179"/>
      <c r="AC35" s="181" t="e">
        <f t="shared" si="4"/>
        <v>#N/A</v>
      </c>
      <c r="AD35" s="430"/>
      <c r="AE35" s="181"/>
      <c r="AF35" s="165"/>
      <c r="AG35" s="179"/>
      <c r="AH35" s="181" t="e">
        <f t="shared" si="5"/>
        <v>#N/A</v>
      </c>
      <c r="AI35" s="430"/>
      <c r="AJ35" s="181"/>
      <c r="AK35" s="165"/>
      <c r="AL35" s="179"/>
      <c r="AM35" s="181" t="e">
        <f t="shared" si="6"/>
        <v>#N/A</v>
      </c>
      <c r="AN35" s="430"/>
      <c r="AO35" s="181"/>
      <c r="AP35" s="165"/>
      <c r="AQ35" s="179"/>
      <c r="AR35" s="181" t="e">
        <f t="shared" si="7"/>
        <v>#N/A</v>
      </c>
      <c r="AS35" s="410"/>
      <c r="AT35" s="181"/>
      <c r="AU35" s="165"/>
      <c r="AV35" s="179"/>
      <c r="AW35" s="181" t="e">
        <f t="shared" si="8"/>
        <v>#N/A</v>
      </c>
      <c r="AX35" s="410"/>
    </row>
    <row r="36" spans="2:50">
      <c r="B36" s="400"/>
      <c r="C36" s="181">
        <v>10</v>
      </c>
      <c r="D36" s="181"/>
      <c r="E36" s="181"/>
      <c r="F36" s="181"/>
      <c r="G36" s="165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81"/>
      <c r="Q36" s="165"/>
      <c r="R36" s="179"/>
      <c r="S36" s="181" t="e">
        <f t="shared" si="2"/>
        <v>#N/A</v>
      </c>
      <c r="T36" s="430"/>
      <c r="U36" s="181"/>
      <c r="V36" s="165"/>
      <c r="W36" s="179"/>
      <c r="X36" s="181" t="e">
        <f t="shared" si="3"/>
        <v>#N/A</v>
      </c>
      <c r="Y36" s="430"/>
      <c r="Z36" s="181"/>
      <c r="AA36" s="165"/>
      <c r="AB36" s="179"/>
      <c r="AC36" s="181" t="e">
        <f t="shared" si="4"/>
        <v>#N/A</v>
      </c>
      <c r="AD36" s="430"/>
      <c r="AE36" s="181"/>
      <c r="AF36" s="165"/>
      <c r="AG36" s="179"/>
      <c r="AH36" s="181" t="e">
        <f t="shared" si="5"/>
        <v>#N/A</v>
      </c>
      <c r="AI36" s="430"/>
      <c r="AJ36" s="181"/>
      <c r="AK36" s="165"/>
      <c r="AL36" s="179"/>
      <c r="AM36" s="181" t="e">
        <f t="shared" si="6"/>
        <v>#N/A</v>
      </c>
      <c r="AN36" s="430"/>
      <c r="AO36" s="181"/>
      <c r="AP36" s="165"/>
      <c r="AQ36" s="179"/>
      <c r="AR36" s="181" t="e">
        <f t="shared" si="7"/>
        <v>#N/A</v>
      </c>
      <c r="AS36" s="410"/>
      <c r="AT36" s="181"/>
      <c r="AU36" s="165"/>
      <c r="AV36" s="179"/>
      <c r="AW36" s="181" t="e">
        <f t="shared" si="8"/>
        <v>#N/A</v>
      </c>
      <c r="AX36" s="410"/>
    </row>
    <row r="37" spans="2:50">
      <c r="B37" s="400"/>
      <c r="C37" s="181">
        <v>11</v>
      </c>
      <c r="D37" s="181"/>
      <c r="E37" s="181"/>
      <c r="F37" s="181"/>
      <c r="G37" s="165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81"/>
      <c r="Q37" s="181"/>
      <c r="R37" s="181"/>
      <c r="S37" s="181" t="e">
        <f t="shared" si="2"/>
        <v>#N/A</v>
      </c>
      <c r="T37" s="430"/>
      <c r="U37" s="181"/>
      <c r="V37" s="181"/>
      <c r="W37" s="181"/>
      <c r="X37" s="181" t="e">
        <f t="shared" si="3"/>
        <v>#N/A</v>
      </c>
      <c r="Y37" s="430"/>
      <c r="Z37" s="181"/>
      <c r="AA37" s="181"/>
      <c r="AB37" s="181"/>
      <c r="AC37" s="181" t="e">
        <f t="shared" si="4"/>
        <v>#N/A</v>
      </c>
      <c r="AD37" s="430"/>
      <c r="AE37" s="181"/>
      <c r="AF37" s="181"/>
      <c r="AG37" s="181"/>
      <c r="AH37" s="181" t="e">
        <f t="shared" si="5"/>
        <v>#N/A</v>
      </c>
      <c r="AI37" s="430"/>
      <c r="AJ37" s="181"/>
      <c r="AK37" s="181"/>
      <c r="AL37" s="181"/>
      <c r="AM37" s="181" t="e">
        <f t="shared" si="6"/>
        <v>#N/A</v>
      </c>
      <c r="AN37" s="430"/>
      <c r="AO37" s="181"/>
      <c r="AP37" s="181"/>
      <c r="AQ37" s="181"/>
      <c r="AR37" s="181" t="e">
        <f t="shared" si="7"/>
        <v>#N/A</v>
      </c>
      <c r="AS37" s="410"/>
      <c r="AT37" s="181"/>
      <c r="AU37" s="181"/>
      <c r="AV37" s="181"/>
      <c r="AW37" s="181" t="e">
        <f t="shared" si="8"/>
        <v>#N/A</v>
      </c>
      <c r="AX37" s="410"/>
    </row>
    <row r="38" spans="2:50">
      <c r="B38" s="400"/>
      <c r="C38" s="181">
        <v>12</v>
      </c>
      <c r="D38" s="181"/>
      <c r="E38" s="181"/>
      <c r="F38" s="181"/>
      <c r="G38" s="165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81"/>
      <c r="Q38" s="181"/>
      <c r="R38" s="181"/>
      <c r="S38" s="181" t="e">
        <f t="shared" si="2"/>
        <v>#N/A</v>
      </c>
      <c r="T38" s="430"/>
      <c r="U38" s="181"/>
      <c r="V38" s="181"/>
      <c r="W38" s="181"/>
      <c r="X38" s="181" t="e">
        <f t="shared" si="3"/>
        <v>#N/A</v>
      </c>
      <c r="Y38" s="430"/>
      <c r="Z38" s="181"/>
      <c r="AA38" s="181"/>
      <c r="AB38" s="181"/>
      <c r="AC38" s="181" t="e">
        <f t="shared" si="4"/>
        <v>#N/A</v>
      </c>
      <c r="AD38" s="430"/>
      <c r="AE38" s="181"/>
      <c r="AF38" s="181"/>
      <c r="AG38" s="181"/>
      <c r="AH38" s="181" t="e">
        <f t="shared" si="5"/>
        <v>#N/A</v>
      </c>
      <c r="AI38" s="430"/>
      <c r="AJ38" s="181"/>
      <c r="AK38" s="181"/>
      <c r="AL38" s="181"/>
      <c r="AM38" s="181" t="e">
        <f t="shared" si="6"/>
        <v>#N/A</v>
      </c>
      <c r="AN38" s="430"/>
      <c r="AO38" s="181"/>
      <c r="AP38" s="181"/>
      <c r="AQ38" s="181"/>
      <c r="AR38" s="181" t="e">
        <f t="shared" si="7"/>
        <v>#N/A</v>
      </c>
      <c r="AS38" s="410"/>
      <c r="AT38" s="181"/>
      <c r="AU38" s="181"/>
      <c r="AV38" s="181"/>
      <c r="AW38" s="181" t="e">
        <f t="shared" si="8"/>
        <v>#N/A</v>
      </c>
      <c r="AX38" s="410"/>
    </row>
    <row r="39" spans="2:50">
      <c r="B39" s="400"/>
      <c r="C39" s="181">
        <v>13</v>
      </c>
      <c r="D39" s="181"/>
      <c r="E39" s="181"/>
      <c r="F39" s="181"/>
      <c r="G39" s="165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81"/>
      <c r="Q39" s="181"/>
      <c r="R39" s="181"/>
      <c r="S39" s="181" t="e">
        <f t="shared" si="2"/>
        <v>#N/A</v>
      </c>
      <c r="T39" s="430"/>
      <c r="U39" s="181"/>
      <c r="V39" s="181"/>
      <c r="W39" s="181"/>
      <c r="X39" s="181" t="e">
        <f t="shared" si="3"/>
        <v>#N/A</v>
      </c>
      <c r="Y39" s="430"/>
      <c r="Z39" s="181"/>
      <c r="AA39" s="181"/>
      <c r="AB39" s="181"/>
      <c r="AC39" s="181" t="e">
        <f t="shared" si="4"/>
        <v>#N/A</v>
      </c>
      <c r="AD39" s="430"/>
      <c r="AE39" s="181"/>
      <c r="AF39" s="181"/>
      <c r="AG39" s="181"/>
      <c r="AH39" s="181" t="e">
        <f t="shared" si="5"/>
        <v>#N/A</v>
      </c>
      <c r="AI39" s="430"/>
      <c r="AJ39" s="181"/>
      <c r="AK39" s="181"/>
      <c r="AL39" s="181"/>
      <c r="AM39" s="181" t="e">
        <f t="shared" si="6"/>
        <v>#N/A</v>
      </c>
      <c r="AN39" s="430"/>
      <c r="AO39" s="181"/>
      <c r="AP39" s="181"/>
      <c r="AQ39" s="181"/>
      <c r="AR39" s="181" t="e">
        <f t="shared" si="7"/>
        <v>#N/A</v>
      </c>
      <c r="AS39" s="410"/>
      <c r="AT39" s="181"/>
      <c r="AU39" s="181"/>
      <c r="AV39" s="181"/>
      <c r="AW39" s="181" t="e">
        <f t="shared" si="8"/>
        <v>#N/A</v>
      </c>
      <c r="AX39" s="410"/>
    </row>
    <row r="40" spans="2:50">
      <c r="B40" s="400"/>
      <c r="C40" s="181">
        <v>14</v>
      </c>
      <c r="D40" s="181"/>
      <c r="E40" s="181"/>
      <c r="F40" s="181"/>
      <c r="G40" s="165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81"/>
      <c r="Q40" s="181"/>
      <c r="R40" s="181"/>
      <c r="S40" s="181" t="e">
        <f t="shared" si="2"/>
        <v>#N/A</v>
      </c>
      <c r="T40" s="430"/>
      <c r="U40" s="181"/>
      <c r="V40" s="181"/>
      <c r="W40" s="181"/>
      <c r="X40" s="181" t="e">
        <f t="shared" si="3"/>
        <v>#N/A</v>
      </c>
      <c r="Y40" s="430"/>
      <c r="Z40" s="181"/>
      <c r="AA40" s="181"/>
      <c r="AB40" s="181"/>
      <c r="AC40" s="181" t="e">
        <f t="shared" si="4"/>
        <v>#N/A</v>
      </c>
      <c r="AD40" s="430"/>
      <c r="AE40" s="181"/>
      <c r="AF40" s="181"/>
      <c r="AG40" s="181"/>
      <c r="AH40" s="181" t="e">
        <f t="shared" si="5"/>
        <v>#N/A</v>
      </c>
      <c r="AI40" s="430"/>
      <c r="AJ40" s="181"/>
      <c r="AK40" s="181"/>
      <c r="AL40" s="181"/>
      <c r="AM40" s="181" t="e">
        <f t="shared" si="6"/>
        <v>#N/A</v>
      </c>
      <c r="AN40" s="430"/>
      <c r="AO40" s="181"/>
      <c r="AP40" s="181"/>
      <c r="AQ40" s="181"/>
      <c r="AR40" s="181" t="e">
        <f t="shared" si="7"/>
        <v>#N/A</v>
      </c>
      <c r="AS40" s="410"/>
      <c r="AT40" s="181"/>
      <c r="AU40" s="181"/>
      <c r="AV40" s="181"/>
      <c r="AW40" s="181" t="e">
        <f t="shared" si="8"/>
        <v>#N/A</v>
      </c>
      <c r="AX40" s="410"/>
    </row>
    <row r="41" spans="2:50">
      <c r="B41" s="400"/>
      <c r="C41" s="181">
        <v>15</v>
      </c>
      <c r="D41" s="181"/>
      <c r="E41" s="181"/>
      <c r="F41" s="181"/>
      <c r="G41" s="181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81"/>
      <c r="Q41" s="181"/>
      <c r="R41" s="181"/>
      <c r="S41" s="181" t="e">
        <f t="shared" si="2"/>
        <v>#N/A</v>
      </c>
      <c r="T41" s="430"/>
      <c r="U41" s="181"/>
      <c r="V41" s="181"/>
      <c r="W41" s="181"/>
      <c r="X41" s="181" t="e">
        <f t="shared" si="3"/>
        <v>#N/A</v>
      </c>
      <c r="Y41" s="430"/>
      <c r="Z41" s="181"/>
      <c r="AA41" s="181"/>
      <c r="AB41" s="181"/>
      <c r="AC41" s="181" t="e">
        <f t="shared" si="4"/>
        <v>#N/A</v>
      </c>
      <c r="AD41" s="430"/>
      <c r="AE41" s="181"/>
      <c r="AF41" s="181"/>
      <c r="AG41" s="181"/>
      <c r="AH41" s="181" t="e">
        <f t="shared" si="5"/>
        <v>#N/A</v>
      </c>
      <c r="AI41" s="430"/>
      <c r="AJ41" s="181"/>
      <c r="AK41" s="181"/>
      <c r="AL41" s="181"/>
      <c r="AM41" s="181" t="e">
        <f t="shared" si="6"/>
        <v>#N/A</v>
      </c>
      <c r="AN41" s="430"/>
      <c r="AO41" s="181"/>
      <c r="AP41" s="181"/>
      <c r="AQ41" s="181"/>
      <c r="AR41" s="181" t="e">
        <f t="shared" si="7"/>
        <v>#N/A</v>
      </c>
      <c r="AS41" s="411"/>
      <c r="AT41" s="181"/>
      <c r="AU41" s="181"/>
      <c r="AV41" s="181"/>
      <c r="AW41" s="181" t="e">
        <f t="shared" si="8"/>
        <v>#N/A</v>
      </c>
      <c r="AX41" s="411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29" t="s">
        <v>233</v>
      </c>
      <c r="C47" s="181">
        <v>1</v>
      </c>
      <c r="D47" s="181" t="s">
        <v>235</v>
      </c>
      <c r="E47" s="181">
        <v>10</v>
      </c>
      <c r="F47" s="181">
        <v>1500</v>
      </c>
      <c r="G47" s="181">
        <v>150</v>
      </c>
      <c r="H47" s="412">
        <f>AVERAGE(G47:G61)</f>
        <v>198.57142857142858</v>
      </c>
      <c r="I47" s="165">
        <f>AVERAGE(P47,U47,Z47,AE47,AJ47,AO47,AT47)</f>
        <v>10</v>
      </c>
      <c r="J47" s="165">
        <f>AVERAGE(Q47,V47,AA47,AF47,AK47,AP47,AU47)</f>
        <v>1453.9285714285736</v>
      </c>
      <c r="K47" s="179">
        <f>AVERAGE(R47,W47,AB47,AG47,AL47,AQ47,AV47)</f>
        <v>145.39285714285734</v>
      </c>
      <c r="L47" s="412">
        <f>IFERROR(AVERAGE(K47:K61),"-")</f>
        <v>209.23228734889648</v>
      </c>
      <c r="M47" s="180">
        <f>RANK(K47, K$47:$K$61)</f>
        <v>6</v>
      </c>
      <c r="N47" s="401"/>
      <c r="O47" s="401"/>
      <c r="P47" s="181">
        <v>10</v>
      </c>
      <c r="Q47" s="165">
        <v>1359.0000000000023</v>
      </c>
      <c r="R47" s="179">
        <v>135.90000000000023</v>
      </c>
      <c r="S47" s="181">
        <f>RANK(R47, R$47:R$61)</f>
        <v>7</v>
      </c>
      <c r="T47" s="430">
        <f>AVERAGE(R47:R61)</f>
        <v>208.98637394351687</v>
      </c>
      <c r="U47" s="181">
        <v>10</v>
      </c>
      <c r="V47" s="165">
        <v>1541.1428571428555</v>
      </c>
      <c r="W47" s="179">
        <v>154.11428571428556</v>
      </c>
      <c r="X47" s="181">
        <f>RANK(W47, W$47:W$61)</f>
        <v>4</v>
      </c>
      <c r="Y47" s="430">
        <f>AVERAGE(W47:W61)</f>
        <v>208.47505668934221</v>
      </c>
      <c r="Z47" s="181">
        <v>10</v>
      </c>
      <c r="AA47" s="165">
        <v>1498.2857142857163</v>
      </c>
      <c r="AB47" s="179">
        <v>149.82857142857162</v>
      </c>
      <c r="AC47" s="181">
        <f>RANK(AB47, AB$47:AB$61)</f>
        <v>4</v>
      </c>
      <c r="AD47" s="430">
        <f>AVERAGE(AB47:AB61)</f>
        <v>205.08849492051473</v>
      </c>
      <c r="AE47" s="181">
        <v>10</v>
      </c>
      <c r="AF47" s="165">
        <v>1436.0000000000014</v>
      </c>
      <c r="AG47" s="179">
        <v>143.60000000000014</v>
      </c>
      <c r="AH47" s="181">
        <f>RANK(AG47, AG$47:AG$61)</f>
        <v>4</v>
      </c>
      <c r="AI47" s="430">
        <f>AVERAGE(AG47:AG61)</f>
        <v>203.73928571428587</v>
      </c>
      <c r="AJ47" s="181">
        <v>10</v>
      </c>
      <c r="AK47" s="165">
        <v>1408.0000000000014</v>
      </c>
      <c r="AL47" s="179">
        <v>140.80000000000013</v>
      </c>
      <c r="AM47" s="181">
        <f>RANK(AL47, AL$47:AL$61)</f>
        <v>6</v>
      </c>
      <c r="AN47" s="430">
        <f>AVERAGE(AL47:AL61)</f>
        <v>204.10102040816332</v>
      </c>
      <c r="AO47" s="181">
        <v>10</v>
      </c>
      <c r="AP47" s="165">
        <v>1438.5000000000023</v>
      </c>
      <c r="AQ47" s="179">
        <v>143.85000000000022</v>
      </c>
      <c r="AR47" s="181">
        <f>RANK(AQ47, AQ$47:AQ$61)</f>
        <v>6</v>
      </c>
      <c r="AS47" s="409">
        <f>AVERAGE(AQ47:AQ61)</f>
        <v>211.23396570749509</v>
      </c>
      <c r="AT47" s="181">
        <v>10</v>
      </c>
      <c r="AU47" s="165">
        <v>1496.5714285714341</v>
      </c>
      <c r="AV47" s="179">
        <v>149.65714285714341</v>
      </c>
      <c r="AW47" s="181">
        <f>RANK(AV47, AV$47:AV$61)</f>
        <v>5</v>
      </c>
      <c r="AX47" s="409">
        <f>AVERAGE(AV47:AV61)</f>
        <v>223.00181405895728</v>
      </c>
    </row>
    <row r="48" spans="2:50">
      <c r="B48" s="400"/>
      <c r="C48" s="181">
        <v>2</v>
      </c>
      <c r="D48" s="181" t="s">
        <v>236</v>
      </c>
      <c r="E48" s="181">
        <v>15</v>
      </c>
      <c r="F48" s="181">
        <v>1800</v>
      </c>
      <c r="G48" s="181">
        <v>120</v>
      </c>
      <c r="H48" s="413"/>
      <c r="I48" s="165">
        <f t="shared" ref="I48:I53" si="12">AVERAGE(P48,U48,Z48,AE48,AJ48,AO48,AT48)</f>
        <v>12</v>
      </c>
      <c r="J48" s="165">
        <f t="shared" ref="J48:J53" si="13">AVERAGE(Q48,V48,AA48,AF48,AK48,AP48,AU48)</f>
        <v>1774.8952380952371</v>
      </c>
      <c r="K48" s="179">
        <f t="shared" ref="K48:K53" si="14">AVERAGE(R48,W48,AB48,AG48,AL48,AQ48,AV48)</f>
        <v>147.90793650793645</v>
      </c>
      <c r="L48" s="413"/>
      <c r="M48" s="180">
        <f>RANK(K48, K$47:$K$61)</f>
        <v>5</v>
      </c>
      <c r="N48" s="401"/>
      <c r="O48" s="401"/>
      <c r="P48" s="181">
        <v>12</v>
      </c>
      <c r="Q48" s="165">
        <v>1872</v>
      </c>
      <c r="R48" s="179">
        <v>156</v>
      </c>
      <c r="S48" s="181">
        <f t="shared" ref="S48:S61" si="15">RANK(R48, R$47:R$61)</f>
        <v>4</v>
      </c>
      <c r="T48" s="430"/>
      <c r="U48" s="181">
        <v>12</v>
      </c>
      <c r="V48" s="165">
        <v>1694.3999999999978</v>
      </c>
      <c r="W48" s="179">
        <v>141.19999999999982</v>
      </c>
      <c r="X48" s="181">
        <f t="shared" ref="X48:X61" si="16">RANK(W48, W$47:W$61)</f>
        <v>6</v>
      </c>
      <c r="Y48" s="430"/>
      <c r="Z48" s="181">
        <v>12</v>
      </c>
      <c r="AA48" s="165">
        <v>1794.6666666666667</v>
      </c>
      <c r="AB48" s="179">
        <v>149.55555555555557</v>
      </c>
      <c r="AC48" s="181">
        <f t="shared" ref="AC48:AC61" si="17">RANK(AB48, AB$47:AB$61)</f>
        <v>5</v>
      </c>
      <c r="AD48" s="430"/>
      <c r="AE48" s="181">
        <v>12</v>
      </c>
      <c r="AF48" s="165">
        <v>1697.9999999999957</v>
      </c>
      <c r="AG48" s="179">
        <v>141.49999999999963</v>
      </c>
      <c r="AH48" s="181">
        <f t="shared" ref="AH48:AH61" si="18">RANK(AG48, AG$47:AG$61)</f>
        <v>6</v>
      </c>
      <c r="AI48" s="430"/>
      <c r="AJ48" s="181">
        <v>12</v>
      </c>
      <c r="AK48" s="165">
        <v>1740.0000000000027</v>
      </c>
      <c r="AL48" s="179">
        <v>145.00000000000023</v>
      </c>
      <c r="AM48" s="181">
        <f t="shared" ref="AM48:AM61" si="19">RANK(AL48, AL$47:AL$61)</f>
        <v>5</v>
      </c>
      <c r="AN48" s="430"/>
      <c r="AO48" s="181">
        <v>12</v>
      </c>
      <c r="AP48" s="165">
        <v>1848.0000000000005</v>
      </c>
      <c r="AQ48" s="179">
        <v>154.00000000000003</v>
      </c>
      <c r="AR48" s="181">
        <f t="shared" ref="AR48:AR61" si="20">RANK(AQ48, AQ$47:AQ$61)</f>
        <v>5</v>
      </c>
      <c r="AS48" s="410"/>
      <c r="AT48" s="181">
        <v>12</v>
      </c>
      <c r="AU48" s="165">
        <v>1777.1999999999978</v>
      </c>
      <c r="AV48" s="179">
        <v>148.09999999999982</v>
      </c>
      <c r="AW48" s="181">
        <f t="shared" ref="AW48:AW61" si="21">RANK(AV48, AV$47:AV$61)</f>
        <v>6</v>
      </c>
      <c r="AX48" s="410"/>
    </row>
    <row r="49" spans="2:50">
      <c r="B49" s="400"/>
      <c r="C49" s="181">
        <v>3</v>
      </c>
      <c r="D49" s="181" t="s">
        <v>237</v>
      </c>
      <c r="E49" s="181">
        <v>15</v>
      </c>
      <c r="F49" s="181">
        <v>1800</v>
      </c>
      <c r="G49" s="181">
        <v>120</v>
      </c>
      <c r="H49" s="413"/>
      <c r="I49" s="165">
        <f t="shared" si="12"/>
        <v>12</v>
      </c>
      <c r="J49" s="165">
        <f t="shared" si="13"/>
        <v>1842.3979591836726</v>
      </c>
      <c r="K49" s="179">
        <f t="shared" si="14"/>
        <v>153.53316326530606</v>
      </c>
      <c r="L49" s="413"/>
      <c r="M49" s="180">
        <f>RANK(K49, K$47:$K$61)</f>
        <v>4</v>
      </c>
      <c r="N49" s="401"/>
      <c r="O49" s="401"/>
      <c r="P49" s="181">
        <v>12</v>
      </c>
      <c r="Q49" s="165">
        <v>1861.3333333333333</v>
      </c>
      <c r="R49" s="179">
        <v>155.11111111111111</v>
      </c>
      <c r="S49" s="181">
        <f t="shared" si="15"/>
        <v>5</v>
      </c>
      <c r="T49" s="430"/>
      <c r="U49" s="181">
        <v>12</v>
      </c>
      <c r="V49" s="165">
        <v>1777.3333333333335</v>
      </c>
      <c r="W49" s="179">
        <v>148.11111111111111</v>
      </c>
      <c r="X49" s="181">
        <f t="shared" si="16"/>
        <v>5</v>
      </c>
      <c r="Y49" s="430"/>
      <c r="Z49" s="181">
        <v>12</v>
      </c>
      <c r="AA49" s="165">
        <v>1713.3333333333335</v>
      </c>
      <c r="AB49" s="179">
        <v>142.7777777777778</v>
      </c>
      <c r="AC49" s="181">
        <f t="shared" si="17"/>
        <v>6</v>
      </c>
      <c r="AD49" s="430"/>
      <c r="AE49" s="181">
        <v>12</v>
      </c>
      <c r="AF49" s="165">
        <v>1702.4999999999957</v>
      </c>
      <c r="AG49" s="179">
        <v>141.87499999999963</v>
      </c>
      <c r="AH49" s="181">
        <f t="shared" si="18"/>
        <v>5</v>
      </c>
      <c r="AI49" s="430"/>
      <c r="AJ49" s="181">
        <v>12</v>
      </c>
      <c r="AK49" s="165">
        <v>1954.2857142857124</v>
      </c>
      <c r="AL49" s="179">
        <v>162.85714285714269</v>
      </c>
      <c r="AM49" s="181">
        <f t="shared" si="19"/>
        <v>4</v>
      </c>
      <c r="AN49" s="430"/>
      <c r="AO49" s="181">
        <v>12</v>
      </c>
      <c r="AP49" s="165">
        <v>1985.3333333333333</v>
      </c>
      <c r="AQ49" s="179">
        <v>165.44444444444443</v>
      </c>
      <c r="AR49" s="181">
        <f t="shared" si="20"/>
        <v>4</v>
      </c>
      <c r="AS49" s="410"/>
      <c r="AT49" s="181">
        <v>12</v>
      </c>
      <c r="AU49" s="165">
        <v>1902.6666666666667</v>
      </c>
      <c r="AV49" s="179">
        <v>158.55555555555557</v>
      </c>
      <c r="AW49" s="181">
        <f t="shared" si="21"/>
        <v>4</v>
      </c>
      <c r="AX49" s="410"/>
    </row>
    <row r="50" spans="2:50">
      <c r="B50" s="400"/>
      <c r="C50" s="181">
        <v>4</v>
      </c>
      <c r="D50" s="181" t="s">
        <v>238</v>
      </c>
      <c r="E50" s="181">
        <v>6</v>
      </c>
      <c r="F50" s="181">
        <v>1500</v>
      </c>
      <c r="G50" s="181">
        <v>250</v>
      </c>
      <c r="H50" s="413"/>
      <c r="I50" s="165">
        <f t="shared" si="12"/>
        <v>5</v>
      </c>
      <c r="J50" s="165">
        <f t="shared" si="13"/>
        <v>1457.0876623376621</v>
      </c>
      <c r="K50" s="179">
        <f t="shared" si="14"/>
        <v>291.4175324675324</v>
      </c>
      <c r="L50" s="413"/>
      <c r="M50" s="180">
        <f>RANK(K50, K$47:$K$61)</f>
        <v>3</v>
      </c>
      <c r="N50" s="401"/>
      <c r="O50" s="401"/>
      <c r="P50" s="181">
        <v>5</v>
      </c>
      <c r="Q50" s="165">
        <v>1478.9999999999995</v>
      </c>
      <c r="R50" s="179">
        <v>295.7999999999999</v>
      </c>
      <c r="S50" s="181">
        <f t="shared" si="15"/>
        <v>1</v>
      </c>
      <c r="T50" s="430"/>
      <c r="U50" s="181">
        <v>5</v>
      </c>
      <c r="V50" s="165">
        <v>1451.9999999999995</v>
      </c>
      <c r="W50" s="179">
        <v>290.39999999999992</v>
      </c>
      <c r="X50" s="181">
        <f t="shared" si="16"/>
        <v>3</v>
      </c>
      <c r="Y50" s="430"/>
      <c r="Z50" s="181">
        <v>5</v>
      </c>
      <c r="AA50" s="165">
        <v>1439.9999999999989</v>
      </c>
      <c r="AB50" s="179">
        <v>287.99999999999977</v>
      </c>
      <c r="AC50" s="181">
        <f t="shared" si="17"/>
        <v>3</v>
      </c>
      <c r="AD50" s="430"/>
      <c r="AE50" s="181">
        <v>5</v>
      </c>
      <c r="AF50" s="165">
        <v>1484.0000000000014</v>
      </c>
      <c r="AG50" s="179">
        <v>296.8000000000003</v>
      </c>
      <c r="AH50" s="181">
        <f t="shared" si="18"/>
        <v>2</v>
      </c>
      <c r="AI50" s="430"/>
      <c r="AJ50" s="181">
        <v>5</v>
      </c>
      <c r="AK50" s="165">
        <v>1421.2499999999982</v>
      </c>
      <c r="AL50" s="179">
        <v>284.24999999999966</v>
      </c>
      <c r="AM50" s="181">
        <f t="shared" si="19"/>
        <v>3</v>
      </c>
      <c r="AN50" s="430"/>
      <c r="AO50" s="181">
        <v>5</v>
      </c>
      <c r="AP50" s="165">
        <v>1456.3636363636365</v>
      </c>
      <c r="AQ50" s="179">
        <v>291.27272727272731</v>
      </c>
      <c r="AR50" s="181">
        <f t="shared" si="20"/>
        <v>3</v>
      </c>
      <c r="AS50" s="410"/>
      <c r="AT50" s="181">
        <v>5</v>
      </c>
      <c r="AU50" s="165">
        <v>1466.9999999999995</v>
      </c>
      <c r="AV50" s="179">
        <v>293.39999999999992</v>
      </c>
      <c r="AW50" s="181">
        <f t="shared" si="21"/>
        <v>2</v>
      </c>
      <c r="AX50" s="410"/>
    </row>
    <row r="51" spans="2:50">
      <c r="B51" s="400"/>
      <c r="C51" s="181">
        <v>5</v>
      </c>
      <c r="D51" s="181" t="s">
        <v>239</v>
      </c>
      <c r="E51" s="181">
        <v>5</v>
      </c>
      <c r="F51" s="181">
        <v>1500</v>
      </c>
      <c r="G51" s="181">
        <v>300</v>
      </c>
      <c r="H51" s="413"/>
      <c r="I51" s="165">
        <f t="shared" si="12"/>
        <v>5</v>
      </c>
      <c r="J51" s="165">
        <f t="shared" si="13"/>
        <v>1478.1724533073425</v>
      </c>
      <c r="K51" s="179">
        <f t="shared" si="14"/>
        <v>295.63449066146853</v>
      </c>
      <c r="L51" s="413"/>
      <c r="M51" s="180">
        <f>RANK(K51, K$47:$K$61)</f>
        <v>2</v>
      </c>
      <c r="N51" s="401"/>
      <c r="O51" s="401"/>
      <c r="P51" s="181">
        <v>5</v>
      </c>
      <c r="Q51" s="165">
        <v>1478.1818181818196</v>
      </c>
      <c r="R51" s="179">
        <v>295.63636363636391</v>
      </c>
      <c r="S51" s="181">
        <f t="shared" si="15"/>
        <v>2</v>
      </c>
      <c r="T51" s="430"/>
      <c r="U51" s="181">
        <v>5</v>
      </c>
      <c r="V51" s="165">
        <v>1483.9999999999991</v>
      </c>
      <c r="W51" s="179">
        <v>296.79999999999984</v>
      </c>
      <c r="X51" s="181">
        <f t="shared" si="16"/>
        <v>2</v>
      </c>
      <c r="Y51" s="430"/>
      <c r="Z51" s="181">
        <v>5</v>
      </c>
      <c r="AA51" s="165">
        <v>1475.1724137931046</v>
      </c>
      <c r="AB51" s="179">
        <v>295.03448275862092</v>
      </c>
      <c r="AC51" s="181">
        <f t="shared" si="17"/>
        <v>1</v>
      </c>
      <c r="AD51" s="430"/>
      <c r="AE51" s="181">
        <v>5</v>
      </c>
      <c r="AF51" s="165">
        <v>1500.000000000003</v>
      </c>
      <c r="AG51" s="179">
        <v>300.00000000000057</v>
      </c>
      <c r="AH51" s="181">
        <f t="shared" si="18"/>
        <v>1</v>
      </c>
      <c r="AI51" s="430"/>
      <c r="AJ51" s="181">
        <v>5</v>
      </c>
      <c r="AK51" s="165">
        <v>1464.9999999999977</v>
      </c>
      <c r="AL51" s="179">
        <v>292.99999999999955</v>
      </c>
      <c r="AM51" s="181">
        <f t="shared" si="19"/>
        <v>1</v>
      </c>
      <c r="AN51" s="430"/>
      <c r="AO51" s="181">
        <v>5</v>
      </c>
      <c r="AP51" s="165">
        <v>1482.3529411764723</v>
      </c>
      <c r="AQ51" s="179">
        <v>296.47058823529449</v>
      </c>
      <c r="AR51" s="181">
        <f t="shared" si="20"/>
        <v>2</v>
      </c>
      <c r="AS51" s="410"/>
      <c r="AT51" s="181">
        <v>5</v>
      </c>
      <c r="AU51" s="165">
        <v>1462.5000000000018</v>
      </c>
      <c r="AV51" s="179">
        <v>292.50000000000034</v>
      </c>
      <c r="AW51" s="181">
        <f t="shared" si="21"/>
        <v>3</v>
      </c>
      <c r="AX51" s="410"/>
    </row>
    <row r="52" spans="2:50">
      <c r="B52" s="400"/>
      <c r="C52" s="181">
        <v>6</v>
      </c>
      <c r="D52" s="181" t="s">
        <v>240</v>
      </c>
      <c r="E52" s="181">
        <v>5</v>
      </c>
      <c r="F52" s="181">
        <v>1500</v>
      </c>
      <c r="G52" s="181">
        <v>300</v>
      </c>
      <c r="H52" s="413"/>
      <c r="I52" s="165">
        <f t="shared" si="12"/>
        <v>5</v>
      </c>
      <c r="J52" s="165">
        <f t="shared" si="13"/>
        <v>1506.2715855573017</v>
      </c>
      <c r="K52" s="179">
        <f t="shared" si="14"/>
        <v>301.2543171114603</v>
      </c>
      <c r="L52" s="413"/>
      <c r="M52" s="180">
        <f>RANK(K52, K$47:$K$61)</f>
        <v>1</v>
      </c>
      <c r="N52" s="401"/>
      <c r="O52" s="401"/>
      <c r="P52" s="181">
        <v>5</v>
      </c>
      <c r="Q52" s="165">
        <v>1414.2857142857154</v>
      </c>
      <c r="R52" s="179">
        <v>282.85714285714306</v>
      </c>
      <c r="S52" s="181">
        <f t="shared" si="15"/>
        <v>3</v>
      </c>
      <c r="T52" s="430"/>
      <c r="U52" s="181">
        <v>5</v>
      </c>
      <c r="V52" s="165">
        <v>1484.9999999999952</v>
      </c>
      <c r="W52" s="179">
        <v>296.99999999999903</v>
      </c>
      <c r="X52" s="181">
        <f t="shared" si="16"/>
        <v>1</v>
      </c>
      <c r="Y52" s="430"/>
      <c r="Z52" s="181">
        <v>5</v>
      </c>
      <c r="AA52" s="165">
        <v>1444.6153846153854</v>
      </c>
      <c r="AB52" s="179">
        <v>288.92307692307708</v>
      </c>
      <c r="AC52" s="181">
        <f t="shared" si="17"/>
        <v>2</v>
      </c>
      <c r="AD52" s="430"/>
      <c r="AE52" s="181">
        <v>5</v>
      </c>
      <c r="AF52" s="165">
        <v>1416.000000000005</v>
      </c>
      <c r="AG52" s="179">
        <v>283.20000000000101</v>
      </c>
      <c r="AH52" s="181">
        <f t="shared" si="18"/>
        <v>3</v>
      </c>
      <c r="AI52" s="430"/>
      <c r="AJ52" s="181">
        <v>5</v>
      </c>
      <c r="AK52" s="165">
        <v>1428.0000000000052</v>
      </c>
      <c r="AL52" s="179">
        <v>285.60000000000105</v>
      </c>
      <c r="AM52" s="181">
        <f t="shared" si="19"/>
        <v>2</v>
      </c>
      <c r="AN52" s="430"/>
      <c r="AO52" s="181">
        <v>5</v>
      </c>
      <c r="AP52" s="165">
        <v>1495.9999999999973</v>
      </c>
      <c r="AQ52" s="179">
        <v>299.19999999999948</v>
      </c>
      <c r="AR52" s="181">
        <f t="shared" si="20"/>
        <v>1</v>
      </c>
      <c r="AS52" s="410"/>
      <c r="AT52" s="181">
        <v>5</v>
      </c>
      <c r="AU52" s="165">
        <v>1860.0000000000066</v>
      </c>
      <c r="AV52" s="179">
        <v>372.00000000000131</v>
      </c>
      <c r="AW52" s="181">
        <f t="shared" si="21"/>
        <v>1</v>
      </c>
      <c r="AX52" s="410"/>
    </row>
    <row r="53" spans="2:50">
      <c r="B53" s="400"/>
      <c r="C53" s="181">
        <v>7</v>
      </c>
      <c r="D53" s="181" t="s">
        <v>241</v>
      </c>
      <c r="E53" s="181">
        <v>10</v>
      </c>
      <c r="F53" s="181">
        <v>1500</v>
      </c>
      <c r="G53" s="181">
        <v>150</v>
      </c>
      <c r="H53" s="413"/>
      <c r="I53" s="165">
        <f t="shared" si="12"/>
        <v>10</v>
      </c>
      <c r="J53" s="165">
        <f t="shared" si="13"/>
        <v>1294.8571428571436</v>
      </c>
      <c r="K53" s="179">
        <f t="shared" si="14"/>
        <v>129.48571428571435</v>
      </c>
      <c r="L53" s="413"/>
      <c r="M53" s="180">
        <f>RANK(K53, K$47:$K$61)</f>
        <v>7</v>
      </c>
      <c r="N53" s="401"/>
      <c r="O53" s="401"/>
      <c r="P53" s="181">
        <v>10</v>
      </c>
      <c r="Q53" s="165">
        <v>1416.0000000000002</v>
      </c>
      <c r="R53" s="179">
        <v>141.60000000000002</v>
      </c>
      <c r="S53" s="181">
        <f t="shared" si="15"/>
        <v>6</v>
      </c>
      <c r="T53" s="430"/>
      <c r="U53" s="181">
        <v>10</v>
      </c>
      <c r="V53" s="165">
        <v>1316.9999999999995</v>
      </c>
      <c r="W53" s="179">
        <v>131.69999999999996</v>
      </c>
      <c r="X53" s="181">
        <f t="shared" si="16"/>
        <v>7</v>
      </c>
      <c r="Y53" s="430"/>
      <c r="Z53" s="181">
        <v>10</v>
      </c>
      <c r="AA53" s="165">
        <v>1215.0000000000043</v>
      </c>
      <c r="AB53" s="179">
        <v>121.50000000000043</v>
      </c>
      <c r="AC53" s="181">
        <f t="shared" si="17"/>
        <v>7</v>
      </c>
      <c r="AD53" s="430"/>
      <c r="AE53" s="181">
        <v>10</v>
      </c>
      <c r="AF53" s="165">
        <v>1191.999999999998</v>
      </c>
      <c r="AG53" s="179">
        <v>119.19999999999979</v>
      </c>
      <c r="AH53" s="181">
        <f t="shared" si="18"/>
        <v>7</v>
      </c>
      <c r="AI53" s="430"/>
      <c r="AJ53" s="181">
        <v>10</v>
      </c>
      <c r="AK53" s="165">
        <v>1171.999999999998</v>
      </c>
      <c r="AL53" s="179">
        <v>117.19999999999979</v>
      </c>
      <c r="AM53" s="181">
        <f t="shared" si="19"/>
        <v>7</v>
      </c>
      <c r="AN53" s="430"/>
      <c r="AO53" s="181">
        <v>10</v>
      </c>
      <c r="AP53" s="165">
        <v>1283.9999999999995</v>
      </c>
      <c r="AQ53" s="179">
        <v>128.39999999999995</v>
      </c>
      <c r="AR53" s="181">
        <f t="shared" si="20"/>
        <v>7</v>
      </c>
      <c r="AS53" s="410"/>
      <c r="AT53" s="181">
        <v>10</v>
      </c>
      <c r="AU53" s="165">
        <v>1468.0000000000052</v>
      </c>
      <c r="AV53" s="179">
        <v>146.80000000000052</v>
      </c>
      <c r="AW53" s="181">
        <f t="shared" si="21"/>
        <v>7</v>
      </c>
      <c r="AX53" s="410"/>
    </row>
    <row r="54" spans="2:50">
      <c r="B54" s="400"/>
      <c r="C54" s="181">
        <v>8</v>
      </c>
      <c r="D54" s="181"/>
      <c r="E54" s="181"/>
      <c r="F54" s="181"/>
      <c r="G54" s="181"/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81"/>
      <c r="Q54" s="165"/>
      <c r="R54" s="179"/>
      <c r="S54" s="181" t="e">
        <f t="shared" si="15"/>
        <v>#N/A</v>
      </c>
      <c r="T54" s="430"/>
      <c r="U54" s="181"/>
      <c r="V54" s="165"/>
      <c r="W54" s="179"/>
      <c r="X54" s="181" t="e">
        <f t="shared" si="16"/>
        <v>#N/A</v>
      </c>
      <c r="Y54" s="430"/>
      <c r="Z54" s="181"/>
      <c r="AA54" s="165"/>
      <c r="AB54" s="179"/>
      <c r="AC54" s="181" t="e">
        <f t="shared" si="17"/>
        <v>#N/A</v>
      </c>
      <c r="AD54" s="430"/>
      <c r="AE54" s="181"/>
      <c r="AF54" s="165"/>
      <c r="AG54" s="179"/>
      <c r="AH54" s="181" t="e">
        <f t="shared" si="18"/>
        <v>#N/A</v>
      </c>
      <c r="AI54" s="430"/>
      <c r="AJ54" s="181"/>
      <c r="AK54" s="165"/>
      <c r="AL54" s="179"/>
      <c r="AM54" s="181" t="e">
        <f t="shared" si="19"/>
        <v>#N/A</v>
      </c>
      <c r="AN54" s="430"/>
      <c r="AO54" s="181"/>
      <c r="AP54" s="165"/>
      <c r="AQ54" s="179"/>
      <c r="AR54" s="181" t="e">
        <f t="shared" si="20"/>
        <v>#N/A</v>
      </c>
      <c r="AS54" s="410"/>
      <c r="AT54" s="181"/>
      <c r="AU54" s="165"/>
      <c r="AV54" s="179"/>
      <c r="AW54" s="181" t="e">
        <f t="shared" si="21"/>
        <v>#N/A</v>
      </c>
      <c r="AX54" s="410"/>
    </row>
    <row r="55" spans="2:50">
      <c r="B55" s="400"/>
      <c r="C55" s="181">
        <v>9</v>
      </c>
      <c r="D55" s="181"/>
      <c r="E55" s="181"/>
      <c r="F55" s="181"/>
      <c r="G55" s="181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81"/>
      <c r="Q55" s="165"/>
      <c r="R55" s="179"/>
      <c r="S55" s="181" t="e">
        <f t="shared" si="15"/>
        <v>#N/A</v>
      </c>
      <c r="T55" s="430"/>
      <c r="U55" s="181"/>
      <c r="V55" s="165"/>
      <c r="W55" s="179"/>
      <c r="X55" s="181" t="e">
        <f t="shared" si="16"/>
        <v>#N/A</v>
      </c>
      <c r="Y55" s="430"/>
      <c r="Z55" s="181"/>
      <c r="AA55" s="165"/>
      <c r="AB55" s="179"/>
      <c r="AC55" s="181" t="e">
        <f t="shared" si="17"/>
        <v>#N/A</v>
      </c>
      <c r="AD55" s="430"/>
      <c r="AE55" s="181"/>
      <c r="AF55" s="165"/>
      <c r="AG55" s="179"/>
      <c r="AH55" s="181" t="e">
        <f t="shared" si="18"/>
        <v>#N/A</v>
      </c>
      <c r="AI55" s="430"/>
      <c r="AJ55" s="181"/>
      <c r="AK55" s="165"/>
      <c r="AL55" s="179"/>
      <c r="AM55" s="181" t="e">
        <f t="shared" si="19"/>
        <v>#N/A</v>
      </c>
      <c r="AN55" s="430"/>
      <c r="AO55" s="181"/>
      <c r="AP55" s="165"/>
      <c r="AQ55" s="179"/>
      <c r="AR55" s="181" t="e">
        <f t="shared" si="20"/>
        <v>#N/A</v>
      </c>
      <c r="AS55" s="410"/>
      <c r="AT55" s="181"/>
      <c r="AU55" s="165"/>
      <c r="AV55" s="179"/>
      <c r="AW55" s="181" t="e">
        <f t="shared" si="21"/>
        <v>#N/A</v>
      </c>
      <c r="AX55" s="410"/>
    </row>
    <row r="56" spans="2:50">
      <c r="B56" s="400"/>
      <c r="C56" s="181">
        <v>10</v>
      </c>
      <c r="D56" s="181"/>
      <c r="E56" s="181"/>
      <c r="F56" s="181"/>
      <c r="G56" s="181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81"/>
      <c r="Q56" s="165"/>
      <c r="R56" s="179"/>
      <c r="S56" s="181" t="e">
        <f t="shared" si="15"/>
        <v>#N/A</v>
      </c>
      <c r="T56" s="430"/>
      <c r="U56" s="181"/>
      <c r="V56" s="165"/>
      <c r="W56" s="179"/>
      <c r="X56" s="181" t="e">
        <f t="shared" si="16"/>
        <v>#N/A</v>
      </c>
      <c r="Y56" s="430"/>
      <c r="Z56" s="181"/>
      <c r="AA56" s="165"/>
      <c r="AB56" s="179"/>
      <c r="AC56" s="181" t="e">
        <f t="shared" si="17"/>
        <v>#N/A</v>
      </c>
      <c r="AD56" s="430"/>
      <c r="AE56" s="181"/>
      <c r="AF56" s="165"/>
      <c r="AG56" s="179"/>
      <c r="AH56" s="181" t="e">
        <f t="shared" si="18"/>
        <v>#N/A</v>
      </c>
      <c r="AI56" s="430"/>
      <c r="AJ56" s="181"/>
      <c r="AK56" s="165"/>
      <c r="AL56" s="179"/>
      <c r="AM56" s="181" t="e">
        <f t="shared" si="19"/>
        <v>#N/A</v>
      </c>
      <c r="AN56" s="430"/>
      <c r="AO56" s="181"/>
      <c r="AP56" s="165"/>
      <c r="AQ56" s="179"/>
      <c r="AR56" s="181" t="e">
        <f t="shared" si="20"/>
        <v>#N/A</v>
      </c>
      <c r="AS56" s="410"/>
      <c r="AT56" s="181"/>
      <c r="AU56" s="165"/>
      <c r="AV56" s="179"/>
      <c r="AW56" s="181" t="e">
        <f t="shared" si="21"/>
        <v>#N/A</v>
      </c>
      <c r="AX56" s="410"/>
    </row>
    <row r="57" spans="2:50">
      <c r="B57" s="400"/>
      <c r="C57" s="181">
        <v>11</v>
      </c>
      <c r="D57" s="181"/>
      <c r="E57" s="181"/>
      <c r="F57" s="181"/>
      <c r="G57" s="181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81"/>
      <c r="Q57" s="181"/>
      <c r="R57" s="181"/>
      <c r="S57" s="181" t="e">
        <f t="shared" si="15"/>
        <v>#N/A</v>
      </c>
      <c r="T57" s="430"/>
      <c r="U57" s="181"/>
      <c r="V57" s="181"/>
      <c r="W57" s="181"/>
      <c r="X57" s="181" t="e">
        <f t="shared" si="16"/>
        <v>#N/A</v>
      </c>
      <c r="Y57" s="430"/>
      <c r="Z57" s="181"/>
      <c r="AA57" s="181"/>
      <c r="AB57" s="181"/>
      <c r="AC57" s="181" t="e">
        <f t="shared" si="17"/>
        <v>#N/A</v>
      </c>
      <c r="AD57" s="430"/>
      <c r="AE57" s="181"/>
      <c r="AF57" s="181"/>
      <c r="AG57" s="181"/>
      <c r="AH57" s="181" t="e">
        <f t="shared" si="18"/>
        <v>#N/A</v>
      </c>
      <c r="AI57" s="430"/>
      <c r="AJ57" s="181"/>
      <c r="AK57" s="181"/>
      <c r="AL57" s="181"/>
      <c r="AM57" s="181" t="e">
        <f t="shared" si="19"/>
        <v>#N/A</v>
      </c>
      <c r="AN57" s="430"/>
      <c r="AO57" s="181"/>
      <c r="AP57" s="181"/>
      <c r="AQ57" s="181"/>
      <c r="AR57" s="181" t="e">
        <f t="shared" si="20"/>
        <v>#N/A</v>
      </c>
      <c r="AS57" s="410"/>
      <c r="AT57" s="181"/>
      <c r="AU57" s="181"/>
      <c r="AV57" s="181"/>
      <c r="AW57" s="181" t="e">
        <f t="shared" si="21"/>
        <v>#N/A</v>
      </c>
      <c r="AX57" s="410"/>
    </row>
    <row r="58" spans="2:50">
      <c r="B58" s="400"/>
      <c r="C58" s="181">
        <v>12</v>
      </c>
      <c r="D58" s="181"/>
      <c r="E58" s="181"/>
      <c r="F58" s="181"/>
      <c r="G58" s="181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81"/>
      <c r="Q58" s="181"/>
      <c r="R58" s="181"/>
      <c r="S58" s="181" t="e">
        <f t="shared" si="15"/>
        <v>#N/A</v>
      </c>
      <c r="T58" s="430"/>
      <c r="U58" s="181"/>
      <c r="V58" s="181"/>
      <c r="W58" s="181"/>
      <c r="X58" s="181" t="e">
        <f t="shared" si="16"/>
        <v>#N/A</v>
      </c>
      <c r="Y58" s="430"/>
      <c r="Z58" s="181"/>
      <c r="AA58" s="181"/>
      <c r="AB58" s="181"/>
      <c r="AC58" s="181" t="e">
        <f t="shared" si="17"/>
        <v>#N/A</v>
      </c>
      <c r="AD58" s="430"/>
      <c r="AE58" s="181"/>
      <c r="AF58" s="181"/>
      <c r="AG58" s="181"/>
      <c r="AH58" s="181" t="e">
        <f t="shared" si="18"/>
        <v>#N/A</v>
      </c>
      <c r="AI58" s="430"/>
      <c r="AJ58" s="181"/>
      <c r="AK58" s="181"/>
      <c r="AL58" s="181"/>
      <c r="AM58" s="181" t="e">
        <f t="shared" si="19"/>
        <v>#N/A</v>
      </c>
      <c r="AN58" s="430"/>
      <c r="AO58" s="181"/>
      <c r="AP58" s="181"/>
      <c r="AQ58" s="181"/>
      <c r="AR58" s="181" t="e">
        <f t="shared" si="20"/>
        <v>#N/A</v>
      </c>
      <c r="AS58" s="410"/>
      <c r="AT58" s="181"/>
      <c r="AU58" s="181"/>
      <c r="AV58" s="181"/>
      <c r="AW58" s="181" t="e">
        <f t="shared" si="21"/>
        <v>#N/A</v>
      </c>
      <c r="AX58" s="410"/>
    </row>
    <row r="59" spans="2:50">
      <c r="B59" s="400"/>
      <c r="C59" s="181">
        <v>13</v>
      </c>
      <c r="D59" s="181"/>
      <c r="E59" s="181"/>
      <c r="F59" s="181"/>
      <c r="G59" s="181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81"/>
      <c r="Q59" s="181"/>
      <c r="R59" s="181"/>
      <c r="S59" s="181" t="e">
        <f t="shared" si="15"/>
        <v>#N/A</v>
      </c>
      <c r="T59" s="430"/>
      <c r="U59" s="181"/>
      <c r="V59" s="181"/>
      <c r="W59" s="181"/>
      <c r="X59" s="181" t="e">
        <f t="shared" si="16"/>
        <v>#N/A</v>
      </c>
      <c r="Y59" s="430"/>
      <c r="Z59" s="181"/>
      <c r="AA59" s="181"/>
      <c r="AB59" s="181"/>
      <c r="AC59" s="181" t="e">
        <f t="shared" si="17"/>
        <v>#N/A</v>
      </c>
      <c r="AD59" s="430"/>
      <c r="AE59" s="181"/>
      <c r="AF59" s="181"/>
      <c r="AG59" s="181"/>
      <c r="AH59" s="181" t="e">
        <f t="shared" si="18"/>
        <v>#N/A</v>
      </c>
      <c r="AI59" s="430"/>
      <c r="AJ59" s="181"/>
      <c r="AK59" s="181"/>
      <c r="AL59" s="181"/>
      <c r="AM59" s="181" t="e">
        <f t="shared" si="19"/>
        <v>#N/A</v>
      </c>
      <c r="AN59" s="430"/>
      <c r="AO59" s="181"/>
      <c r="AP59" s="181"/>
      <c r="AQ59" s="181"/>
      <c r="AR59" s="181" t="e">
        <f t="shared" si="20"/>
        <v>#N/A</v>
      </c>
      <c r="AS59" s="410"/>
      <c r="AT59" s="181"/>
      <c r="AU59" s="181"/>
      <c r="AV59" s="181"/>
      <c r="AW59" s="181" t="e">
        <f t="shared" si="21"/>
        <v>#N/A</v>
      </c>
      <c r="AX59" s="410"/>
    </row>
    <row r="60" spans="2:50">
      <c r="B60" s="400"/>
      <c r="C60" s="181">
        <v>14</v>
      </c>
      <c r="D60" s="181"/>
      <c r="E60" s="181"/>
      <c r="F60" s="181"/>
      <c r="G60" s="181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81"/>
      <c r="Q60" s="181"/>
      <c r="R60" s="181"/>
      <c r="S60" s="181" t="e">
        <f t="shared" si="15"/>
        <v>#N/A</v>
      </c>
      <c r="T60" s="430"/>
      <c r="U60" s="181"/>
      <c r="V60" s="181"/>
      <c r="W60" s="181"/>
      <c r="X60" s="181" t="e">
        <f t="shared" si="16"/>
        <v>#N/A</v>
      </c>
      <c r="Y60" s="430"/>
      <c r="Z60" s="181"/>
      <c r="AA60" s="181"/>
      <c r="AB60" s="181"/>
      <c r="AC60" s="181" t="e">
        <f t="shared" si="17"/>
        <v>#N/A</v>
      </c>
      <c r="AD60" s="430"/>
      <c r="AE60" s="181"/>
      <c r="AF60" s="181"/>
      <c r="AG60" s="181"/>
      <c r="AH60" s="181" t="e">
        <f t="shared" si="18"/>
        <v>#N/A</v>
      </c>
      <c r="AI60" s="430"/>
      <c r="AJ60" s="181"/>
      <c r="AK60" s="181"/>
      <c r="AL60" s="181"/>
      <c r="AM60" s="181" t="e">
        <f t="shared" si="19"/>
        <v>#N/A</v>
      </c>
      <c r="AN60" s="430"/>
      <c r="AO60" s="181"/>
      <c r="AP60" s="181"/>
      <c r="AQ60" s="181"/>
      <c r="AR60" s="181" t="e">
        <f t="shared" si="20"/>
        <v>#N/A</v>
      </c>
      <c r="AS60" s="410"/>
      <c r="AT60" s="181"/>
      <c r="AU60" s="181"/>
      <c r="AV60" s="181"/>
      <c r="AW60" s="181" t="e">
        <f t="shared" si="21"/>
        <v>#N/A</v>
      </c>
      <c r="AX60" s="410"/>
    </row>
    <row r="61" spans="2:50">
      <c r="B61" s="400"/>
      <c r="C61" s="181">
        <v>15</v>
      </c>
      <c r="D61" s="181"/>
      <c r="E61" s="181"/>
      <c r="F61" s="181"/>
      <c r="G61" s="181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81"/>
      <c r="Q61" s="181"/>
      <c r="R61" s="181"/>
      <c r="S61" s="181" t="e">
        <f t="shared" si="15"/>
        <v>#N/A</v>
      </c>
      <c r="T61" s="430"/>
      <c r="U61" s="181"/>
      <c r="V61" s="181"/>
      <c r="W61" s="181"/>
      <c r="X61" s="181" t="e">
        <f t="shared" si="16"/>
        <v>#N/A</v>
      </c>
      <c r="Y61" s="430"/>
      <c r="Z61" s="181"/>
      <c r="AA61" s="181"/>
      <c r="AB61" s="181"/>
      <c r="AC61" s="181" t="e">
        <f t="shared" si="17"/>
        <v>#N/A</v>
      </c>
      <c r="AD61" s="430"/>
      <c r="AE61" s="181"/>
      <c r="AF61" s="181"/>
      <c r="AG61" s="181"/>
      <c r="AH61" s="181" t="e">
        <f t="shared" si="18"/>
        <v>#N/A</v>
      </c>
      <c r="AI61" s="430"/>
      <c r="AJ61" s="181"/>
      <c r="AK61" s="181"/>
      <c r="AL61" s="181"/>
      <c r="AM61" s="181" t="e">
        <f t="shared" si="19"/>
        <v>#N/A</v>
      </c>
      <c r="AN61" s="430"/>
      <c r="AO61" s="181"/>
      <c r="AP61" s="181"/>
      <c r="AQ61" s="181"/>
      <c r="AR61" s="181" t="e">
        <f t="shared" si="20"/>
        <v>#N/A</v>
      </c>
      <c r="AS61" s="411"/>
      <c r="AT61" s="181"/>
      <c r="AU61" s="181"/>
      <c r="AV61" s="181"/>
      <c r="AW61" s="181" t="e">
        <f t="shared" si="21"/>
        <v>#N/A</v>
      </c>
      <c r="AX61" s="411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29" t="s">
        <v>233</v>
      </c>
      <c r="C67" s="181">
        <v>1</v>
      </c>
      <c r="D67" s="181" t="s">
        <v>235</v>
      </c>
      <c r="E67" s="181">
        <v>10</v>
      </c>
      <c r="F67" s="181">
        <v>1500</v>
      </c>
      <c r="G67" s="181">
        <v>150</v>
      </c>
      <c r="H67" s="412">
        <f>AVERAGE(G67:G81)</f>
        <v>198.57142857142858</v>
      </c>
      <c r="I67" s="165">
        <f>AVERAGE(P67,U67,Z67,AE67,AJ67,AO67,AT67)</f>
        <v>10</v>
      </c>
      <c r="J67" s="165">
        <f>AVERAGE(Q67,V67,AA67,AF67,AK67,AP67,AU67)</f>
        <v>1447.6326530612271</v>
      </c>
      <c r="K67" s="179">
        <f>AVERAGE(R67,W67,AB67,AG67,AL67,AQ67,AV67)</f>
        <v>144.76326530612272</v>
      </c>
      <c r="L67" s="412">
        <f>IFERROR(AVERAGE(K67:K81),"-")</f>
        <v>204.75043823196162</v>
      </c>
      <c r="M67" s="180">
        <f>RANK(K67, K$67:$K$81)</f>
        <v>5</v>
      </c>
      <c r="N67" s="401"/>
      <c r="O67" s="401"/>
      <c r="P67" s="181">
        <v>10</v>
      </c>
      <c r="Q67" s="165">
        <v>1452.0000000000052</v>
      </c>
      <c r="R67" s="179">
        <v>145.20000000000053</v>
      </c>
      <c r="S67" s="181">
        <f>RANK(R67, R$67:R$81)</f>
        <v>6</v>
      </c>
      <c r="T67" s="430">
        <f>AVERAGE(R67:R81)</f>
        <v>209.25405521040383</v>
      </c>
      <c r="U67" s="181">
        <v>10</v>
      </c>
      <c r="V67" s="165">
        <v>1474.2857142857197</v>
      </c>
      <c r="W67" s="179">
        <v>147.42857142857196</v>
      </c>
      <c r="X67" s="181">
        <f>RANK(W67, W$67:W$81)</f>
        <v>5</v>
      </c>
      <c r="Y67" s="430">
        <f>AVERAGE(W67:W81)</f>
        <v>202.86701675305713</v>
      </c>
      <c r="Z67" s="181">
        <v>10</v>
      </c>
      <c r="AA67" s="165">
        <v>1436.5714285714339</v>
      </c>
      <c r="AB67" s="179">
        <v>143.65714285714338</v>
      </c>
      <c r="AC67" s="181">
        <f>RANK(AB67, AB$67:AB$81)</f>
        <v>5</v>
      </c>
      <c r="AD67" s="430">
        <f>AVERAGE(AB67:AB81)</f>
        <v>208.14463926415644</v>
      </c>
      <c r="AE67" s="181">
        <v>10</v>
      </c>
      <c r="AF67" s="165">
        <v>1383.9999999999977</v>
      </c>
      <c r="AG67" s="179">
        <v>138.39999999999978</v>
      </c>
      <c r="AH67" s="181">
        <f>RANK(AG67, AG$67:AG$81)</f>
        <v>6</v>
      </c>
      <c r="AI67" s="430">
        <f>AVERAGE(AG67:AG81)</f>
        <v>201.83151260504218</v>
      </c>
      <c r="AJ67" s="181">
        <v>10</v>
      </c>
      <c r="AK67" s="165">
        <v>1414.0000000000014</v>
      </c>
      <c r="AL67" s="179">
        <v>141.40000000000015</v>
      </c>
      <c r="AM67" s="181">
        <f>RANK(AL67, AL$67:AL$81)</f>
        <v>5</v>
      </c>
      <c r="AN67" s="430">
        <f>AVERAGE(AL67:AL81)</f>
        <v>196.1011904761902</v>
      </c>
      <c r="AO67" s="181">
        <v>10</v>
      </c>
      <c r="AP67" s="165">
        <v>1546.2857142857126</v>
      </c>
      <c r="AQ67" s="179">
        <v>154.62857142857126</v>
      </c>
      <c r="AR67" s="181">
        <f>RANK(AQ67, AQ$67:AQ$81)</f>
        <v>4</v>
      </c>
      <c r="AS67" s="430">
        <f>AVERAGE(AQ67:AQ81)</f>
        <v>206.21648646919581</v>
      </c>
      <c r="AT67" s="181">
        <v>10</v>
      </c>
      <c r="AU67" s="165">
        <v>1426.2857142857195</v>
      </c>
      <c r="AV67" s="179">
        <v>142.62857142857195</v>
      </c>
      <c r="AW67" s="181">
        <f>RANK(AV67, AV$67:AV$81)</f>
        <v>6</v>
      </c>
      <c r="AX67" s="430">
        <f>AVERAGE(AV67:AV81)</f>
        <v>208.83816684568575</v>
      </c>
    </row>
    <row r="68" spans="2:50">
      <c r="B68" s="400"/>
      <c r="C68" s="181">
        <v>2</v>
      </c>
      <c r="D68" s="181" t="s">
        <v>236</v>
      </c>
      <c r="E68" s="181">
        <v>15</v>
      </c>
      <c r="F68" s="181">
        <v>1800</v>
      </c>
      <c r="G68" s="181">
        <v>120</v>
      </c>
      <c r="H68" s="413"/>
      <c r="I68" s="165">
        <f t="shared" ref="I68:I73" si="22">AVERAGE(P68,U68,Z68,AE68,AJ68,AO68,AT68)</f>
        <v>12</v>
      </c>
      <c r="J68" s="165">
        <f t="shared" ref="J68:J73" si="23">AVERAGE(Q68,V68,AA68,AF68,AK68,AP68,AU68)</f>
        <v>1788.2142857142837</v>
      </c>
      <c r="K68" s="179">
        <f t="shared" ref="K68:K73" si="24">AVERAGE(R68,W68,AB68,AG68,AL68,AQ68,AV68)</f>
        <v>149.01785714285697</v>
      </c>
      <c r="L68" s="413"/>
      <c r="M68" s="180">
        <f>RANK(K68, K$67:$K$81)</f>
        <v>4</v>
      </c>
      <c r="N68" s="401"/>
      <c r="O68" s="401"/>
      <c r="P68" s="181">
        <v>12</v>
      </c>
      <c r="Q68" s="165">
        <v>1786.7999999999977</v>
      </c>
      <c r="R68" s="179">
        <v>148.89999999999981</v>
      </c>
      <c r="S68" s="181">
        <f t="shared" ref="S68:S81" si="25">RANK(R68, R$67:R$81)</f>
        <v>4</v>
      </c>
      <c r="T68" s="430"/>
      <c r="U68" s="181">
        <v>12</v>
      </c>
      <c r="V68" s="165">
        <v>1793.9999999999977</v>
      </c>
      <c r="W68" s="179">
        <v>149.4999999999998</v>
      </c>
      <c r="X68" s="181">
        <f t="shared" ref="X68:X81" si="26">RANK(W68, W$67:W$81)</f>
        <v>4</v>
      </c>
      <c r="Y68" s="430"/>
      <c r="Z68" s="181">
        <v>12</v>
      </c>
      <c r="AA68" s="165">
        <v>1714.7999999999977</v>
      </c>
      <c r="AB68" s="179">
        <v>142.89999999999981</v>
      </c>
      <c r="AC68" s="181">
        <f t="shared" ref="AC68:AC81" si="27">RANK(AB68, AB$67:AB$81)</f>
        <v>6</v>
      </c>
      <c r="AD68" s="430"/>
      <c r="AE68" s="181">
        <v>12</v>
      </c>
      <c r="AF68" s="165">
        <v>1778.9999999999993</v>
      </c>
      <c r="AG68" s="179">
        <v>148.24999999999994</v>
      </c>
      <c r="AH68" s="181">
        <f t="shared" ref="AH68:AH81" si="28">RANK(AG68, AG$67:AG$81)</f>
        <v>4</v>
      </c>
      <c r="AI68" s="430"/>
      <c r="AJ68" s="181">
        <v>12</v>
      </c>
      <c r="AK68" s="165">
        <v>1798.4999999999957</v>
      </c>
      <c r="AL68" s="179">
        <v>149.87499999999963</v>
      </c>
      <c r="AM68" s="181">
        <f t="shared" ref="AM68:AM81" si="29">RANK(AL68, AL$67:AL$81)</f>
        <v>4</v>
      </c>
      <c r="AN68" s="430"/>
      <c r="AO68" s="181">
        <v>12</v>
      </c>
      <c r="AP68" s="165">
        <v>1854.0000000000005</v>
      </c>
      <c r="AQ68" s="179">
        <v>154.50000000000003</v>
      </c>
      <c r="AR68" s="181">
        <f t="shared" ref="AR68:AR81" si="30">RANK(AQ68, AQ$67:AQ$81)</f>
        <v>5</v>
      </c>
      <c r="AS68" s="430"/>
      <c r="AT68" s="181">
        <v>12</v>
      </c>
      <c r="AU68" s="165">
        <v>1790.3999999999976</v>
      </c>
      <c r="AV68" s="179">
        <v>149.19999999999979</v>
      </c>
      <c r="AW68" s="181">
        <f t="shared" ref="AW68:AW81" si="31">RANK(AV68, AV$67:AV$81)</f>
        <v>4</v>
      </c>
      <c r="AX68" s="430"/>
    </row>
    <row r="69" spans="2:50">
      <c r="B69" s="400"/>
      <c r="C69" s="181">
        <v>3</v>
      </c>
      <c r="D69" s="181" t="s">
        <v>237</v>
      </c>
      <c r="E69" s="181">
        <v>15</v>
      </c>
      <c r="F69" s="181">
        <v>1800</v>
      </c>
      <c r="G69" s="181">
        <v>120</v>
      </c>
      <c r="H69" s="413"/>
      <c r="I69" s="165">
        <f t="shared" si="22"/>
        <v>12</v>
      </c>
      <c r="J69" s="165">
        <f t="shared" si="23"/>
        <v>1734.2259740259722</v>
      </c>
      <c r="K69" s="179">
        <f t="shared" si="24"/>
        <v>144.51883116883101</v>
      </c>
      <c r="L69" s="413"/>
      <c r="M69" s="180">
        <f>RANK(K69, K$67:$K$81)</f>
        <v>6</v>
      </c>
      <c r="N69" s="401"/>
      <c r="O69" s="401"/>
      <c r="P69" s="181">
        <v>12</v>
      </c>
      <c r="Q69" s="165">
        <v>1769.9999999999977</v>
      </c>
      <c r="R69" s="179">
        <v>147.4999999999998</v>
      </c>
      <c r="S69" s="181">
        <f t="shared" si="25"/>
        <v>5</v>
      </c>
      <c r="T69" s="430"/>
      <c r="U69" s="181">
        <v>12</v>
      </c>
      <c r="V69" s="165">
        <v>1670.1818181818169</v>
      </c>
      <c r="W69" s="179">
        <v>139.18181818181807</v>
      </c>
      <c r="X69" s="181">
        <f t="shared" si="26"/>
        <v>6</v>
      </c>
      <c r="Y69" s="430"/>
      <c r="Z69" s="181">
        <v>12</v>
      </c>
      <c r="AA69" s="165">
        <v>1702.7999999999979</v>
      </c>
      <c r="AB69" s="179">
        <v>141.89999999999984</v>
      </c>
      <c r="AC69" s="181">
        <f t="shared" si="27"/>
        <v>7</v>
      </c>
      <c r="AD69" s="430"/>
      <c r="AE69" s="181">
        <v>12</v>
      </c>
      <c r="AF69" s="165">
        <v>1718.9999999999995</v>
      </c>
      <c r="AG69" s="179">
        <v>143.24999999999997</v>
      </c>
      <c r="AH69" s="181">
        <f t="shared" si="28"/>
        <v>5</v>
      </c>
      <c r="AI69" s="430"/>
      <c r="AJ69" s="181">
        <v>12</v>
      </c>
      <c r="AK69" s="165">
        <v>1667.9999999999957</v>
      </c>
      <c r="AL69" s="179">
        <v>138.99999999999963</v>
      </c>
      <c r="AM69" s="181">
        <f t="shared" si="29"/>
        <v>6</v>
      </c>
      <c r="AN69" s="430"/>
      <c r="AO69" s="181">
        <v>12</v>
      </c>
      <c r="AP69" s="165">
        <v>1847.9999999999977</v>
      </c>
      <c r="AQ69" s="179">
        <v>153.9999999999998</v>
      </c>
      <c r="AR69" s="181">
        <f t="shared" si="30"/>
        <v>6</v>
      </c>
      <c r="AS69" s="430"/>
      <c r="AT69" s="181">
        <v>12</v>
      </c>
      <c r="AU69" s="165">
        <v>1761.5999999999979</v>
      </c>
      <c r="AV69" s="179">
        <v>146.79999999999981</v>
      </c>
      <c r="AW69" s="181">
        <f t="shared" si="31"/>
        <v>5</v>
      </c>
      <c r="AX69" s="430"/>
    </row>
    <row r="70" spans="2:50">
      <c r="B70" s="400"/>
      <c r="C70" s="181">
        <v>4</v>
      </c>
      <c r="D70" s="181" t="s">
        <v>238</v>
      </c>
      <c r="E70" s="181">
        <v>6</v>
      </c>
      <c r="F70" s="181">
        <v>1500</v>
      </c>
      <c r="G70" s="181">
        <v>250</v>
      </c>
      <c r="H70" s="413"/>
      <c r="I70" s="165">
        <f t="shared" si="22"/>
        <v>5</v>
      </c>
      <c r="J70" s="165">
        <f t="shared" si="23"/>
        <v>1453.1665608827259</v>
      </c>
      <c r="K70" s="179">
        <f t="shared" si="24"/>
        <v>290.63331217654519</v>
      </c>
      <c r="L70" s="413"/>
      <c r="M70" s="180">
        <f>RANK(K70, K$67:$K$81)</f>
        <v>3</v>
      </c>
      <c r="N70" s="401"/>
      <c r="O70" s="401"/>
      <c r="P70" s="181">
        <v>5</v>
      </c>
      <c r="Q70" s="165">
        <v>1480.909090909091</v>
      </c>
      <c r="R70" s="179">
        <v>296.18181818181819</v>
      </c>
      <c r="S70" s="181">
        <f t="shared" si="25"/>
        <v>3</v>
      </c>
      <c r="T70" s="430"/>
      <c r="U70" s="181">
        <v>5</v>
      </c>
      <c r="V70" s="165">
        <v>1451.4285714285709</v>
      </c>
      <c r="W70" s="179">
        <v>290.28571428571416</v>
      </c>
      <c r="X70" s="181">
        <f t="shared" si="26"/>
        <v>3</v>
      </c>
      <c r="Y70" s="430"/>
      <c r="Z70" s="181">
        <v>5</v>
      </c>
      <c r="AA70" s="165">
        <v>1437.1428571428567</v>
      </c>
      <c r="AB70" s="179">
        <v>287.42857142857133</v>
      </c>
      <c r="AC70" s="181">
        <f t="shared" si="27"/>
        <v>3</v>
      </c>
      <c r="AD70" s="430"/>
      <c r="AE70" s="181">
        <v>5</v>
      </c>
      <c r="AF70" s="165">
        <v>1421.2500000000016</v>
      </c>
      <c r="AG70" s="179">
        <v>284.25000000000034</v>
      </c>
      <c r="AH70" s="181">
        <f t="shared" si="28"/>
        <v>3</v>
      </c>
      <c r="AI70" s="430"/>
      <c r="AJ70" s="181">
        <v>5</v>
      </c>
      <c r="AK70" s="165">
        <v>1439.9999999999968</v>
      </c>
      <c r="AL70" s="179">
        <v>287.99999999999937</v>
      </c>
      <c r="AM70" s="181">
        <f t="shared" si="29"/>
        <v>3</v>
      </c>
      <c r="AN70" s="430"/>
      <c r="AO70" s="181">
        <v>5</v>
      </c>
      <c r="AP70" s="165">
        <v>1450.909090909091</v>
      </c>
      <c r="AQ70" s="179">
        <v>290.18181818181819</v>
      </c>
      <c r="AR70" s="181">
        <f t="shared" si="30"/>
        <v>3</v>
      </c>
      <c r="AS70" s="430"/>
      <c r="AT70" s="181">
        <v>5</v>
      </c>
      <c r="AU70" s="165">
        <v>1490.5263157894726</v>
      </c>
      <c r="AV70" s="179">
        <v>298.10526315789451</v>
      </c>
      <c r="AW70" s="181">
        <f t="shared" si="31"/>
        <v>3</v>
      </c>
      <c r="AX70" s="430"/>
    </row>
    <row r="71" spans="2:50">
      <c r="B71" s="400"/>
      <c r="C71" s="181">
        <v>5</v>
      </c>
      <c r="D71" s="181" t="s">
        <v>239</v>
      </c>
      <c r="E71" s="181">
        <v>5</v>
      </c>
      <c r="F71" s="181">
        <v>1500</v>
      </c>
      <c r="G71" s="181">
        <v>300</v>
      </c>
      <c r="H71" s="413"/>
      <c r="I71" s="165">
        <f t="shared" si="22"/>
        <v>5</v>
      </c>
      <c r="J71" s="165">
        <f t="shared" si="23"/>
        <v>1482.9717218265612</v>
      </c>
      <c r="K71" s="179">
        <f t="shared" si="24"/>
        <v>296.59434436531222</v>
      </c>
      <c r="L71" s="413"/>
      <c r="M71" s="180">
        <f>RANK(K71, K$67:$K$81)</f>
        <v>2</v>
      </c>
      <c r="N71" s="401"/>
      <c r="O71" s="401"/>
      <c r="P71" s="181">
        <v>5</v>
      </c>
      <c r="Q71" s="165">
        <v>1488.387096774193</v>
      </c>
      <c r="R71" s="179">
        <v>297.67741935483861</v>
      </c>
      <c r="S71" s="181">
        <f t="shared" si="25"/>
        <v>2</v>
      </c>
      <c r="T71" s="430"/>
      <c r="U71" s="181">
        <v>5</v>
      </c>
      <c r="V71" s="165">
        <v>1467.0967741935497</v>
      </c>
      <c r="W71" s="179">
        <v>293.41935483870992</v>
      </c>
      <c r="X71" s="181">
        <f t="shared" si="26"/>
        <v>2</v>
      </c>
      <c r="Y71" s="430"/>
      <c r="Z71" s="181">
        <v>5</v>
      </c>
      <c r="AA71" s="165">
        <v>1493.9999999999993</v>
      </c>
      <c r="AB71" s="179">
        <v>298.79999999999984</v>
      </c>
      <c r="AC71" s="181">
        <f t="shared" si="27"/>
        <v>1</v>
      </c>
      <c r="AD71" s="430"/>
      <c r="AE71" s="181">
        <v>5</v>
      </c>
      <c r="AF71" s="165">
        <v>1480.0000000000027</v>
      </c>
      <c r="AG71" s="179">
        <v>296.00000000000057</v>
      </c>
      <c r="AH71" s="181">
        <f t="shared" si="28"/>
        <v>2</v>
      </c>
      <c r="AI71" s="430"/>
      <c r="AJ71" s="181">
        <v>5</v>
      </c>
      <c r="AK71" s="165">
        <v>1447.499999999998</v>
      </c>
      <c r="AL71" s="179">
        <v>289.4999999999996</v>
      </c>
      <c r="AM71" s="181">
        <f t="shared" si="29"/>
        <v>2</v>
      </c>
      <c r="AN71" s="430"/>
      <c r="AO71" s="181">
        <v>5</v>
      </c>
      <c r="AP71" s="165">
        <v>1501.8181818181833</v>
      </c>
      <c r="AQ71" s="179">
        <v>300.36363636363666</v>
      </c>
      <c r="AR71" s="181">
        <f t="shared" si="30"/>
        <v>1</v>
      </c>
      <c r="AS71" s="430"/>
      <c r="AT71" s="181">
        <v>5</v>
      </c>
      <c r="AU71" s="165">
        <v>1502.0000000000014</v>
      </c>
      <c r="AV71" s="179">
        <v>300.40000000000026</v>
      </c>
      <c r="AW71" s="181">
        <f t="shared" si="31"/>
        <v>2</v>
      </c>
      <c r="AX71" s="430"/>
    </row>
    <row r="72" spans="2:50">
      <c r="B72" s="400"/>
      <c r="C72" s="181">
        <v>6</v>
      </c>
      <c r="D72" s="181" t="s">
        <v>242</v>
      </c>
      <c r="E72" s="181">
        <v>5</v>
      </c>
      <c r="F72" s="181">
        <v>1500</v>
      </c>
      <c r="G72" s="181">
        <v>300</v>
      </c>
      <c r="H72" s="413"/>
      <c r="I72" s="165">
        <f t="shared" si="22"/>
        <v>5</v>
      </c>
      <c r="J72" s="165">
        <f t="shared" si="23"/>
        <v>1504.9130016060301</v>
      </c>
      <c r="K72" s="179">
        <f t="shared" si="24"/>
        <v>300.98260032120606</v>
      </c>
      <c r="L72" s="413"/>
      <c r="M72" s="180">
        <f>RANK(K72, K$67:$K$81)</f>
        <v>1</v>
      </c>
      <c r="N72" s="401"/>
      <c r="O72" s="401"/>
      <c r="P72" s="181">
        <v>5</v>
      </c>
      <c r="Q72" s="165">
        <v>1496.5957446808513</v>
      </c>
      <c r="R72" s="179">
        <v>299.31914893617028</v>
      </c>
      <c r="S72" s="181">
        <f t="shared" si="25"/>
        <v>1</v>
      </c>
      <c r="T72" s="430"/>
      <c r="U72" s="181">
        <v>5</v>
      </c>
      <c r="V72" s="165">
        <v>1499.2682926829279</v>
      </c>
      <c r="W72" s="179">
        <v>299.85365853658561</v>
      </c>
      <c r="X72" s="181">
        <f t="shared" si="26"/>
        <v>1</v>
      </c>
      <c r="Y72" s="430"/>
      <c r="Z72" s="181">
        <v>5</v>
      </c>
      <c r="AA72" s="165">
        <v>1485.6338028169016</v>
      </c>
      <c r="AB72" s="179">
        <v>297.12676056338034</v>
      </c>
      <c r="AC72" s="181">
        <f t="shared" si="27"/>
        <v>2</v>
      </c>
      <c r="AD72" s="430"/>
      <c r="AE72" s="181">
        <v>5</v>
      </c>
      <c r="AF72" s="165">
        <v>1542.3529411764712</v>
      </c>
      <c r="AG72" s="179">
        <v>308.47058823529426</v>
      </c>
      <c r="AH72" s="181">
        <f t="shared" si="28"/>
        <v>1</v>
      </c>
      <c r="AI72" s="430"/>
      <c r="AJ72" s="181">
        <v>5</v>
      </c>
      <c r="AK72" s="165">
        <v>1498.6666666666667</v>
      </c>
      <c r="AL72" s="179">
        <v>299.73333333333335</v>
      </c>
      <c r="AM72" s="181">
        <f t="shared" si="29"/>
        <v>1</v>
      </c>
      <c r="AN72" s="430"/>
      <c r="AO72" s="181">
        <v>5</v>
      </c>
      <c r="AP72" s="165">
        <v>1491.2068965517242</v>
      </c>
      <c r="AQ72" s="179">
        <v>298.24137931034483</v>
      </c>
      <c r="AR72" s="181">
        <f t="shared" si="30"/>
        <v>2</v>
      </c>
      <c r="AS72" s="430"/>
      <c r="AT72" s="181">
        <v>5</v>
      </c>
      <c r="AU72" s="165">
        <v>1520.6666666666674</v>
      </c>
      <c r="AV72" s="179">
        <v>304.1333333333335</v>
      </c>
      <c r="AW72" s="181">
        <f t="shared" si="31"/>
        <v>1</v>
      </c>
      <c r="AX72" s="430"/>
    </row>
    <row r="73" spans="2:50">
      <c r="B73" s="400"/>
      <c r="C73" s="181">
        <v>7</v>
      </c>
      <c r="D73" s="181" t="s">
        <v>241</v>
      </c>
      <c r="E73" s="181">
        <v>10</v>
      </c>
      <c r="F73" s="181">
        <v>1500</v>
      </c>
      <c r="G73" s="181">
        <v>150</v>
      </c>
      <c r="H73" s="413"/>
      <c r="I73" s="165">
        <f t="shared" si="22"/>
        <v>10</v>
      </c>
      <c r="J73" s="165">
        <f t="shared" si="23"/>
        <v>1067.4285714285729</v>
      </c>
      <c r="K73" s="179">
        <f t="shared" si="24"/>
        <v>106.74285714285729</v>
      </c>
      <c r="L73" s="413"/>
      <c r="M73" s="180">
        <f>RANK(K73, K$67:$K$81)</f>
        <v>7</v>
      </c>
      <c r="N73" s="401"/>
      <c r="O73" s="401"/>
      <c r="P73" s="181">
        <v>10</v>
      </c>
      <c r="Q73" s="165">
        <v>1299.9999999999977</v>
      </c>
      <c r="R73" s="179">
        <v>129.99999999999977</v>
      </c>
      <c r="S73" s="181">
        <f t="shared" si="25"/>
        <v>7</v>
      </c>
      <c r="T73" s="430"/>
      <c r="U73" s="181">
        <v>10</v>
      </c>
      <c r="V73" s="165">
        <v>1004.0000000000034</v>
      </c>
      <c r="W73" s="179">
        <v>100.40000000000035</v>
      </c>
      <c r="X73" s="181">
        <f t="shared" si="26"/>
        <v>7</v>
      </c>
      <c r="Y73" s="430"/>
      <c r="Z73" s="181">
        <v>10</v>
      </c>
      <c r="AA73" s="165">
        <v>1452.000000000005</v>
      </c>
      <c r="AB73" s="179">
        <v>145.2000000000005</v>
      </c>
      <c r="AC73" s="181">
        <f t="shared" si="27"/>
        <v>4</v>
      </c>
      <c r="AD73" s="430"/>
      <c r="AE73" s="181">
        <v>10</v>
      </c>
      <c r="AF73" s="165">
        <v>942.00000000000341</v>
      </c>
      <c r="AG73" s="179">
        <v>94.200000000000344</v>
      </c>
      <c r="AH73" s="181">
        <f t="shared" si="28"/>
        <v>7</v>
      </c>
      <c r="AI73" s="430"/>
      <c r="AJ73" s="181">
        <v>10</v>
      </c>
      <c r="AK73" s="165">
        <v>651.99999999999886</v>
      </c>
      <c r="AL73" s="179">
        <v>65.199999999999889</v>
      </c>
      <c r="AM73" s="181">
        <f t="shared" si="29"/>
        <v>7</v>
      </c>
      <c r="AN73" s="430"/>
      <c r="AO73" s="181">
        <v>10</v>
      </c>
      <c r="AP73" s="165">
        <v>915.99999999999829</v>
      </c>
      <c r="AQ73" s="179">
        <v>91.599999999999824</v>
      </c>
      <c r="AR73" s="181">
        <f t="shared" si="30"/>
        <v>7</v>
      </c>
      <c r="AS73" s="430"/>
      <c r="AT73" s="181">
        <v>10</v>
      </c>
      <c r="AU73" s="165">
        <v>1206.0000000000043</v>
      </c>
      <c r="AV73" s="179">
        <v>120.60000000000043</v>
      </c>
      <c r="AW73" s="181">
        <f t="shared" si="31"/>
        <v>7</v>
      </c>
      <c r="AX73" s="430"/>
    </row>
    <row r="74" spans="2:50">
      <c r="B74" s="400"/>
      <c r="C74" s="181">
        <v>8</v>
      </c>
      <c r="D74" s="181"/>
      <c r="E74" s="181"/>
      <c r="F74" s="181"/>
      <c r="G74" s="181"/>
      <c r="H74" s="413"/>
      <c r="I74" s="165"/>
      <c r="J74" s="165"/>
      <c r="K74" s="179"/>
      <c r="L74" s="413"/>
      <c r="M74" s="180" t="e">
        <f>RANK(K74, K$67:$K$81)</f>
        <v>#N/A</v>
      </c>
      <c r="N74" s="401"/>
      <c r="O74" s="401"/>
      <c r="P74" s="181"/>
      <c r="Q74" s="165"/>
      <c r="R74" s="179"/>
      <c r="S74" s="181" t="e">
        <f t="shared" si="25"/>
        <v>#N/A</v>
      </c>
      <c r="T74" s="430"/>
      <c r="U74" s="181"/>
      <c r="V74" s="165"/>
      <c r="W74" s="179"/>
      <c r="X74" s="181" t="e">
        <f t="shared" si="26"/>
        <v>#N/A</v>
      </c>
      <c r="Y74" s="430"/>
      <c r="Z74" s="181"/>
      <c r="AA74" s="165"/>
      <c r="AB74" s="179"/>
      <c r="AC74" s="181" t="e">
        <f t="shared" si="27"/>
        <v>#N/A</v>
      </c>
      <c r="AD74" s="430"/>
      <c r="AE74" s="181"/>
      <c r="AF74" s="165"/>
      <c r="AG74" s="179"/>
      <c r="AH74" s="181" t="e">
        <f t="shared" si="28"/>
        <v>#N/A</v>
      </c>
      <c r="AI74" s="430"/>
      <c r="AJ74" s="181"/>
      <c r="AK74" s="165"/>
      <c r="AL74" s="179"/>
      <c r="AM74" s="181" t="e">
        <f t="shared" si="29"/>
        <v>#N/A</v>
      </c>
      <c r="AN74" s="430"/>
      <c r="AO74" s="181"/>
      <c r="AP74" s="165"/>
      <c r="AQ74" s="179"/>
      <c r="AR74" s="181" t="e">
        <f t="shared" si="30"/>
        <v>#N/A</v>
      </c>
      <c r="AS74" s="430"/>
      <c r="AT74" s="181"/>
      <c r="AU74" s="165"/>
      <c r="AV74" s="179"/>
      <c r="AW74" s="181" t="e">
        <f t="shared" si="31"/>
        <v>#N/A</v>
      </c>
      <c r="AX74" s="430"/>
    </row>
    <row r="75" spans="2:50">
      <c r="B75" s="400"/>
      <c r="C75" s="181">
        <v>9</v>
      </c>
      <c r="D75" s="181"/>
      <c r="E75" s="181"/>
      <c r="F75" s="181"/>
      <c r="G75" s="181"/>
      <c r="H75" s="413"/>
      <c r="I75" s="165"/>
      <c r="J75" s="165"/>
      <c r="K75" s="179"/>
      <c r="L75" s="413"/>
      <c r="M75" s="180" t="e">
        <f>RANK(K75, K$67:$K$81)</f>
        <v>#N/A</v>
      </c>
      <c r="N75" s="401"/>
      <c r="O75" s="401"/>
      <c r="P75" s="181"/>
      <c r="Q75" s="165"/>
      <c r="R75" s="179"/>
      <c r="S75" s="181" t="e">
        <f t="shared" si="25"/>
        <v>#N/A</v>
      </c>
      <c r="T75" s="430"/>
      <c r="U75" s="181"/>
      <c r="V75" s="165"/>
      <c r="W75" s="179"/>
      <c r="X75" s="181" t="e">
        <f t="shared" si="26"/>
        <v>#N/A</v>
      </c>
      <c r="Y75" s="430"/>
      <c r="Z75" s="181"/>
      <c r="AA75" s="165"/>
      <c r="AB75" s="179"/>
      <c r="AC75" s="181" t="e">
        <f t="shared" si="27"/>
        <v>#N/A</v>
      </c>
      <c r="AD75" s="430"/>
      <c r="AE75" s="181"/>
      <c r="AF75" s="165"/>
      <c r="AG75" s="179"/>
      <c r="AH75" s="181" t="e">
        <f t="shared" si="28"/>
        <v>#N/A</v>
      </c>
      <c r="AI75" s="430"/>
      <c r="AJ75" s="181"/>
      <c r="AK75" s="165"/>
      <c r="AL75" s="179"/>
      <c r="AM75" s="181" t="e">
        <f t="shared" si="29"/>
        <v>#N/A</v>
      </c>
      <c r="AN75" s="430"/>
      <c r="AO75" s="181"/>
      <c r="AP75" s="165"/>
      <c r="AQ75" s="179"/>
      <c r="AR75" s="181" t="e">
        <f t="shared" si="30"/>
        <v>#N/A</v>
      </c>
      <c r="AS75" s="430"/>
      <c r="AT75" s="181"/>
      <c r="AU75" s="165"/>
      <c r="AV75" s="179"/>
      <c r="AW75" s="181" t="e">
        <f t="shared" si="31"/>
        <v>#N/A</v>
      </c>
      <c r="AX75" s="430"/>
    </row>
    <row r="76" spans="2:50">
      <c r="B76" s="400"/>
      <c r="C76" s="181">
        <v>10</v>
      </c>
      <c r="D76" s="181"/>
      <c r="E76" s="181"/>
      <c r="F76" s="181"/>
      <c r="G76" s="181"/>
      <c r="H76" s="413"/>
      <c r="I76" s="165"/>
      <c r="J76" s="165"/>
      <c r="K76" s="179"/>
      <c r="L76" s="413"/>
      <c r="M76" s="180" t="e">
        <f>RANK(K76, K$67:$K$81)</f>
        <v>#N/A</v>
      </c>
      <c r="N76" s="401"/>
      <c r="O76" s="401"/>
      <c r="P76" s="181"/>
      <c r="Q76" s="165"/>
      <c r="R76" s="179"/>
      <c r="S76" s="181" t="e">
        <f t="shared" si="25"/>
        <v>#N/A</v>
      </c>
      <c r="T76" s="430"/>
      <c r="U76" s="181"/>
      <c r="V76" s="165"/>
      <c r="W76" s="179"/>
      <c r="X76" s="181" t="e">
        <f t="shared" si="26"/>
        <v>#N/A</v>
      </c>
      <c r="Y76" s="430"/>
      <c r="Z76" s="181"/>
      <c r="AA76" s="165"/>
      <c r="AB76" s="179"/>
      <c r="AC76" s="181" t="e">
        <f t="shared" si="27"/>
        <v>#N/A</v>
      </c>
      <c r="AD76" s="430"/>
      <c r="AE76" s="181"/>
      <c r="AF76" s="165"/>
      <c r="AG76" s="179"/>
      <c r="AH76" s="181" t="e">
        <f t="shared" si="28"/>
        <v>#N/A</v>
      </c>
      <c r="AI76" s="430"/>
      <c r="AJ76" s="181"/>
      <c r="AK76" s="165"/>
      <c r="AL76" s="179"/>
      <c r="AM76" s="181" t="e">
        <f t="shared" si="29"/>
        <v>#N/A</v>
      </c>
      <c r="AN76" s="430"/>
      <c r="AO76" s="181"/>
      <c r="AP76" s="165"/>
      <c r="AQ76" s="179"/>
      <c r="AR76" s="181" t="e">
        <f t="shared" si="30"/>
        <v>#N/A</v>
      </c>
      <c r="AS76" s="430"/>
      <c r="AT76" s="181"/>
      <c r="AU76" s="165"/>
      <c r="AV76" s="179"/>
      <c r="AW76" s="181" t="e">
        <f t="shared" si="31"/>
        <v>#N/A</v>
      </c>
      <c r="AX76" s="430"/>
    </row>
    <row r="77" spans="2:50">
      <c r="B77" s="400"/>
      <c r="C77" s="181">
        <v>11</v>
      </c>
      <c r="D77" s="181"/>
      <c r="E77" s="181"/>
      <c r="F77" s="181"/>
      <c r="G77" s="181"/>
      <c r="H77" s="413"/>
      <c r="I77" s="181"/>
      <c r="J77" s="181"/>
      <c r="K77" s="181"/>
      <c r="L77" s="413"/>
      <c r="M77" s="180" t="e">
        <f>RANK(K77, K$67:$K$81)</f>
        <v>#N/A</v>
      </c>
      <c r="N77" s="401"/>
      <c r="O77" s="401"/>
      <c r="P77" s="181"/>
      <c r="Q77" s="181"/>
      <c r="R77" s="181"/>
      <c r="S77" s="181" t="e">
        <f t="shared" si="25"/>
        <v>#N/A</v>
      </c>
      <c r="T77" s="430"/>
      <c r="U77" s="181"/>
      <c r="V77" s="181"/>
      <c r="W77" s="181"/>
      <c r="X77" s="181" t="e">
        <f t="shared" si="26"/>
        <v>#N/A</v>
      </c>
      <c r="Y77" s="430"/>
      <c r="Z77" s="181"/>
      <c r="AA77" s="181"/>
      <c r="AB77" s="181"/>
      <c r="AC77" s="181" t="e">
        <f t="shared" si="27"/>
        <v>#N/A</v>
      </c>
      <c r="AD77" s="430"/>
      <c r="AE77" s="181"/>
      <c r="AF77" s="181"/>
      <c r="AG77" s="181"/>
      <c r="AH77" s="181" t="e">
        <f t="shared" si="28"/>
        <v>#N/A</v>
      </c>
      <c r="AI77" s="430"/>
      <c r="AJ77" s="181"/>
      <c r="AK77" s="181"/>
      <c r="AL77" s="181"/>
      <c r="AM77" s="181" t="e">
        <f t="shared" si="29"/>
        <v>#N/A</v>
      </c>
      <c r="AN77" s="430"/>
      <c r="AO77" s="181"/>
      <c r="AP77" s="181"/>
      <c r="AQ77" s="181"/>
      <c r="AR77" s="181" t="e">
        <f t="shared" si="30"/>
        <v>#N/A</v>
      </c>
      <c r="AS77" s="430"/>
      <c r="AT77" s="181"/>
      <c r="AU77" s="181"/>
      <c r="AV77" s="181"/>
      <c r="AW77" s="181" t="e">
        <f t="shared" si="31"/>
        <v>#N/A</v>
      </c>
      <c r="AX77" s="430"/>
    </row>
    <row r="78" spans="2:50">
      <c r="B78" s="400"/>
      <c r="C78" s="181">
        <v>12</v>
      </c>
      <c r="D78" s="181"/>
      <c r="E78" s="181"/>
      <c r="F78" s="181"/>
      <c r="G78" s="181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81"/>
      <c r="Q78" s="181"/>
      <c r="R78" s="181"/>
      <c r="S78" s="181" t="e">
        <f t="shared" si="25"/>
        <v>#N/A</v>
      </c>
      <c r="T78" s="430"/>
      <c r="U78" s="181"/>
      <c r="V78" s="181"/>
      <c r="W78" s="181"/>
      <c r="X78" s="181" t="e">
        <f t="shared" si="26"/>
        <v>#N/A</v>
      </c>
      <c r="Y78" s="430"/>
      <c r="Z78" s="181"/>
      <c r="AA78" s="181"/>
      <c r="AB78" s="181"/>
      <c r="AC78" s="181" t="e">
        <f t="shared" si="27"/>
        <v>#N/A</v>
      </c>
      <c r="AD78" s="430"/>
      <c r="AE78" s="181"/>
      <c r="AF78" s="181"/>
      <c r="AG78" s="181"/>
      <c r="AH78" s="181" t="e">
        <f t="shared" si="28"/>
        <v>#N/A</v>
      </c>
      <c r="AI78" s="430"/>
      <c r="AJ78" s="181"/>
      <c r="AK78" s="181"/>
      <c r="AL78" s="181"/>
      <c r="AM78" s="181" t="e">
        <f t="shared" si="29"/>
        <v>#N/A</v>
      </c>
      <c r="AN78" s="430"/>
      <c r="AO78" s="181"/>
      <c r="AP78" s="181"/>
      <c r="AQ78" s="181"/>
      <c r="AR78" s="181" t="e">
        <f t="shared" si="30"/>
        <v>#N/A</v>
      </c>
      <c r="AS78" s="430"/>
      <c r="AT78" s="181"/>
      <c r="AU78" s="181"/>
      <c r="AV78" s="181"/>
      <c r="AW78" s="181" t="e">
        <f t="shared" si="31"/>
        <v>#N/A</v>
      </c>
      <c r="AX78" s="430"/>
    </row>
    <row r="79" spans="2:50">
      <c r="B79" s="400"/>
      <c r="C79" s="181">
        <v>13</v>
      </c>
      <c r="D79" s="181"/>
      <c r="E79" s="181"/>
      <c r="F79" s="181"/>
      <c r="G79" s="181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81"/>
      <c r="Q79" s="181"/>
      <c r="R79" s="181"/>
      <c r="S79" s="181" t="e">
        <f t="shared" si="25"/>
        <v>#N/A</v>
      </c>
      <c r="T79" s="430"/>
      <c r="U79" s="181"/>
      <c r="V79" s="181"/>
      <c r="W79" s="181"/>
      <c r="X79" s="181" t="e">
        <f t="shared" si="26"/>
        <v>#N/A</v>
      </c>
      <c r="Y79" s="430"/>
      <c r="Z79" s="181"/>
      <c r="AA79" s="181"/>
      <c r="AB79" s="181"/>
      <c r="AC79" s="181" t="e">
        <f t="shared" si="27"/>
        <v>#N/A</v>
      </c>
      <c r="AD79" s="430"/>
      <c r="AE79" s="181"/>
      <c r="AF79" s="181"/>
      <c r="AG79" s="181"/>
      <c r="AH79" s="181" t="e">
        <f t="shared" si="28"/>
        <v>#N/A</v>
      </c>
      <c r="AI79" s="430"/>
      <c r="AJ79" s="181"/>
      <c r="AK79" s="181"/>
      <c r="AL79" s="181"/>
      <c r="AM79" s="181" t="e">
        <f t="shared" si="29"/>
        <v>#N/A</v>
      </c>
      <c r="AN79" s="430"/>
      <c r="AO79" s="181"/>
      <c r="AP79" s="181"/>
      <c r="AQ79" s="181"/>
      <c r="AR79" s="181" t="e">
        <f t="shared" si="30"/>
        <v>#N/A</v>
      </c>
      <c r="AS79" s="430"/>
      <c r="AT79" s="181"/>
      <c r="AU79" s="181"/>
      <c r="AV79" s="181"/>
      <c r="AW79" s="181" t="e">
        <f t="shared" si="31"/>
        <v>#N/A</v>
      </c>
      <c r="AX79" s="430"/>
    </row>
    <row r="80" spans="2:50">
      <c r="B80" s="400"/>
      <c r="C80" s="181">
        <v>14</v>
      </c>
      <c r="D80" s="181"/>
      <c r="E80" s="181"/>
      <c r="F80" s="181"/>
      <c r="G80" s="181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81"/>
      <c r="Q80" s="181"/>
      <c r="R80" s="181"/>
      <c r="S80" s="181" t="e">
        <f t="shared" si="25"/>
        <v>#N/A</v>
      </c>
      <c r="T80" s="430"/>
      <c r="U80" s="181"/>
      <c r="V80" s="181"/>
      <c r="W80" s="181"/>
      <c r="X80" s="181" t="e">
        <f t="shared" si="26"/>
        <v>#N/A</v>
      </c>
      <c r="Y80" s="430"/>
      <c r="Z80" s="181"/>
      <c r="AA80" s="181"/>
      <c r="AB80" s="181"/>
      <c r="AC80" s="181" t="e">
        <f t="shared" si="27"/>
        <v>#N/A</v>
      </c>
      <c r="AD80" s="430"/>
      <c r="AE80" s="181"/>
      <c r="AF80" s="181"/>
      <c r="AG80" s="181"/>
      <c r="AH80" s="181" t="e">
        <f t="shared" si="28"/>
        <v>#N/A</v>
      </c>
      <c r="AI80" s="430"/>
      <c r="AJ80" s="181"/>
      <c r="AK80" s="181"/>
      <c r="AL80" s="181"/>
      <c r="AM80" s="181" t="e">
        <f t="shared" si="29"/>
        <v>#N/A</v>
      </c>
      <c r="AN80" s="430"/>
      <c r="AO80" s="181"/>
      <c r="AP80" s="181"/>
      <c r="AQ80" s="181"/>
      <c r="AR80" s="181" t="e">
        <f t="shared" si="30"/>
        <v>#N/A</v>
      </c>
      <c r="AS80" s="430"/>
      <c r="AT80" s="181"/>
      <c r="AU80" s="181"/>
      <c r="AV80" s="181"/>
      <c r="AW80" s="181" t="e">
        <f t="shared" si="31"/>
        <v>#N/A</v>
      </c>
      <c r="AX80" s="430"/>
    </row>
    <row r="81" spans="2:50">
      <c r="B81" s="400"/>
      <c r="C81" s="181">
        <v>15</v>
      </c>
      <c r="D81" s="181"/>
      <c r="E81" s="181"/>
      <c r="F81" s="181"/>
      <c r="G81" s="181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81"/>
      <c r="Q81" s="181"/>
      <c r="R81" s="181"/>
      <c r="S81" s="181" t="e">
        <f t="shared" si="25"/>
        <v>#N/A</v>
      </c>
      <c r="T81" s="430"/>
      <c r="U81" s="181"/>
      <c r="V81" s="181"/>
      <c r="W81" s="181"/>
      <c r="X81" s="181" t="e">
        <f t="shared" si="26"/>
        <v>#N/A</v>
      </c>
      <c r="Y81" s="430"/>
      <c r="Z81" s="181"/>
      <c r="AA81" s="181"/>
      <c r="AB81" s="181"/>
      <c r="AC81" s="181" t="e">
        <f t="shared" si="27"/>
        <v>#N/A</v>
      </c>
      <c r="AD81" s="430"/>
      <c r="AE81" s="181"/>
      <c r="AF81" s="181"/>
      <c r="AG81" s="181"/>
      <c r="AH81" s="181" t="e">
        <f t="shared" si="28"/>
        <v>#N/A</v>
      </c>
      <c r="AI81" s="430"/>
      <c r="AJ81" s="181"/>
      <c r="AK81" s="181"/>
      <c r="AL81" s="181"/>
      <c r="AM81" s="181" t="e">
        <f t="shared" si="29"/>
        <v>#N/A</v>
      </c>
      <c r="AN81" s="430"/>
      <c r="AO81" s="181"/>
      <c r="AP81" s="181"/>
      <c r="AQ81" s="181"/>
      <c r="AR81" s="181" t="e">
        <f t="shared" si="30"/>
        <v>#N/A</v>
      </c>
      <c r="AS81" s="430"/>
      <c r="AT81" s="181"/>
      <c r="AU81" s="181"/>
      <c r="AV81" s="181"/>
      <c r="AW81" s="181" t="e">
        <f t="shared" si="31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29" t="s">
        <v>233</v>
      </c>
      <c r="C87" s="181">
        <v>1</v>
      </c>
      <c r="D87" s="181" t="s">
        <v>235</v>
      </c>
      <c r="E87" s="181">
        <v>10</v>
      </c>
      <c r="F87" s="181">
        <v>1500</v>
      </c>
      <c r="G87" s="181">
        <v>150</v>
      </c>
      <c r="H87" s="412">
        <f>AVERAGE(G87:G101)</f>
        <v>198.57142857142858</v>
      </c>
      <c r="I87" s="165">
        <f>AVERAGE(P87,U87,Z87,AE87,AJ87,AO87,AT87)</f>
        <v>10</v>
      </c>
      <c r="J87" s="165">
        <f>AVERAGE(Q87,V87,AA87,AF87,AK87,AP87,AU87)</f>
        <v>1620.6244897959182</v>
      </c>
      <c r="K87" s="179">
        <f>AVERAGE(R87,W87,AB87,AG87,AL87,AQ87,AV87)</f>
        <v>162.06244897959181</v>
      </c>
      <c r="L87" s="412">
        <f>IFERROR(AVERAGE(K87:K101),"-")</f>
        <v>203.55811967748807</v>
      </c>
      <c r="M87" s="180">
        <f>RANK(K87, K$87:$K$101)</f>
        <v>4</v>
      </c>
      <c r="N87" s="401"/>
      <c r="O87" s="401"/>
      <c r="P87" s="165">
        <v>10</v>
      </c>
      <c r="Q87" s="165">
        <v>2522.9999999999991</v>
      </c>
      <c r="R87" s="179">
        <v>252.2999999999999</v>
      </c>
      <c r="S87" s="181">
        <f>RANK(R87, R$87:R$101)</f>
        <v>4</v>
      </c>
      <c r="T87" s="430">
        <f>AVERAGE(R87:R101)</f>
        <v>222.56418696510846</v>
      </c>
      <c r="U87" s="165">
        <v>10</v>
      </c>
      <c r="V87" s="165">
        <v>1407.42857142857</v>
      </c>
      <c r="W87" s="179">
        <v>140.74285714285699</v>
      </c>
      <c r="X87" s="181">
        <f>RANK(W87, W$87:W$101)</f>
        <v>6</v>
      </c>
      <c r="Y87" s="430">
        <f>AVERAGE(W87:W101)</f>
        <v>201.97546847740887</v>
      </c>
      <c r="Z87" s="165">
        <v>10</v>
      </c>
      <c r="AA87" s="165">
        <v>1596.0000000000016</v>
      </c>
      <c r="AB87" s="179">
        <v>159.60000000000016</v>
      </c>
      <c r="AC87" s="181">
        <f>RANK(AB87, AB$87:AB$101)</f>
        <v>4</v>
      </c>
      <c r="AD87" s="430">
        <f>AVERAGE(AB87:AB101)</f>
        <v>214.10316126450587</v>
      </c>
      <c r="AE87" s="165">
        <v>10</v>
      </c>
      <c r="AF87" s="165">
        <v>1485.6000000000051</v>
      </c>
      <c r="AG87" s="179">
        <v>148.56000000000051</v>
      </c>
      <c r="AH87" s="181">
        <f>RANK(AG87, AG$87:AG$101)</f>
        <v>5</v>
      </c>
      <c r="AI87" s="430">
        <f>AVERAGE(AG87:AG101)</f>
        <v>194.8117208934857</v>
      </c>
      <c r="AJ87" s="165">
        <v>10</v>
      </c>
      <c r="AK87" s="165">
        <v>1499.9999999999957</v>
      </c>
      <c r="AL87" s="179">
        <v>149.99999999999957</v>
      </c>
      <c r="AM87" s="181">
        <f>RANK(AL87, AL$87:AL$101)</f>
        <v>5</v>
      </c>
      <c r="AN87" s="430">
        <f>AVERAGE(AL87:AL101)</f>
        <v>195.75347780137685</v>
      </c>
      <c r="AO87" s="165">
        <v>10</v>
      </c>
      <c r="AP87" s="165">
        <v>1435.2000000000003</v>
      </c>
      <c r="AQ87" s="179">
        <v>143.52000000000004</v>
      </c>
      <c r="AR87" s="181">
        <f>RANK(AQ87, AQ$87:AQ$101)</f>
        <v>6</v>
      </c>
      <c r="AS87" s="430">
        <f>AVERAGE(AQ87:AQ101)</f>
        <v>193.95074977817208</v>
      </c>
      <c r="AT87" s="165">
        <v>10</v>
      </c>
      <c r="AU87" s="165">
        <v>1397.1428571428557</v>
      </c>
      <c r="AV87" s="179">
        <v>139.71428571428558</v>
      </c>
      <c r="AW87" s="181">
        <f>RANK(AV87, AV$87:AV$101)</f>
        <v>6</v>
      </c>
      <c r="AX87" s="430">
        <f>AVERAGE(AV87:AV101)</f>
        <v>201.74807256235846</v>
      </c>
    </row>
    <row r="88" spans="2:50">
      <c r="B88" s="400"/>
      <c r="C88" s="181">
        <v>2</v>
      </c>
      <c r="D88" s="181" t="s">
        <v>236</v>
      </c>
      <c r="E88" s="181">
        <v>15</v>
      </c>
      <c r="F88" s="181">
        <v>1800</v>
      </c>
      <c r="G88" s="181">
        <v>120</v>
      </c>
      <c r="H88" s="413"/>
      <c r="I88" s="165">
        <f t="shared" ref="I88:I93" si="32">AVERAGE(P88,U88,Z88,AE88,AJ88,AO88,AT88)</f>
        <v>12</v>
      </c>
      <c r="J88" s="165">
        <f t="shared" ref="J88:J93" si="33">AVERAGE(Q88,V88,AA88,AF88,AK88,AP88,AU88)</f>
        <v>1748.2809523809542</v>
      </c>
      <c r="K88" s="179">
        <f t="shared" ref="K88:K93" si="34">AVERAGE(R88,W88,AB88,AG88,AL88,AQ88,AV88)</f>
        <v>145.69007936507953</v>
      </c>
      <c r="L88" s="413"/>
      <c r="M88" s="180">
        <f>RANK(K88, K$87:$K$101)</f>
        <v>6</v>
      </c>
      <c r="N88" s="401"/>
      <c r="O88" s="401"/>
      <c r="P88" s="181">
        <v>12</v>
      </c>
      <c r="Q88" s="165">
        <v>1708.8000000000034</v>
      </c>
      <c r="R88" s="179">
        <v>142.40000000000029</v>
      </c>
      <c r="S88" s="181">
        <f t="shared" ref="S88:S101" si="35">RANK(R88, R$87:R$101)</f>
        <v>6</v>
      </c>
      <c r="T88" s="430"/>
      <c r="U88" s="181">
        <v>12</v>
      </c>
      <c r="V88" s="165">
        <v>1722.0000000000034</v>
      </c>
      <c r="W88" s="179">
        <v>143.50000000000028</v>
      </c>
      <c r="X88" s="181">
        <f t="shared" ref="X88:X101" si="36">RANK(W88, W$87:W$101)</f>
        <v>5</v>
      </c>
      <c r="Y88" s="430"/>
      <c r="Z88" s="181">
        <v>12</v>
      </c>
      <c r="AA88" s="165">
        <v>1754.6666666666665</v>
      </c>
      <c r="AB88" s="179">
        <v>146.2222222222222</v>
      </c>
      <c r="AC88" s="181">
        <f t="shared" ref="AC88:AC101" si="37">RANK(AB88, AB$87:AB$101)</f>
        <v>5</v>
      </c>
      <c r="AD88" s="430"/>
      <c r="AE88" s="181">
        <v>12</v>
      </c>
      <c r="AF88" s="165">
        <v>1685.3333333333333</v>
      </c>
      <c r="AG88" s="179">
        <v>140.44444444444443</v>
      </c>
      <c r="AH88" s="181">
        <f t="shared" ref="AH88:AH101" si="38">RANK(AG88, AG$87:AG$101)</f>
        <v>6</v>
      </c>
      <c r="AI88" s="430"/>
      <c r="AJ88" s="181">
        <v>12</v>
      </c>
      <c r="AK88" s="165">
        <v>1678.6666666666667</v>
      </c>
      <c r="AL88" s="179">
        <v>139.88888888888889</v>
      </c>
      <c r="AM88" s="181">
        <f t="shared" ref="AM88:AM101" si="39">RANK(AL88, AL$87:AL$101)</f>
        <v>6</v>
      </c>
      <c r="AN88" s="430"/>
      <c r="AO88" s="181">
        <v>12</v>
      </c>
      <c r="AP88" s="165">
        <v>1882.500000000003</v>
      </c>
      <c r="AQ88" s="179">
        <v>156.87500000000026</v>
      </c>
      <c r="AR88" s="181">
        <f t="shared" ref="AR88:AR101" si="40">RANK(AQ88, AQ$87:AQ$101)</f>
        <v>4</v>
      </c>
      <c r="AS88" s="430"/>
      <c r="AT88" s="181">
        <v>12</v>
      </c>
      <c r="AU88" s="165">
        <v>1806.0000000000034</v>
      </c>
      <c r="AV88" s="179">
        <v>150.50000000000028</v>
      </c>
      <c r="AW88" s="181">
        <f t="shared" ref="AW88:AW101" si="41">RANK(AV88, AV$87:AV$101)</f>
        <v>5</v>
      </c>
      <c r="AX88" s="430"/>
    </row>
    <row r="89" spans="2:50">
      <c r="B89" s="400"/>
      <c r="C89" s="181">
        <v>3</v>
      </c>
      <c r="D89" s="181" t="s">
        <v>237</v>
      </c>
      <c r="E89" s="181">
        <v>15</v>
      </c>
      <c r="F89" s="181">
        <v>1800</v>
      </c>
      <c r="G89" s="181">
        <v>120</v>
      </c>
      <c r="H89" s="413"/>
      <c r="I89" s="165">
        <f t="shared" si="32"/>
        <v>12</v>
      </c>
      <c r="J89" s="165">
        <f t="shared" si="33"/>
        <v>1819.8190476190484</v>
      </c>
      <c r="K89" s="179">
        <f t="shared" si="34"/>
        <v>151.65158730158737</v>
      </c>
      <c r="L89" s="413"/>
      <c r="M89" s="180">
        <f>RANK(K89, K$87:$K$101)</f>
        <v>5</v>
      </c>
      <c r="N89" s="401"/>
      <c r="O89" s="401"/>
      <c r="P89" s="181">
        <v>12</v>
      </c>
      <c r="Q89" s="165">
        <v>1724.3999999999978</v>
      </c>
      <c r="R89" s="179">
        <v>143.69999999999982</v>
      </c>
      <c r="S89" s="181">
        <f t="shared" si="35"/>
        <v>5</v>
      </c>
      <c r="T89" s="430"/>
      <c r="U89" s="181">
        <v>12</v>
      </c>
      <c r="V89" s="165">
        <v>1885.3333333333333</v>
      </c>
      <c r="W89" s="179">
        <v>157.11111111111111</v>
      </c>
      <c r="X89" s="181">
        <f t="shared" si="36"/>
        <v>4</v>
      </c>
      <c r="Y89" s="430"/>
      <c r="Z89" s="181">
        <v>12</v>
      </c>
      <c r="AA89" s="165">
        <v>1749.3333333333333</v>
      </c>
      <c r="AB89" s="179">
        <v>145.77777777777777</v>
      </c>
      <c r="AC89" s="181">
        <f t="shared" si="37"/>
        <v>6</v>
      </c>
      <c r="AD89" s="430"/>
      <c r="AE89" s="181">
        <v>12</v>
      </c>
      <c r="AF89" s="165">
        <v>1833.000000000003</v>
      </c>
      <c r="AG89" s="179">
        <v>152.75000000000026</v>
      </c>
      <c r="AH89" s="181">
        <f t="shared" si="38"/>
        <v>4</v>
      </c>
      <c r="AI89" s="430"/>
      <c r="AJ89" s="181">
        <v>12</v>
      </c>
      <c r="AK89" s="165">
        <v>1830.000000000003</v>
      </c>
      <c r="AL89" s="179">
        <v>152.50000000000026</v>
      </c>
      <c r="AM89" s="181">
        <f t="shared" si="39"/>
        <v>4</v>
      </c>
      <c r="AN89" s="430"/>
      <c r="AO89" s="181">
        <v>12</v>
      </c>
      <c r="AP89" s="165">
        <v>1782.000000000003</v>
      </c>
      <c r="AQ89" s="179">
        <v>148.50000000000026</v>
      </c>
      <c r="AR89" s="181">
        <f t="shared" si="40"/>
        <v>5</v>
      </c>
      <c r="AS89" s="430"/>
      <c r="AT89" s="181">
        <v>12</v>
      </c>
      <c r="AU89" s="165">
        <v>1934.6666666666667</v>
      </c>
      <c r="AV89" s="179">
        <v>161.22222222222223</v>
      </c>
      <c r="AW89" s="181">
        <f t="shared" si="41"/>
        <v>4</v>
      </c>
      <c r="AX89" s="430"/>
    </row>
    <row r="90" spans="2:50">
      <c r="B90" s="400"/>
      <c r="C90" s="181">
        <v>4</v>
      </c>
      <c r="D90" s="181" t="s">
        <v>238</v>
      </c>
      <c r="E90" s="181">
        <v>6</v>
      </c>
      <c r="F90" s="181">
        <v>1500</v>
      </c>
      <c r="G90" s="181">
        <v>250</v>
      </c>
      <c r="H90" s="413"/>
      <c r="I90" s="165">
        <f t="shared" si="32"/>
        <v>5</v>
      </c>
      <c r="J90" s="165">
        <f t="shared" si="33"/>
        <v>1450.5392440376952</v>
      </c>
      <c r="K90" s="179">
        <f t="shared" si="34"/>
        <v>290.10784880753909</v>
      </c>
      <c r="L90" s="413"/>
      <c r="M90" s="180">
        <f>RANK(K90, K$87:$K$101)</f>
        <v>3</v>
      </c>
      <c r="N90" s="401"/>
      <c r="O90" s="401"/>
      <c r="P90" s="181">
        <v>5</v>
      </c>
      <c r="Q90" s="165">
        <v>1499.9999999999986</v>
      </c>
      <c r="R90" s="179">
        <v>299.99999999999972</v>
      </c>
      <c r="S90" s="181">
        <f t="shared" si="35"/>
        <v>1</v>
      </c>
      <c r="T90" s="430"/>
      <c r="U90" s="181">
        <v>5</v>
      </c>
      <c r="V90" s="165">
        <v>1433.6842105263147</v>
      </c>
      <c r="W90" s="179">
        <v>286.73684210526295</v>
      </c>
      <c r="X90" s="181">
        <f t="shared" si="36"/>
        <v>3</v>
      </c>
      <c r="Y90" s="430"/>
      <c r="Z90" s="181">
        <v>5</v>
      </c>
      <c r="AA90" s="165">
        <v>1464.7058823529394</v>
      </c>
      <c r="AB90" s="179">
        <v>292.94117647058789</v>
      </c>
      <c r="AC90" s="181">
        <f t="shared" si="37"/>
        <v>3</v>
      </c>
      <c r="AD90" s="430"/>
      <c r="AE90" s="181">
        <v>5</v>
      </c>
      <c r="AF90" s="165">
        <v>1458.4615384615392</v>
      </c>
      <c r="AG90" s="179">
        <v>291.69230769230785</v>
      </c>
      <c r="AH90" s="181">
        <f t="shared" si="38"/>
        <v>2</v>
      </c>
      <c r="AI90" s="430"/>
      <c r="AJ90" s="181">
        <v>5</v>
      </c>
      <c r="AK90" s="165">
        <v>1416.9230769230776</v>
      </c>
      <c r="AL90" s="179">
        <v>283.38461538461553</v>
      </c>
      <c r="AM90" s="181">
        <f t="shared" si="39"/>
        <v>3</v>
      </c>
      <c r="AN90" s="430"/>
      <c r="AO90" s="181">
        <v>5</v>
      </c>
      <c r="AP90" s="165">
        <v>1439.9999999999961</v>
      </c>
      <c r="AQ90" s="179">
        <v>287.9999999999992</v>
      </c>
      <c r="AR90" s="181">
        <f t="shared" si="40"/>
        <v>3</v>
      </c>
      <c r="AS90" s="430"/>
      <c r="AT90" s="181">
        <v>5</v>
      </c>
      <c r="AU90" s="165">
        <v>1440.0000000000018</v>
      </c>
      <c r="AV90" s="179">
        <v>288.00000000000034</v>
      </c>
      <c r="AW90" s="181">
        <f t="shared" si="41"/>
        <v>3</v>
      </c>
      <c r="AX90" s="430"/>
    </row>
    <row r="91" spans="2:50">
      <c r="B91" s="400"/>
      <c r="C91" s="181">
        <v>5</v>
      </c>
      <c r="D91" s="181" t="s">
        <v>239</v>
      </c>
      <c r="E91" s="181">
        <v>5</v>
      </c>
      <c r="F91" s="181">
        <v>1500</v>
      </c>
      <c r="G91" s="181">
        <v>300</v>
      </c>
      <c r="H91" s="413"/>
      <c r="I91" s="165">
        <f t="shared" si="32"/>
        <v>5</v>
      </c>
      <c r="J91" s="165">
        <f t="shared" si="33"/>
        <v>1466.7715602369969</v>
      </c>
      <c r="K91" s="179">
        <f t="shared" si="34"/>
        <v>293.35431204739945</v>
      </c>
      <c r="L91" s="413"/>
      <c r="M91" s="180">
        <f>RANK(K91, K$87:$K$101)</f>
        <v>2</v>
      </c>
      <c r="N91" s="401"/>
      <c r="O91" s="401"/>
      <c r="P91" s="181">
        <v>5</v>
      </c>
      <c r="Q91" s="165">
        <v>1469.0322580645138</v>
      </c>
      <c r="R91" s="179">
        <v>293.80645161290278</v>
      </c>
      <c r="S91" s="181">
        <f t="shared" si="35"/>
        <v>3</v>
      </c>
      <c r="T91" s="430"/>
      <c r="U91" s="181">
        <v>5</v>
      </c>
      <c r="V91" s="165">
        <v>1463.2258064516141</v>
      </c>
      <c r="W91" s="179">
        <v>292.64516129032279</v>
      </c>
      <c r="X91" s="181">
        <f t="shared" si="36"/>
        <v>2</v>
      </c>
      <c r="Y91" s="430"/>
      <c r="Z91" s="181">
        <v>5</v>
      </c>
      <c r="AA91" s="165">
        <v>1478.5714285714296</v>
      </c>
      <c r="AB91" s="179">
        <v>295.71428571428589</v>
      </c>
      <c r="AC91" s="181">
        <f t="shared" si="37"/>
        <v>2</v>
      </c>
      <c r="AD91" s="430"/>
      <c r="AE91" s="181">
        <v>5</v>
      </c>
      <c r="AF91" s="165">
        <v>1449.999999999998</v>
      </c>
      <c r="AG91" s="179">
        <v>289.9999999999996</v>
      </c>
      <c r="AH91" s="181">
        <f t="shared" si="38"/>
        <v>3</v>
      </c>
      <c r="AI91" s="430"/>
      <c r="AJ91" s="181">
        <v>5</v>
      </c>
      <c r="AK91" s="165">
        <v>1482.8571428571395</v>
      </c>
      <c r="AL91" s="179">
        <v>296.57142857142787</v>
      </c>
      <c r="AM91" s="181">
        <f t="shared" si="39"/>
        <v>2</v>
      </c>
      <c r="AN91" s="430"/>
      <c r="AO91" s="181">
        <v>5</v>
      </c>
      <c r="AP91" s="165">
        <v>1445.7142857142826</v>
      </c>
      <c r="AQ91" s="179">
        <v>289.14285714285654</v>
      </c>
      <c r="AR91" s="181">
        <f t="shared" si="40"/>
        <v>2</v>
      </c>
      <c r="AS91" s="430"/>
      <c r="AT91" s="181">
        <v>5</v>
      </c>
      <c r="AU91" s="165">
        <v>1478.0000000000014</v>
      </c>
      <c r="AV91" s="179">
        <v>295.60000000000025</v>
      </c>
      <c r="AW91" s="181">
        <f t="shared" si="41"/>
        <v>2</v>
      </c>
      <c r="AX91" s="430"/>
    </row>
    <row r="92" spans="2:50">
      <c r="B92" s="400"/>
      <c r="C92" s="181">
        <v>6</v>
      </c>
      <c r="D92" s="181" t="s">
        <v>242</v>
      </c>
      <c r="E92" s="181">
        <v>5</v>
      </c>
      <c r="F92" s="181">
        <v>1500</v>
      </c>
      <c r="G92" s="181">
        <v>300</v>
      </c>
      <c r="H92" s="413"/>
      <c r="I92" s="165">
        <f t="shared" si="32"/>
        <v>5</v>
      </c>
      <c r="J92" s="165">
        <f t="shared" si="33"/>
        <v>1521.6313776346663</v>
      </c>
      <c r="K92" s="179">
        <f t="shared" si="34"/>
        <v>304.32627552693327</v>
      </c>
      <c r="L92" s="413"/>
      <c r="M92" s="180">
        <f>RANK(K92, K$87:$K$101)</f>
        <v>1</v>
      </c>
      <c r="N92" s="401"/>
      <c r="O92" s="401"/>
      <c r="P92" s="181">
        <v>5</v>
      </c>
      <c r="Q92" s="165">
        <v>1489.7142857142867</v>
      </c>
      <c r="R92" s="179">
        <v>297.94285714285735</v>
      </c>
      <c r="S92" s="181">
        <f t="shared" si="35"/>
        <v>2</v>
      </c>
      <c r="T92" s="430"/>
      <c r="U92" s="181">
        <v>5</v>
      </c>
      <c r="V92" s="165">
        <v>1503.4615384615386</v>
      </c>
      <c r="W92" s="179">
        <v>300.69230769230774</v>
      </c>
      <c r="X92" s="181">
        <f t="shared" si="36"/>
        <v>1</v>
      </c>
      <c r="Y92" s="430"/>
      <c r="Z92" s="181">
        <v>5</v>
      </c>
      <c r="AA92" s="165">
        <v>1567.3333333333339</v>
      </c>
      <c r="AB92" s="179">
        <v>313.46666666666681</v>
      </c>
      <c r="AC92" s="181">
        <f t="shared" si="37"/>
        <v>1</v>
      </c>
      <c r="AD92" s="430"/>
      <c r="AE92" s="181">
        <v>5</v>
      </c>
      <c r="AF92" s="165">
        <v>1521.1764705882358</v>
      </c>
      <c r="AG92" s="179">
        <v>304.23529411764719</v>
      </c>
      <c r="AH92" s="181">
        <f t="shared" si="38"/>
        <v>1</v>
      </c>
      <c r="AI92" s="430"/>
      <c r="AJ92" s="181">
        <v>5</v>
      </c>
      <c r="AK92" s="165">
        <v>1529.6470588235284</v>
      </c>
      <c r="AL92" s="179">
        <v>305.92941176470566</v>
      </c>
      <c r="AM92" s="181">
        <f t="shared" si="39"/>
        <v>1</v>
      </c>
      <c r="AN92" s="430"/>
      <c r="AO92" s="181">
        <v>5</v>
      </c>
      <c r="AP92" s="165">
        <v>1496.0869565217392</v>
      </c>
      <c r="AQ92" s="179">
        <v>299.21739130434787</v>
      </c>
      <c r="AR92" s="181">
        <f t="shared" si="40"/>
        <v>1</v>
      </c>
      <c r="AS92" s="430"/>
      <c r="AT92" s="181">
        <v>5</v>
      </c>
      <c r="AU92" s="165">
        <v>1544.0000000000002</v>
      </c>
      <c r="AV92" s="179">
        <v>308.80000000000007</v>
      </c>
      <c r="AW92" s="181">
        <f t="shared" si="41"/>
        <v>1</v>
      </c>
      <c r="AX92" s="430"/>
    </row>
    <row r="93" spans="2:50">
      <c r="B93" s="400"/>
      <c r="C93" s="181">
        <v>7</v>
      </c>
      <c r="D93" s="181" t="s">
        <v>241</v>
      </c>
      <c r="E93" s="181">
        <v>10</v>
      </c>
      <c r="F93" s="181">
        <v>1500</v>
      </c>
      <c r="G93" s="181">
        <v>150</v>
      </c>
      <c r="H93" s="413"/>
      <c r="I93" s="165">
        <f t="shared" si="32"/>
        <v>10</v>
      </c>
      <c r="J93" s="165">
        <f t="shared" si="33"/>
        <v>777.14285714285847</v>
      </c>
      <c r="K93" s="179">
        <f t="shared" si="34"/>
        <v>77.71428571428585</v>
      </c>
      <c r="L93" s="413"/>
      <c r="M93" s="180">
        <f>RANK(K93, K$87:$K$101)</f>
        <v>7</v>
      </c>
      <c r="N93" s="401"/>
      <c r="O93" s="401"/>
      <c r="P93" s="181">
        <v>10</v>
      </c>
      <c r="Q93" s="165">
        <v>1277.9999999999943</v>
      </c>
      <c r="R93" s="179">
        <v>127.79999999999943</v>
      </c>
      <c r="S93" s="181">
        <f t="shared" si="35"/>
        <v>7</v>
      </c>
      <c r="T93" s="430"/>
      <c r="U93" s="181">
        <v>10</v>
      </c>
      <c r="V93" s="165">
        <v>924.0000000000033</v>
      </c>
      <c r="W93" s="179">
        <v>92.400000000000333</v>
      </c>
      <c r="X93" s="181">
        <f t="shared" si="36"/>
        <v>7</v>
      </c>
      <c r="Y93" s="430"/>
      <c r="Z93" s="181">
        <v>10</v>
      </c>
      <c r="AA93" s="165">
        <v>1450.0000000000052</v>
      </c>
      <c r="AB93" s="179">
        <v>145.00000000000051</v>
      </c>
      <c r="AC93" s="181">
        <f t="shared" si="37"/>
        <v>7</v>
      </c>
      <c r="AD93" s="430"/>
      <c r="AE93" s="181">
        <v>10</v>
      </c>
      <c r="AF93" s="165">
        <v>360.00000000000125</v>
      </c>
      <c r="AG93" s="179">
        <v>36.000000000000128</v>
      </c>
      <c r="AH93" s="181">
        <f t="shared" si="38"/>
        <v>7</v>
      </c>
      <c r="AI93" s="430"/>
      <c r="AJ93" s="181">
        <v>10</v>
      </c>
      <c r="AK93" s="165">
        <v>420.00000000000148</v>
      </c>
      <c r="AL93" s="179">
        <v>42.000000000000149</v>
      </c>
      <c r="AM93" s="181">
        <f t="shared" si="39"/>
        <v>7</v>
      </c>
      <c r="AN93" s="430"/>
      <c r="AO93" s="181">
        <v>10</v>
      </c>
      <c r="AP93" s="165">
        <v>324.00000000000114</v>
      </c>
      <c r="AQ93" s="179">
        <v>32.400000000000112</v>
      </c>
      <c r="AR93" s="181">
        <f t="shared" si="40"/>
        <v>7</v>
      </c>
      <c r="AS93" s="430"/>
      <c r="AT93" s="181">
        <v>10</v>
      </c>
      <c r="AU93" s="165">
        <v>684.0000000000025</v>
      </c>
      <c r="AV93" s="179">
        <v>68.400000000000247</v>
      </c>
      <c r="AW93" s="181">
        <f t="shared" si="41"/>
        <v>7</v>
      </c>
      <c r="AX93" s="430"/>
    </row>
    <row r="94" spans="2:50">
      <c r="B94" s="400"/>
      <c r="C94" s="181">
        <v>8</v>
      </c>
      <c r="D94" s="181"/>
      <c r="E94" s="181"/>
      <c r="F94" s="181"/>
      <c r="G94" s="181"/>
      <c r="H94" s="413"/>
      <c r="I94" s="165"/>
      <c r="J94" s="165"/>
      <c r="K94" s="179"/>
      <c r="L94" s="413"/>
      <c r="M94" s="180" t="e">
        <f>RANK(K94, K$87:$K$101)</f>
        <v>#N/A</v>
      </c>
      <c r="N94" s="401"/>
      <c r="O94" s="401"/>
      <c r="P94" s="181"/>
      <c r="Q94" s="165"/>
      <c r="R94" s="179"/>
      <c r="S94" s="181" t="e">
        <f t="shared" si="35"/>
        <v>#N/A</v>
      </c>
      <c r="T94" s="430"/>
      <c r="U94" s="181"/>
      <c r="V94" s="165"/>
      <c r="W94" s="179"/>
      <c r="X94" s="181" t="e">
        <f t="shared" si="36"/>
        <v>#N/A</v>
      </c>
      <c r="Y94" s="430"/>
      <c r="Z94" s="181"/>
      <c r="AA94" s="165"/>
      <c r="AB94" s="179"/>
      <c r="AC94" s="181" t="e">
        <f t="shared" si="37"/>
        <v>#N/A</v>
      </c>
      <c r="AD94" s="430"/>
      <c r="AE94" s="181"/>
      <c r="AF94" s="165"/>
      <c r="AG94" s="179"/>
      <c r="AH94" s="181" t="e">
        <f t="shared" si="38"/>
        <v>#N/A</v>
      </c>
      <c r="AI94" s="430"/>
      <c r="AJ94" s="181"/>
      <c r="AK94" s="165"/>
      <c r="AL94" s="179"/>
      <c r="AM94" s="181" t="e">
        <f t="shared" si="39"/>
        <v>#N/A</v>
      </c>
      <c r="AN94" s="430"/>
      <c r="AO94" s="181"/>
      <c r="AP94" s="165"/>
      <c r="AQ94" s="179"/>
      <c r="AR94" s="181" t="e">
        <f t="shared" si="40"/>
        <v>#N/A</v>
      </c>
      <c r="AS94" s="430"/>
      <c r="AT94" s="181"/>
      <c r="AU94" s="165"/>
      <c r="AV94" s="179"/>
      <c r="AW94" s="181" t="e">
        <f t="shared" si="41"/>
        <v>#N/A</v>
      </c>
      <c r="AX94" s="430"/>
    </row>
    <row r="95" spans="2:50">
      <c r="B95" s="400"/>
      <c r="C95" s="181">
        <v>9</v>
      </c>
      <c r="D95" s="181"/>
      <c r="E95" s="181"/>
      <c r="F95" s="181"/>
      <c r="G95" s="181"/>
      <c r="H95" s="413"/>
      <c r="I95" s="165"/>
      <c r="J95" s="165"/>
      <c r="K95" s="179"/>
      <c r="L95" s="413"/>
      <c r="M95" s="180" t="e">
        <f>RANK(K95, K$87:$K$101)</f>
        <v>#N/A</v>
      </c>
      <c r="N95" s="401"/>
      <c r="O95" s="401"/>
      <c r="P95" s="181"/>
      <c r="Q95" s="165"/>
      <c r="R95" s="179"/>
      <c r="S95" s="181" t="e">
        <f t="shared" si="35"/>
        <v>#N/A</v>
      </c>
      <c r="T95" s="430"/>
      <c r="U95" s="181"/>
      <c r="V95" s="165"/>
      <c r="W95" s="179"/>
      <c r="X95" s="181" t="e">
        <f t="shared" si="36"/>
        <v>#N/A</v>
      </c>
      <c r="Y95" s="430"/>
      <c r="Z95" s="181"/>
      <c r="AA95" s="165"/>
      <c r="AB95" s="179"/>
      <c r="AC95" s="181" t="e">
        <f t="shared" si="37"/>
        <v>#N/A</v>
      </c>
      <c r="AD95" s="430"/>
      <c r="AE95" s="181"/>
      <c r="AF95" s="165"/>
      <c r="AG95" s="179"/>
      <c r="AH95" s="181" t="e">
        <f t="shared" si="38"/>
        <v>#N/A</v>
      </c>
      <c r="AI95" s="430"/>
      <c r="AJ95" s="181"/>
      <c r="AK95" s="165"/>
      <c r="AL95" s="179"/>
      <c r="AM95" s="181" t="e">
        <f t="shared" si="39"/>
        <v>#N/A</v>
      </c>
      <c r="AN95" s="430"/>
      <c r="AO95" s="181"/>
      <c r="AP95" s="165"/>
      <c r="AQ95" s="179"/>
      <c r="AR95" s="181" t="e">
        <f t="shared" si="40"/>
        <v>#N/A</v>
      </c>
      <c r="AS95" s="430"/>
      <c r="AT95" s="181"/>
      <c r="AU95" s="165"/>
      <c r="AV95" s="179"/>
      <c r="AW95" s="181" t="e">
        <f t="shared" si="41"/>
        <v>#N/A</v>
      </c>
      <c r="AX95" s="430"/>
    </row>
    <row r="96" spans="2:50">
      <c r="B96" s="400"/>
      <c r="C96" s="181">
        <v>10</v>
      </c>
      <c r="D96" s="181"/>
      <c r="E96" s="181"/>
      <c r="F96" s="181"/>
      <c r="G96" s="181"/>
      <c r="H96" s="413"/>
      <c r="I96" s="165"/>
      <c r="J96" s="165"/>
      <c r="K96" s="179"/>
      <c r="L96" s="413"/>
      <c r="M96" s="180" t="e">
        <f>RANK(K96, K$87:$K$101)</f>
        <v>#N/A</v>
      </c>
      <c r="N96" s="401"/>
      <c r="O96" s="401"/>
      <c r="P96" s="181"/>
      <c r="Q96" s="165"/>
      <c r="R96" s="179"/>
      <c r="S96" s="181" t="e">
        <f t="shared" si="35"/>
        <v>#N/A</v>
      </c>
      <c r="T96" s="430"/>
      <c r="U96" s="181"/>
      <c r="V96" s="165"/>
      <c r="W96" s="179"/>
      <c r="X96" s="181" t="e">
        <f t="shared" si="36"/>
        <v>#N/A</v>
      </c>
      <c r="Y96" s="430"/>
      <c r="Z96" s="181"/>
      <c r="AA96" s="165"/>
      <c r="AB96" s="179"/>
      <c r="AC96" s="181" t="e">
        <f t="shared" si="37"/>
        <v>#N/A</v>
      </c>
      <c r="AD96" s="430"/>
      <c r="AE96" s="181"/>
      <c r="AF96" s="165"/>
      <c r="AG96" s="179"/>
      <c r="AH96" s="181" t="e">
        <f t="shared" si="38"/>
        <v>#N/A</v>
      </c>
      <c r="AI96" s="430"/>
      <c r="AJ96" s="181"/>
      <c r="AK96" s="165"/>
      <c r="AL96" s="179"/>
      <c r="AM96" s="181" t="e">
        <f t="shared" si="39"/>
        <v>#N/A</v>
      </c>
      <c r="AN96" s="430"/>
      <c r="AO96" s="181"/>
      <c r="AP96" s="165"/>
      <c r="AQ96" s="179"/>
      <c r="AR96" s="181" t="e">
        <f t="shared" si="40"/>
        <v>#N/A</v>
      </c>
      <c r="AS96" s="430"/>
      <c r="AT96" s="181"/>
      <c r="AU96" s="165"/>
      <c r="AV96" s="179"/>
      <c r="AW96" s="181" t="e">
        <f t="shared" si="41"/>
        <v>#N/A</v>
      </c>
      <c r="AX96" s="430"/>
    </row>
    <row r="97" spans="2:50">
      <c r="B97" s="400"/>
      <c r="C97" s="181">
        <v>11</v>
      </c>
      <c r="D97" s="181"/>
      <c r="E97" s="181"/>
      <c r="F97" s="181"/>
      <c r="G97" s="181"/>
      <c r="H97" s="413"/>
      <c r="I97" s="181"/>
      <c r="J97" s="181"/>
      <c r="K97" s="181"/>
      <c r="L97" s="413"/>
      <c r="M97" s="180" t="e">
        <f>RANK(K97, K$87:$K$101)</f>
        <v>#N/A</v>
      </c>
      <c r="N97" s="401"/>
      <c r="O97" s="401"/>
      <c r="P97" s="181"/>
      <c r="Q97" s="181"/>
      <c r="R97" s="181"/>
      <c r="S97" s="181" t="e">
        <f t="shared" si="35"/>
        <v>#N/A</v>
      </c>
      <c r="T97" s="430"/>
      <c r="U97" s="181"/>
      <c r="V97" s="181"/>
      <c r="W97" s="181"/>
      <c r="X97" s="181" t="e">
        <f t="shared" si="36"/>
        <v>#N/A</v>
      </c>
      <c r="Y97" s="430"/>
      <c r="Z97" s="181"/>
      <c r="AA97" s="181"/>
      <c r="AB97" s="181"/>
      <c r="AC97" s="181" t="e">
        <f t="shared" si="37"/>
        <v>#N/A</v>
      </c>
      <c r="AD97" s="430"/>
      <c r="AE97" s="181"/>
      <c r="AF97" s="181"/>
      <c r="AG97" s="181"/>
      <c r="AH97" s="181" t="e">
        <f t="shared" si="38"/>
        <v>#N/A</v>
      </c>
      <c r="AI97" s="430"/>
      <c r="AJ97" s="181"/>
      <c r="AK97" s="181"/>
      <c r="AL97" s="181"/>
      <c r="AM97" s="181" t="e">
        <f t="shared" si="39"/>
        <v>#N/A</v>
      </c>
      <c r="AN97" s="430"/>
      <c r="AO97" s="181"/>
      <c r="AP97" s="181"/>
      <c r="AQ97" s="181"/>
      <c r="AR97" s="181" t="e">
        <f t="shared" si="40"/>
        <v>#N/A</v>
      </c>
      <c r="AS97" s="430"/>
      <c r="AT97" s="181"/>
      <c r="AU97" s="181"/>
      <c r="AV97" s="181"/>
      <c r="AW97" s="181" t="e">
        <f t="shared" si="41"/>
        <v>#N/A</v>
      </c>
      <c r="AX97" s="430"/>
    </row>
    <row r="98" spans="2:50">
      <c r="B98" s="400"/>
      <c r="C98" s="181">
        <v>12</v>
      </c>
      <c r="D98" s="181"/>
      <c r="E98" s="181"/>
      <c r="F98" s="181"/>
      <c r="G98" s="181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81"/>
      <c r="Q98" s="181"/>
      <c r="R98" s="181"/>
      <c r="S98" s="181" t="e">
        <f t="shared" si="35"/>
        <v>#N/A</v>
      </c>
      <c r="T98" s="430"/>
      <c r="U98" s="181"/>
      <c r="V98" s="181"/>
      <c r="W98" s="181"/>
      <c r="X98" s="181" t="e">
        <f t="shared" si="36"/>
        <v>#N/A</v>
      </c>
      <c r="Y98" s="430"/>
      <c r="Z98" s="181"/>
      <c r="AA98" s="181"/>
      <c r="AB98" s="181"/>
      <c r="AC98" s="181" t="e">
        <f t="shared" si="37"/>
        <v>#N/A</v>
      </c>
      <c r="AD98" s="430"/>
      <c r="AE98" s="181"/>
      <c r="AF98" s="181"/>
      <c r="AG98" s="181"/>
      <c r="AH98" s="181" t="e">
        <f t="shared" si="38"/>
        <v>#N/A</v>
      </c>
      <c r="AI98" s="430"/>
      <c r="AJ98" s="181"/>
      <c r="AK98" s="181"/>
      <c r="AL98" s="181"/>
      <c r="AM98" s="181" t="e">
        <f t="shared" si="39"/>
        <v>#N/A</v>
      </c>
      <c r="AN98" s="430"/>
      <c r="AO98" s="181"/>
      <c r="AP98" s="181"/>
      <c r="AQ98" s="181"/>
      <c r="AR98" s="181" t="e">
        <f t="shared" si="40"/>
        <v>#N/A</v>
      </c>
      <c r="AS98" s="430"/>
      <c r="AT98" s="181"/>
      <c r="AU98" s="181"/>
      <c r="AV98" s="181"/>
      <c r="AW98" s="181" t="e">
        <f t="shared" si="41"/>
        <v>#N/A</v>
      </c>
      <c r="AX98" s="430"/>
    </row>
    <row r="99" spans="2:50">
      <c r="B99" s="400"/>
      <c r="C99" s="181">
        <v>13</v>
      </c>
      <c r="D99" s="181"/>
      <c r="E99" s="181"/>
      <c r="F99" s="181"/>
      <c r="G99" s="181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81"/>
      <c r="Q99" s="181"/>
      <c r="R99" s="181"/>
      <c r="S99" s="181" t="e">
        <f t="shared" si="35"/>
        <v>#N/A</v>
      </c>
      <c r="T99" s="430"/>
      <c r="U99" s="181"/>
      <c r="V99" s="181"/>
      <c r="W99" s="181"/>
      <c r="X99" s="181" t="e">
        <f t="shared" si="36"/>
        <v>#N/A</v>
      </c>
      <c r="Y99" s="430"/>
      <c r="Z99" s="181"/>
      <c r="AA99" s="181"/>
      <c r="AB99" s="181"/>
      <c r="AC99" s="181" t="e">
        <f t="shared" si="37"/>
        <v>#N/A</v>
      </c>
      <c r="AD99" s="430"/>
      <c r="AE99" s="181"/>
      <c r="AF99" s="181"/>
      <c r="AG99" s="181"/>
      <c r="AH99" s="181" t="e">
        <f t="shared" si="38"/>
        <v>#N/A</v>
      </c>
      <c r="AI99" s="430"/>
      <c r="AJ99" s="181"/>
      <c r="AK99" s="181"/>
      <c r="AL99" s="181"/>
      <c r="AM99" s="181" t="e">
        <f t="shared" si="39"/>
        <v>#N/A</v>
      </c>
      <c r="AN99" s="430"/>
      <c r="AO99" s="181"/>
      <c r="AP99" s="181"/>
      <c r="AQ99" s="181"/>
      <c r="AR99" s="181" t="e">
        <f t="shared" si="40"/>
        <v>#N/A</v>
      </c>
      <c r="AS99" s="430"/>
      <c r="AT99" s="181"/>
      <c r="AU99" s="181"/>
      <c r="AV99" s="181"/>
      <c r="AW99" s="181" t="e">
        <f t="shared" si="41"/>
        <v>#N/A</v>
      </c>
      <c r="AX99" s="430"/>
    </row>
    <row r="100" spans="2:50">
      <c r="B100" s="400"/>
      <c r="C100" s="181">
        <v>14</v>
      </c>
      <c r="D100" s="181"/>
      <c r="E100" s="181"/>
      <c r="F100" s="181"/>
      <c r="G100" s="181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81"/>
      <c r="Q100" s="181"/>
      <c r="R100" s="181"/>
      <c r="S100" s="181" t="e">
        <f t="shared" si="35"/>
        <v>#N/A</v>
      </c>
      <c r="T100" s="430"/>
      <c r="U100" s="181"/>
      <c r="V100" s="181"/>
      <c r="W100" s="181"/>
      <c r="X100" s="181" t="e">
        <f t="shared" si="36"/>
        <v>#N/A</v>
      </c>
      <c r="Y100" s="430"/>
      <c r="Z100" s="181"/>
      <c r="AA100" s="181"/>
      <c r="AB100" s="181"/>
      <c r="AC100" s="181" t="e">
        <f t="shared" si="37"/>
        <v>#N/A</v>
      </c>
      <c r="AD100" s="430"/>
      <c r="AE100" s="181"/>
      <c r="AF100" s="181"/>
      <c r="AG100" s="181"/>
      <c r="AH100" s="181" t="e">
        <f t="shared" si="38"/>
        <v>#N/A</v>
      </c>
      <c r="AI100" s="430"/>
      <c r="AJ100" s="181"/>
      <c r="AK100" s="181"/>
      <c r="AL100" s="181"/>
      <c r="AM100" s="181" t="e">
        <f t="shared" si="39"/>
        <v>#N/A</v>
      </c>
      <c r="AN100" s="430"/>
      <c r="AO100" s="181"/>
      <c r="AP100" s="181"/>
      <c r="AQ100" s="181"/>
      <c r="AR100" s="181" t="e">
        <f t="shared" si="40"/>
        <v>#N/A</v>
      </c>
      <c r="AS100" s="430"/>
      <c r="AT100" s="181"/>
      <c r="AU100" s="181"/>
      <c r="AV100" s="181"/>
      <c r="AW100" s="181" t="e">
        <f t="shared" si="41"/>
        <v>#N/A</v>
      </c>
      <c r="AX100" s="430"/>
    </row>
    <row r="101" spans="2:50">
      <c r="B101" s="400"/>
      <c r="C101" s="181">
        <v>15</v>
      </c>
      <c r="D101" s="181"/>
      <c r="E101" s="181"/>
      <c r="F101" s="181"/>
      <c r="G101" s="181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81"/>
      <c r="Q101" s="181"/>
      <c r="R101" s="181"/>
      <c r="S101" s="181" t="e">
        <f t="shared" si="35"/>
        <v>#N/A</v>
      </c>
      <c r="T101" s="430"/>
      <c r="U101" s="181"/>
      <c r="V101" s="181"/>
      <c r="W101" s="181"/>
      <c r="X101" s="181" t="e">
        <f t="shared" si="36"/>
        <v>#N/A</v>
      </c>
      <c r="Y101" s="430"/>
      <c r="Z101" s="181"/>
      <c r="AA101" s="181"/>
      <c r="AB101" s="181"/>
      <c r="AC101" s="181" t="e">
        <f t="shared" si="37"/>
        <v>#N/A</v>
      </c>
      <c r="AD101" s="430"/>
      <c r="AE101" s="181"/>
      <c r="AF101" s="181"/>
      <c r="AG101" s="181"/>
      <c r="AH101" s="181" t="e">
        <f t="shared" si="38"/>
        <v>#N/A</v>
      </c>
      <c r="AI101" s="430"/>
      <c r="AJ101" s="181"/>
      <c r="AK101" s="181"/>
      <c r="AL101" s="181"/>
      <c r="AM101" s="181" t="e">
        <f t="shared" si="39"/>
        <v>#N/A</v>
      </c>
      <c r="AN101" s="430"/>
      <c r="AO101" s="181"/>
      <c r="AP101" s="181"/>
      <c r="AQ101" s="181"/>
      <c r="AR101" s="181" t="e">
        <f t="shared" si="40"/>
        <v>#N/A</v>
      </c>
      <c r="AS101" s="430"/>
      <c r="AT101" s="181"/>
      <c r="AU101" s="181"/>
      <c r="AV101" s="181"/>
      <c r="AW101" s="181" t="e">
        <f t="shared" si="41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29" t="s">
        <v>233</v>
      </c>
      <c r="C107" s="181">
        <v>1</v>
      </c>
      <c r="D107" s="181" t="s">
        <v>235</v>
      </c>
      <c r="E107" s="181">
        <v>10</v>
      </c>
      <c r="F107" s="181">
        <v>1500</v>
      </c>
      <c r="G107" s="181">
        <v>150</v>
      </c>
      <c r="H107" s="412">
        <f>AVERAGE(G107:G121)</f>
        <v>198.57142857142858</v>
      </c>
      <c r="I107" s="165">
        <f>AVERAGE(P107,U107,Z107,AE107,AJ107,AO107,AT107)</f>
        <v>10</v>
      </c>
      <c r="J107" s="165">
        <f>AVERAGE(Q107,V107,AA107,AF107,AK107,AP107,AU107)</f>
        <v>1551.9999999999973</v>
      </c>
      <c r="K107" s="179">
        <f>AVERAGE(R107,W107,AB107,AG107,AL107,AQ107,AV107)</f>
        <v>155.19999999999973</v>
      </c>
      <c r="L107" s="412">
        <f>IFERROR(AVERAGE(K107:K121),"-")</f>
        <v>214.49265306122444</v>
      </c>
      <c r="M107" s="180" t="e">
        <f>RANK(K107, K$87:$K$101)</f>
        <v>#N/A</v>
      </c>
      <c r="N107" s="401"/>
      <c r="O107" s="401"/>
      <c r="P107" s="165">
        <v>10</v>
      </c>
      <c r="Q107" s="165">
        <v>1551.9999999999973</v>
      </c>
      <c r="R107" s="179">
        <v>155.19999999999973</v>
      </c>
      <c r="S107" s="181">
        <f>RANK(R107, R$107:R$121)</f>
        <v>4</v>
      </c>
      <c r="T107" s="430">
        <f>AVERAGE(R107:R121)</f>
        <v>214.49265306122444</v>
      </c>
      <c r="X107" s="103"/>
      <c r="AC107" s="103"/>
      <c r="AH107" s="103"/>
      <c r="AM107" s="103"/>
    </row>
    <row r="108" spans="2:50">
      <c r="B108" s="400"/>
      <c r="C108" s="181">
        <v>2</v>
      </c>
      <c r="D108" s="181" t="s">
        <v>236</v>
      </c>
      <c r="E108" s="181">
        <v>15</v>
      </c>
      <c r="F108" s="181">
        <v>1800</v>
      </c>
      <c r="G108" s="181">
        <v>120</v>
      </c>
      <c r="H108" s="413"/>
      <c r="I108" s="165">
        <f t="shared" ref="I108:I113" si="42">AVERAGE(P108,U108,Z108,AE108,AJ108,AO108,AT108)</f>
        <v>12</v>
      </c>
      <c r="J108" s="165">
        <f t="shared" ref="J108:J113" si="43">AVERAGE(Q108,V108,AA108,AF108,AK108,AP108,AU108)</f>
        <v>1796.3999999999949</v>
      </c>
      <c r="K108" s="179">
        <f t="shared" ref="K108:K113" si="44">AVERAGE(R108,W108,AB108,AG108,AL108,AQ108,AV108)</f>
        <v>149.69999999999956</v>
      </c>
      <c r="L108" s="413"/>
      <c r="M108" s="180" t="e">
        <f>RANK(K108, K$87:$K$101)</f>
        <v>#N/A</v>
      </c>
      <c r="N108" s="401"/>
      <c r="O108" s="401"/>
      <c r="P108" s="181">
        <v>12</v>
      </c>
      <c r="Q108" s="165">
        <v>1796.3999999999949</v>
      </c>
      <c r="R108" s="179">
        <v>149.69999999999956</v>
      </c>
      <c r="S108" s="181">
        <f t="shared" ref="S108:S121" si="45">RANK(R108, R$107:R$121)</f>
        <v>6</v>
      </c>
      <c r="T108" s="430"/>
      <c r="X108" s="103"/>
      <c r="AC108" s="103"/>
      <c r="AH108" s="103"/>
      <c r="AM108" s="103"/>
    </row>
    <row r="109" spans="2:50">
      <c r="B109" s="400"/>
      <c r="C109" s="181">
        <v>3</v>
      </c>
      <c r="D109" s="181" t="s">
        <v>237</v>
      </c>
      <c r="E109" s="181">
        <v>15</v>
      </c>
      <c r="F109" s="181">
        <v>1800</v>
      </c>
      <c r="G109" s="181">
        <v>120</v>
      </c>
      <c r="H109" s="413"/>
      <c r="I109" s="165">
        <f t="shared" si="42"/>
        <v>12</v>
      </c>
      <c r="J109" s="165">
        <f t="shared" si="43"/>
        <v>1809.5999999999949</v>
      </c>
      <c r="K109" s="179">
        <f t="shared" si="44"/>
        <v>150.79999999999959</v>
      </c>
      <c r="L109" s="413"/>
      <c r="M109" s="180" t="e">
        <f>RANK(K109, K$87:$K$101)</f>
        <v>#N/A</v>
      </c>
      <c r="N109" s="401"/>
      <c r="O109" s="401"/>
      <c r="P109" s="181">
        <v>12</v>
      </c>
      <c r="Q109" s="165">
        <v>1809.5999999999949</v>
      </c>
      <c r="R109" s="179">
        <v>150.79999999999959</v>
      </c>
      <c r="S109" s="181">
        <f t="shared" si="45"/>
        <v>5</v>
      </c>
      <c r="T109" s="430"/>
      <c r="X109" s="103"/>
      <c r="AC109" s="103"/>
      <c r="AH109" s="103"/>
      <c r="AM109" s="103"/>
    </row>
    <row r="110" spans="2:50">
      <c r="B110" s="400"/>
      <c r="C110" s="181">
        <v>4</v>
      </c>
      <c r="D110" s="181" t="s">
        <v>238</v>
      </c>
      <c r="E110" s="181">
        <v>6</v>
      </c>
      <c r="F110" s="181">
        <v>1500</v>
      </c>
      <c r="G110" s="181">
        <v>250</v>
      </c>
      <c r="H110" s="413"/>
      <c r="I110" s="165">
        <f t="shared" si="42"/>
        <v>5</v>
      </c>
      <c r="J110" s="165">
        <f t="shared" si="43"/>
        <v>1478.9999999999995</v>
      </c>
      <c r="K110" s="179">
        <f t="shared" si="44"/>
        <v>295.7999999999999</v>
      </c>
      <c r="L110" s="413"/>
      <c r="M110" s="180" t="e">
        <f>RANK(K110, K$87:$K$101)</f>
        <v>#N/A</v>
      </c>
      <c r="N110" s="401"/>
      <c r="O110" s="401"/>
      <c r="P110" s="181">
        <v>5</v>
      </c>
      <c r="Q110" s="165">
        <v>1478.9999999999995</v>
      </c>
      <c r="R110" s="179">
        <v>295.7999999999999</v>
      </c>
      <c r="S110" s="181">
        <f t="shared" si="45"/>
        <v>3</v>
      </c>
      <c r="T110" s="430"/>
      <c r="X110" s="103"/>
      <c r="AC110" s="103"/>
      <c r="AH110" s="103"/>
      <c r="AM110" s="103"/>
    </row>
    <row r="111" spans="2:50">
      <c r="B111" s="400"/>
      <c r="C111" s="181">
        <v>5</v>
      </c>
      <c r="D111" s="181" t="s">
        <v>243</v>
      </c>
      <c r="E111" s="181">
        <v>5</v>
      </c>
      <c r="F111" s="181">
        <v>1500</v>
      </c>
      <c r="G111" s="181">
        <v>300</v>
      </c>
      <c r="H111" s="413"/>
      <c r="I111" s="165">
        <f t="shared" si="42"/>
        <v>5</v>
      </c>
      <c r="J111" s="165">
        <f t="shared" si="43"/>
        <v>1556.1428571428578</v>
      </c>
      <c r="K111" s="179">
        <f t="shared" si="44"/>
        <v>311.22857142857157</v>
      </c>
      <c r="L111" s="413"/>
      <c r="M111" s="180" t="e">
        <f>RANK(K111, K$87:$K$101)</f>
        <v>#N/A</v>
      </c>
      <c r="N111" s="401"/>
      <c r="O111" s="401"/>
      <c r="P111" s="181">
        <v>5</v>
      </c>
      <c r="Q111" s="165">
        <v>1556.1428571428578</v>
      </c>
      <c r="R111" s="179">
        <v>311.22857142857157</v>
      </c>
      <c r="S111" s="181">
        <f t="shared" si="45"/>
        <v>1</v>
      </c>
      <c r="T111" s="430"/>
      <c r="X111" s="103"/>
      <c r="AC111" s="103"/>
      <c r="AH111" s="103"/>
      <c r="AM111" s="103"/>
    </row>
    <row r="112" spans="2:50">
      <c r="B112" s="400"/>
      <c r="C112" s="181">
        <v>6</v>
      </c>
      <c r="D112" s="181" t="s">
        <v>242</v>
      </c>
      <c r="E112" s="181">
        <v>5</v>
      </c>
      <c r="F112" s="181">
        <v>1500</v>
      </c>
      <c r="G112" s="181">
        <v>300</v>
      </c>
      <c r="H112" s="413"/>
      <c r="I112" s="165">
        <f t="shared" si="42"/>
        <v>5</v>
      </c>
      <c r="J112" s="165">
        <f t="shared" si="43"/>
        <v>1515.6000000000006</v>
      </c>
      <c r="K112" s="179">
        <f t="shared" si="44"/>
        <v>303.12000000000012</v>
      </c>
      <c r="L112" s="413"/>
      <c r="M112" s="180" t="e">
        <f>RANK(K112, K$87:$K$101)</f>
        <v>#N/A</v>
      </c>
      <c r="N112" s="401"/>
      <c r="O112" s="401"/>
      <c r="P112" s="181">
        <v>5</v>
      </c>
      <c r="Q112" s="165">
        <v>1515.6000000000006</v>
      </c>
      <c r="R112" s="179">
        <v>303.12000000000012</v>
      </c>
      <c r="S112" s="181">
        <f t="shared" si="45"/>
        <v>2</v>
      </c>
      <c r="T112" s="430"/>
      <c r="X112" s="103"/>
      <c r="AC112" s="103"/>
      <c r="AH112" s="103"/>
      <c r="AM112" s="103"/>
    </row>
    <row r="113" spans="2:39">
      <c r="B113" s="400"/>
      <c r="C113" s="181">
        <v>7</v>
      </c>
      <c r="D113" s="181" t="s">
        <v>241</v>
      </c>
      <c r="E113" s="181">
        <v>10</v>
      </c>
      <c r="F113" s="181">
        <v>1500</v>
      </c>
      <c r="G113" s="181">
        <v>150</v>
      </c>
      <c r="H113" s="413"/>
      <c r="I113" s="165">
        <f t="shared" si="42"/>
        <v>10</v>
      </c>
      <c r="J113" s="165">
        <f t="shared" si="43"/>
        <v>1356.0000000000048</v>
      </c>
      <c r="K113" s="179">
        <f t="shared" si="44"/>
        <v>135.60000000000048</v>
      </c>
      <c r="L113" s="413"/>
      <c r="M113" s="180" t="e">
        <f>RANK(K113, K$87:$K$101)</f>
        <v>#N/A</v>
      </c>
      <c r="N113" s="401"/>
      <c r="O113" s="401"/>
      <c r="P113" s="181">
        <v>10</v>
      </c>
      <c r="Q113" s="165">
        <v>1356.0000000000048</v>
      </c>
      <c r="R113" s="179">
        <v>135.60000000000048</v>
      </c>
      <c r="S113" s="181">
        <f t="shared" si="45"/>
        <v>7</v>
      </c>
      <c r="T113" s="430"/>
      <c r="X113" s="103"/>
      <c r="AC113" s="103"/>
      <c r="AH113" s="103"/>
      <c r="AM113" s="103"/>
    </row>
    <row r="114" spans="2:39">
      <c r="B114" s="400"/>
      <c r="C114" s="181">
        <v>8</v>
      </c>
      <c r="D114" s="181"/>
      <c r="E114" s="181"/>
      <c r="F114" s="181"/>
      <c r="G114" s="181"/>
      <c r="H114" s="413"/>
      <c r="I114" s="165"/>
      <c r="J114" s="165"/>
      <c r="K114" s="179"/>
      <c r="L114" s="413"/>
      <c r="M114" s="180" t="e">
        <f>RANK(K114, K$87:$K$101)</f>
        <v>#N/A</v>
      </c>
      <c r="N114" s="401"/>
      <c r="O114" s="401"/>
      <c r="P114" s="181"/>
      <c r="Q114" s="165"/>
      <c r="R114" s="179"/>
      <c r="S114" s="181" t="e">
        <f t="shared" si="45"/>
        <v>#N/A</v>
      </c>
      <c r="T114" s="430"/>
      <c r="X114" s="103"/>
      <c r="AC114" s="103"/>
      <c r="AH114" s="103"/>
      <c r="AM114" s="103"/>
    </row>
    <row r="115" spans="2:39">
      <c r="B115" s="400"/>
      <c r="C115" s="181">
        <v>9</v>
      </c>
      <c r="D115" s="181"/>
      <c r="E115" s="181"/>
      <c r="F115" s="181"/>
      <c r="G115" s="181"/>
      <c r="H115" s="413"/>
      <c r="I115" s="165"/>
      <c r="J115" s="165"/>
      <c r="K115" s="179"/>
      <c r="L115" s="413"/>
      <c r="M115" s="180" t="e">
        <f>RANK(K115, K$87:$K$101)</f>
        <v>#N/A</v>
      </c>
      <c r="N115" s="401"/>
      <c r="O115" s="401"/>
      <c r="P115" s="181"/>
      <c r="Q115" s="165"/>
      <c r="R115" s="179"/>
      <c r="S115" s="181" t="e">
        <f t="shared" si="45"/>
        <v>#N/A</v>
      </c>
      <c r="T115" s="430"/>
      <c r="X115" s="103"/>
      <c r="AC115" s="103"/>
      <c r="AH115" s="103"/>
      <c r="AM115" s="103"/>
    </row>
    <row r="116" spans="2:39">
      <c r="B116" s="400"/>
      <c r="C116" s="181">
        <v>10</v>
      </c>
      <c r="D116" s="181"/>
      <c r="E116" s="181"/>
      <c r="F116" s="181"/>
      <c r="G116" s="181"/>
      <c r="H116" s="413"/>
      <c r="I116" s="165"/>
      <c r="J116" s="165"/>
      <c r="K116" s="179"/>
      <c r="L116" s="413"/>
      <c r="M116" s="180" t="e">
        <f>RANK(K116, K$87:$K$101)</f>
        <v>#N/A</v>
      </c>
      <c r="N116" s="401"/>
      <c r="O116" s="401"/>
      <c r="P116" s="181"/>
      <c r="Q116" s="165"/>
      <c r="R116" s="179"/>
      <c r="S116" s="181" t="e">
        <f t="shared" si="45"/>
        <v>#N/A</v>
      </c>
      <c r="T116" s="430"/>
      <c r="X116" s="103"/>
      <c r="AC116" s="103"/>
      <c r="AH116" s="103"/>
      <c r="AM116" s="103"/>
    </row>
    <row r="117" spans="2:39">
      <c r="B117" s="400"/>
      <c r="C117" s="181">
        <v>11</v>
      </c>
      <c r="D117" s="181"/>
      <c r="E117" s="181"/>
      <c r="F117" s="181"/>
      <c r="G117" s="181"/>
      <c r="H117" s="413"/>
      <c r="I117" s="181"/>
      <c r="J117" s="181"/>
      <c r="K117" s="181"/>
      <c r="L117" s="413"/>
      <c r="M117" s="180" t="e">
        <f>RANK(K117, K$87:$K$101)</f>
        <v>#N/A</v>
      </c>
      <c r="N117" s="401"/>
      <c r="O117" s="401"/>
      <c r="P117" s="181"/>
      <c r="Q117" s="181"/>
      <c r="R117" s="181"/>
      <c r="S117" s="181" t="e">
        <f t="shared" si="45"/>
        <v>#N/A</v>
      </c>
      <c r="T117" s="430"/>
      <c r="X117" s="103"/>
      <c r="AC117" s="103"/>
      <c r="AH117" s="103"/>
      <c r="AM117" s="103"/>
    </row>
    <row r="118" spans="2:39">
      <c r="B118" s="400"/>
      <c r="C118" s="181">
        <v>12</v>
      </c>
      <c r="D118" s="181"/>
      <c r="E118" s="181"/>
      <c r="F118" s="181"/>
      <c r="G118" s="181"/>
      <c r="H118" s="413"/>
      <c r="I118" s="181"/>
      <c r="J118" s="181"/>
      <c r="K118" s="181"/>
      <c r="L118" s="413"/>
      <c r="M118" s="180" t="e">
        <f>RANK(K118, K$87:$K$101)</f>
        <v>#N/A</v>
      </c>
      <c r="N118" s="401"/>
      <c r="O118" s="401"/>
      <c r="P118" s="181"/>
      <c r="Q118" s="181"/>
      <c r="R118" s="181"/>
      <c r="S118" s="181" t="e">
        <f t="shared" si="45"/>
        <v>#N/A</v>
      </c>
      <c r="T118" s="430"/>
      <c r="X118" s="103"/>
      <c r="AC118" s="103"/>
      <c r="AH118" s="103"/>
      <c r="AM118" s="103"/>
    </row>
    <row r="119" spans="2:39">
      <c r="B119" s="400"/>
      <c r="C119" s="181">
        <v>13</v>
      </c>
      <c r="D119" s="181"/>
      <c r="E119" s="181"/>
      <c r="F119" s="181"/>
      <c r="G119" s="181"/>
      <c r="H119" s="413"/>
      <c r="I119" s="181"/>
      <c r="J119" s="181"/>
      <c r="K119" s="181"/>
      <c r="L119" s="413"/>
      <c r="M119" s="180" t="e">
        <f>RANK(K119, K$87:$K$101)</f>
        <v>#N/A</v>
      </c>
      <c r="N119" s="401"/>
      <c r="O119" s="401"/>
      <c r="P119" s="181"/>
      <c r="Q119" s="181"/>
      <c r="R119" s="181"/>
      <c r="S119" s="181" t="e">
        <f t="shared" si="45"/>
        <v>#N/A</v>
      </c>
      <c r="T119" s="430"/>
      <c r="X119" s="103"/>
      <c r="AC119" s="103"/>
      <c r="AH119" s="103"/>
      <c r="AM119" s="103"/>
    </row>
    <row r="120" spans="2:39">
      <c r="B120" s="400"/>
      <c r="C120" s="181">
        <v>14</v>
      </c>
      <c r="D120" s="181"/>
      <c r="E120" s="181"/>
      <c r="F120" s="181"/>
      <c r="G120" s="181"/>
      <c r="H120" s="413"/>
      <c r="I120" s="181"/>
      <c r="J120" s="181"/>
      <c r="K120" s="181"/>
      <c r="L120" s="413"/>
      <c r="M120" s="180" t="e">
        <f>RANK(K120, K$87:$K$101)</f>
        <v>#N/A</v>
      </c>
      <c r="N120" s="401"/>
      <c r="O120" s="401"/>
      <c r="P120" s="181"/>
      <c r="Q120" s="181"/>
      <c r="R120" s="181"/>
      <c r="S120" s="181" t="e">
        <f t="shared" si="45"/>
        <v>#N/A</v>
      </c>
      <c r="T120" s="430"/>
      <c r="X120" s="103"/>
      <c r="AC120" s="103"/>
      <c r="AH120" s="103"/>
      <c r="AM120" s="103"/>
    </row>
    <row r="121" spans="2:39">
      <c r="B121" s="400"/>
      <c r="C121" s="181">
        <v>15</v>
      </c>
      <c r="D121" s="181"/>
      <c r="E121" s="181"/>
      <c r="F121" s="181"/>
      <c r="G121" s="181"/>
      <c r="H121" s="414"/>
      <c r="I121" s="181"/>
      <c r="J121" s="181"/>
      <c r="K121" s="181"/>
      <c r="L121" s="414"/>
      <c r="M121" s="165" t="e">
        <f>RANK(K121, K$87:$K$101)</f>
        <v>#N/A</v>
      </c>
      <c r="N121" s="401"/>
      <c r="O121" s="401"/>
      <c r="P121" s="181"/>
      <c r="Q121" s="181"/>
      <c r="R121" s="181"/>
      <c r="S121" s="181" t="e">
        <f t="shared" si="45"/>
        <v>#N/A</v>
      </c>
      <c r="T121" s="430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X124" s="103"/>
      <c r="AC124" s="103"/>
      <c r="AH124" s="103"/>
      <c r="A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X125" s="103"/>
      <c r="AC125" s="103"/>
      <c r="AH125" s="103"/>
      <c r="A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X126" s="103"/>
      <c r="AC126" s="103"/>
      <c r="AH126" s="103"/>
      <c r="A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X127" s="103"/>
      <c r="AC127" s="103"/>
      <c r="AH127" s="103"/>
      <c r="A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X128" s="103"/>
      <c r="AC128" s="103"/>
      <c r="AH128" s="103"/>
      <c r="AM128" s="103"/>
    </row>
    <row r="129" spans="3:14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</row>
    <row r="130" spans="3:14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</row>
    <row r="131" spans="3:14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</row>
    <row r="132" spans="3:14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</row>
    <row r="133" spans="3:14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3:14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</row>
    <row r="135" spans="3:14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</row>
    <row r="136" spans="3:14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</row>
    <row r="137" spans="3:14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</row>
    <row r="138" spans="3:14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</row>
    <row r="139" spans="3:14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</row>
    <row r="140" spans="3:14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</row>
    <row r="141" spans="3:14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</row>
    <row r="142" spans="3:14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CC"/>
  </sheetPr>
  <dimension ref="A1:AX142"/>
  <sheetViews>
    <sheetView zoomScale="50" zoomScaleNormal="5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252.79277117046172</v>
      </c>
      <c r="U1" s="102"/>
      <c r="V1" s="102"/>
      <c r="W1" s="102"/>
      <c r="Y1" s="102"/>
      <c r="Z1" s="102"/>
      <c r="AA1" s="102"/>
      <c r="AB1" s="102"/>
      <c r="AD1" s="102"/>
      <c r="AE1" s="102"/>
      <c r="AF1" s="102"/>
      <c r="AG1" s="102"/>
      <c r="AI1" s="102"/>
      <c r="AJ1" s="102"/>
      <c r="AK1" s="102"/>
      <c r="AL1" s="102"/>
      <c r="AN1" s="102"/>
      <c r="AO1" s="102"/>
      <c r="AP1" s="102"/>
      <c r="AQ1" s="102"/>
      <c r="AR1" s="102"/>
      <c r="AS1" s="102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U2" s="102"/>
      <c r="V2" s="102"/>
      <c r="W2" s="102"/>
      <c r="Y2" s="102"/>
      <c r="Z2" s="102"/>
      <c r="AA2" s="102"/>
      <c r="AB2" s="102"/>
      <c r="AD2" s="102"/>
      <c r="AE2" s="102"/>
      <c r="AF2" s="102"/>
      <c r="AG2" s="102"/>
      <c r="AI2" s="102"/>
      <c r="AJ2" s="102"/>
      <c r="AK2" s="102"/>
      <c r="AL2" s="102"/>
      <c r="AN2" s="102"/>
      <c r="AO2" s="102"/>
      <c r="AP2" s="102"/>
      <c r="AQ2" s="102"/>
      <c r="AR2" s="102"/>
      <c r="AS2" s="102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U3" s="102"/>
      <c r="V3" s="102"/>
      <c r="W3" s="102"/>
      <c r="Y3" s="102"/>
      <c r="Z3" s="102"/>
      <c r="AA3" s="102"/>
      <c r="AB3" s="102"/>
      <c r="AD3" s="102"/>
      <c r="AE3" s="102"/>
      <c r="AF3" s="102"/>
      <c r="AG3" s="102"/>
      <c r="AI3" s="102"/>
      <c r="AJ3" s="102"/>
      <c r="AK3" s="102"/>
      <c r="AL3" s="102"/>
      <c r="AN3" s="102"/>
      <c r="AO3" s="102"/>
      <c r="AP3" s="102"/>
      <c r="AQ3" s="102"/>
      <c r="AR3" s="102"/>
      <c r="AS3" s="102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U4" s="102"/>
      <c r="V4" s="102"/>
      <c r="W4" s="102"/>
      <c r="Y4" s="102"/>
      <c r="Z4" s="102"/>
      <c r="AA4" s="102"/>
      <c r="AB4" s="102"/>
      <c r="AD4" s="102"/>
      <c r="AE4" s="102"/>
      <c r="AF4" s="102"/>
      <c r="AG4" s="102"/>
      <c r="AI4" s="102"/>
      <c r="AJ4" s="102"/>
      <c r="AK4" s="102"/>
      <c r="AL4" s="102"/>
      <c r="AN4" s="102"/>
      <c r="AO4" s="102"/>
      <c r="AP4" s="102"/>
      <c r="AQ4" s="102"/>
      <c r="AR4" s="102"/>
      <c r="AS4" s="102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U5" s="102"/>
      <c r="V5" s="102"/>
      <c r="W5" s="102"/>
      <c r="Y5" s="102"/>
      <c r="Z5" s="102"/>
      <c r="AA5" s="102"/>
      <c r="AB5" s="102"/>
      <c r="AD5" s="102"/>
      <c r="AE5" s="102"/>
      <c r="AF5" s="102"/>
      <c r="AG5" s="102"/>
      <c r="AI5" s="102"/>
      <c r="AJ5" s="102"/>
      <c r="AK5" s="102"/>
      <c r="AL5" s="102"/>
      <c r="AN5" s="102"/>
      <c r="AO5" s="102"/>
      <c r="AP5" s="102"/>
      <c r="AQ5" s="102"/>
      <c r="AR5" s="102"/>
      <c r="AS5" s="102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U6" s="102"/>
      <c r="V6" s="102"/>
      <c r="W6" s="102"/>
      <c r="Y6" s="102"/>
      <c r="Z6" s="102"/>
      <c r="AA6" s="102"/>
      <c r="AB6" s="102"/>
      <c r="AD6" s="102"/>
      <c r="AE6" s="102"/>
      <c r="AF6" s="102"/>
      <c r="AG6" s="102"/>
      <c r="AI6" s="102"/>
      <c r="AJ6" s="102"/>
      <c r="AK6" s="102"/>
      <c r="AL6" s="102"/>
      <c r="AN6" s="102"/>
      <c r="AO6" s="102"/>
      <c r="AP6" s="102"/>
      <c r="AQ6" s="102"/>
      <c r="AR6" s="102"/>
      <c r="AS6" s="102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29" t="s">
        <v>244</v>
      </c>
      <c r="C7" s="181">
        <v>1</v>
      </c>
      <c r="D7" s="196" t="s">
        <v>245</v>
      </c>
      <c r="E7" s="165">
        <v>4</v>
      </c>
      <c r="F7" s="181">
        <v>2000</v>
      </c>
      <c r="G7" s="179">
        <v>500</v>
      </c>
      <c r="H7" s="412">
        <f>AVERAGE(G7:G21)</f>
        <v>283.6489898989899</v>
      </c>
      <c r="I7" s="165">
        <f>AVERAGE(P7,U7,Z7,AE7,AJ7,AO7,AT7)</f>
        <v>4</v>
      </c>
      <c r="J7" s="165">
        <f>AVERAGE(Q7,V7,AA7,AF7,AK7,AP7,AU7)</f>
        <v>1884.7058823529387</v>
      </c>
      <c r="K7" s="179">
        <f>AVERAGE(R7,W7,AB7,AG7,AL7,AQ7,AV7)</f>
        <v>471.17647058823468</v>
      </c>
      <c r="L7" s="412">
        <f>IFERROR(AVERAGE(K7:K21),"-")</f>
        <v>250.20087150423888</v>
      </c>
      <c r="M7" s="180">
        <f>RANK(K7, K$7:$K$21)</f>
        <v>1</v>
      </c>
      <c r="N7" s="401"/>
      <c r="O7" s="401"/>
      <c r="U7" s="102"/>
      <c r="V7" s="102"/>
      <c r="W7" s="102"/>
      <c r="Y7" s="102"/>
      <c r="Z7" s="102"/>
      <c r="AA7" s="102"/>
      <c r="AB7" s="102"/>
      <c r="AD7" s="102"/>
      <c r="AE7" s="102"/>
      <c r="AF7" s="102"/>
      <c r="AG7" s="102"/>
      <c r="AI7" s="102"/>
      <c r="AJ7" s="102"/>
      <c r="AK7" s="102"/>
      <c r="AL7" s="102"/>
      <c r="AN7" s="102"/>
      <c r="AO7" s="102"/>
      <c r="AP7" s="102"/>
      <c r="AQ7" s="102"/>
      <c r="AR7" s="102"/>
      <c r="AS7" s="102"/>
      <c r="AT7" s="165">
        <v>4</v>
      </c>
      <c r="AU7" s="165">
        <v>1884.7058823529387</v>
      </c>
      <c r="AV7" s="165">
        <v>471.17647058823468</v>
      </c>
      <c r="AW7" s="181">
        <f t="shared" ref="AW7:AW21" si="0">RANK(AV7, AV$7:AV$21)</f>
        <v>1</v>
      </c>
      <c r="AX7" s="430">
        <f>AVERAGE(AV7:AV21)</f>
        <v>250.20087150423888</v>
      </c>
    </row>
    <row r="8" spans="1:50" ht="15" customHeight="1">
      <c r="A8" s="79"/>
      <c r="B8" s="400"/>
      <c r="C8" s="181">
        <v>2</v>
      </c>
      <c r="D8" s="196" t="s">
        <v>246</v>
      </c>
      <c r="E8" s="165">
        <v>4</v>
      </c>
      <c r="F8" s="181">
        <v>2000</v>
      </c>
      <c r="G8" s="179">
        <v>500</v>
      </c>
      <c r="H8" s="413"/>
      <c r="I8" s="165">
        <f t="shared" ref="I8:K16" si="1">AVERAGE(P8,U8,Z8,AE8,AJ8,AO8,AT8)</f>
        <v>4</v>
      </c>
      <c r="J8" s="165">
        <f t="shared" si="1"/>
        <v>1853.6842105263142</v>
      </c>
      <c r="K8" s="179">
        <f t="shared" si="1"/>
        <v>463.42105263157856</v>
      </c>
      <c r="L8" s="413"/>
      <c r="M8" s="180">
        <f>RANK(K8, K$7:$K$21)</f>
        <v>2</v>
      </c>
      <c r="N8" s="401"/>
      <c r="O8" s="401"/>
      <c r="U8" s="102"/>
      <c r="V8" s="102"/>
      <c r="W8" s="102"/>
      <c r="Y8" s="102"/>
      <c r="Z8" s="102"/>
      <c r="AA8" s="102"/>
      <c r="AB8" s="102"/>
      <c r="AD8" s="102"/>
      <c r="AE8" s="102"/>
      <c r="AF8" s="102"/>
      <c r="AG8" s="102"/>
      <c r="AI8" s="102"/>
      <c r="AJ8" s="102"/>
      <c r="AK8" s="102"/>
      <c r="AL8" s="102"/>
      <c r="AN8" s="102"/>
      <c r="AO8" s="102"/>
      <c r="AP8" s="102"/>
      <c r="AQ8" s="102"/>
      <c r="AR8" s="102"/>
      <c r="AS8" s="102"/>
      <c r="AT8" s="165">
        <v>4</v>
      </c>
      <c r="AU8" s="165">
        <v>1853.6842105263142</v>
      </c>
      <c r="AV8" s="165">
        <v>463.42105263157856</v>
      </c>
      <c r="AW8" s="181">
        <f t="shared" si="0"/>
        <v>2</v>
      </c>
      <c r="AX8" s="430"/>
    </row>
    <row r="9" spans="1:50">
      <c r="A9" s="79"/>
      <c r="B9" s="400"/>
      <c r="C9" s="181">
        <v>3</v>
      </c>
      <c r="D9" s="196" t="s">
        <v>247</v>
      </c>
      <c r="E9" s="165">
        <v>4</v>
      </c>
      <c r="F9" s="181">
        <v>2000</v>
      </c>
      <c r="G9" s="179">
        <v>500</v>
      </c>
      <c r="H9" s="413"/>
      <c r="I9" s="165">
        <f t="shared" si="1"/>
        <v>5</v>
      </c>
      <c r="J9" s="165">
        <f t="shared" si="1"/>
        <v>2144.5161290322603</v>
      </c>
      <c r="K9" s="179">
        <f t="shared" si="1"/>
        <v>428.90322580645204</v>
      </c>
      <c r="L9" s="413"/>
      <c r="M9" s="180">
        <f>RANK(K9, K$7:$K$21)</f>
        <v>3</v>
      </c>
      <c r="N9" s="401"/>
      <c r="O9" s="401"/>
      <c r="U9" s="102"/>
      <c r="V9" s="102"/>
      <c r="W9" s="102"/>
      <c r="Y9" s="102"/>
      <c r="Z9" s="102"/>
      <c r="AA9" s="102"/>
      <c r="AB9" s="102"/>
      <c r="AD9" s="102"/>
      <c r="AE9" s="102"/>
      <c r="AF9" s="102"/>
      <c r="AG9" s="102"/>
      <c r="AI9" s="102"/>
      <c r="AJ9" s="102"/>
      <c r="AK9" s="102"/>
      <c r="AL9" s="102"/>
      <c r="AN9" s="102"/>
      <c r="AO9" s="102"/>
      <c r="AP9" s="102"/>
      <c r="AQ9" s="102"/>
      <c r="AR9" s="102"/>
      <c r="AS9" s="102"/>
      <c r="AT9" s="165">
        <v>5</v>
      </c>
      <c r="AU9" s="165">
        <v>2144.5161290322603</v>
      </c>
      <c r="AV9" s="165">
        <v>428.90322580645204</v>
      </c>
      <c r="AW9" s="181">
        <f t="shared" si="0"/>
        <v>3</v>
      </c>
      <c r="AX9" s="430"/>
    </row>
    <row r="10" spans="1:50">
      <c r="A10" s="79"/>
      <c r="B10" s="400"/>
      <c r="C10" s="181">
        <v>4</v>
      </c>
      <c r="D10" s="196" t="s">
        <v>248</v>
      </c>
      <c r="E10" s="165">
        <v>12</v>
      </c>
      <c r="F10" s="181">
        <v>2250</v>
      </c>
      <c r="G10" s="179">
        <v>187.5</v>
      </c>
      <c r="H10" s="413"/>
      <c r="I10" s="165">
        <f t="shared" si="1"/>
        <v>12</v>
      </c>
      <c r="J10" s="165">
        <f t="shared" si="1"/>
        <v>1929.428571428572</v>
      </c>
      <c r="K10" s="179">
        <f t="shared" si="1"/>
        <v>160.78571428571433</v>
      </c>
      <c r="L10" s="413"/>
      <c r="M10" s="180">
        <f>RANK(K10, K$7:$K$21)</f>
        <v>8</v>
      </c>
      <c r="N10" s="401"/>
      <c r="O10" s="401"/>
      <c r="U10" s="102"/>
      <c r="V10" s="102"/>
      <c r="W10" s="102"/>
      <c r="Y10" s="102"/>
      <c r="Z10" s="102"/>
      <c r="AA10" s="102"/>
      <c r="AB10" s="102"/>
      <c r="AD10" s="102"/>
      <c r="AE10" s="102"/>
      <c r="AF10" s="102"/>
      <c r="AG10" s="102"/>
      <c r="AI10" s="102"/>
      <c r="AJ10" s="102"/>
      <c r="AK10" s="102"/>
      <c r="AL10" s="102"/>
      <c r="AN10" s="102"/>
      <c r="AO10" s="102"/>
      <c r="AP10" s="102"/>
      <c r="AQ10" s="102"/>
      <c r="AR10" s="102"/>
      <c r="AS10" s="102"/>
      <c r="AT10" s="165">
        <v>12</v>
      </c>
      <c r="AU10" s="165">
        <v>1929.428571428572</v>
      </c>
      <c r="AV10" s="165">
        <v>160.78571428571433</v>
      </c>
      <c r="AW10" s="181">
        <f t="shared" si="0"/>
        <v>8</v>
      </c>
      <c r="AX10" s="430"/>
    </row>
    <row r="11" spans="1:50">
      <c r="A11" s="79"/>
      <c r="B11" s="400"/>
      <c r="C11" s="181">
        <v>5</v>
      </c>
      <c r="D11" s="196" t="s">
        <v>249</v>
      </c>
      <c r="E11" s="165">
        <v>12</v>
      </c>
      <c r="F11" s="181">
        <v>2250</v>
      </c>
      <c r="G11" s="179">
        <v>187.5</v>
      </c>
      <c r="H11" s="413"/>
      <c r="I11" s="165">
        <f t="shared" si="1"/>
        <v>12</v>
      </c>
      <c r="J11" s="165">
        <f t="shared" si="1"/>
        <v>1938.2400000000071</v>
      </c>
      <c r="K11" s="179">
        <f t="shared" si="1"/>
        <v>161.52000000000058</v>
      </c>
      <c r="L11" s="413"/>
      <c r="M11" s="180">
        <f>RANK(K11, K$7:$K$21)</f>
        <v>7</v>
      </c>
      <c r="N11" s="401"/>
      <c r="O11" s="401"/>
      <c r="U11" s="102"/>
      <c r="V11" s="102"/>
      <c r="W11" s="102"/>
      <c r="Y11" s="102"/>
      <c r="Z11" s="102"/>
      <c r="AA11" s="102"/>
      <c r="AB11" s="102"/>
      <c r="AD11" s="102"/>
      <c r="AE11" s="102"/>
      <c r="AF11" s="102"/>
      <c r="AG11" s="102"/>
      <c r="AI11" s="102"/>
      <c r="AJ11" s="102"/>
      <c r="AK11" s="102"/>
      <c r="AL11" s="102"/>
      <c r="AN11" s="102"/>
      <c r="AO11" s="102"/>
      <c r="AP11" s="102"/>
      <c r="AQ11" s="102"/>
      <c r="AR11" s="102"/>
      <c r="AS11" s="102"/>
      <c r="AT11" s="165">
        <v>12</v>
      </c>
      <c r="AU11" s="165">
        <v>1938.2400000000071</v>
      </c>
      <c r="AV11" s="165">
        <v>161.52000000000058</v>
      </c>
      <c r="AW11" s="181">
        <f t="shared" si="0"/>
        <v>7</v>
      </c>
      <c r="AX11" s="430"/>
    </row>
    <row r="12" spans="1:50">
      <c r="A12" s="79"/>
      <c r="B12" s="400"/>
      <c r="C12" s="181">
        <v>6</v>
      </c>
      <c r="D12" s="196" t="s">
        <v>250</v>
      </c>
      <c r="E12" s="165">
        <v>11</v>
      </c>
      <c r="F12" s="181">
        <v>2250</v>
      </c>
      <c r="G12" s="179">
        <v>204.54545454545453</v>
      </c>
      <c r="H12" s="413"/>
      <c r="I12" s="165">
        <f t="shared" si="1"/>
        <v>11</v>
      </c>
      <c r="J12" s="165">
        <f t="shared" si="1"/>
        <v>1948.2051282051284</v>
      </c>
      <c r="K12" s="179">
        <f t="shared" si="1"/>
        <v>177.10955710955713</v>
      </c>
      <c r="L12" s="413"/>
      <c r="M12" s="180">
        <f>RANK(K12, K$7:$K$21)</f>
        <v>6</v>
      </c>
      <c r="N12" s="401"/>
      <c r="O12" s="401"/>
      <c r="U12" s="102"/>
      <c r="V12" s="102"/>
      <c r="W12" s="102"/>
      <c r="Y12" s="102"/>
      <c r="Z12" s="102"/>
      <c r="AA12" s="102"/>
      <c r="AB12" s="102"/>
      <c r="AD12" s="102"/>
      <c r="AE12" s="102"/>
      <c r="AF12" s="102"/>
      <c r="AG12" s="102"/>
      <c r="AI12" s="102"/>
      <c r="AJ12" s="102"/>
      <c r="AK12" s="102"/>
      <c r="AL12" s="102"/>
      <c r="AN12" s="102"/>
      <c r="AO12" s="102"/>
      <c r="AP12" s="102"/>
      <c r="AQ12" s="102"/>
      <c r="AR12" s="102"/>
      <c r="AS12" s="102"/>
      <c r="AT12" s="165">
        <v>11</v>
      </c>
      <c r="AU12" s="165">
        <v>1948.2051282051284</v>
      </c>
      <c r="AV12" s="165">
        <v>177.10955710955713</v>
      </c>
      <c r="AW12" s="181">
        <f t="shared" si="0"/>
        <v>6</v>
      </c>
      <c r="AX12" s="430"/>
    </row>
    <row r="13" spans="1:50">
      <c r="A13" s="79"/>
      <c r="B13" s="400"/>
      <c r="C13" s="181">
        <v>7</v>
      </c>
      <c r="D13" s="196" t="s">
        <v>251</v>
      </c>
      <c r="E13" s="165">
        <v>12</v>
      </c>
      <c r="F13" s="181">
        <v>2250</v>
      </c>
      <c r="G13" s="179">
        <v>187.5</v>
      </c>
      <c r="H13" s="413"/>
      <c r="I13" s="165">
        <f t="shared" si="1"/>
        <v>12</v>
      </c>
      <c r="J13" s="165">
        <f t="shared" si="1"/>
        <v>1642.3728813559314</v>
      </c>
      <c r="K13" s="179">
        <f t="shared" si="1"/>
        <v>136.86440677966095</v>
      </c>
      <c r="L13" s="413"/>
      <c r="M13" s="180">
        <f>RANK(K13, K$7:$K$21)</f>
        <v>9</v>
      </c>
      <c r="N13" s="401"/>
      <c r="O13" s="401"/>
      <c r="U13" s="102"/>
      <c r="V13" s="102"/>
      <c r="W13" s="102"/>
      <c r="Y13" s="102"/>
      <c r="Z13" s="102"/>
      <c r="AA13" s="102"/>
      <c r="AB13" s="102"/>
      <c r="AD13" s="102"/>
      <c r="AE13" s="102"/>
      <c r="AF13" s="102"/>
      <c r="AG13" s="102"/>
      <c r="AI13" s="102"/>
      <c r="AJ13" s="102"/>
      <c r="AK13" s="102"/>
      <c r="AL13" s="102"/>
      <c r="AN13" s="102"/>
      <c r="AO13" s="102"/>
      <c r="AP13" s="102"/>
      <c r="AQ13" s="102"/>
      <c r="AR13" s="102"/>
      <c r="AS13" s="102"/>
      <c r="AT13" s="165">
        <v>12</v>
      </c>
      <c r="AU13" s="165">
        <v>1642.3728813559314</v>
      </c>
      <c r="AV13" s="165">
        <v>136.86440677966095</v>
      </c>
      <c r="AW13" s="181">
        <f t="shared" si="0"/>
        <v>9</v>
      </c>
      <c r="AX13" s="430"/>
    </row>
    <row r="14" spans="1:50">
      <c r="A14" s="79"/>
      <c r="B14" s="400"/>
      <c r="C14" s="181">
        <v>8</v>
      </c>
      <c r="D14" s="196" t="s">
        <v>252</v>
      </c>
      <c r="E14" s="165">
        <v>9</v>
      </c>
      <c r="F14" s="181">
        <v>2250</v>
      </c>
      <c r="G14" s="179">
        <v>250</v>
      </c>
      <c r="H14" s="413"/>
      <c r="I14" s="165">
        <f t="shared" si="1"/>
        <v>9</v>
      </c>
      <c r="J14" s="165">
        <f t="shared" si="1"/>
        <v>1631.9999999999993</v>
      </c>
      <c r="K14" s="179">
        <f t="shared" si="1"/>
        <v>181.33333333333326</v>
      </c>
      <c r="L14" s="413"/>
      <c r="M14" s="180">
        <f>RANK(K14, K$7:$K$21)</f>
        <v>5</v>
      </c>
      <c r="N14" s="401"/>
      <c r="O14" s="401"/>
      <c r="U14" s="102"/>
      <c r="V14" s="102"/>
      <c r="W14" s="102"/>
      <c r="Y14" s="102"/>
      <c r="Z14" s="102"/>
      <c r="AA14" s="102"/>
      <c r="AB14" s="102"/>
      <c r="AD14" s="102"/>
      <c r="AE14" s="102"/>
      <c r="AF14" s="102"/>
      <c r="AG14" s="102"/>
      <c r="AI14" s="102"/>
      <c r="AJ14" s="102"/>
      <c r="AK14" s="102"/>
      <c r="AL14" s="102"/>
      <c r="AN14" s="102"/>
      <c r="AO14" s="102"/>
      <c r="AP14" s="102"/>
      <c r="AQ14" s="102"/>
      <c r="AR14" s="102"/>
      <c r="AS14" s="102"/>
      <c r="AT14" s="165">
        <v>9</v>
      </c>
      <c r="AU14" s="165">
        <v>1631.9999999999993</v>
      </c>
      <c r="AV14" s="165">
        <v>181.33333333333326</v>
      </c>
      <c r="AW14" s="181">
        <f t="shared" si="0"/>
        <v>5</v>
      </c>
      <c r="AX14" s="430"/>
    </row>
    <row r="15" spans="1:50">
      <c r="A15" s="79"/>
      <c r="B15" s="400"/>
      <c r="C15" s="181">
        <v>9</v>
      </c>
      <c r="D15" s="196" t="s">
        <v>253</v>
      </c>
      <c r="E15" s="165">
        <v>9</v>
      </c>
      <c r="F15" s="181">
        <v>2250</v>
      </c>
      <c r="G15" s="179">
        <v>250</v>
      </c>
      <c r="H15" s="413"/>
      <c r="I15" s="165">
        <f t="shared" si="1"/>
        <v>9</v>
      </c>
      <c r="J15" s="165">
        <f t="shared" si="1"/>
        <v>2024.5161290322585</v>
      </c>
      <c r="K15" s="179">
        <f t="shared" si="1"/>
        <v>224.94623655913983</v>
      </c>
      <c r="L15" s="413"/>
      <c r="M15" s="180">
        <f>RANK(K15, K$7:$K$21)</f>
        <v>4</v>
      </c>
      <c r="N15" s="401"/>
      <c r="O15" s="401"/>
      <c r="U15" s="102"/>
      <c r="V15" s="102"/>
      <c r="W15" s="102"/>
      <c r="Y15" s="102"/>
      <c r="Z15" s="102"/>
      <c r="AA15" s="102"/>
      <c r="AB15" s="102"/>
      <c r="AD15" s="102"/>
      <c r="AE15" s="102"/>
      <c r="AF15" s="102"/>
      <c r="AG15" s="102"/>
      <c r="AI15" s="102"/>
      <c r="AJ15" s="102"/>
      <c r="AK15" s="102"/>
      <c r="AL15" s="102"/>
      <c r="AN15" s="102"/>
      <c r="AO15" s="102"/>
      <c r="AP15" s="102"/>
      <c r="AQ15" s="102"/>
      <c r="AR15" s="102"/>
      <c r="AS15" s="102"/>
      <c r="AT15" s="165">
        <v>9</v>
      </c>
      <c r="AU15" s="165">
        <v>2024.5161290322585</v>
      </c>
      <c r="AV15" s="165">
        <v>224.94623655913983</v>
      </c>
      <c r="AW15" s="181">
        <f t="shared" si="0"/>
        <v>4</v>
      </c>
      <c r="AX15" s="430"/>
    </row>
    <row r="16" spans="1:50">
      <c r="A16" s="79"/>
      <c r="B16" s="400"/>
      <c r="C16" s="181">
        <v>10</v>
      </c>
      <c r="D16" s="196" t="s">
        <v>254</v>
      </c>
      <c r="E16" s="165">
        <v>18</v>
      </c>
      <c r="F16" s="181">
        <v>1250</v>
      </c>
      <c r="G16" s="179">
        <v>69.444444444444443</v>
      </c>
      <c r="H16" s="413"/>
      <c r="I16" s="165">
        <f t="shared" si="1"/>
        <v>13</v>
      </c>
      <c r="J16" s="165">
        <f t="shared" si="1"/>
        <v>1247.3333333333333</v>
      </c>
      <c r="K16" s="179">
        <f t="shared" si="1"/>
        <v>95.948717948717942</v>
      </c>
      <c r="L16" s="413"/>
      <c r="M16" s="180">
        <f>RANK(K16, K$7:$K$21)</f>
        <v>10</v>
      </c>
      <c r="N16" s="401"/>
      <c r="O16" s="401"/>
      <c r="U16" s="102"/>
      <c r="V16" s="102"/>
      <c r="W16" s="102"/>
      <c r="Y16" s="102"/>
      <c r="Z16" s="102"/>
      <c r="AA16" s="102"/>
      <c r="AB16" s="102"/>
      <c r="AD16" s="102"/>
      <c r="AE16" s="102"/>
      <c r="AF16" s="102"/>
      <c r="AG16" s="102"/>
      <c r="AI16" s="102"/>
      <c r="AJ16" s="102"/>
      <c r="AK16" s="102"/>
      <c r="AL16" s="102"/>
      <c r="AN16" s="102"/>
      <c r="AO16" s="102"/>
      <c r="AP16" s="102"/>
      <c r="AQ16" s="102"/>
      <c r="AR16" s="102"/>
      <c r="AS16" s="102"/>
      <c r="AT16" s="165">
        <v>13</v>
      </c>
      <c r="AU16" s="165">
        <v>1247.3333333333333</v>
      </c>
      <c r="AV16" s="165">
        <v>95.948717948717942</v>
      </c>
      <c r="AW16" s="181">
        <f t="shared" si="0"/>
        <v>10</v>
      </c>
      <c r="AX16" s="43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U17" s="102"/>
      <c r="V17" s="102"/>
      <c r="W17" s="102"/>
      <c r="Y17" s="102"/>
      <c r="Z17" s="102"/>
      <c r="AA17" s="102"/>
      <c r="AB17" s="102"/>
      <c r="AD17" s="102"/>
      <c r="AE17" s="102"/>
      <c r="AF17" s="102"/>
      <c r="AG17" s="102"/>
      <c r="AI17" s="102"/>
      <c r="AJ17" s="102"/>
      <c r="AK17" s="102"/>
      <c r="AL17" s="102"/>
      <c r="AN17" s="102"/>
      <c r="AO17" s="102"/>
      <c r="AP17" s="102"/>
      <c r="AQ17" s="102"/>
      <c r="AR17" s="102"/>
      <c r="AS17" s="102"/>
      <c r="AT17" s="165"/>
      <c r="AU17" s="165"/>
      <c r="AV17" s="179"/>
      <c r="AW17" s="181" t="e">
        <f t="shared" si="0"/>
        <v>#N/A</v>
      </c>
      <c r="AX17" s="43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U18" s="102"/>
      <c r="V18" s="102"/>
      <c r="W18" s="102"/>
      <c r="Y18" s="102"/>
      <c r="Z18" s="102"/>
      <c r="AA18" s="102"/>
      <c r="AB18" s="102"/>
      <c r="AD18" s="102"/>
      <c r="AE18" s="102"/>
      <c r="AF18" s="102"/>
      <c r="AG18" s="102"/>
      <c r="AI18" s="102"/>
      <c r="AJ18" s="102"/>
      <c r="AK18" s="102"/>
      <c r="AL18" s="102"/>
      <c r="AN18" s="102"/>
      <c r="AO18" s="102"/>
      <c r="AP18" s="102"/>
      <c r="AQ18" s="102"/>
      <c r="AR18" s="102"/>
      <c r="AS18" s="102"/>
      <c r="AT18" s="165"/>
      <c r="AU18" s="165"/>
      <c r="AV18" s="179"/>
      <c r="AW18" s="181" t="e">
        <f t="shared" si="0"/>
        <v>#N/A</v>
      </c>
      <c r="AX18" s="43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U19" s="102"/>
      <c r="V19" s="102"/>
      <c r="W19" s="102"/>
      <c r="Y19" s="102"/>
      <c r="Z19" s="102"/>
      <c r="AA19" s="102"/>
      <c r="AB19" s="102"/>
      <c r="AD19" s="102"/>
      <c r="AE19" s="102"/>
      <c r="AF19" s="102"/>
      <c r="AG19" s="102"/>
      <c r="AI19" s="102"/>
      <c r="AJ19" s="102"/>
      <c r="AK19" s="102"/>
      <c r="AL19" s="102"/>
      <c r="AN19" s="102"/>
      <c r="AO19" s="102"/>
      <c r="AP19" s="102"/>
      <c r="AQ19" s="102"/>
      <c r="AR19" s="102"/>
      <c r="AS19" s="102"/>
      <c r="AT19" s="165"/>
      <c r="AU19" s="165"/>
      <c r="AV19" s="179"/>
      <c r="AW19" s="181" t="e">
        <f t="shared" si="0"/>
        <v>#N/A</v>
      </c>
      <c r="AX19" s="43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U20" s="102"/>
      <c r="V20" s="102"/>
      <c r="W20" s="102"/>
      <c r="Y20" s="102"/>
      <c r="Z20" s="102"/>
      <c r="AA20" s="102"/>
      <c r="AB20" s="102"/>
      <c r="AD20" s="102"/>
      <c r="AE20" s="102"/>
      <c r="AF20" s="102"/>
      <c r="AG20" s="102"/>
      <c r="AI20" s="102"/>
      <c r="AJ20" s="102"/>
      <c r="AK20" s="102"/>
      <c r="AL20" s="102"/>
      <c r="AN20" s="102"/>
      <c r="AO20" s="102"/>
      <c r="AP20" s="102"/>
      <c r="AQ20" s="102"/>
      <c r="AR20" s="102"/>
      <c r="AS20" s="102"/>
      <c r="AT20" s="165"/>
      <c r="AU20" s="165"/>
      <c r="AV20" s="179"/>
      <c r="AW20" s="181" t="e">
        <f t="shared" si="0"/>
        <v>#N/A</v>
      </c>
      <c r="AX20" s="43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U21" s="102"/>
      <c r="V21" s="102"/>
      <c r="W21" s="102"/>
      <c r="Y21" s="102"/>
      <c r="Z21" s="102"/>
      <c r="AA21" s="102"/>
      <c r="AB21" s="102"/>
      <c r="AD21" s="102"/>
      <c r="AE21" s="102"/>
      <c r="AF21" s="102"/>
      <c r="AG21" s="102"/>
      <c r="AI21" s="102"/>
      <c r="AJ21" s="102"/>
      <c r="AK21" s="102"/>
      <c r="AL21" s="102"/>
      <c r="AN21" s="102"/>
      <c r="AO21" s="102"/>
      <c r="AP21" s="102"/>
      <c r="AQ21" s="102"/>
      <c r="AR21" s="102"/>
      <c r="AS21" s="102"/>
      <c r="AT21" s="165"/>
      <c r="AU21" s="165"/>
      <c r="AV21" s="179"/>
      <c r="AW21" s="181" t="e">
        <f t="shared" si="0"/>
        <v>#N/A</v>
      </c>
      <c r="AX21" s="430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29" t="s">
        <v>244</v>
      </c>
      <c r="C27" s="181">
        <v>1</v>
      </c>
      <c r="D27" s="196" t="s">
        <v>245</v>
      </c>
      <c r="E27" s="165">
        <v>4</v>
      </c>
      <c r="F27" s="181">
        <v>2000</v>
      </c>
      <c r="G27" s="179">
        <v>500</v>
      </c>
      <c r="H27" s="412">
        <f>AVERAGE(G27:G41)</f>
        <v>283.6489898989899</v>
      </c>
      <c r="I27" s="165">
        <f>AVERAGE(P27,U27,Z27,AE27,AJ27,AO27,AT27)</f>
        <v>4.7142857142857144</v>
      </c>
      <c r="J27" s="165">
        <f>AVERAGE(Q27,V27,AA27,AF27,AK27,AP27,AU27)</f>
        <v>2123.0447178871514</v>
      </c>
      <c r="K27" s="179">
        <f>AVERAGE(R27,W27,AB27,AG27,AL27,AQ27,AV27)</f>
        <v>455.66934273709415</v>
      </c>
      <c r="L27" s="412">
        <f>IFERROR(AVERAGE(K27:K41),"-")</f>
        <v>259.10520310272989</v>
      </c>
      <c r="M27" s="180">
        <f>RANK(K27, K$27:$K$41)</f>
        <v>3</v>
      </c>
      <c r="N27" s="401"/>
      <c r="O27" s="401"/>
      <c r="P27" s="165">
        <v>5</v>
      </c>
      <c r="Q27" s="165">
        <v>2089.4117647058797</v>
      </c>
      <c r="R27" s="165">
        <v>417.88235294117595</v>
      </c>
      <c r="S27" s="181">
        <f t="shared" ref="S27:S41" si="2">RANK(R27, R$27:R$41)</f>
        <v>3</v>
      </c>
      <c r="T27" s="430">
        <f>AVERAGE(R27:R41)</f>
        <v>246.92551404047131</v>
      </c>
      <c r="U27" s="165">
        <v>5</v>
      </c>
      <c r="V27" s="165">
        <v>2107.058823529409</v>
      </c>
      <c r="W27" s="165">
        <v>421.41176470588181</v>
      </c>
      <c r="X27" s="181">
        <f t="shared" ref="X27:X41" si="3">RANK(W27, W$27:W$41)</f>
        <v>3</v>
      </c>
      <c r="Y27" s="430">
        <f>AVERAGE(W27:W41)</f>
        <v>250.45999674303948</v>
      </c>
      <c r="Z27" s="165">
        <v>5</v>
      </c>
      <c r="AA27" s="165">
        <v>2163.5294117647031</v>
      </c>
      <c r="AB27" s="165">
        <v>432.70588235294065</v>
      </c>
      <c r="AC27" s="181">
        <f t="shared" ref="AC27:AC41" si="4">RANK(AB27, AB$27:AB$41)</f>
        <v>1</v>
      </c>
      <c r="AD27" s="430">
        <f>AVERAGE(AB27:AB41)</f>
        <v>251.06028056372088</v>
      </c>
      <c r="AE27" s="165">
        <v>5</v>
      </c>
      <c r="AF27" s="165">
        <v>2095.7142857142812</v>
      </c>
      <c r="AG27" s="165">
        <v>419.14285714285626</v>
      </c>
      <c r="AH27" s="181">
        <f t="shared" ref="AH27:AH41" si="5">RANK(AG27, AG$27:AG$41)</f>
        <v>2</v>
      </c>
      <c r="AI27" s="430">
        <f>AVERAGE(AG27:AG41)</f>
        <v>247.89014787792613</v>
      </c>
      <c r="AJ27" s="165">
        <v>5</v>
      </c>
      <c r="AK27" s="165">
        <v>2057.1428571428528</v>
      </c>
      <c r="AL27" s="165">
        <v>411.42857142857054</v>
      </c>
      <c r="AM27" s="181">
        <f t="shared" ref="AM27:AM41" si="6">RANK(AL27, AL$27:AL$41)</f>
        <v>3</v>
      </c>
      <c r="AN27" s="430">
        <f>AVERAGE(AL27:AL41)</f>
        <v>248.24703052336855</v>
      </c>
      <c r="AO27" s="165">
        <v>4</v>
      </c>
      <c r="AP27" s="165">
        <v>2184.7058823529383</v>
      </c>
      <c r="AQ27" s="165">
        <v>546.17647058823457</v>
      </c>
      <c r="AR27" s="181">
        <f t="shared" ref="AR27:AR41" si="7">RANK(AQ27, AQ$27:AQ$41)</f>
        <v>1</v>
      </c>
      <c r="AS27" s="430">
        <f>AVERAGE(AQ27:AQ41)</f>
        <v>285.2928111454969</v>
      </c>
      <c r="AT27" s="165">
        <v>4</v>
      </c>
      <c r="AU27" s="165">
        <v>2163.7499999999968</v>
      </c>
      <c r="AV27" s="165">
        <v>540.9374999999992</v>
      </c>
      <c r="AW27" s="181">
        <f t="shared" ref="AW27:AW41" si="8">RANK(AV27, AV$27:AV$41)</f>
        <v>2</v>
      </c>
      <c r="AX27" s="430">
        <f>AVERAGE(AV27:AV41)</f>
        <v>283.86064082508614</v>
      </c>
    </row>
    <row r="28" spans="2:50">
      <c r="B28" s="400"/>
      <c r="C28" s="181">
        <v>2</v>
      </c>
      <c r="D28" s="196" t="s">
        <v>246</v>
      </c>
      <c r="E28" s="165">
        <v>4</v>
      </c>
      <c r="F28" s="181">
        <v>2000</v>
      </c>
      <c r="G28" s="179">
        <v>500</v>
      </c>
      <c r="H28" s="413"/>
      <c r="I28" s="165">
        <f t="shared" ref="I28:I36" si="9">AVERAGE(P28,U28,Z28,AE28,AJ28,AO28,AT28)</f>
        <v>4.7142857142857144</v>
      </c>
      <c r="J28" s="165">
        <f t="shared" ref="J28:J36" si="10">AVERAGE(Q28,V28,AA28,AF28,AK28,AP28,AU28)</f>
        <v>2135.3589435774275</v>
      </c>
      <c r="K28" s="179">
        <f t="shared" ref="K28:K36" si="11">AVERAGE(R28,W28,AB28,AG28,AL28,AQ28,AV28)</f>
        <v>457.87851140456121</v>
      </c>
      <c r="L28" s="413"/>
      <c r="M28" s="180">
        <f>RANK(K28, K$27:$K$41)</f>
        <v>2</v>
      </c>
      <c r="N28" s="401"/>
      <c r="O28" s="401"/>
      <c r="P28" s="165">
        <v>5</v>
      </c>
      <c r="Q28" s="165">
        <v>2089.9999999999986</v>
      </c>
      <c r="R28" s="165">
        <v>417.99999999999972</v>
      </c>
      <c r="S28" s="181">
        <f t="shared" si="2"/>
        <v>2</v>
      </c>
      <c r="T28" s="430"/>
      <c r="U28" s="165">
        <v>5</v>
      </c>
      <c r="V28" s="165">
        <v>2175.9999999999959</v>
      </c>
      <c r="W28" s="165">
        <v>435.19999999999919</v>
      </c>
      <c r="X28" s="181">
        <f t="shared" si="3"/>
        <v>2</v>
      </c>
      <c r="Y28" s="430"/>
      <c r="Z28" s="165">
        <v>5</v>
      </c>
      <c r="AA28" s="165">
        <v>2159.9999999999973</v>
      </c>
      <c r="AB28" s="165">
        <v>431.99999999999943</v>
      </c>
      <c r="AC28" s="181">
        <f t="shared" si="4"/>
        <v>2</v>
      </c>
      <c r="AD28" s="430"/>
      <c r="AE28" s="165">
        <v>5</v>
      </c>
      <c r="AF28" s="165">
        <v>2091.428571428567</v>
      </c>
      <c r="AG28" s="165">
        <v>418.28571428571342</v>
      </c>
      <c r="AH28" s="181">
        <f t="shared" si="5"/>
        <v>3</v>
      </c>
      <c r="AI28" s="430"/>
      <c r="AJ28" s="165">
        <v>5</v>
      </c>
      <c r="AK28" s="165">
        <v>2117.1428571428523</v>
      </c>
      <c r="AL28" s="165">
        <v>423.42857142857048</v>
      </c>
      <c r="AM28" s="181">
        <f t="shared" si="6"/>
        <v>2</v>
      </c>
      <c r="AN28" s="430"/>
      <c r="AO28" s="165">
        <v>4</v>
      </c>
      <c r="AP28" s="165">
        <v>2174.1176470588207</v>
      </c>
      <c r="AQ28" s="165">
        <v>543.52941176470517</v>
      </c>
      <c r="AR28" s="181">
        <f t="shared" si="7"/>
        <v>2</v>
      </c>
      <c r="AS28" s="430"/>
      <c r="AT28" s="165">
        <v>4</v>
      </c>
      <c r="AU28" s="165">
        <v>2138.8235294117621</v>
      </c>
      <c r="AV28" s="165">
        <v>534.70588235294053</v>
      </c>
      <c r="AW28" s="181">
        <f t="shared" si="8"/>
        <v>3</v>
      </c>
      <c r="AX28" s="430"/>
    </row>
    <row r="29" spans="2:50">
      <c r="B29" s="400"/>
      <c r="C29" s="181">
        <v>3</v>
      </c>
      <c r="D29" s="196" t="s">
        <v>247</v>
      </c>
      <c r="E29" s="165">
        <v>4</v>
      </c>
      <c r="F29" s="181">
        <v>2000</v>
      </c>
      <c r="G29" s="179">
        <v>500</v>
      </c>
      <c r="H29" s="413"/>
      <c r="I29" s="165">
        <f t="shared" si="9"/>
        <v>4.7142857142857144</v>
      </c>
      <c r="J29" s="165">
        <f t="shared" si="10"/>
        <v>2159.7142038086145</v>
      </c>
      <c r="K29" s="179">
        <f t="shared" si="11"/>
        <v>462.93773872090662</v>
      </c>
      <c r="L29" s="413"/>
      <c r="M29" s="180">
        <f>RANK(K29, K$27:$K$41)</f>
        <v>1</v>
      </c>
      <c r="N29" s="401"/>
      <c r="O29" s="401"/>
      <c r="P29" s="165">
        <v>5</v>
      </c>
      <c r="Q29" s="165">
        <v>2118.4615384615395</v>
      </c>
      <c r="R29" s="165">
        <v>423.69230769230791</v>
      </c>
      <c r="S29" s="181">
        <f t="shared" si="2"/>
        <v>1</v>
      </c>
      <c r="T29" s="430"/>
      <c r="U29" s="165">
        <v>5</v>
      </c>
      <c r="V29" s="165">
        <v>2191.2000000000007</v>
      </c>
      <c r="W29" s="165">
        <v>438.24000000000012</v>
      </c>
      <c r="X29" s="181">
        <f t="shared" si="3"/>
        <v>1</v>
      </c>
      <c r="Y29" s="430"/>
      <c r="Z29" s="165">
        <v>5</v>
      </c>
      <c r="AA29" s="165">
        <v>2138.4000000000005</v>
      </c>
      <c r="AB29" s="165">
        <v>427.68000000000012</v>
      </c>
      <c r="AC29" s="181">
        <f t="shared" si="4"/>
        <v>3</v>
      </c>
      <c r="AD29" s="430"/>
      <c r="AE29" s="165">
        <v>5</v>
      </c>
      <c r="AF29" s="165">
        <v>2175.6521739130435</v>
      </c>
      <c r="AG29" s="165">
        <v>435.13043478260869</v>
      </c>
      <c r="AH29" s="181">
        <f t="shared" si="5"/>
        <v>1</v>
      </c>
      <c r="AI29" s="430"/>
      <c r="AJ29" s="165">
        <v>5</v>
      </c>
      <c r="AK29" s="165">
        <v>2155.0000000000009</v>
      </c>
      <c r="AL29" s="165">
        <v>431.00000000000017</v>
      </c>
      <c r="AM29" s="181">
        <f t="shared" si="6"/>
        <v>1</v>
      </c>
      <c r="AN29" s="430"/>
      <c r="AO29" s="165">
        <v>4</v>
      </c>
      <c r="AP29" s="165">
        <v>2149.285714285716</v>
      </c>
      <c r="AQ29" s="165">
        <v>537.32142857142901</v>
      </c>
      <c r="AR29" s="181">
        <f t="shared" si="7"/>
        <v>3</v>
      </c>
      <c r="AS29" s="430"/>
      <c r="AT29" s="165">
        <v>4</v>
      </c>
      <c r="AU29" s="165">
        <v>2190.0000000000018</v>
      </c>
      <c r="AV29" s="165">
        <v>547.50000000000045</v>
      </c>
      <c r="AW29" s="181">
        <f t="shared" si="8"/>
        <v>1</v>
      </c>
      <c r="AX29" s="430"/>
    </row>
    <row r="30" spans="2:50">
      <c r="B30" s="400"/>
      <c r="C30" s="181">
        <v>4</v>
      </c>
      <c r="D30" s="196" t="s">
        <v>248</v>
      </c>
      <c r="E30" s="165">
        <v>12</v>
      </c>
      <c r="F30" s="181">
        <v>2250</v>
      </c>
      <c r="G30" s="179">
        <v>187.5</v>
      </c>
      <c r="H30" s="413"/>
      <c r="I30" s="165">
        <f t="shared" si="9"/>
        <v>12</v>
      </c>
      <c r="J30" s="165">
        <f t="shared" si="10"/>
        <v>1966.7990029466491</v>
      </c>
      <c r="K30" s="179">
        <f t="shared" si="11"/>
        <v>163.89991691222073</v>
      </c>
      <c r="L30" s="413"/>
      <c r="M30" s="180">
        <f>RANK(K30, K$27:$K$41)</f>
        <v>9</v>
      </c>
      <c r="N30" s="401"/>
      <c r="O30" s="401"/>
      <c r="P30" s="165">
        <v>12</v>
      </c>
      <c r="Q30" s="165">
        <v>1976.4705882352939</v>
      </c>
      <c r="R30" s="165">
        <v>164.70588235294116</v>
      </c>
      <c r="S30" s="181">
        <f t="shared" si="2"/>
        <v>8</v>
      </c>
      <c r="T30" s="430"/>
      <c r="U30" s="165">
        <v>12</v>
      </c>
      <c r="V30" s="165">
        <v>1966.5671641791046</v>
      </c>
      <c r="W30" s="165">
        <v>163.88059701492537</v>
      </c>
      <c r="X30" s="181">
        <f t="shared" si="3"/>
        <v>9</v>
      </c>
      <c r="Y30" s="430"/>
      <c r="Z30" s="165">
        <v>12</v>
      </c>
      <c r="AA30" s="165">
        <v>1936.8749999999995</v>
      </c>
      <c r="AB30" s="165">
        <v>161.40624999999997</v>
      </c>
      <c r="AC30" s="181">
        <f t="shared" si="4"/>
        <v>9</v>
      </c>
      <c r="AD30" s="430"/>
      <c r="AE30" s="165">
        <v>12</v>
      </c>
      <c r="AF30" s="165">
        <v>1963.9285714285713</v>
      </c>
      <c r="AG30" s="165">
        <v>163.66071428571428</v>
      </c>
      <c r="AH30" s="181">
        <f t="shared" si="5"/>
        <v>8</v>
      </c>
      <c r="AI30" s="430"/>
      <c r="AJ30" s="165">
        <v>12</v>
      </c>
      <c r="AK30" s="165">
        <v>1997.8947368421054</v>
      </c>
      <c r="AL30" s="165">
        <v>166.49122807017545</v>
      </c>
      <c r="AM30" s="181">
        <f t="shared" si="6"/>
        <v>8</v>
      </c>
      <c r="AN30" s="430"/>
      <c r="AO30" s="165">
        <v>12</v>
      </c>
      <c r="AP30" s="165">
        <v>1934.0259740259739</v>
      </c>
      <c r="AQ30" s="165">
        <v>161.16883116883116</v>
      </c>
      <c r="AR30" s="181">
        <f t="shared" si="7"/>
        <v>9</v>
      </c>
      <c r="AS30" s="430"/>
      <c r="AT30" s="165">
        <v>12</v>
      </c>
      <c r="AU30" s="165">
        <v>1991.8309859154936</v>
      </c>
      <c r="AV30" s="165">
        <v>165.98591549295779</v>
      </c>
      <c r="AW30" s="181">
        <f t="shared" si="8"/>
        <v>8</v>
      </c>
      <c r="AX30" s="430"/>
    </row>
    <row r="31" spans="2:50">
      <c r="B31" s="400"/>
      <c r="C31" s="181">
        <v>5</v>
      </c>
      <c r="D31" s="196" t="s">
        <v>249</v>
      </c>
      <c r="E31" s="165">
        <v>12</v>
      </c>
      <c r="F31" s="181">
        <v>2250</v>
      </c>
      <c r="G31" s="179">
        <v>187.5</v>
      </c>
      <c r="H31" s="413"/>
      <c r="I31" s="165">
        <f t="shared" si="9"/>
        <v>11.857142857142858</v>
      </c>
      <c r="J31" s="165">
        <f t="shared" si="10"/>
        <v>2049.5839076069674</v>
      </c>
      <c r="K31" s="179">
        <f t="shared" si="11"/>
        <v>172.88523905382741</v>
      </c>
      <c r="L31" s="413"/>
      <c r="M31" s="180">
        <f>RANK(K31, K$27:$K$41)</f>
        <v>7</v>
      </c>
      <c r="N31" s="401"/>
      <c r="O31" s="401"/>
      <c r="P31" s="165">
        <v>12</v>
      </c>
      <c r="Q31" s="165">
        <v>2060.7079646017701</v>
      </c>
      <c r="R31" s="165">
        <v>171.72566371681418</v>
      </c>
      <c r="S31" s="181">
        <f t="shared" si="2"/>
        <v>7</v>
      </c>
      <c r="T31" s="430"/>
      <c r="U31" s="165">
        <v>12</v>
      </c>
      <c r="V31" s="165">
        <v>2052.3364485981306</v>
      </c>
      <c r="W31" s="165">
        <v>171.02803738317755</v>
      </c>
      <c r="X31" s="181">
        <f t="shared" si="3"/>
        <v>7</v>
      </c>
      <c r="Y31" s="430"/>
      <c r="Z31" s="165">
        <v>12</v>
      </c>
      <c r="AA31" s="165">
        <v>2039.3939393939397</v>
      </c>
      <c r="AB31" s="165">
        <v>169.94949494949498</v>
      </c>
      <c r="AC31" s="181">
        <f t="shared" si="4"/>
        <v>7</v>
      </c>
      <c r="AD31" s="430"/>
      <c r="AE31" s="165">
        <v>12</v>
      </c>
      <c r="AF31" s="165">
        <v>2114.6341463414637</v>
      </c>
      <c r="AG31" s="165">
        <v>176.21951219512198</v>
      </c>
      <c r="AH31" s="181">
        <f t="shared" si="5"/>
        <v>7</v>
      </c>
      <c r="AI31" s="430"/>
      <c r="AJ31" s="165">
        <v>12</v>
      </c>
      <c r="AK31" s="165">
        <v>2103.3707865168531</v>
      </c>
      <c r="AL31" s="165">
        <v>175.28089887640442</v>
      </c>
      <c r="AM31" s="181">
        <f t="shared" si="6"/>
        <v>7</v>
      </c>
      <c r="AN31" s="430"/>
      <c r="AO31" s="165">
        <v>12</v>
      </c>
      <c r="AP31" s="165">
        <v>2048.6440677966098</v>
      </c>
      <c r="AQ31" s="165">
        <v>170.72033898305082</v>
      </c>
      <c r="AR31" s="181">
        <f t="shared" si="7"/>
        <v>7</v>
      </c>
      <c r="AS31" s="430"/>
      <c r="AT31" s="165">
        <v>11</v>
      </c>
      <c r="AU31" s="165">
        <v>1928.0000000000068</v>
      </c>
      <c r="AV31" s="165">
        <v>175.27272727272791</v>
      </c>
      <c r="AW31" s="181">
        <f t="shared" si="8"/>
        <v>7</v>
      </c>
      <c r="AX31" s="430"/>
    </row>
    <row r="32" spans="2:50">
      <c r="B32" s="400"/>
      <c r="C32" s="181">
        <v>6</v>
      </c>
      <c r="D32" s="196" t="s">
        <v>250</v>
      </c>
      <c r="E32" s="165">
        <v>11</v>
      </c>
      <c r="F32" s="181">
        <v>2250</v>
      </c>
      <c r="G32" s="179">
        <v>204.54545454545453</v>
      </c>
      <c r="H32" s="413"/>
      <c r="I32" s="165">
        <f t="shared" si="9"/>
        <v>11</v>
      </c>
      <c r="J32" s="165">
        <f t="shared" si="10"/>
        <v>1973.5138616639931</v>
      </c>
      <c r="K32" s="179">
        <f t="shared" si="11"/>
        <v>179.41035106036298</v>
      </c>
      <c r="L32" s="413"/>
      <c r="M32" s="180">
        <f>RANK(K32, K$27:$K$41)</f>
        <v>6</v>
      </c>
      <c r="N32" s="401"/>
      <c r="O32" s="401"/>
      <c r="P32" s="165">
        <v>11</v>
      </c>
      <c r="Q32" s="165">
        <v>1958.7272727272725</v>
      </c>
      <c r="R32" s="165">
        <v>178.06611570247932</v>
      </c>
      <c r="S32" s="181">
        <f t="shared" si="2"/>
        <v>6</v>
      </c>
      <c r="T32" s="430"/>
      <c r="U32" s="165">
        <v>11</v>
      </c>
      <c r="V32" s="165">
        <v>1947.4285714285709</v>
      </c>
      <c r="W32" s="165">
        <v>177.03896103896099</v>
      </c>
      <c r="X32" s="181">
        <f t="shared" si="3"/>
        <v>6</v>
      </c>
      <c r="Y32" s="430"/>
      <c r="Z32" s="165">
        <v>11</v>
      </c>
      <c r="AA32" s="165">
        <v>2018.7500000000005</v>
      </c>
      <c r="AB32" s="165">
        <v>183.52272727272731</v>
      </c>
      <c r="AC32" s="181">
        <f t="shared" si="4"/>
        <v>6</v>
      </c>
      <c r="AD32" s="430"/>
      <c r="AE32" s="165">
        <v>11</v>
      </c>
      <c r="AF32" s="165">
        <v>1954.2857142857138</v>
      </c>
      <c r="AG32" s="165">
        <v>177.66233766233762</v>
      </c>
      <c r="AH32" s="181">
        <f t="shared" si="5"/>
        <v>6</v>
      </c>
      <c r="AI32" s="430"/>
      <c r="AJ32" s="165">
        <v>11</v>
      </c>
      <c r="AK32" s="165">
        <v>1977.9775280898878</v>
      </c>
      <c r="AL32" s="165">
        <v>179.81613891726252</v>
      </c>
      <c r="AM32" s="181">
        <f t="shared" si="6"/>
        <v>6</v>
      </c>
      <c r="AN32" s="430"/>
      <c r="AO32" s="165">
        <v>11</v>
      </c>
      <c r="AP32" s="165">
        <v>2027.339449541284</v>
      </c>
      <c r="AQ32" s="165">
        <v>184.30358632193492</v>
      </c>
      <c r="AR32" s="181">
        <f t="shared" si="7"/>
        <v>6</v>
      </c>
      <c r="AS32" s="430"/>
      <c r="AT32" s="165">
        <v>11</v>
      </c>
      <c r="AU32" s="165">
        <v>1930.0884955752215</v>
      </c>
      <c r="AV32" s="165">
        <v>175.46259050683832</v>
      </c>
      <c r="AW32" s="181">
        <f t="shared" si="8"/>
        <v>6</v>
      </c>
      <c r="AX32" s="430"/>
    </row>
    <row r="33" spans="2:50">
      <c r="B33" s="400"/>
      <c r="C33" s="181">
        <v>7</v>
      </c>
      <c r="D33" s="196" t="s">
        <v>251</v>
      </c>
      <c r="E33" s="165">
        <v>12</v>
      </c>
      <c r="F33" s="181">
        <v>2250</v>
      </c>
      <c r="G33" s="179">
        <v>187.5</v>
      </c>
      <c r="H33" s="413"/>
      <c r="I33" s="165">
        <f t="shared" si="9"/>
        <v>12</v>
      </c>
      <c r="J33" s="165">
        <f t="shared" si="10"/>
        <v>1972.2216612187626</v>
      </c>
      <c r="K33" s="179">
        <f t="shared" si="11"/>
        <v>164.35180510156357</v>
      </c>
      <c r="L33" s="413"/>
      <c r="M33" s="180">
        <f>RANK(K33, K$27:$K$41)</f>
        <v>8</v>
      </c>
      <c r="N33" s="401"/>
      <c r="O33" s="401"/>
      <c r="P33" s="165">
        <v>12</v>
      </c>
      <c r="Q33" s="165">
        <v>1945.3846153846164</v>
      </c>
      <c r="R33" s="165">
        <v>162.1153846153847</v>
      </c>
      <c r="S33" s="181">
        <f t="shared" si="2"/>
        <v>9</v>
      </c>
      <c r="T33" s="430"/>
      <c r="U33" s="165">
        <v>12</v>
      </c>
      <c r="V33" s="165">
        <v>1987.5000000000005</v>
      </c>
      <c r="W33" s="165">
        <v>165.62500000000003</v>
      </c>
      <c r="X33" s="181">
        <f t="shared" si="3"/>
        <v>8</v>
      </c>
      <c r="Y33" s="430"/>
      <c r="Z33" s="165">
        <v>12</v>
      </c>
      <c r="AA33" s="165">
        <v>2004</v>
      </c>
      <c r="AB33" s="165">
        <v>167</v>
      </c>
      <c r="AC33" s="181">
        <f t="shared" si="4"/>
        <v>8</v>
      </c>
      <c r="AD33" s="430"/>
      <c r="AE33" s="165">
        <v>12</v>
      </c>
      <c r="AF33" s="165">
        <v>1936.4999999999995</v>
      </c>
      <c r="AG33" s="165">
        <v>161.37499999999997</v>
      </c>
      <c r="AH33" s="181">
        <f t="shared" si="5"/>
        <v>9</v>
      </c>
      <c r="AI33" s="430"/>
      <c r="AJ33" s="165">
        <v>12</v>
      </c>
      <c r="AK33" s="165">
        <v>1987.317073170731</v>
      </c>
      <c r="AL33" s="165">
        <v>165.6097560975609</v>
      </c>
      <c r="AM33" s="181">
        <f t="shared" si="6"/>
        <v>9</v>
      </c>
      <c r="AN33" s="430"/>
      <c r="AO33" s="165">
        <v>12</v>
      </c>
      <c r="AP33" s="165">
        <v>1983.6734693877556</v>
      </c>
      <c r="AQ33" s="165">
        <v>165.30612244897964</v>
      </c>
      <c r="AR33" s="181">
        <f t="shared" si="7"/>
        <v>8</v>
      </c>
      <c r="AS33" s="430"/>
      <c r="AT33" s="165">
        <v>12</v>
      </c>
      <c r="AU33" s="165">
        <v>1961.1764705882363</v>
      </c>
      <c r="AV33" s="165">
        <v>163.4313725490197</v>
      </c>
      <c r="AW33" s="181">
        <f t="shared" si="8"/>
        <v>9</v>
      </c>
      <c r="AX33" s="430"/>
    </row>
    <row r="34" spans="2:50">
      <c r="B34" s="400"/>
      <c r="C34" s="181">
        <v>8</v>
      </c>
      <c r="D34" s="196" t="s">
        <v>252</v>
      </c>
      <c r="E34" s="165">
        <v>9</v>
      </c>
      <c r="F34" s="181">
        <v>2250</v>
      </c>
      <c r="G34" s="179">
        <v>250</v>
      </c>
      <c r="H34" s="413"/>
      <c r="I34" s="165">
        <f t="shared" si="9"/>
        <v>9</v>
      </c>
      <c r="J34" s="165">
        <f t="shared" si="10"/>
        <v>1963.4973398450295</v>
      </c>
      <c r="K34" s="179">
        <f t="shared" si="11"/>
        <v>218.16637109389217</v>
      </c>
      <c r="L34" s="413"/>
      <c r="M34" s="180">
        <f>RANK(K34, K$27:$K$41)</f>
        <v>5</v>
      </c>
      <c r="N34" s="401"/>
      <c r="O34" s="401"/>
      <c r="P34" s="165">
        <v>9</v>
      </c>
      <c r="Q34" s="165">
        <v>1957.0588235294142</v>
      </c>
      <c r="R34" s="165">
        <v>217.45098039215713</v>
      </c>
      <c r="S34" s="181">
        <f t="shared" si="2"/>
        <v>5</v>
      </c>
      <c r="T34" s="430"/>
      <c r="U34" s="165">
        <v>9</v>
      </c>
      <c r="V34" s="165">
        <v>1970.625000000002</v>
      </c>
      <c r="W34" s="165">
        <v>218.95833333333357</v>
      </c>
      <c r="X34" s="181">
        <f t="shared" si="3"/>
        <v>4</v>
      </c>
      <c r="Y34" s="430"/>
      <c r="Z34" s="165">
        <v>9</v>
      </c>
      <c r="AA34" s="165">
        <v>1974.5454545454566</v>
      </c>
      <c r="AB34" s="165">
        <v>219.3939393939396</v>
      </c>
      <c r="AC34" s="181">
        <f t="shared" si="4"/>
        <v>5</v>
      </c>
      <c r="AD34" s="430"/>
      <c r="AE34" s="165">
        <v>9</v>
      </c>
      <c r="AF34" s="165">
        <v>1930.7142857142871</v>
      </c>
      <c r="AG34" s="165">
        <v>214.52380952380969</v>
      </c>
      <c r="AH34" s="181">
        <f t="shared" si="5"/>
        <v>5</v>
      </c>
      <c r="AI34" s="430"/>
      <c r="AJ34" s="165">
        <v>9</v>
      </c>
      <c r="AK34" s="165">
        <v>1952.1428571428587</v>
      </c>
      <c r="AL34" s="165">
        <v>216.90476190476207</v>
      </c>
      <c r="AM34" s="181">
        <f t="shared" si="6"/>
        <v>4</v>
      </c>
      <c r="AN34" s="430"/>
      <c r="AO34" s="165">
        <v>9</v>
      </c>
      <c r="AP34" s="165">
        <v>2000.5714285714264</v>
      </c>
      <c r="AQ34" s="165">
        <v>222.28571428571405</v>
      </c>
      <c r="AR34" s="181">
        <f t="shared" si="7"/>
        <v>5</v>
      </c>
      <c r="AS34" s="430"/>
      <c r="AT34" s="165">
        <v>9</v>
      </c>
      <c r="AU34" s="165">
        <v>1958.8235294117621</v>
      </c>
      <c r="AV34" s="165">
        <v>217.64705882352914</v>
      </c>
      <c r="AW34" s="181">
        <f t="shared" si="8"/>
        <v>5</v>
      </c>
      <c r="AX34" s="430"/>
    </row>
    <row r="35" spans="2:50">
      <c r="B35" s="400"/>
      <c r="C35" s="181">
        <v>9</v>
      </c>
      <c r="D35" s="196" t="s">
        <v>253</v>
      </c>
      <c r="E35" s="165">
        <v>9</v>
      </c>
      <c r="F35" s="181">
        <v>2250</v>
      </c>
      <c r="G35" s="179">
        <v>250</v>
      </c>
      <c r="H35" s="413"/>
      <c r="I35" s="165">
        <f t="shared" si="9"/>
        <v>9</v>
      </c>
      <c r="J35" s="165">
        <f t="shared" si="10"/>
        <v>1983.7510526814171</v>
      </c>
      <c r="K35" s="179">
        <f t="shared" si="11"/>
        <v>220.4167836312686</v>
      </c>
      <c r="L35" s="413"/>
      <c r="M35" s="180">
        <f>RANK(K35, K$27:$K$41)</f>
        <v>4</v>
      </c>
      <c r="N35" s="401"/>
      <c r="O35" s="401"/>
      <c r="P35" s="165">
        <v>9</v>
      </c>
      <c r="Q35" s="165">
        <v>1975.6250000000005</v>
      </c>
      <c r="R35" s="165">
        <v>219.51388888888894</v>
      </c>
      <c r="S35" s="181">
        <f t="shared" si="2"/>
        <v>4</v>
      </c>
      <c r="T35" s="430"/>
      <c r="U35" s="165">
        <v>9</v>
      </c>
      <c r="V35" s="165">
        <v>1969.2631578947357</v>
      </c>
      <c r="W35" s="165">
        <v>218.80701754385953</v>
      </c>
      <c r="X35" s="181">
        <f t="shared" si="3"/>
        <v>5</v>
      </c>
      <c r="Y35" s="430"/>
      <c r="Z35" s="165">
        <v>9</v>
      </c>
      <c r="AA35" s="165">
        <v>1977.9775280898857</v>
      </c>
      <c r="AB35" s="165">
        <v>219.77528089887619</v>
      </c>
      <c r="AC35" s="181">
        <f t="shared" si="4"/>
        <v>4</v>
      </c>
      <c r="AD35" s="430"/>
      <c r="AE35" s="165">
        <v>9</v>
      </c>
      <c r="AF35" s="165">
        <v>1979.9999999999986</v>
      </c>
      <c r="AG35" s="165">
        <v>219.99999999999986</v>
      </c>
      <c r="AH35" s="181">
        <f t="shared" si="5"/>
        <v>4</v>
      </c>
      <c r="AI35" s="430"/>
      <c r="AJ35" s="165">
        <v>9</v>
      </c>
      <c r="AK35" s="165">
        <v>1947.9999999999993</v>
      </c>
      <c r="AL35" s="165">
        <v>216.44444444444437</v>
      </c>
      <c r="AM35" s="181">
        <f t="shared" si="6"/>
        <v>5</v>
      </c>
      <c r="AN35" s="430"/>
      <c r="AO35" s="165">
        <v>9</v>
      </c>
      <c r="AP35" s="165">
        <v>2031.1363636363635</v>
      </c>
      <c r="AQ35" s="165">
        <v>225.68181818181816</v>
      </c>
      <c r="AR35" s="181">
        <f t="shared" si="7"/>
        <v>4</v>
      </c>
      <c r="AS35" s="430"/>
      <c r="AT35" s="165">
        <v>9</v>
      </c>
      <c r="AU35" s="165">
        <v>2004.2553191489367</v>
      </c>
      <c r="AV35" s="165">
        <v>222.69503546099295</v>
      </c>
      <c r="AW35" s="181">
        <f t="shared" si="8"/>
        <v>4</v>
      </c>
      <c r="AX35" s="430"/>
    </row>
    <row r="36" spans="2:50">
      <c r="B36" s="400"/>
      <c r="C36" s="181">
        <v>10</v>
      </c>
      <c r="D36" s="196" t="s">
        <v>254</v>
      </c>
      <c r="E36" s="165">
        <v>18</v>
      </c>
      <c r="F36" s="181">
        <v>1250</v>
      </c>
      <c r="G36" s="179">
        <v>69.444444444444443</v>
      </c>
      <c r="H36" s="413"/>
      <c r="I36" s="165">
        <f t="shared" si="9"/>
        <v>13</v>
      </c>
      <c r="J36" s="165">
        <f t="shared" si="10"/>
        <v>1240.667627050821</v>
      </c>
      <c r="K36" s="179">
        <f t="shared" si="11"/>
        <v>95.435971311601605</v>
      </c>
      <c r="L36" s="413"/>
      <c r="M36" s="180">
        <f>RANK(K36, K$27:$K$41)</f>
        <v>10</v>
      </c>
      <c r="N36" s="401"/>
      <c r="O36" s="401"/>
      <c r="P36" s="165">
        <v>13</v>
      </c>
      <c r="Q36" s="165">
        <v>1249.3333333333335</v>
      </c>
      <c r="R36" s="165">
        <v>96.102564102564116</v>
      </c>
      <c r="S36" s="181">
        <f t="shared" si="2"/>
        <v>10</v>
      </c>
      <c r="T36" s="430"/>
      <c r="U36" s="165">
        <v>13</v>
      </c>
      <c r="V36" s="165">
        <v>1227.3333333333333</v>
      </c>
      <c r="W36" s="165">
        <v>94.410256410256409</v>
      </c>
      <c r="X36" s="181">
        <f t="shared" si="3"/>
        <v>10</v>
      </c>
      <c r="Y36" s="430"/>
      <c r="Z36" s="165">
        <v>13</v>
      </c>
      <c r="AA36" s="165">
        <v>1263.2000000000005</v>
      </c>
      <c r="AB36" s="165">
        <v>97.169230769230808</v>
      </c>
      <c r="AC36" s="181">
        <f t="shared" si="4"/>
        <v>10</v>
      </c>
      <c r="AD36" s="430"/>
      <c r="AE36" s="165">
        <v>13</v>
      </c>
      <c r="AF36" s="165">
        <v>1207.7142857142865</v>
      </c>
      <c r="AG36" s="165">
        <v>92.901098901098962</v>
      </c>
      <c r="AH36" s="181">
        <f t="shared" si="5"/>
        <v>10</v>
      </c>
      <c r="AI36" s="430"/>
      <c r="AJ36" s="165">
        <v>13</v>
      </c>
      <c r="AK36" s="165">
        <v>1248.8571428571436</v>
      </c>
      <c r="AL36" s="165">
        <v>96.065934065934115</v>
      </c>
      <c r="AM36" s="181">
        <f t="shared" si="6"/>
        <v>10</v>
      </c>
      <c r="AN36" s="430"/>
      <c r="AO36" s="165">
        <v>13</v>
      </c>
      <c r="AP36" s="165">
        <v>1253.6470588235302</v>
      </c>
      <c r="AQ36" s="165">
        <v>96.434389140271549</v>
      </c>
      <c r="AR36" s="181">
        <f t="shared" si="7"/>
        <v>10</v>
      </c>
      <c r="AS36" s="430"/>
      <c r="AT36" s="165">
        <v>13</v>
      </c>
      <c r="AU36" s="165">
        <v>1234.5882352941185</v>
      </c>
      <c r="AV36" s="165">
        <v>94.968325791855264</v>
      </c>
      <c r="AW36" s="181">
        <f t="shared" si="8"/>
        <v>10</v>
      </c>
      <c r="AX36" s="43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65"/>
      <c r="Q37" s="165"/>
      <c r="R37" s="165"/>
      <c r="S37" s="181" t="e">
        <f t="shared" si="2"/>
        <v>#N/A</v>
      </c>
      <c r="T37" s="430"/>
      <c r="U37" s="165"/>
      <c r="V37" s="165"/>
      <c r="W37" s="165"/>
      <c r="X37" s="181" t="e">
        <f t="shared" si="3"/>
        <v>#N/A</v>
      </c>
      <c r="Y37" s="430"/>
      <c r="Z37" s="165"/>
      <c r="AA37" s="165"/>
      <c r="AB37" s="165"/>
      <c r="AC37" s="181" t="e">
        <f t="shared" si="4"/>
        <v>#N/A</v>
      </c>
      <c r="AD37" s="430"/>
      <c r="AE37" s="165"/>
      <c r="AF37" s="165"/>
      <c r="AG37" s="165"/>
      <c r="AH37" s="181" t="e">
        <f t="shared" si="5"/>
        <v>#N/A</v>
      </c>
      <c r="AI37" s="430"/>
      <c r="AJ37" s="165"/>
      <c r="AK37" s="165"/>
      <c r="AL37" s="165"/>
      <c r="AM37" s="181" t="e">
        <f t="shared" si="6"/>
        <v>#N/A</v>
      </c>
      <c r="AN37" s="430"/>
      <c r="AO37" s="165"/>
      <c r="AP37" s="165"/>
      <c r="AQ37" s="165"/>
      <c r="AR37" s="181" t="e">
        <f t="shared" si="7"/>
        <v>#N/A</v>
      </c>
      <c r="AS37" s="430"/>
      <c r="AT37" s="165"/>
      <c r="AU37" s="165"/>
      <c r="AV37" s="179"/>
      <c r="AW37" s="181" t="e">
        <f t="shared" si="8"/>
        <v>#N/A</v>
      </c>
      <c r="AX37" s="43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65"/>
      <c r="Q38" s="165"/>
      <c r="R38" s="165"/>
      <c r="S38" s="181" t="e">
        <f t="shared" si="2"/>
        <v>#N/A</v>
      </c>
      <c r="T38" s="430"/>
      <c r="U38" s="165"/>
      <c r="V38" s="165"/>
      <c r="W38" s="165"/>
      <c r="X38" s="181" t="e">
        <f t="shared" si="3"/>
        <v>#N/A</v>
      </c>
      <c r="Y38" s="430"/>
      <c r="Z38" s="165"/>
      <c r="AA38" s="165"/>
      <c r="AB38" s="165"/>
      <c r="AC38" s="181" t="e">
        <f t="shared" si="4"/>
        <v>#N/A</v>
      </c>
      <c r="AD38" s="430"/>
      <c r="AE38" s="165"/>
      <c r="AF38" s="165"/>
      <c r="AG38" s="165"/>
      <c r="AH38" s="181" t="e">
        <f t="shared" si="5"/>
        <v>#N/A</v>
      </c>
      <c r="AI38" s="430"/>
      <c r="AJ38" s="165"/>
      <c r="AK38" s="165"/>
      <c r="AL38" s="165"/>
      <c r="AM38" s="181" t="e">
        <f t="shared" si="6"/>
        <v>#N/A</v>
      </c>
      <c r="AN38" s="430"/>
      <c r="AO38" s="165"/>
      <c r="AP38" s="165"/>
      <c r="AQ38" s="165"/>
      <c r="AR38" s="181" t="e">
        <f t="shared" si="7"/>
        <v>#N/A</v>
      </c>
      <c r="AS38" s="430"/>
      <c r="AT38" s="165"/>
      <c r="AU38" s="165"/>
      <c r="AV38" s="179"/>
      <c r="AW38" s="181" t="e">
        <f t="shared" si="8"/>
        <v>#N/A</v>
      </c>
      <c r="AX38" s="43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65"/>
      <c r="Q39" s="165"/>
      <c r="R39" s="165"/>
      <c r="S39" s="181" t="e">
        <f t="shared" si="2"/>
        <v>#N/A</v>
      </c>
      <c r="T39" s="430"/>
      <c r="U39" s="165"/>
      <c r="V39" s="165"/>
      <c r="W39" s="165"/>
      <c r="X39" s="181" t="e">
        <f t="shared" si="3"/>
        <v>#N/A</v>
      </c>
      <c r="Y39" s="430"/>
      <c r="Z39" s="165"/>
      <c r="AA39" s="165"/>
      <c r="AB39" s="165"/>
      <c r="AC39" s="181" t="e">
        <f t="shared" si="4"/>
        <v>#N/A</v>
      </c>
      <c r="AD39" s="430"/>
      <c r="AE39" s="165"/>
      <c r="AF39" s="165"/>
      <c r="AG39" s="165"/>
      <c r="AH39" s="181" t="e">
        <f t="shared" si="5"/>
        <v>#N/A</v>
      </c>
      <c r="AI39" s="430"/>
      <c r="AJ39" s="165"/>
      <c r="AK39" s="165"/>
      <c r="AL39" s="165"/>
      <c r="AM39" s="181" t="e">
        <f t="shared" si="6"/>
        <v>#N/A</v>
      </c>
      <c r="AN39" s="430"/>
      <c r="AO39" s="165"/>
      <c r="AP39" s="165"/>
      <c r="AQ39" s="165"/>
      <c r="AR39" s="181" t="e">
        <f t="shared" si="7"/>
        <v>#N/A</v>
      </c>
      <c r="AS39" s="430"/>
      <c r="AT39" s="165"/>
      <c r="AU39" s="165"/>
      <c r="AV39" s="179"/>
      <c r="AW39" s="181" t="e">
        <f t="shared" si="8"/>
        <v>#N/A</v>
      </c>
      <c r="AX39" s="43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65"/>
      <c r="Q40" s="165"/>
      <c r="R40" s="165"/>
      <c r="S40" s="181" t="e">
        <f t="shared" si="2"/>
        <v>#N/A</v>
      </c>
      <c r="T40" s="430"/>
      <c r="U40" s="165"/>
      <c r="V40" s="165"/>
      <c r="W40" s="165"/>
      <c r="X40" s="181" t="e">
        <f t="shared" si="3"/>
        <v>#N/A</v>
      </c>
      <c r="Y40" s="430"/>
      <c r="Z40" s="165"/>
      <c r="AA40" s="165"/>
      <c r="AB40" s="165"/>
      <c r="AC40" s="181" t="e">
        <f t="shared" si="4"/>
        <v>#N/A</v>
      </c>
      <c r="AD40" s="430"/>
      <c r="AE40" s="165"/>
      <c r="AF40" s="165"/>
      <c r="AG40" s="165"/>
      <c r="AH40" s="181" t="e">
        <f t="shared" si="5"/>
        <v>#N/A</v>
      </c>
      <c r="AI40" s="430"/>
      <c r="AJ40" s="165"/>
      <c r="AK40" s="165"/>
      <c r="AL40" s="165"/>
      <c r="AM40" s="181" t="e">
        <f t="shared" si="6"/>
        <v>#N/A</v>
      </c>
      <c r="AN40" s="430"/>
      <c r="AO40" s="165"/>
      <c r="AP40" s="165"/>
      <c r="AQ40" s="165"/>
      <c r="AR40" s="181" t="e">
        <f t="shared" si="7"/>
        <v>#N/A</v>
      </c>
      <c r="AS40" s="430"/>
      <c r="AT40" s="165"/>
      <c r="AU40" s="165"/>
      <c r="AV40" s="179"/>
      <c r="AW40" s="181" t="e">
        <f t="shared" si="8"/>
        <v>#N/A</v>
      </c>
      <c r="AX40" s="43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65"/>
      <c r="Q41" s="165"/>
      <c r="R41" s="165"/>
      <c r="S41" s="181" t="e">
        <f t="shared" si="2"/>
        <v>#N/A</v>
      </c>
      <c r="T41" s="430"/>
      <c r="U41" s="165"/>
      <c r="V41" s="165"/>
      <c r="W41" s="165"/>
      <c r="X41" s="181" t="e">
        <f t="shared" si="3"/>
        <v>#N/A</v>
      </c>
      <c r="Y41" s="430"/>
      <c r="Z41" s="165"/>
      <c r="AA41" s="165"/>
      <c r="AB41" s="165"/>
      <c r="AC41" s="181" t="e">
        <f t="shared" si="4"/>
        <v>#N/A</v>
      </c>
      <c r="AD41" s="430"/>
      <c r="AE41" s="165"/>
      <c r="AF41" s="165"/>
      <c r="AG41" s="165"/>
      <c r="AH41" s="181" t="e">
        <f t="shared" si="5"/>
        <v>#N/A</v>
      </c>
      <c r="AI41" s="430"/>
      <c r="AJ41" s="165"/>
      <c r="AK41" s="165"/>
      <c r="AL41" s="165"/>
      <c r="AM41" s="181" t="e">
        <f t="shared" si="6"/>
        <v>#N/A</v>
      </c>
      <c r="AN41" s="430"/>
      <c r="AO41" s="165"/>
      <c r="AP41" s="165"/>
      <c r="AQ41" s="165"/>
      <c r="AR41" s="181" t="e">
        <f t="shared" si="7"/>
        <v>#N/A</v>
      </c>
      <c r="AS41" s="430"/>
      <c r="AT41" s="165"/>
      <c r="AU41" s="165"/>
      <c r="AV41" s="179"/>
      <c r="AW41" s="181" t="e">
        <f t="shared" si="8"/>
        <v>#N/A</v>
      </c>
      <c r="AX41" s="430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29" t="s">
        <v>244</v>
      </c>
      <c r="C47" s="181">
        <v>1</v>
      </c>
      <c r="D47" s="196" t="s">
        <v>245</v>
      </c>
      <c r="E47" s="165">
        <v>4</v>
      </c>
      <c r="F47" s="181">
        <v>2000</v>
      </c>
      <c r="G47" s="179">
        <v>500</v>
      </c>
      <c r="H47" s="412">
        <f>AVERAGE(G47:G61)</f>
        <v>277.71122766122761</v>
      </c>
      <c r="I47" s="165">
        <f>AVERAGE(P47,U47,Z47,AE47,AJ47,AO47,AT47)</f>
        <v>5</v>
      </c>
      <c r="J47" s="165">
        <f>AVERAGE(Q47,V47,AA47,AF47,AK47,AP47,AU47)</f>
        <v>2131.1292517006773</v>
      </c>
      <c r="K47" s="179">
        <f>AVERAGE(R47,W47,AB47,AG47,AL47,AQ47,AV47)</f>
        <v>426.22585034013554</v>
      </c>
      <c r="L47" s="412">
        <f>IFERROR(AVERAGE(K47:K61),"-")</f>
        <v>247.44189400539238</v>
      </c>
      <c r="M47" s="180">
        <f>RANK(K47, K$47:$K$61)</f>
        <v>2</v>
      </c>
      <c r="N47" s="401"/>
      <c r="O47" s="401"/>
      <c r="P47" s="165">
        <v>5</v>
      </c>
      <c r="Q47" s="165">
        <v>2152.4999999999968</v>
      </c>
      <c r="R47" s="165">
        <v>430.49999999999937</v>
      </c>
      <c r="S47" s="181">
        <f>RANK(R47, R$47:R$61)</f>
        <v>1</v>
      </c>
      <c r="T47" s="430">
        <f>AVERAGE(R47:R61)</f>
        <v>250.73488156537991</v>
      </c>
      <c r="U47" s="165">
        <v>5</v>
      </c>
      <c r="V47" s="165">
        <v>2083.3333333333317</v>
      </c>
      <c r="W47" s="165">
        <v>416.66666666666634</v>
      </c>
      <c r="X47" s="181">
        <f>RANK(W47, W$47:W$61)</f>
        <v>3</v>
      </c>
      <c r="Y47" s="430">
        <f>AVERAGE(W47:W61)</f>
        <v>248.48872653694715</v>
      </c>
      <c r="Z47" s="165">
        <v>5</v>
      </c>
      <c r="AA47" s="165">
        <v>2167.4999999999968</v>
      </c>
      <c r="AB47" s="165">
        <v>433.49999999999937</v>
      </c>
      <c r="AC47" s="181">
        <f>RANK(AB47, AB$47:AB$61)</f>
        <v>2</v>
      </c>
      <c r="AD47" s="430">
        <f>AVERAGE(AB47:AB61)</f>
        <v>250.46836210081869</v>
      </c>
      <c r="AE47" s="165">
        <v>5</v>
      </c>
      <c r="AF47" s="165">
        <v>2168.5714285714239</v>
      </c>
      <c r="AG47" s="165">
        <v>433.71428571428476</v>
      </c>
      <c r="AH47" s="181">
        <f>RANK(AG47, AG$47:AG$61)</f>
        <v>1</v>
      </c>
      <c r="AI47" s="430">
        <f>AVERAGE(AG47:AG61)</f>
        <v>246.8015932924186</v>
      </c>
      <c r="AJ47" s="165">
        <v>5</v>
      </c>
      <c r="AK47" s="165">
        <v>2115.9999999999959</v>
      </c>
      <c r="AL47" s="165">
        <v>423.19999999999919</v>
      </c>
      <c r="AM47" s="181">
        <f>RANK(AL47, AL$47:AL$61)</f>
        <v>3</v>
      </c>
      <c r="AN47" s="430">
        <f>AVERAGE(AL47:AL61)</f>
        <v>245.05957851878802</v>
      </c>
      <c r="AO47" s="165">
        <v>5</v>
      </c>
      <c r="AP47" s="165">
        <v>2123.3333333333317</v>
      </c>
      <c r="AQ47" s="165">
        <v>424.66666666666634</v>
      </c>
      <c r="AR47" s="181">
        <f>RANK(AQ47, AQ$47:AQ$61)</f>
        <v>3</v>
      </c>
      <c r="AS47" s="430">
        <f>AVERAGE(AQ47:AQ61)</f>
        <v>245.19190534317099</v>
      </c>
      <c r="AT47" s="165">
        <v>5</v>
      </c>
      <c r="AU47" s="165">
        <v>2106.6666666666652</v>
      </c>
      <c r="AV47" s="165">
        <v>421.33333333333303</v>
      </c>
      <c r="AW47" s="181">
        <f>RANK(AV47, AV$47:AV$61)</f>
        <v>2</v>
      </c>
      <c r="AX47" s="430">
        <f>AVERAGE(AV47:AV61)</f>
        <v>245.34821068022325</v>
      </c>
    </row>
    <row r="48" spans="2:50">
      <c r="B48" s="400"/>
      <c r="C48" s="181">
        <v>2</v>
      </c>
      <c r="D48" s="196" t="s">
        <v>246</v>
      </c>
      <c r="E48" s="165">
        <v>4</v>
      </c>
      <c r="F48" s="181">
        <v>2000</v>
      </c>
      <c r="G48" s="179">
        <v>500</v>
      </c>
      <c r="H48" s="413"/>
      <c r="I48" s="165">
        <f t="shared" ref="I48:I56" si="12">AVERAGE(P48,U48,Z48,AE48,AJ48,AO48,AT48)</f>
        <v>5</v>
      </c>
      <c r="J48" s="165">
        <f t="shared" ref="J48:J56" si="13">AVERAGE(Q48,V48,AA48,AF48,AK48,AP48,AU48)</f>
        <v>2128.8800520208051</v>
      </c>
      <c r="K48" s="179">
        <f t="shared" ref="K48:K56" si="14">AVERAGE(R48,W48,AB48,AG48,AL48,AQ48,AV48)</f>
        <v>425.77601040416101</v>
      </c>
      <c r="L48" s="413"/>
      <c r="M48" s="180">
        <f>RANK(K48, K$47:$K$61)</f>
        <v>3</v>
      </c>
      <c r="N48" s="401"/>
      <c r="O48" s="401"/>
      <c r="P48" s="165">
        <v>5</v>
      </c>
      <c r="Q48" s="165">
        <v>2117.6470588235265</v>
      </c>
      <c r="R48" s="165">
        <v>423.52941176470529</v>
      </c>
      <c r="S48" s="181">
        <f t="shared" ref="S48:S61" si="15">RANK(R48, R$47:R$61)</f>
        <v>3</v>
      </c>
      <c r="T48" s="430"/>
      <c r="U48" s="165">
        <v>5</v>
      </c>
      <c r="V48" s="165">
        <v>2121.1764705882329</v>
      </c>
      <c r="W48" s="165">
        <v>424.23529411764656</v>
      </c>
      <c r="X48" s="181">
        <f t="shared" ref="X48:X61" si="16">RANK(W48, W$47:W$61)</f>
        <v>2</v>
      </c>
      <c r="Y48" s="430"/>
      <c r="Z48" s="165">
        <v>5</v>
      </c>
      <c r="AA48" s="165">
        <v>2156.2499999999968</v>
      </c>
      <c r="AB48" s="165">
        <v>431.24999999999937</v>
      </c>
      <c r="AC48" s="181">
        <f t="shared" ref="AC48:AC61" si="17">RANK(AB48, AB$47:AB$61)</f>
        <v>3</v>
      </c>
      <c r="AD48" s="430"/>
      <c r="AE48" s="165">
        <v>5</v>
      </c>
      <c r="AF48" s="165">
        <v>2125.7142857142812</v>
      </c>
      <c r="AG48" s="165">
        <v>425.14285714285626</v>
      </c>
      <c r="AH48" s="181">
        <f t="shared" ref="AH48:AH61" si="18">RANK(AG48, AG$47:AG$61)</f>
        <v>2</v>
      </c>
      <c r="AI48" s="430"/>
      <c r="AJ48" s="165">
        <v>5</v>
      </c>
      <c r="AK48" s="165">
        <v>2159.9999999999964</v>
      </c>
      <c r="AL48" s="165">
        <v>431.99999999999926</v>
      </c>
      <c r="AM48" s="181">
        <f t="shared" ref="AM48:AM61" si="19">RANK(AL48, AL$47:AL$61)</f>
        <v>1</v>
      </c>
      <c r="AN48" s="430"/>
      <c r="AO48" s="165">
        <v>5</v>
      </c>
      <c r="AP48" s="165">
        <v>2124.7058823529383</v>
      </c>
      <c r="AQ48" s="165">
        <v>424.94117647058766</v>
      </c>
      <c r="AR48" s="181">
        <f t="shared" ref="AR48:AR61" si="20">RANK(AQ48, AQ$47:AQ$61)</f>
        <v>2</v>
      </c>
      <c r="AS48" s="430"/>
      <c r="AT48" s="165">
        <v>5</v>
      </c>
      <c r="AU48" s="165">
        <v>2096.6666666666647</v>
      </c>
      <c r="AV48" s="165">
        <v>419.33333333333292</v>
      </c>
      <c r="AW48" s="181">
        <f t="shared" ref="AW48:AW61" si="21">RANK(AV48, AV$47:AV$61)</f>
        <v>3</v>
      </c>
      <c r="AX48" s="430"/>
    </row>
    <row r="49" spans="2:50">
      <c r="B49" s="400"/>
      <c r="C49" s="181">
        <v>3</v>
      </c>
      <c r="D49" s="196" t="s">
        <v>247</v>
      </c>
      <c r="E49" s="165">
        <v>4</v>
      </c>
      <c r="F49" s="181">
        <v>2000</v>
      </c>
      <c r="G49" s="179">
        <v>500</v>
      </c>
      <c r="H49" s="413"/>
      <c r="I49" s="165">
        <f t="shared" si="12"/>
        <v>5</v>
      </c>
      <c r="J49" s="165">
        <f t="shared" si="13"/>
        <v>2143.1127674258119</v>
      </c>
      <c r="K49" s="179">
        <f t="shared" si="14"/>
        <v>428.62255348516237</v>
      </c>
      <c r="L49" s="413"/>
      <c r="M49" s="180">
        <f>RANK(K49, K$47:$K$61)</f>
        <v>1</v>
      </c>
      <c r="N49" s="401"/>
      <c r="O49" s="401"/>
      <c r="P49" s="165">
        <v>5</v>
      </c>
      <c r="Q49" s="165">
        <v>2131.1111111111122</v>
      </c>
      <c r="R49" s="165">
        <v>426.22222222222246</v>
      </c>
      <c r="S49" s="181">
        <f t="shared" si="15"/>
        <v>2</v>
      </c>
      <c r="T49" s="430"/>
      <c r="U49" s="165">
        <v>5</v>
      </c>
      <c r="V49" s="165">
        <v>2130.0000000000014</v>
      </c>
      <c r="W49" s="165">
        <v>426.00000000000028</v>
      </c>
      <c r="X49" s="181">
        <f t="shared" si="16"/>
        <v>1</v>
      </c>
      <c r="Y49" s="430"/>
      <c r="Z49" s="165">
        <v>5</v>
      </c>
      <c r="AA49" s="165">
        <v>2193.6000000000004</v>
      </c>
      <c r="AB49" s="165">
        <v>438.72000000000008</v>
      </c>
      <c r="AC49" s="181">
        <f t="shared" si="17"/>
        <v>1</v>
      </c>
      <c r="AD49" s="430"/>
      <c r="AE49" s="165">
        <v>5</v>
      </c>
      <c r="AF49" s="165">
        <v>2123.478260869565</v>
      </c>
      <c r="AG49" s="165">
        <v>424.695652173913</v>
      </c>
      <c r="AH49" s="181">
        <f t="shared" si="18"/>
        <v>3</v>
      </c>
      <c r="AI49" s="430"/>
      <c r="AJ49" s="165">
        <v>5</v>
      </c>
      <c r="AK49" s="165">
        <v>2133.6000000000004</v>
      </c>
      <c r="AL49" s="165">
        <v>426.72000000000008</v>
      </c>
      <c r="AM49" s="181">
        <f t="shared" si="19"/>
        <v>2</v>
      </c>
      <c r="AN49" s="430"/>
      <c r="AO49" s="165">
        <v>5</v>
      </c>
      <c r="AP49" s="165">
        <v>2140.7142857142876</v>
      </c>
      <c r="AQ49" s="165">
        <v>428.14285714285751</v>
      </c>
      <c r="AR49" s="181">
        <f t="shared" si="20"/>
        <v>1</v>
      </c>
      <c r="AS49" s="430"/>
      <c r="AT49" s="165">
        <v>5</v>
      </c>
      <c r="AU49" s="165">
        <v>2149.285714285716</v>
      </c>
      <c r="AV49" s="165">
        <v>429.85714285714323</v>
      </c>
      <c r="AW49" s="181">
        <f t="shared" si="21"/>
        <v>1</v>
      </c>
      <c r="AX49" s="430"/>
    </row>
    <row r="50" spans="2:50">
      <c r="B50" s="400"/>
      <c r="C50" s="181">
        <v>4</v>
      </c>
      <c r="D50" s="196" t="s">
        <v>248</v>
      </c>
      <c r="E50" s="165">
        <v>12</v>
      </c>
      <c r="F50" s="181">
        <v>2250</v>
      </c>
      <c r="G50" s="179">
        <v>187.5</v>
      </c>
      <c r="H50" s="413"/>
      <c r="I50" s="165">
        <f t="shared" si="12"/>
        <v>12</v>
      </c>
      <c r="J50" s="165">
        <f t="shared" si="13"/>
        <v>1973.1405871662571</v>
      </c>
      <c r="K50" s="179">
        <f t="shared" si="14"/>
        <v>164.42838226385473</v>
      </c>
      <c r="L50" s="413"/>
      <c r="M50" s="180">
        <f>RANK(K50, K$47:$K$61)</f>
        <v>8</v>
      </c>
      <c r="N50" s="401"/>
      <c r="O50" s="401"/>
      <c r="P50" s="165">
        <v>12</v>
      </c>
      <c r="Q50" s="165">
        <v>1954.5454545454547</v>
      </c>
      <c r="R50" s="165">
        <v>162.8787878787879</v>
      </c>
      <c r="S50" s="181">
        <f t="shared" si="15"/>
        <v>8</v>
      </c>
      <c r="T50" s="430"/>
      <c r="U50" s="165">
        <v>12</v>
      </c>
      <c r="V50" s="165">
        <v>1987.1641791044776</v>
      </c>
      <c r="W50" s="165">
        <v>165.59701492537314</v>
      </c>
      <c r="X50" s="181">
        <f t="shared" si="16"/>
        <v>9</v>
      </c>
      <c r="Y50" s="430"/>
      <c r="Z50" s="165">
        <v>12</v>
      </c>
      <c r="AA50" s="165">
        <v>2003.2258064516136</v>
      </c>
      <c r="AB50" s="165">
        <v>166.9354838709678</v>
      </c>
      <c r="AC50" s="181">
        <f t="shared" si="17"/>
        <v>8</v>
      </c>
      <c r="AD50" s="430"/>
      <c r="AE50" s="165">
        <v>12</v>
      </c>
      <c r="AF50" s="165">
        <v>1914.7368421052631</v>
      </c>
      <c r="AG50" s="165">
        <v>159.56140350877192</v>
      </c>
      <c r="AH50" s="181">
        <f t="shared" si="18"/>
        <v>9</v>
      </c>
      <c r="AI50" s="430"/>
      <c r="AJ50" s="165">
        <v>12</v>
      </c>
      <c r="AK50" s="165">
        <v>1960.6451612903231</v>
      </c>
      <c r="AL50" s="165">
        <v>163.38709677419359</v>
      </c>
      <c r="AM50" s="181">
        <f t="shared" si="19"/>
        <v>8</v>
      </c>
      <c r="AN50" s="430"/>
      <c r="AO50" s="165">
        <v>12</v>
      </c>
      <c r="AP50" s="165">
        <v>1987.4999999999991</v>
      </c>
      <c r="AQ50" s="165">
        <v>165.62499999999991</v>
      </c>
      <c r="AR50" s="181">
        <f t="shared" si="20"/>
        <v>8</v>
      </c>
      <c r="AS50" s="430"/>
      <c r="AT50" s="165">
        <v>12</v>
      </c>
      <c r="AU50" s="165">
        <v>2004.1666666666658</v>
      </c>
      <c r="AV50" s="165">
        <v>167.01388888888883</v>
      </c>
      <c r="AW50" s="181">
        <f t="shared" si="21"/>
        <v>8</v>
      </c>
      <c r="AX50" s="430"/>
    </row>
    <row r="51" spans="2:50">
      <c r="B51" s="400"/>
      <c r="C51" s="181">
        <v>5</v>
      </c>
      <c r="D51" s="196" t="s">
        <v>249</v>
      </c>
      <c r="E51" s="165">
        <v>11</v>
      </c>
      <c r="F51" s="181">
        <v>2118</v>
      </c>
      <c r="G51" s="179">
        <v>192.54545454545453</v>
      </c>
      <c r="H51" s="413"/>
      <c r="I51" s="165">
        <f t="shared" si="12"/>
        <v>11.714285714285714</v>
      </c>
      <c r="J51" s="165">
        <f t="shared" si="13"/>
        <v>2075.2770872777296</v>
      </c>
      <c r="K51" s="179">
        <f t="shared" si="14"/>
        <v>177.3553416887286</v>
      </c>
      <c r="L51" s="413"/>
      <c r="M51" s="180">
        <f>RANK(K51, K$47:$K$61)</f>
        <v>7</v>
      </c>
      <c r="N51" s="401"/>
      <c r="O51" s="401"/>
      <c r="P51" s="165">
        <v>11</v>
      </c>
      <c r="Q51" s="165">
        <v>2078.7272727272803</v>
      </c>
      <c r="R51" s="165">
        <v>188.97520661157094</v>
      </c>
      <c r="S51" s="181">
        <f t="shared" si="15"/>
        <v>6</v>
      </c>
      <c r="T51" s="430"/>
      <c r="U51" s="165">
        <v>11</v>
      </c>
      <c r="V51" s="165">
        <v>2001.2727272727343</v>
      </c>
      <c r="W51" s="165">
        <v>181.9338842975213</v>
      </c>
      <c r="X51" s="181">
        <f t="shared" si="16"/>
        <v>6</v>
      </c>
      <c r="Y51" s="430"/>
      <c r="Z51" s="165">
        <v>12</v>
      </c>
      <c r="AA51" s="165">
        <v>2120.6249999999995</v>
      </c>
      <c r="AB51" s="165">
        <v>176.71874999999997</v>
      </c>
      <c r="AC51" s="181">
        <f t="shared" si="17"/>
        <v>7</v>
      </c>
      <c r="AD51" s="430"/>
      <c r="AE51" s="165">
        <v>12</v>
      </c>
      <c r="AF51" s="165">
        <v>2039.3181818181824</v>
      </c>
      <c r="AG51" s="165">
        <v>169.94318181818187</v>
      </c>
      <c r="AH51" s="181">
        <f t="shared" si="18"/>
        <v>7</v>
      </c>
      <c r="AI51" s="430"/>
      <c r="AJ51" s="165">
        <v>12</v>
      </c>
      <c r="AK51" s="165">
        <v>2120.6666666666656</v>
      </c>
      <c r="AL51" s="165">
        <v>176.72222222222214</v>
      </c>
      <c r="AM51" s="181">
        <f t="shared" si="19"/>
        <v>7</v>
      </c>
      <c r="AN51" s="430"/>
      <c r="AO51" s="165">
        <v>12</v>
      </c>
      <c r="AP51" s="165">
        <v>2064.7368421052624</v>
      </c>
      <c r="AQ51" s="165">
        <v>172.06140350877186</v>
      </c>
      <c r="AR51" s="181">
        <f t="shared" si="20"/>
        <v>7</v>
      </c>
      <c r="AS51" s="430"/>
      <c r="AT51" s="165">
        <v>12</v>
      </c>
      <c r="AU51" s="165">
        <v>2101.5929203539813</v>
      </c>
      <c r="AV51" s="165">
        <v>175.13274336283177</v>
      </c>
      <c r="AW51" s="181">
        <f t="shared" si="21"/>
        <v>7</v>
      </c>
      <c r="AX51" s="430"/>
    </row>
    <row r="52" spans="2:50">
      <c r="B52" s="400"/>
      <c r="C52" s="181">
        <v>6</v>
      </c>
      <c r="D52" s="196" t="s">
        <v>250</v>
      </c>
      <c r="E52" s="165">
        <v>11</v>
      </c>
      <c r="F52" s="181">
        <v>2250</v>
      </c>
      <c r="G52" s="179">
        <v>204.54545454545453</v>
      </c>
      <c r="H52" s="413"/>
      <c r="I52" s="165">
        <f t="shared" si="12"/>
        <v>11</v>
      </c>
      <c r="J52" s="165">
        <f t="shared" si="13"/>
        <v>1969.3354980357333</v>
      </c>
      <c r="K52" s="179">
        <f t="shared" si="14"/>
        <v>179.03049982143034</v>
      </c>
      <c r="L52" s="413"/>
      <c r="M52" s="180">
        <f>RANK(K52, K$47:$K$61)</f>
        <v>6</v>
      </c>
      <c r="N52" s="401"/>
      <c r="O52" s="401"/>
      <c r="P52" s="165">
        <v>11</v>
      </c>
      <c r="Q52" s="165">
        <v>1938.7155963302748</v>
      </c>
      <c r="R52" s="165">
        <v>176.24687239366133</v>
      </c>
      <c r="S52" s="181">
        <f t="shared" si="15"/>
        <v>7</v>
      </c>
      <c r="T52" s="430"/>
      <c r="U52" s="165">
        <v>11</v>
      </c>
      <c r="V52" s="165">
        <v>1943.2075471698108</v>
      </c>
      <c r="W52" s="165">
        <v>176.65523156089191</v>
      </c>
      <c r="X52" s="181">
        <f t="shared" si="16"/>
        <v>7</v>
      </c>
      <c r="Y52" s="430"/>
      <c r="Z52" s="165">
        <v>11</v>
      </c>
      <c r="AA52" s="165">
        <v>1978.7755102040824</v>
      </c>
      <c r="AB52" s="165">
        <v>179.88868274582566</v>
      </c>
      <c r="AC52" s="181">
        <f t="shared" si="17"/>
        <v>6</v>
      </c>
      <c r="AD52" s="430"/>
      <c r="AE52" s="165">
        <v>11</v>
      </c>
      <c r="AF52" s="165">
        <v>2003.571428571428</v>
      </c>
      <c r="AG52" s="165">
        <v>182.14285714285708</v>
      </c>
      <c r="AH52" s="181">
        <f t="shared" si="18"/>
        <v>6</v>
      </c>
      <c r="AI52" s="430"/>
      <c r="AJ52" s="165">
        <v>11</v>
      </c>
      <c r="AK52" s="165">
        <v>1972.6666666666667</v>
      </c>
      <c r="AL52" s="165">
        <v>179.33333333333334</v>
      </c>
      <c r="AM52" s="181">
        <f t="shared" si="19"/>
        <v>6</v>
      </c>
      <c r="AN52" s="430"/>
      <c r="AO52" s="165">
        <v>11</v>
      </c>
      <c r="AP52" s="165">
        <v>1978.9380530973453</v>
      </c>
      <c r="AQ52" s="165">
        <v>179.90345937248594</v>
      </c>
      <c r="AR52" s="181">
        <f t="shared" si="20"/>
        <v>6</v>
      </c>
      <c r="AS52" s="430"/>
      <c r="AT52" s="165">
        <v>11</v>
      </c>
      <c r="AU52" s="165">
        <v>1969.4736842105265</v>
      </c>
      <c r="AV52" s="165">
        <v>179.04306220095694</v>
      </c>
      <c r="AW52" s="181">
        <f t="shared" si="21"/>
        <v>6</v>
      </c>
      <c r="AX52" s="430"/>
    </row>
    <row r="53" spans="2:50">
      <c r="B53" s="400"/>
      <c r="C53" s="181">
        <v>7</v>
      </c>
      <c r="D53" s="196" t="s">
        <v>251</v>
      </c>
      <c r="E53" s="165">
        <v>13</v>
      </c>
      <c r="F53" s="181">
        <v>2250</v>
      </c>
      <c r="G53" s="179">
        <v>173.07692307692307</v>
      </c>
      <c r="H53" s="413"/>
      <c r="I53" s="165">
        <f t="shared" si="12"/>
        <v>12</v>
      </c>
      <c r="J53" s="165">
        <f t="shared" si="13"/>
        <v>1970.8651532968438</v>
      </c>
      <c r="K53" s="179">
        <f t="shared" si="14"/>
        <v>164.23876277473701</v>
      </c>
      <c r="L53" s="413"/>
      <c r="M53" s="180">
        <f>RANK(K53, K$47:$K$61)</f>
        <v>9</v>
      </c>
      <c r="N53" s="401"/>
      <c r="O53" s="401"/>
      <c r="P53" s="165">
        <v>12</v>
      </c>
      <c r="Q53" s="165">
        <v>1954.1176470588246</v>
      </c>
      <c r="R53" s="165">
        <v>162.84313725490205</v>
      </c>
      <c r="S53" s="181">
        <f t="shared" si="15"/>
        <v>9</v>
      </c>
      <c r="T53" s="430"/>
      <c r="U53" s="165">
        <v>12</v>
      </c>
      <c r="V53" s="165">
        <v>2006.8085106382982</v>
      </c>
      <c r="W53" s="165">
        <v>167.23404255319153</v>
      </c>
      <c r="X53" s="181">
        <f t="shared" si="16"/>
        <v>8</v>
      </c>
      <c r="Y53" s="430"/>
      <c r="Z53" s="165">
        <v>12</v>
      </c>
      <c r="AA53" s="165">
        <v>1950</v>
      </c>
      <c r="AB53" s="165">
        <v>162.5</v>
      </c>
      <c r="AC53" s="181">
        <f t="shared" si="17"/>
        <v>9</v>
      </c>
      <c r="AD53" s="430"/>
      <c r="AE53" s="165">
        <v>12</v>
      </c>
      <c r="AF53" s="165">
        <v>1993.1707317073162</v>
      </c>
      <c r="AG53" s="165">
        <v>166.0975609756097</v>
      </c>
      <c r="AH53" s="181">
        <f t="shared" si="18"/>
        <v>8</v>
      </c>
      <c r="AI53" s="430"/>
      <c r="AJ53" s="165">
        <v>12</v>
      </c>
      <c r="AK53" s="165">
        <v>1917.1428571428564</v>
      </c>
      <c r="AL53" s="165">
        <v>159.7619047619047</v>
      </c>
      <c r="AM53" s="181">
        <f t="shared" si="19"/>
        <v>9</v>
      </c>
      <c r="AN53" s="430"/>
      <c r="AO53" s="165">
        <v>12</v>
      </c>
      <c r="AP53" s="165">
        <v>1974.0000000000007</v>
      </c>
      <c r="AQ53" s="165">
        <v>164.50000000000006</v>
      </c>
      <c r="AR53" s="181">
        <f t="shared" si="20"/>
        <v>9</v>
      </c>
      <c r="AS53" s="430"/>
      <c r="AT53" s="165">
        <v>12</v>
      </c>
      <c r="AU53" s="165">
        <v>2000.8163265306125</v>
      </c>
      <c r="AV53" s="165">
        <v>166.73469387755105</v>
      </c>
      <c r="AW53" s="181">
        <f t="shared" si="21"/>
        <v>9</v>
      </c>
      <c r="AX53" s="430"/>
    </row>
    <row r="54" spans="2:50">
      <c r="B54" s="400"/>
      <c r="C54" s="181">
        <v>8</v>
      </c>
      <c r="D54" s="196" t="s">
        <v>252</v>
      </c>
      <c r="E54" s="165">
        <v>10</v>
      </c>
      <c r="F54" s="181">
        <v>2250</v>
      </c>
      <c r="G54" s="179">
        <v>225</v>
      </c>
      <c r="H54" s="413"/>
      <c r="I54" s="165">
        <f t="shared" si="12"/>
        <v>9.7142857142857135</v>
      </c>
      <c r="J54" s="165">
        <f t="shared" si="13"/>
        <v>1962.8838535414161</v>
      </c>
      <c r="K54" s="179">
        <f t="shared" si="14"/>
        <v>202.48726490596235</v>
      </c>
      <c r="L54" s="413"/>
      <c r="M54" s="180">
        <f>RANK(K54, K$47:$K$61)</f>
        <v>5</v>
      </c>
      <c r="N54" s="401"/>
      <c r="O54" s="401"/>
      <c r="P54" s="165">
        <v>9</v>
      </c>
      <c r="Q54" s="165">
        <v>1976.4705882352919</v>
      </c>
      <c r="R54" s="165">
        <v>219.60784313725466</v>
      </c>
      <c r="S54" s="181">
        <f t="shared" si="15"/>
        <v>4</v>
      </c>
      <c r="T54" s="430"/>
      <c r="U54" s="165">
        <v>9</v>
      </c>
      <c r="V54" s="165">
        <v>1928.8235294117621</v>
      </c>
      <c r="W54" s="165">
        <v>214.31372549019579</v>
      </c>
      <c r="X54" s="181">
        <f t="shared" si="16"/>
        <v>5</v>
      </c>
      <c r="Y54" s="430"/>
      <c r="Z54" s="165">
        <v>10</v>
      </c>
      <c r="AA54" s="165">
        <v>2034.000000000002</v>
      </c>
      <c r="AB54" s="165">
        <v>203.4000000000002</v>
      </c>
      <c r="AC54" s="181">
        <f t="shared" si="17"/>
        <v>5</v>
      </c>
      <c r="AD54" s="430"/>
      <c r="AE54" s="165">
        <v>10</v>
      </c>
      <c r="AF54" s="165">
        <v>1912.0000000000018</v>
      </c>
      <c r="AG54" s="165">
        <v>191.20000000000019</v>
      </c>
      <c r="AH54" s="181">
        <f t="shared" si="18"/>
        <v>5</v>
      </c>
      <c r="AI54" s="430"/>
      <c r="AJ54" s="165">
        <v>10</v>
      </c>
      <c r="AK54" s="165">
        <v>1953.750000000002</v>
      </c>
      <c r="AL54" s="165">
        <v>195.3750000000002</v>
      </c>
      <c r="AM54" s="181">
        <f t="shared" si="19"/>
        <v>5</v>
      </c>
      <c r="AN54" s="430"/>
      <c r="AO54" s="165">
        <v>10</v>
      </c>
      <c r="AP54" s="165">
        <v>1949.9999999999982</v>
      </c>
      <c r="AQ54" s="165">
        <v>194.99999999999983</v>
      </c>
      <c r="AR54" s="181">
        <f t="shared" si="20"/>
        <v>5</v>
      </c>
      <c r="AS54" s="430"/>
      <c r="AT54" s="165">
        <v>10</v>
      </c>
      <c r="AU54" s="165">
        <v>1985.1428571428553</v>
      </c>
      <c r="AV54" s="165">
        <v>198.51428571428553</v>
      </c>
      <c r="AW54" s="181">
        <f t="shared" si="21"/>
        <v>5</v>
      </c>
      <c r="AX54" s="430"/>
    </row>
    <row r="55" spans="2:50">
      <c r="B55" s="400"/>
      <c r="C55" s="181">
        <v>9</v>
      </c>
      <c r="D55" s="196" t="s">
        <v>253</v>
      </c>
      <c r="E55" s="165">
        <v>10</v>
      </c>
      <c r="F55" s="181">
        <v>2250</v>
      </c>
      <c r="G55" s="179">
        <v>225</v>
      </c>
      <c r="H55" s="413"/>
      <c r="I55" s="165">
        <f t="shared" si="12"/>
        <v>9.4285714285714288</v>
      </c>
      <c r="J55" s="165">
        <f t="shared" si="13"/>
        <v>1986.0702190284389</v>
      </c>
      <c r="K55" s="179">
        <f t="shared" si="14"/>
        <v>211.17528568925951</v>
      </c>
      <c r="L55" s="413"/>
      <c r="M55" s="180">
        <f>RANK(K55, K$47:$K$61)</f>
        <v>4</v>
      </c>
      <c r="N55" s="401"/>
      <c r="O55" s="401"/>
      <c r="P55" s="165">
        <v>9</v>
      </c>
      <c r="Q55" s="165">
        <v>1962.061855670102</v>
      </c>
      <c r="R55" s="165">
        <v>218.00687285223356</v>
      </c>
      <c r="S55" s="181">
        <f t="shared" si="15"/>
        <v>5</v>
      </c>
      <c r="T55" s="430"/>
      <c r="U55" s="165">
        <v>9</v>
      </c>
      <c r="V55" s="165">
        <v>1968.1249999999989</v>
      </c>
      <c r="W55" s="165">
        <v>218.68055555555543</v>
      </c>
      <c r="X55" s="181">
        <f t="shared" si="16"/>
        <v>4</v>
      </c>
      <c r="Y55" s="430"/>
      <c r="Z55" s="165">
        <v>9</v>
      </c>
      <c r="AA55" s="165">
        <v>1976.5517241379325</v>
      </c>
      <c r="AB55" s="165">
        <v>219.61685823754806</v>
      </c>
      <c r="AC55" s="181">
        <f t="shared" si="17"/>
        <v>4</v>
      </c>
      <c r="AD55" s="430"/>
      <c r="AE55" s="165">
        <v>9</v>
      </c>
      <c r="AF55" s="165">
        <v>2011.2676056338009</v>
      </c>
      <c r="AG55" s="165">
        <v>223.47417840375567</v>
      </c>
      <c r="AH55" s="181">
        <f t="shared" si="18"/>
        <v>4</v>
      </c>
      <c r="AI55" s="430"/>
      <c r="AJ55" s="165">
        <v>10</v>
      </c>
      <c r="AK55" s="165">
        <v>1981.6216216216224</v>
      </c>
      <c r="AL55" s="165">
        <v>198.16216216216225</v>
      </c>
      <c r="AM55" s="181">
        <f t="shared" si="19"/>
        <v>4</v>
      </c>
      <c r="AN55" s="430"/>
      <c r="AO55" s="165">
        <v>10</v>
      </c>
      <c r="AP55" s="165">
        <v>2016.1290322580649</v>
      </c>
      <c r="AQ55" s="165">
        <v>201.61290322580649</v>
      </c>
      <c r="AR55" s="181">
        <f t="shared" si="20"/>
        <v>4</v>
      </c>
      <c r="AS55" s="430"/>
      <c r="AT55" s="165">
        <v>10</v>
      </c>
      <c r="AU55" s="165">
        <v>1986.7346938775515</v>
      </c>
      <c r="AV55" s="165">
        <v>198.67346938775515</v>
      </c>
      <c r="AW55" s="181">
        <f t="shared" si="21"/>
        <v>4</v>
      </c>
      <c r="AX55" s="430"/>
    </row>
    <row r="56" spans="2:50">
      <c r="B56" s="400"/>
      <c r="C56" s="181">
        <v>10</v>
      </c>
      <c r="D56" s="196" t="s">
        <v>254</v>
      </c>
      <c r="E56" s="165">
        <v>18</v>
      </c>
      <c r="F56" s="181">
        <v>1250</v>
      </c>
      <c r="G56" s="179">
        <v>69.444444444444443</v>
      </c>
      <c r="H56" s="413"/>
      <c r="I56" s="165">
        <f t="shared" si="12"/>
        <v>13</v>
      </c>
      <c r="J56" s="165">
        <f t="shared" si="13"/>
        <v>1236.0268528464021</v>
      </c>
      <c r="K56" s="179">
        <f t="shared" si="14"/>
        <v>95.078988680492458</v>
      </c>
      <c r="L56" s="413"/>
      <c r="M56" s="180">
        <f>RANK(K56, K$47:$K$61)</f>
        <v>10</v>
      </c>
      <c r="N56" s="401"/>
      <c r="O56" s="401"/>
      <c r="P56" s="165">
        <v>13</v>
      </c>
      <c r="Q56" s="165">
        <v>1281.0000000000007</v>
      </c>
      <c r="R56" s="165">
        <v>98.53846153846159</v>
      </c>
      <c r="S56" s="181">
        <f t="shared" si="15"/>
        <v>10</v>
      </c>
      <c r="T56" s="430"/>
      <c r="U56" s="165">
        <v>13</v>
      </c>
      <c r="V56" s="165">
        <v>1216.4210526315792</v>
      </c>
      <c r="W56" s="165">
        <v>93.57085020242917</v>
      </c>
      <c r="X56" s="181">
        <f t="shared" si="16"/>
        <v>10</v>
      </c>
      <c r="Y56" s="430"/>
      <c r="Z56" s="165">
        <v>13</v>
      </c>
      <c r="AA56" s="165">
        <v>1198</v>
      </c>
      <c r="AB56" s="165">
        <v>92.15384615384616</v>
      </c>
      <c r="AC56" s="181">
        <f t="shared" si="17"/>
        <v>10</v>
      </c>
      <c r="AD56" s="430"/>
      <c r="AE56" s="165">
        <v>13</v>
      </c>
      <c r="AF56" s="165">
        <v>1196.5714285714291</v>
      </c>
      <c r="AG56" s="165">
        <v>92.043956043956086</v>
      </c>
      <c r="AH56" s="181">
        <f t="shared" si="18"/>
        <v>10</v>
      </c>
      <c r="AI56" s="430"/>
      <c r="AJ56" s="165">
        <v>13</v>
      </c>
      <c r="AK56" s="165">
        <v>1247.142857142858</v>
      </c>
      <c r="AL56" s="165">
        <v>95.934065934065998</v>
      </c>
      <c r="AM56" s="181">
        <f t="shared" si="19"/>
        <v>10</v>
      </c>
      <c r="AN56" s="430"/>
      <c r="AO56" s="165">
        <v>13</v>
      </c>
      <c r="AP56" s="165">
        <v>1241.0526315789475</v>
      </c>
      <c r="AQ56" s="165">
        <v>95.465587044534431</v>
      </c>
      <c r="AR56" s="181">
        <f t="shared" si="20"/>
        <v>10</v>
      </c>
      <c r="AS56" s="430"/>
      <c r="AT56" s="165">
        <v>13</v>
      </c>
      <c r="AU56" s="165">
        <v>1272</v>
      </c>
      <c r="AV56" s="165">
        <v>97.84615384615384</v>
      </c>
      <c r="AW56" s="181">
        <f t="shared" si="21"/>
        <v>10</v>
      </c>
      <c r="AX56" s="43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65"/>
      <c r="Q57" s="165"/>
      <c r="R57" s="165"/>
      <c r="S57" s="181" t="e">
        <f t="shared" si="15"/>
        <v>#N/A</v>
      </c>
      <c r="T57" s="430"/>
      <c r="U57" s="165"/>
      <c r="V57" s="165"/>
      <c r="W57" s="165"/>
      <c r="X57" s="181" t="e">
        <f t="shared" si="16"/>
        <v>#N/A</v>
      </c>
      <c r="Y57" s="430"/>
      <c r="Z57" s="165"/>
      <c r="AA57" s="165"/>
      <c r="AB57" s="165"/>
      <c r="AC57" s="181" t="e">
        <f t="shared" si="17"/>
        <v>#N/A</v>
      </c>
      <c r="AD57" s="430"/>
      <c r="AE57" s="165"/>
      <c r="AF57" s="165"/>
      <c r="AG57" s="165"/>
      <c r="AH57" s="181" t="e">
        <f t="shared" si="18"/>
        <v>#N/A</v>
      </c>
      <c r="AI57" s="430"/>
      <c r="AJ57" s="165"/>
      <c r="AK57" s="165"/>
      <c r="AL57" s="165"/>
      <c r="AM57" s="181" t="e">
        <f t="shared" si="19"/>
        <v>#N/A</v>
      </c>
      <c r="AN57" s="430"/>
      <c r="AO57" s="165"/>
      <c r="AP57" s="165"/>
      <c r="AQ57" s="165"/>
      <c r="AR57" s="181" t="e">
        <f t="shared" si="20"/>
        <v>#N/A</v>
      </c>
      <c r="AS57" s="430"/>
      <c r="AT57" s="165"/>
      <c r="AU57" s="165"/>
      <c r="AV57" s="165"/>
      <c r="AW57" s="181" t="e">
        <f t="shared" si="21"/>
        <v>#N/A</v>
      </c>
      <c r="AX57" s="43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65"/>
      <c r="Q58" s="165"/>
      <c r="R58" s="165"/>
      <c r="S58" s="181" t="e">
        <f t="shared" si="15"/>
        <v>#N/A</v>
      </c>
      <c r="T58" s="430"/>
      <c r="U58" s="165"/>
      <c r="V58" s="165"/>
      <c r="W58" s="165"/>
      <c r="X58" s="181" t="e">
        <f t="shared" si="16"/>
        <v>#N/A</v>
      </c>
      <c r="Y58" s="430"/>
      <c r="Z58" s="165"/>
      <c r="AA58" s="165"/>
      <c r="AB58" s="165"/>
      <c r="AC58" s="181" t="e">
        <f t="shared" si="17"/>
        <v>#N/A</v>
      </c>
      <c r="AD58" s="430"/>
      <c r="AE58" s="165"/>
      <c r="AF58" s="165"/>
      <c r="AG58" s="165"/>
      <c r="AH58" s="181" t="e">
        <f t="shared" si="18"/>
        <v>#N/A</v>
      </c>
      <c r="AI58" s="430"/>
      <c r="AJ58" s="165"/>
      <c r="AK58" s="165"/>
      <c r="AL58" s="165"/>
      <c r="AM58" s="181" t="e">
        <f t="shared" si="19"/>
        <v>#N/A</v>
      </c>
      <c r="AN58" s="430"/>
      <c r="AO58" s="165"/>
      <c r="AP58" s="165"/>
      <c r="AQ58" s="165"/>
      <c r="AR58" s="181" t="e">
        <f t="shared" si="20"/>
        <v>#N/A</v>
      </c>
      <c r="AS58" s="430"/>
      <c r="AT58" s="165"/>
      <c r="AU58" s="165"/>
      <c r="AV58" s="165"/>
      <c r="AW58" s="181" t="e">
        <f t="shared" si="21"/>
        <v>#N/A</v>
      </c>
      <c r="AX58" s="43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65"/>
      <c r="Q59" s="165"/>
      <c r="R59" s="165"/>
      <c r="S59" s="181" t="e">
        <f t="shared" si="15"/>
        <v>#N/A</v>
      </c>
      <c r="T59" s="430"/>
      <c r="U59" s="165"/>
      <c r="V59" s="165"/>
      <c r="W59" s="165"/>
      <c r="X59" s="181" t="e">
        <f t="shared" si="16"/>
        <v>#N/A</v>
      </c>
      <c r="Y59" s="430"/>
      <c r="Z59" s="165"/>
      <c r="AA59" s="165"/>
      <c r="AB59" s="165"/>
      <c r="AC59" s="181" t="e">
        <f t="shared" si="17"/>
        <v>#N/A</v>
      </c>
      <c r="AD59" s="430"/>
      <c r="AE59" s="165"/>
      <c r="AF59" s="165"/>
      <c r="AG59" s="165"/>
      <c r="AH59" s="181" t="e">
        <f t="shared" si="18"/>
        <v>#N/A</v>
      </c>
      <c r="AI59" s="430"/>
      <c r="AJ59" s="165"/>
      <c r="AK59" s="165"/>
      <c r="AL59" s="165"/>
      <c r="AM59" s="181" t="e">
        <f t="shared" si="19"/>
        <v>#N/A</v>
      </c>
      <c r="AN59" s="430"/>
      <c r="AO59" s="165"/>
      <c r="AP59" s="165"/>
      <c r="AQ59" s="165"/>
      <c r="AR59" s="181" t="e">
        <f t="shared" si="20"/>
        <v>#N/A</v>
      </c>
      <c r="AS59" s="430"/>
      <c r="AT59" s="165"/>
      <c r="AU59" s="165"/>
      <c r="AV59" s="165"/>
      <c r="AW59" s="181" t="e">
        <f t="shared" si="21"/>
        <v>#N/A</v>
      </c>
      <c r="AX59" s="43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65"/>
      <c r="Q60" s="165"/>
      <c r="R60" s="165"/>
      <c r="S60" s="181" t="e">
        <f t="shared" si="15"/>
        <v>#N/A</v>
      </c>
      <c r="T60" s="430"/>
      <c r="U60" s="165"/>
      <c r="V60" s="165"/>
      <c r="W60" s="165"/>
      <c r="X60" s="181" t="e">
        <f t="shared" si="16"/>
        <v>#N/A</v>
      </c>
      <c r="Y60" s="430"/>
      <c r="Z60" s="165"/>
      <c r="AA60" s="165"/>
      <c r="AB60" s="165"/>
      <c r="AC60" s="181" t="e">
        <f t="shared" si="17"/>
        <v>#N/A</v>
      </c>
      <c r="AD60" s="430"/>
      <c r="AE60" s="165"/>
      <c r="AF60" s="165"/>
      <c r="AG60" s="165"/>
      <c r="AH60" s="181" t="e">
        <f t="shared" si="18"/>
        <v>#N/A</v>
      </c>
      <c r="AI60" s="430"/>
      <c r="AJ60" s="165"/>
      <c r="AK60" s="165"/>
      <c r="AL60" s="165"/>
      <c r="AM60" s="181" t="e">
        <f t="shared" si="19"/>
        <v>#N/A</v>
      </c>
      <c r="AN60" s="430"/>
      <c r="AO60" s="165"/>
      <c r="AP60" s="165"/>
      <c r="AQ60" s="165"/>
      <c r="AR60" s="181" t="e">
        <f t="shared" si="20"/>
        <v>#N/A</v>
      </c>
      <c r="AS60" s="430"/>
      <c r="AT60" s="165"/>
      <c r="AU60" s="165"/>
      <c r="AV60" s="165"/>
      <c r="AW60" s="181" t="e">
        <f t="shared" si="21"/>
        <v>#N/A</v>
      </c>
      <c r="AX60" s="43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65"/>
      <c r="Q61" s="165"/>
      <c r="R61" s="165"/>
      <c r="S61" s="181" t="e">
        <f t="shared" si="15"/>
        <v>#N/A</v>
      </c>
      <c r="T61" s="430"/>
      <c r="U61" s="165"/>
      <c r="V61" s="165"/>
      <c r="W61" s="165"/>
      <c r="X61" s="181" t="e">
        <f t="shared" si="16"/>
        <v>#N/A</v>
      </c>
      <c r="Y61" s="430"/>
      <c r="Z61" s="165"/>
      <c r="AA61" s="165"/>
      <c r="AB61" s="165"/>
      <c r="AC61" s="181" t="e">
        <f t="shared" si="17"/>
        <v>#N/A</v>
      </c>
      <c r="AD61" s="430"/>
      <c r="AE61" s="165"/>
      <c r="AF61" s="165"/>
      <c r="AG61" s="165"/>
      <c r="AH61" s="181" t="e">
        <f t="shared" si="18"/>
        <v>#N/A</v>
      </c>
      <c r="AI61" s="430"/>
      <c r="AJ61" s="165"/>
      <c r="AK61" s="165"/>
      <c r="AL61" s="165"/>
      <c r="AM61" s="181" t="e">
        <f t="shared" si="19"/>
        <v>#N/A</v>
      </c>
      <c r="AN61" s="430"/>
      <c r="AO61" s="165"/>
      <c r="AP61" s="165"/>
      <c r="AQ61" s="165"/>
      <c r="AR61" s="181" t="e">
        <f t="shared" si="20"/>
        <v>#N/A</v>
      </c>
      <c r="AS61" s="430"/>
      <c r="AT61" s="165"/>
      <c r="AU61" s="165"/>
      <c r="AV61" s="165"/>
      <c r="AW61" s="181" t="e">
        <f t="shared" si="21"/>
        <v>#N/A</v>
      </c>
      <c r="AX61" s="430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29" t="s">
        <v>244</v>
      </c>
      <c r="C67" s="181">
        <v>1</v>
      </c>
      <c r="D67" s="196" t="s">
        <v>245</v>
      </c>
      <c r="E67" s="165">
        <v>4</v>
      </c>
      <c r="F67" s="181">
        <v>2000</v>
      </c>
      <c r="G67" s="179">
        <v>500</v>
      </c>
      <c r="H67" s="412">
        <f>AVERAGE(G67:G81)</f>
        <v>297.91929787384328</v>
      </c>
      <c r="I67" s="165">
        <f>AVERAGE(P67,U67,Z67,AE67,AJ67,AO67,AT67)</f>
        <v>4.7142857142857144</v>
      </c>
      <c r="J67" s="165">
        <f>AVERAGE(Q67,V67,AA67,AF67,AK67,AP67,AU67)</f>
        <v>2005.1599587203323</v>
      </c>
      <c r="K67" s="179">
        <f>AVERAGE(R67,W67,AB67,AG67,AL67,AQ67,AV67)</f>
        <v>426.6748488869236</v>
      </c>
      <c r="L67" s="412">
        <f>IFERROR(AVERAGE(K67:K81),"-")</f>
        <v>261.37207267626155</v>
      </c>
      <c r="M67" s="180">
        <f>RANK(K67, K$67:$K$81)</f>
        <v>2</v>
      </c>
      <c r="N67" s="401"/>
      <c r="O67" s="401"/>
      <c r="P67" s="165">
        <v>5</v>
      </c>
      <c r="Q67" s="165">
        <v>2156.4705882352914</v>
      </c>
      <c r="R67" s="165">
        <v>431.29411764705827</v>
      </c>
      <c r="S67" s="181">
        <f>RANK(R67, R$67:R$81)</f>
        <v>2</v>
      </c>
      <c r="T67" s="430">
        <f>AVERAGE(R67:R81)</f>
        <v>260.40754923399794</v>
      </c>
      <c r="U67" s="165">
        <v>5</v>
      </c>
      <c r="V67" s="165">
        <v>2106.3157894736914</v>
      </c>
      <c r="W67" s="165">
        <v>421.2631578947383</v>
      </c>
      <c r="X67" s="181">
        <f>RANK(W67, W$67:W$81)</f>
        <v>3</v>
      </c>
      <c r="Y67" s="430">
        <f>AVERAGE(W67:W81)</f>
        <v>260.81820988455087</v>
      </c>
      <c r="Z67" s="165">
        <v>5</v>
      </c>
      <c r="AA67" s="165">
        <v>2056.6666666666738</v>
      </c>
      <c r="AB67" s="165">
        <v>411.33333333333474</v>
      </c>
      <c r="AC67" s="181">
        <f>RANK(AB67, AB$67:AB$81)</f>
        <v>3</v>
      </c>
      <c r="AD67" s="430">
        <f>AVERAGE(AB67:AB81)</f>
        <v>258.07398056404236</v>
      </c>
      <c r="AE67" s="165">
        <v>4</v>
      </c>
      <c r="AF67" s="165">
        <v>1769.9999999999977</v>
      </c>
      <c r="AG67" s="165">
        <v>442.49999999999943</v>
      </c>
      <c r="AH67" s="181">
        <f>RANK(AG67, AG$67:AG$81)</f>
        <v>2</v>
      </c>
      <c r="AI67" s="430">
        <f>AVERAGE(AG67:AG81)</f>
        <v>265.51348008367893</v>
      </c>
      <c r="AJ67" s="165">
        <v>4</v>
      </c>
      <c r="AK67" s="165">
        <v>1819.9999999999986</v>
      </c>
      <c r="AL67" s="165">
        <v>454.99999999999966</v>
      </c>
      <c r="AM67" s="181">
        <f>RANK(AL67, AL$67:AL$81)</f>
        <v>1</v>
      </c>
      <c r="AN67" s="430">
        <f>AVERAGE(AL67:AL81)</f>
        <v>264.81722209365449</v>
      </c>
      <c r="AO67" s="165">
        <v>5</v>
      </c>
      <c r="AP67" s="165">
        <v>2093.3333333333408</v>
      </c>
      <c r="AQ67" s="165">
        <v>418.66666666666816</v>
      </c>
      <c r="AR67" s="181">
        <f>RANK(AQ67, AQ$67:AQ$81)</f>
        <v>3</v>
      </c>
      <c r="AS67" s="430">
        <f>AVERAGE(AQ67:AQ81)</f>
        <v>258.46225451447657</v>
      </c>
      <c r="AT67" s="165">
        <v>5</v>
      </c>
      <c r="AU67" s="165">
        <v>2033.3333333333319</v>
      </c>
      <c r="AV67" s="165">
        <v>406.6666666666664</v>
      </c>
      <c r="AW67" s="181">
        <f>RANK(AV67, AV$67:AV$81)</f>
        <v>4</v>
      </c>
      <c r="AX67" s="430">
        <f>AVERAGE(AV67:AV81)</f>
        <v>261.51181235943</v>
      </c>
    </row>
    <row r="68" spans="2:50">
      <c r="B68" s="400"/>
      <c r="C68" s="181">
        <v>2</v>
      </c>
      <c r="D68" s="196" t="s">
        <v>246</v>
      </c>
      <c r="E68" s="165">
        <v>4</v>
      </c>
      <c r="F68" s="181">
        <v>2000</v>
      </c>
      <c r="G68" s="179">
        <v>500</v>
      </c>
      <c r="H68" s="413"/>
      <c r="I68" s="165">
        <f t="shared" ref="I68:I76" si="22">AVERAGE(P68,U68,Z68,AE68,AJ68,AO68,AT68)</f>
        <v>4.7142857142857144</v>
      </c>
      <c r="J68" s="165">
        <f t="shared" ref="J68:J76" si="23">AVERAGE(Q68,V68,AA68,AF68,AK68,AP68,AU68)</f>
        <v>1981.4333628188137</v>
      </c>
      <c r="K68" s="179">
        <f t="shared" ref="K68:K76" si="24">AVERAGE(R68,W68,AB68,AG68,AL68,AQ68,AV68)</f>
        <v>421.50621037888874</v>
      </c>
      <c r="L68" s="413"/>
      <c r="M68" s="180">
        <f>RANK(K68, K$67:$K$81)</f>
        <v>3</v>
      </c>
      <c r="N68" s="401"/>
      <c r="O68" s="401"/>
      <c r="P68" s="165">
        <v>5</v>
      </c>
      <c r="Q68" s="165">
        <v>2052.631578947367</v>
      </c>
      <c r="R68" s="165">
        <v>410.52631578947341</v>
      </c>
      <c r="S68" s="181">
        <f t="shared" ref="S68:S81" si="25">RANK(R68, R$67:R$81)</f>
        <v>3</v>
      </c>
      <c r="T68" s="430"/>
      <c r="U68" s="165">
        <v>5</v>
      </c>
      <c r="V68" s="165">
        <v>2006.6666666666738</v>
      </c>
      <c r="W68" s="165">
        <v>401.33333333333474</v>
      </c>
      <c r="X68" s="181">
        <f t="shared" ref="X68:X81" si="26">RANK(W68, W$67:W$81)</f>
        <v>4</v>
      </c>
      <c r="Y68" s="430"/>
      <c r="Z68" s="165">
        <v>5</v>
      </c>
      <c r="AA68" s="165">
        <v>2040.0000000000073</v>
      </c>
      <c r="AB68" s="165">
        <v>408.00000000000148</v>
      </c>
      <c r="AC68" s="181">
        <f t="shared" ref="AC68:AC81" si="27">RANK(AB68, AB$67:AB$81)</f>
        <v>4</v>
      </c>
      <c r="AD68" s="430"/>
      <c r="AE68" s="165">
        <v>4</v>
      </c>
      <c r="AF68" s="165">
        <v>1762.4999999999977</v>
      </c>
      <c r="AG68" s="165">
        <v>440.62499999999943</v>
      </c>
      <c r="AH68" s="181">
        <f t="shared" ref="AH68:AH81" si="28">RANK(AG68, AG$67:AG$81)</f>
        <v>3</v>
      </c>
      <c r="AI68" s="430"/>
      <c r="AJ68" s="165">
        <v>4</v>
      </c>
      <c r="AK68" s="165">
        <v>1768.2352941176448</v>
      </c>
      <c r="AL68" s="165">
        <v>442.0588235294112</v>
      </c>
      <c r="AM68" s="181">
        <f t="shared" ref="AM68:AM81" si="29">RANK(AL68, AL$67:AL$81)</f>
        <v>2</v>
      </c>
      <c r="AN68" s="430"/>
      <c r="AO68" s="165">
        <v>5</v>
      </c>
      <c r="AP68" s="165">
        <v>2130.0000000000077</v>
      </c>
      <c r="AQ68" s="165">
        <v>426.00000000000153</v>
      </c>
      <c r="AR68" s="181">
        <f t="shared" ref="AR68:AR81" si="30">RANK(AQ68, AQ$67:AQ$81)</f>
        <v>1</v>
      </c>
      <c r="AS68" s="430"/>
      <c r="AT68" s="165">
        <v>5</v>
      </c>
      <c r="AU68" s="165">
        <v>2109.9999999999982</v>
      </c>
      <c r="AV68" s="165">
        <v>421.99999999999966</v>
      </c>
      <c r="AW68" s="181">
        <f t="shared" ref="AW68:AW81" si="31">RANK(AV68, AV$67:AV$81)</f>
        <v>2</v>
      </c>
      <c r="AX68" s="430"/>
    </row>
    <row r="69" spans="2:50">
      <c r="B69" s="400"/>
      <c r="C69" s="181">
        <v>3</v>
      </c>
      <c r="D69" s="196" t="s">
        <v>247</v>
      </c>
      <c r="E69" s="165">
        <v>4</v>
      </c>
      <c r="F69" s="181">
        <v>2000</v>
      </c>
      <c r="G69" s="179">
        <v>500</v>
      </c>
      <c r="H69" s="413"/>
      <c r="I69" s="165">
        <f t="shared" si="22"/>
        <v>5</v>
      </c>
      <c r="J69" s="165">
        <f t="shared" si="23"/>
        <v>2072.7543171114562</v>
      </c>
      <c r="K69" s="179">
        <f t="shared" si="24"/>
        <v>414.55086342229123</v>
      </c>
      <c r="L69" s="413"/>
      <c r="M69" s="180">
        <f>RANK(K69, K$67:$K$81)</f>
        <v>4</v>
      </c>
      <c r="N69" s="401"/>
      <c r="O69" s="401"/>
      <c r="P69" s="165">
        <v>5</v>
      </c>
      <c r="Q69" s="165">
        <v>2037.6923076923024</v>
      </c>
      <c r="R69" s="165">
        <v>407.53846153846047</v>
      </c>
      <c r="S69" s="181">
        <f t="shared" si="25"/>
        <v>4</v>
      </c>
      <c r="T69" s="430"/>
      <c r="U69" s="165">
        <v>5</v>
      </c>
      <c r="V69" s="165">
        <v>2171.9999999999936</v>
      </c>
      <c r="W69" s="165">
        <v>434.39999999999873</v>
      </c>
      <c r="X69" s="181">
        <f t="shared" si="26"/>
        <v>1</v>
      </c>
      <c r="Y69" s="430"/>
      <c r="Z69" s="165">
        <v>5</v>
      </c>
      <c r="AA69" s="165">
        <v>2079.2307692307636</v>
      </c>
      <c r="AB69" s="165">
        <v>415.84615384615273</v>
      </c>
      <c r="AC69" s="181">
        <f t="shared" si="27"/>
        <v>2</v>
      </c>
      <c r="AD69" s="430"/>
      <c r="AE69" s="165">
        <v>5</v>
      </c>
      <c r="AF69" s="165">
        <v>2082.8571428571422</v>
      </c>
      <c r="AG69" s="165">
        <v>416.57142857142844</v>
      </c>
      <c r="AH69" s="181">
        <f t="shared" si="28"/>
        <v>4</v>
      </c>
      <c r="AI69" s="430"/>
      <c r="AJ69" s="165">
        <v>5</v>
      </c>
      <c r="AK69" s="165">
        <v>2027.5000000000007</v>
      </c>
      <c r="AL69" s="165">
        <v>405.50000000000011</v>
      </c>
      <c r="AM69" s="181">
        <f t="shared" si="29"/>
        <v>4</v>
      </c>
      <c r="AN69" s="430"/>
      <c r="AO69" s="165">
        <v>5</v>
      </c>
      <c r="AP69" s="165">
        <v>2031.428571428567</v>
      </c>
      <c r="AQ69" s="165">
        <v>406.28571428571342</v>
      </c>
      <c r="AR69" s="181">
        <f t="shared" si="30"/>
        <v>4</v>
      </c>
      <c r="AS69" s="430"/>
      <c r="AT69" s="165">
        <v>5</v>
      </c>
      <c r="AU69" s="165">
        <v>2078.5714285714239</v>
      </c>
      <c r="AV69" s="165">
        <v>415.71428571428476</v>
      </c>
      <c r="AW69" s="181">
        <f t="shared" si="31"/>
        <v>3</v>
      </c>
      <c r="AX69" s="430"/>
    </row>
    <row r="70" spans="2:50">
      <c r="B70" s="400"/>
      <c r="C70" s="181">
        <v>4</v>
      </c>
      <c r="D70" s="196" t="s">
        <v>248</v>
      </c>
      <c r="E70" s="165">
        <v>12</v>
      </c>
      <c r="F70" s="181">
        <v>2250</v>
      </c>
      <c r="G70" s="179">
        <v>187.5</v>
      </c>
      <c r="H70" s="413"/>
      <c r="I70" s="165">
        <f t="shared" si="22"/>
        <v>12</v>
      </c>
      <c r="J70" s="165">
        <f t="shared" si="23"/>
        <v>1969.7024286114286</v>
      </c>
      <c r="K70" s="179">
        <f t="shared" si="24"/>
        <v>164.14186905095238</v>
      </c>
      <c r="L70" s="413"/>
      <c r="M70" s="180">
        <f>RANK(K70, K$67:$K$81)</f>
        <v>9</v>
      </c>
      <c r="N70" s="401"/>
      <c r="O70" s="401"/>
      <c r="P70" s="165">
        <v>12</v>
      </c>
      <c r="Q70" s="165">
        <v>1964.1176470588234</v>
      </c>
      <c r="R70" s="165">
        <v>163.67647058823528</v>
      </c>
      <c r="S70" s="181">
        <f t="shared" si="25"/>
        <v>9</v>
      </c>
      <c r="T70" s="430"/>
      <c r="U70" s="165">
        <v>12</v>
      </c>
      <c r="V70" s="165">
        <v>2001.2307692307691</v>
      </c>
      <c r="W70" s="165">
        <v>166.76923076923075</v>
      </c>
      <c r="X70" s="181">
        <f t="shared" si="26"/>
        <v>9</v>
      </c>
      <c r="Y70" s="430"/>
      <c r="Z70" s="165">
        <v>12</v>
      </c>
      <c r="AA70" s="165">
        <v>1954.1538461538457</v>
      </c>
      <c r="AB70" s="165">
        <v>162.84615384615381</v>
      </c>
      <c r="AC70" s="181">
        <f t="shared" si="27"/>
        <v>9</v>
      </c>
      <c r="AD70" s="430"/>
      <c r="AE70" s="165">
        <v>12</v>
      </c>
      <c r="AF70" s="165">
        <v>1949.9999999999995</v>
      </c>
      <c r="AG70" s="165">
        <v>162.49999999999997</v>
      </c>
      <c r="AH70" s="181">
        <f t="shared" si="28"/>
        <v>9</v>
      </c>
      <c r="AI70" s="430"/>
      <c r="AJ70" s="165">
        <v>12</v>
      </c>
      <c r="AK70" s="165">
        <v>1996.5517241379314</v>
      </c>
      <c r="AL70" s="165">
        <v>166.37931034482762</v>
      </c>
      <c r="AM70" s="181">
        <f t="shared" si="29"/>
        <v>9</v>
      </c>
      <c r="AN70" s="430"/>
      <c r="AO70" s="165">
        <v>12</v>
      </c>
      <c r="AP70" s="165">
        <v>1929.8630136986299</v>
      </c>
      <c r="AQ70" s="165">
        <v>160.82191780821915</v>
      </c>
      <c r="AR70" s="181">
        <f t="shared" si="30"/>
        <v>9</v>
      </c>
      <c r="AS70" s="430"/>
      <c r="AT70" s="165">
        <v>12</v>
      </c>
      <c r="AU70" s="165">
        <v>1992.0000000000007</v>
      </c>
      <c r="AV70" s="165">
        <v>166.00000000000006</v>
      </c>
      <c r="AW70" s="181">
        <f t="shared" si="31"/>
        <v>9</v>
      </c>
      <c r="AX70" s="430"/>
    </row>
    <row r="71" spans="2:50">
      <c r="B71" s="400"/>
      <c r="C71" s="181">
        <v>5</v>
      </c>
      <c r="D71" s="196" t="s">
        <v>249</v>
      </c>
      <c r="E71" s="165">
        <v>11</v>
      </c>
      <c r="F71" s="181">
        <v>2118</v>
      </c>
      <c r="G71" s="179">
        <v>192.54545454545453</v>
      </c>
      <c r="H71" s="413"/>
      <c r="I71" s="165">
        <f t="shared" si="22"/>
        <v>11</v>
      </c>
      <c r="J71" s="165">
        <f t="shared" si="23"/>
        <v>2067.6173759435474</v>
      </c>
      <c r="K71" s="179">
        <f t="shared" si="24"/>
        <v>187.96521599486792</v>
      </c>
      <c r="L71" s="413"/>
      <c r="M71" s="180">
        <f>RANK(K71, K$67:$K$81)</f>
        <v>7</v>
      </c>
      <c r="N71" s="401"/>
      <c r="O71" s="401"/>
      <c r="P71" s="165">
        <v>11</v>
      </c>
      <c r="Q71" s="165">
        <v>2085.3797468354419</v>
      </c>
      <c r="R71" s="165">
        <v>189.57997698504016</v>
      </c>
      <c r="S71" s="181">
        <f t="shared" si="25"/>
        <v>7</v>
      </c>
      <c r="T71" s="430"/>
      <c r="U71" s="165">
        <v>11</v>
      </c>
      <c r="V71" s="165">
        <v>2034.757281553399</v>
      </c>
      <c r="W71" s="165">
        <v>184.97793468667263</v>
      </c>
      <c r="X71" s="181">
        <f t="shared" si="26"/>
        <v>7</v>
      </c>
      <c r="Y71" s="430"/>
      <c r="Z71" s="165">
        <v>11</v>
      </c>
      <c r="AA71" s="165">
        <v>2047.5789473684213</v>
      </c>
      <c r="AB71" s="165">
        <v>186.14354066985649</v>
      </c>
      <c r="AC71" s="181">
        <f t="shared" si="27"/>
        <v>7</v>
      </c>
      <c r="AD71" s="430"/>
      <c r="AE71" s="165">
        <v>11</v>
      </c>
      <c r="AF71" s="165">
        <v>2023.2911392405065</v>
      </c>
      <c r="AG71" s="165">
        <v>183.93555811277332</v>
      </c>
      <c r="AH71" s="181">
        <f t="shared" si="28"/>
        <v>7</v>
      </c>
      <c r="AI71" s="430"/>
      <c r="AJ71" s="165">
        <v>11</v>
      </c>
      <c r="AK71" s="165">
        <v>2096.5116279069775</v>
      </c>
      <c r="AL71" s="165">
        <v>190.59196617336158</v>
      </c>
      <c r="AM71" s="181">
        <f t="shared" si="29"/>
        <v>7</v>
      </c>
      <c r="AN71" s="430"/>
      <c r="AO71" s="165">
        <v>11</v>
      </c>
      <c r="AP71" s="165">
        <v>2086.3636363636356</v>
      </c>
      <c r="AQ71" s="165">
        <v>189.66942148760324</v>
      </c>
      <c r="AR71" s="181">
        <f t="shared" si="30"/>
        <v>7</v>
      </c>
      <c r="AS71" s="430"/>
      <c r="AT71" s="165">
        <v>11</v>
      </c>
      <c r="AU71" s="165">
        <v>2099.4392523364481</v>
      </c>
      <c r="AV71" s="165">
        <v>190.858113848768</v>
      </c>
      <c r="AW71" s="181">
        <f t="shared" si="31"/>
        <v>7</v>
      </c>
      <c r="AX71" s="430"/>
    </row>
    <row r="72" spans="2:50">
      <c r="B72" s="400"/>
      <c r="C72" s="181">
        <v>6</v>
      </c>
      <c r="D72" s="196" t="s">
        <v>250</v>
      </c>
      <c r="E72" s="165">
        <v>11</v>
      </c>
      <c r="F72" s="181">
        <v>2250</v>
      </c>
      <c r="G72" s="179">
        <v>204.54545454545453</v>
      </c>
      <c r="H72" s="413"/>
      <c r="I72" s="165">
        <f t="shared" si="22"/>
        <v>11</v>
      </c>
      <c r="J72" s="165">
        <f t="shared" si="23"/>
        <v>1984.3418491673176</v>
      </c>
      <c r="K72" s="179">
        <f t="shared" si="24"/>
        <v>180.39471356066522</v>
      </c>
      <c r="L72" s="413"/>
      <c r="M72" s="180">
        <f>RANK(K72, K$67:$K$81)</f>
        <v>8</v>
      </c>
      <c r="N72" s="401"/>
      <c r="O72" s="401"/>
      <c r="P72" s="165">
        <v>11</v>
      </c>
      <c r="Q72" s="165">
        <v>1987.1287128712866</v>
      </c>
      <c r="R72" s="165">
        <v>180.64806480648059</v>
      </c>
      <c r="S72" s="181">
        <f t="shared" si="25"/>
        <v>8</v>
      </c>
      <c r="T72" s="430"/>
      <c r="U72" s="165">
        <v>11</v>
      </c>
      <c r="V72" s="165">
        <v>1996.2500000000005</v>
      </c>
      <c r="W72" s="165">
        <v>181.47727272727278</v>
      </c>
      <c r="X72" s="181">
        <f t="shared" si="26"/>
        <v>8</v>
      </c>
      <c r="Y72" s="430"/>
      <c r="Z72" s="165">
        <v>11</v>
      </c>
      <c r="AA72" s="165">
        <v>1934.3750000000005</v>
      </c>
      <c r="AB72" s="165">
        <v>175.85227272727278</v>
      </c>
      <c r="AC72" s="181">
        <f t="shared" si="27"/>
        <v>8</v>
      </c>
      <c r="AD72" s="430"/>
      <c r="AE72" s="165">
        <v>11</v>
      </c>
      <c r="AF72" s="165">
        <v>1979.2499999999993</v>
      </c>
      <c r="AG72" s="165">
        <v>179.93181818181813</v>
      </c>
      <c r="AH72" s="181">
        <f t="shared" si="28"/>
        <v>8</v>
      </c>
      <c r="AI72" s="430"/>
      <c r="AJ72" s="165">
        <v>11</v>
      </c>
      <c r="AK72" s="165">
        <v>2021.8604651162789</v>
      </c>
      <c r="AL72" s="165">
        <v>183.80549682875264</v>
      </c>
      <c r="AM72" s="181">
        <f t="shared" si="29"/>
        <v>8</v>
      </c>
      <c r="AN72" s="430"/>
      <c r="AO72" s="165">
        <v>11</v>
      </c>
      <c r="AP72" s="165">
        <v>1993.2110091743116</v>
      </c>
      <c r="AQ72" s="165">
        <v>181.20100083402832</v>
      </c>
      <c r="AR72" s="181">
        <f t="shared" si="30"/>
        <v>8</v>
      </c>
      <c r="AS72" s="430"/>
      <c r="AT72" s="165">
        <v>11</v>
      </c>
      <c r="AU72" s="165">
        <v>1978.3177570093453</v>
      </c>
      <c r="AV72" s="165">
        <v>179.84706881903139</v>
      </c>
      <c r="AW72" s="181">
        <f t="shared" si="31"/>
        <v>8</v>
      </c>
      <c r="AX72" s="430"/>
    </row>
    <row r="73" spans="2:50">
      <c r="B73" s="400"/>
      <c r="C73" s="181">
        <v>7</v>
      </c>
      <c r="D73" s="196" t="s">
        <v>251</v>
      </c>
      <c r="E73" s="165">
        <v>13</v>
      </c>
      <c r="F73" s="181">
        <v>2250</v>
      </c>
      <c r="G73" s="179">
        <v>173.07692307692307</v>
      </c>
      <c r="H73" s="413"/>
      <c r="I73" s="165">
        <f t="shared" si="22"/>
        <v>13</v>
      </c>
      <c r="J73" s="165">
        <f t="shared" si="23"/>
        <v>1970.6023865579559</v>
      </c>
      <c r="K73" s="179">
        <f t="shared" si="24"/>
        <v>151.58479896599661</v>
      </c>
      <c r="L73" s="413"/>
      <c r="M73" s="180">
        <f>RANK(K73, K$67:$K$81)</f>
        <v>10</v>
      </c>
      <c r="N73" s="401"/>
      <c r="O73" s="401"/>
      <c r="P73" s="165">
        <v>13</v>
      </c>
      <c r="Q73" s="165">
        <v>1932.5000000000005</v>
      </c>
      <c r="R73" s="165">
        <v>148.65384615384619</v>
      </c>
      <c r="S73" s="181">
        <f t="shared" si="25"/>
        <v>10</v>
      </c>
      <c r="T73" s="430"/>
      <c r="U73" s="165">
        <v>13</v>
      </c>
      <c r="V73" s="165">
        <v>1985.3333333333333</v>
      </c>
      <c r="W73" s="165">
        <v>152.7179487179487</v>
      </c>
      <c r="X73" s="181">
        <f t="shared" si="26"/>
        <v>10</v>
      </c>
      <c r="Y73" s="430"/>
      <c r="Z73" s="165">
        <v>13</v>
      </c>
      <c r="AA73" s="165">
        <v>1981.3636363636365</v>
      </c>
      <c r="AB73" s="165">
        <v>152.41258741258741</v>
      </c>
      <c r="AC73" s="181">
        <f t="shared" si="27"/>
        <v>10</v>
      </c>
      <c r="AD73" s="430"/>
      <c r="AE73" s="165">
        <v>13</v>
      </c>
      <c r="AF73" s="165">
        <v>1998.4615384615377</v>
      </c>
      <c r="AG73" s="165">
        <v>153.72781065088751</v>
      </c>
      <c r="AH73" s="181">
        <f t="shared" si="28"/>
        <v>10</v>
      </c>
      <c r="AI73" s="430"/>
      <c r="AJ73" s="165">
        <v>13</v>
      </c>
      <c r="AK73" s="165">
        <v>2009.9999999999991</v>
      </c>
      <c r="AL73" s="165">
        <v>154.61538461538456</v>
      </c>
      <c r="AM73" s="181">
        <f t="shared" si="29"/>
        <v>10</v>
      </c>
      <c r="AN73" s="430"/>
      <c r="AO73" s="165">
        <v>13</v>
      </c>
      <c r="AP73" s="165">
        <v>1973.6170212765958</v>
      </c>
      <c r="AQ73" s="165">
        <v>151.81669394435352</v>
      </c>
      <c r="AR73" s="181">
        <f t="shared" si="30"/>
        <v>10</v>
      </c>
      <c r="AS73" s="430"/>
      <c r="AT73" s="165">
        <v>13</v>
      </c>
      <c r="AU73" s="165">
        <v>1912.9411764705892</v>
      </c>
      <c r="AV73" s="165">
        <v>147.1493212669684</v>
      </c>
      <c r="AW73" s="181">
        <f t="shared" si="31"/>
        <v>10</v>
      </c>
      <c r="AX73" s="430"/>
    </row>
    <row r="74" spans="2:50">
      <c r="B74" s="400"/>
      <c r="C74" s="181">
        <v>8</v>
      </c>
      <c r="D74" s="196" t="s">
        <v>252</v>
      </c>
      <c r="E74" s="165">
        <v>10</v>
      </c>
      <c r="F74" s="181">
        <v>2250</v>
      </c>
      <c r="G74" s="179">
        <v>225</v>
      </c>
      <c r="H74" s="413"/>
      <c r="I74" s="165">
        <f t="shared" si="22"/>
        <v>10</v>
      </c>
      <c r="J74" s="165">
        <f t="shared" si="23"/>
        <v>1967.8576066790361</v>
      </c>
      <c r="K74" s="179">
        <f t="shared" si="24"/>
        <v>196.78576066790359</v>
      </c>
      <c r="L74" s="413"/>
      <c r="M74" s="180">
        <f>RANK(K74, K$67:$K$81)</f>
        <v>6</v>
      </c>
      <c r="N74" s="401"/>
      <c r="O74" s="401"/>
      <c r="P74" s="165">
        <v>10</v>
      </c>
      <c r="Q74" s="165">
        <v>1958.1818181818201</v>
      </c>
      <c r="R74" s="165">
        <v>195.81818181818201</v>
      </c>
      <c r="S74" s="181">
        <f t="shared" si="25"/>
        <v>6</v>
      </c>
      <c r="T74" s="430"/>
      <c r="U74" s="165">
        <v>10</v>
      </c>
      <c r="V74" s="165">
        <v>2006.250000000002</v>
      </c>
      <c r="W74" s="165">
        <v>200.6250000000002</v>
      </c>
      <c r="X74" s="181">
        <f t="shared" si="26"/>
        <v>6</v>
      </c>
      <c r="Y74" s="430"/>
      <c r="Z74" s="165">
        <v>10</v>
      </c>
      <c r="AA74" s="165">
        <v>1940.0000000000023</v>
      </c>
      <c r="AB74" s="165">
        <v>194.00000000000023</v>
      </c>
      <c r="AC74" s="181">
        <f t="shared" si="27"/>
        <v>6</v>
      </c>
      <c r="AD74" s="430"/>
      <c r="AE74" s="165">
        <v>10</v>
      </c>
      <c r="AF74" s="165">
        <v>1943.57142857143</v>
      </c>
      <c r="AG74" s="165">
        <v>194.357142857143</v>
      </c>
      <c r="AH74" s="181">
        <f t="shared" si="28"/>
        <v>6</v>
      </c>
      <c r="AI74" s="430"/>
      <c r="AJ74" s="165">
        <v>10</v>
      </c>
      <c r="AK74" s="165">
        <v>2000.0000000000018</v>
      </c>
      <c r="AL74" s="165">
        <v>200.00000000000017</v>
      </c>
      <c r="AM74" s="181">
        <f t="shared" si="29"/>
        <v>5</v>
      </c>
      <c r="AN74" s="430"/>
      <c r="AO74" s="165">
        <v>10</v>
      </c>
      <c r="AP74" s="165">
        <v>1934.9999999999982</v>
      </c>
      <c r="AQ74" s="165">
        <v>193.49999999999983</v>
      </c>
      <c r="AR74" s="181">
        <f t="shared" si="30"/>
        <v>6</v>
      </c>
      <c r="AS74" s="430"/>
      <c r="AT74" s="165">
        <v>10</v>
      </c>
      <c r="AU74" s="165">
        <v>1991.999999999998</v>
      </c>
      <c r="AV74" s="165">
        <v>199.19999999999979</v>
      </c>
      <c r="AW74" s="181">
        <f t="shared" si="31"/>
        <v>5</v>
      </c>
      <c r="AX74" s="430"/>
    </row>
    <row r="75" spans="2:50">
      <c r="B75" s="400"/>
      <c r="C75" s="181">
        <v>9</v>
      </c>
      <c r="D75" s="196" t="s">
        <v>253</v>
      </c>
      <c r="E75" s="165">
        <v>10</v>
      </c>
      <c r="F75" s="181">
        <v>2250</v>
      </c>
      <c r="G75" s="179">
        <v>225</v>
      </c>
      <c r="H75" s="413"/>
      <c r="I75" s="165">
        <f t="shared" si="22"/>
        <v>10</v>
      </c>
      <c r="J75" s="165">
        <f t="shared" si="23"/>
        <v>1993.8613543031236</v>
      </c>
      <c r="K75" s="179">
        <f t="shared" si="24"/>
        <v>199.38613543031232</v>
      </c>
      <c r="L75" s="413"/>
      <c r="M75" s="180">
        <f>RANK(K75, K$67:$K$81)</f>
        <v>5</v>
      </c>
      <c r="N75" s="401"/>
      <c r="O75" s="401"/>
      <c r="P75" s="165">
        <v>10</v>
      </c>
      <c r="Q75" s="165">
        <v>2013.2608695652193</v>
      </c>
      <c r="R75" s="165">
        <v>201.32608695652192</v>
      </c>
      <c r="S75" s="181">
        <f t="shared" si="25"/>
        <v>5</v>
      </c>
      <c r="T75" s="430"/>
      <c r="U75" s="165">
        <v>10</v>
      </c>
      <c r="V75" s="165">
        <v>2034.4186046511622</v>
      </c>
      <c r="W75" s="165">
        <v>203.44186046511624</v>
      </c>
      <c r="X75" s="181">
        <f t="shared" si="26"/>
        <v>5</v>
      </c>
      <c r="Y75" s="430"/>
      <c r="Z75" s="165">
        <v>10</v>
      </c>
      <c r="AA75" s="165">
        <v>2004.2553191489367</v>
      </c>
      <c r="AB75" s="165">
        <v>200.42553191489367</v>
      </c>
      <c r="AC75" s="181">
        <f t="shared" si="27"/>
        <v>5</v>
      </c>
      <c r="AD75" s="430"/>
      <c r="AE75" s="165">
        <v>10</v>
      </c>
      <c r="AF75" s="165">
        <v>2001.6000000000008</v>
      </c>
      <c r="AG75" s="165">
        <v>200.16000000000008</v>
      </c>
      <c r="AH75" s="181">
        <f t="shared" si="28"/>
        <v>5</v>
      </c>
      <c r="AI75" s="430"/>
      <c r="AJ75" s="165">
        <v>10</v>
      </c>
      <c r="AK75" s="165">
        <v>1959.2307692307704</v>
      </c>
      <c r="AL75" s="165">
        <v>195.92307692307705</v>
      </c>
      <c r="AM75" s="181">
        <f t="shared" si="29"/>
        <v>6</v>
      </c>
      <c r="AN75" s="430"/>
      <c r="AO75" s="165">
        <v>10</v>
      </c>
      <c r="AP75" s="165">
        <v>1995.4639175257737</v>
      </c>
      <c r="AQ75" s="165">
        <v>199.54639175257736</v>
      </c>
      <c r="AR75" s="181">
        <f t="shared" si="30"/>
        <v>5</v>
      </c>
      <c r="AS75" s="430"/>
      <c r="AT75" s="165">
        <v>10</v>
      </c>
      <c r="AU75" s="165">
        <v>1948.799999999999</v>
      </c>
      <c r="AV75" s="165">
        <v>194.87999999999991</v>
      </c>
      <c r="AW75" s="181">
        <f t="shared" si="31"/>
        <v>6</v>
      </c>
      <c r="AX75" s="430"/>
    </row>
    <row r="76" spans="2:50">
      <c r="B76" s="400"/>
      <c r="C76" s="181">
        <v>10</v>
      </c>
      <c r="D76" s="196" t="s">
        <v>254</v>
      </c>
      <c r="E76" s="165">
        <v>18</v>
      </c>
      <c r="F76" s="181">
        <v>1250</v>
      </c>
      <c r="G76" s="179">
        <v>69.444444444444443</v>
      </c>
      <c r="H76" s="413"/>
      <c r="I76" s="165">
        <f t="shared" si="22"/>
        <v>13</v>
      </c>
      <c r="J76" s="165">
        <f t="shared" si="23"/>
        <v>1252.7624207577774</v>
      </c>
      <c r="K76" s="179">
        <f t="shared" si="24"/>
        <v>96.366340058290561</v>
      </c>
      <c r="L76" s="413"/>
      <c r="M76" s="180">
        <f>RANK(K76, K$67:$K$81)</f>
        <v>11</v>
      </c>
      <c r="N76" s="401"/>
      <c r="O76" s="401"/>
      <c r="P76" s="165">
        <v>13</v>
      </c>
      <c r="Q76" s="165">
        <v>1268.6666666666667</v>
      </c>
      <c r="R76" s="165">
        <v>97.589743589743591</v>
      </c>
      <c r="S76" s="181">
        <f t="shared" si="25"/>
        <v>11</v>
      </c>
      <c r="T76" s="430"/>
      <c r="U76" s="165">
        <v>13</v>
      </c>
      <c r="V76" s="165">
        <v>1263.5294117647068</v>
      </c>
      <c r="W76" s="165">
        <v>97.194570135746673</v>
      </c>
      <c r="X76" s="181">
        <f t="shared" si="26"/>
        <v>11</v>
      </c>
      <c r="Y76" s="430"/>
      <c r="Z76" s="165">
        <v>13</v>
      </c>
      <c r="AA76" s="165">
        <v>1237.5000000000007</v>
      </c>
      <c r="AB76" s="165">
        <v>95.19230769230775</v>
      </c>
      <c r="AC76" s="181">
        <f t="shared" si="27"/>
        <v>11</v>
      </c>
      <c r="AD76" s="430"/>
      <c r="AE76" s="165">
        <v>13</v>
      </c>
      <c r="AF76" s="165">
        <v>1282.0000000000002</v>
      </c>
      <c r="AG76" s="165">
        <v>98.615384615384627</v>
      </c>
      <c r="AH76" s="181">
        <f t="shared" si="28"/>
        <v>11</v>
      </c>
      <c r="AI76" s="430"/>
      <c r="AJ76" s="165">
        <v>13</v>
      </c>
      <c r="AK76" s="165">
        <v>1230.0000000000009</v>
      </c>
      <c r="AL76" s="165">
        <v>94.615384615384684</v>
      </c>
      <c r="AM76" s="181">
        <f t="shared" si="29"/>
        <v>11</v>
      </c>
      <c r="AN76" s="430"/>
      <c r="AO76" s="165">
        <v>13</v>
      </c>
      <c r="AP76" s="165">
        <v>1229.0526315789475</v>
      </c>
      <c r="AQ76" s="165">
        <v>94.542510121457497</v>
      </c>
      <c r="AR76" s="181">
        <f t="shared" si="30"/>
        <v>11</v>
      </c>
      <c r="AS76" s="430"/>
      <c r="AT76" s="165">
        <v>13</v>
      </c>
      <c r="AU76" s="165">
        <v>1258.5882352941185</v>
      </c>
      <c r="AV76" s="165">
        <v>96.814479638009118</v>
      </c>
      <c r="AW76" s="181">
        <f t="shared" si="31"/>
        <v>11</v>
      </c>
      <c r="AX76" s="430"/>
    </row>
    <row r="77" spans="2:50">
      <c r="B77" s="400"/>
      <c r="C77" s="181">
        <v>11</v>
      </c>
      <c r="D77" s="196" t="s">
        <v>255</v>
      </c>
      <c r="E77" s="165">
        <v>4</v>
      </c>
      <c r="F77" s="181">
        <v>2000</v>
      </c>
      <c r="G77" s="179">
        <v>500</v>
      </c>
      <c r="H77" s="413"/>
      <c r="I77" s="165">
        <f t="shared" ref="I77" si="32">AVERAGE(P77,U77,Z77,AE77,AJ77,AO77,AT77)</f>
        <v>4.8571428571428568</v>
      </c>
      <c r="J77" s="165">
        <f t="shared" ref="J77" si="33">AVERAGE(Q77,V77,AA77,AF77,AK77,AP77,AU77)</f>
        <v>2113.3230722517828</v>
      </c>
      <c r="K77" s="179">
        <f t="shared" ref="K77" si="34">AVERAGE(R77,W77,AB77,AG77,AL77,AQ77,AV77)</f>
        <v>435.73604302178512</v>
      </c>
      <c r="L77" s="413"/>
      <c r="M77" s="180">
        <f>RANK(K77, K$67:$K$81)</f>
        <v>1</v>
      </c>
      <c r="N77" s="401"/>
      <c r="O77" s="401"/>
      <c r="P77" s="165">
        <v>5</v>
      </c>
      <c r="Q77" s="165">
        <v>2189.1588785046738</v>
      </c>
      <c r="R77" s="165">
        <v>437.83177570093477</v>
      </c>
      <c r="S77" s="181">
        <f t="shared" si="25"/>
        <v>1</v>
      </c>
      <c r="T77" s="430"/>
      <c r="U77" s="165">
        <v>5</v>
      </c>
      <c r="V77" s="165">
        <v>2123.9999999999977</v>
      </c>
      <c r="W77" s="165">
        <v>424.79999999999956</v>
      </c>
      <c r="X77" s="181">
        <f t="shared" si="26"/>
        <v>2</v>
      </c>
      <c r="Y77" s="430"/>
      <c r="Z77" s="165">
        <v>5</v>
      </c>
      <c r="AA77" s="165">
        <v>2183.8095238095261</v>
      </c>
      <c r="AB77" s="165">
        <v>436.76190476190521</v>
      </c>
      <c r="AC77" s="181">
        <f t="shared" si="27"/>
        <v>1</v>
      </c>
      <c r="AD77" s="430"/>
      <c r="AE77" s="165">
        <v>5</v>
      </c>
      <c r="AF77" s="165">
        <v>2238.620689655168</v>
      </c>
      <c r="AG77" s="165">
        <v>447.72413793103362</v>
      </c>
      <c r="AH77" s="181">
        <f t="shared" si="28"/>
        <v>1</v>
      </c>
      <c r="AI77" s="430"/>
      <c r="AJ77" s="165">
        <v>5</v>
      </c>
      <c r="AK77" s="165">
        <v>2122.4999999999991</v>
      </c>
      <c r="AL77" s="165">
        <v>424.49999999999983</v>
      </c>
      <c r="AM77" s="181">
        <f t="shared" si="29"/>
        <v>3</v>
      </c>
      <c r="AN77" s="430"/>
      <c r="AO77" s="165">
        <v>5</v>
      </c>
      <c r="AP77" s="165">
        <v>2105.1724137931051</v>
      </c>
      <c r="AQ77" s="165">
        <v>421.03448275862104</v>
      </c>
      <c r="AR77" s="181">
        <f t="shared" si="30"/>
        <v>2</v>
      </c>
      <c r="AS77" s="430"/>
      <c r="AT77" s="165">
        <v>4</v>
      </c>
      <c r="AU77" s="165">
        <v>1830.0000000000064</v>
      </c>
      <c r="AV77" s="165">
        <v>457.50000000000159</v>
      </c>
      <c r="AW77" s="181">
        <f t="shared" si="31"/>
        <v>1</v>
      </c>
      <c r="AX77" s="43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65"/>
      <c r="Q78" s="165"/>
      <c r="R78" s="165"/>
      <c r="S78" s="181" t="e">
        <f t="shared" si="25"/>
        <v>#N/A</v>
      </c>
      <c r="T78" s="430"/>
      <c r="U78" s="165"/>
      <c r="V78" s="165"/>
      <c r="W78" s="165"/>
      <c r="X78" s="181" t="e">
        <f t="shared" si="26"/>
        <v>#N/A</v>
      </c>
      <c r="Y78" s="430"/>
      <c r="Z78" s="165"/>
      <c r="AA78" s="165"/>
      <c r="AB78" s="165"/>
      <c r="AC78" s="181" t="e">
        <f t="shared" si="27"/>
        <v>#N/A</v>
      </c>
      <c r="AD78" s="430"/>
      <c r="AE78" s="165"/>
      <c r="AF78" s="165"/>
      <c r="AG78" s="165"/>
      <c r="AH78" s="181" t="e">
        <f t="shared" si="28"/>
        <v>#N/A</v>
      </c>
      <c r="AI78" s="430"/>
      <c r="AJ78" s="165"/>
      <c r="AK78" s="165"/>
      <c r="AL78" s="165"/>
      <c r="AM78" s="181" t="e">
        <f t="shared" si="29"/>
        <v>#N/A</v>
      </c>
      <c r="AN78" s="430"/>
      <c r="AO78" s="165"/>
      <c r="AP78" s="165"/>
      <c r="AQ78" s="165"/>
      <c r="AR78" s="181" t="e">
        <f t="shared" si="30"/>
        <v>#N/A</v>
      </c>
      <c r="AS78" s="430"/>
      <c r="AT78" s="165"/>
      <c r="AU78" s="165"/>
      <c r="AV78" s="179"/>
      <c r="AW78" s="181" t="e">
        <f t="shared" si="31"/>
        <v>#N/A</v>
      </c>
      <c r="AX78" s="43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65"/>
      <c r="Q79" s="165"/>
      <c r="R79" s="165"/>
      <c r="S79" s="181" t="e">
        <f t="shared" si="25"/>
        <v>#N/A</v>
      </c>
      <c r="T79" s="430"/>
      <c r="U79" s="165"/>
      <c r="V79" s="165"/>
      <c r="W79" s="165"/>
      <c r="X79" s="181" t="e">
        <f t="shared" si="26"/>
        <v>#N/A</v>
      </c>
      <c r="Y79" s="430"/>
      <c r="Z79" s="165"/>
      <c r="AA79" s="165"/>
      <c r="AB79" s="165"/>
      <c r="AC79" s="181" t="e">
        <f t="shared" si="27"/>
        <v>#N/A</v>
      </c>
      <c r="AD79" s="430"/>
      <c r="AE79" s="165"/>
      <c r="AF79" s="165"/>
      <c r="AG79" s="165"/>
      <c r="AH79" s="181" t="e">
        <f t="shared" si="28"/>
        <v>#N/A</v>
      </c>
      <c r="AI79" s="430"/>
      <c r="AJ79" s="165"/>
      <c r="AK79" s="165"/>
      <c r="AL79" s="165"/>
      <c r="AM79" s="181" t="e">
        <f t="shared" si="29"/>
        <v>#N/A</v>
      </c>
      <c r="AN79" s="430"/>
      <c r="AO79" s="165"/>
      <c r="AP79" s="165"/>
      <c r="AQ79" s="165"/>
      <c r="AR79" s="181" t="e">
        <f t="shared" si="30"/>
        <v>#N/A</v>
      </c>
      <c r="AS79" s="430"/>
      <c r="AT79" s="165"/>
      <c r="AU79" s="165"/>
      <c r="AV79" s="179"/>
      <c r="AW79" s="181" t="e">
        <f t="shared" si="31"/>
        <v>#N/A</v>
      </c>
      <c r="AX79" s="43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65"/>
      <c r="Q80" s="165"/>
      <c r="R80" s="165"/>
      <c r="S80" s="181" t="e">
        <f t="shared" si="25"/>
        <v>#N/A</v>
      </c>
      <c r="T80" s="430"/>
      <c r="U80" s="165"/>
      <c r="V80" s="165"/>
      <c r="W80" s="165"/>
      <c r="X80" s="181" t="e">
        <f t="shared" si="26"/>
        <v>#N/A</v>
      </c>
      <c r="Y80" s="430"/>
      <c r="Z80" s="165"/>
      <c r="AA80" s="165"/>
      <c r="AB80" s="165"/>
      <c r="AC80" s="181" t="e">
        <f t="shared" si="27"/>
        <v>#N/A</v>
      </c>
      <c r="AD80" s="430"/>
      <c r="AE80" s="165"/>
      <c r="AF80" s="165"/>
      <c r="AG80" s="165"/>
      <c r="AH80" s="181" t="e">
        <f t="shared" si="28"/>
        <v>#N/A</v>
      </c>
      <c r="AI80" s="430"/>
      <c r="AJ80" s="165"/>
      <c r="AK80" s="165"/>
      <c r="AL80" s="165"/>
      <c r="AM80" s="181" t="e">
        <f t="shared" si="29"/>
        <v>#N/A</v>
      </c>
      <c r="AN80" s="430"/>
      <c r="AO80" s="165"/>
      <c r="AP80" s="165"/>
      <c r="AQ80" s="165"/>
      <c r="AR80" s="181" t="e">
        <f t="shared" si="30"/>
        <v>#N/A</v>
      </c>
      <c r="AS80" s="430"/>
      <c r="AT80" s="165"/>
      <c r="AU80" s="165"/>
      <c r="AV80" s="179"/>
      <c r="AW80" s="181" t="e">
        <f t="shared" si="31"/>
        <v>#N/A</v>
      </c>
      <c r="AX80" s="43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65"/>
      <c r="Q81" s="165"/>
      <c r="R81" s="165"/>
      <c r="S81" s="181" t="e">
        <f t="shared" si="25"/>
        <v>#N/A</v>
      </c>
      <c r="T81" s="430"/>
      <c r="U81" s="165"/>
      <c r="V81" s="165"/>
      <c r="W81" s="165"/>
      <c r="X81" s="181" t="e">
        <f t="shared" si="26"/>
        <v>#N/A</v>
      </c>
      <c r="Y81" s="430"/>
      <c r="Z81" s="165"/>
      <c r="AA81" s="165"/>
      <c r="AB81" s="165"/>
      <c r="AC81" s="181" t="e">
        <f t="shared" si="27"/>
        <v>#N/A</v>
      </c>
      <c r="AD81" s="430"/>
      <c r="AE81" s="165"/>
      <c r="AF81" s="165"/>
      <c r="AG81" s="165"/>
      <c r="AH81" s="181" t="e">
        <f t="shared" si="28"/>
        <v>#N/A</v>
      </c>
      <c r="AI81" s="430"/>
      <c r="AJ81" s="165"/>
      <c r="AK81" s="165"/>
      <c r="AL81" s="165"/>
      <c r="AM81" s="181" t="e">
        <f t="shared" si="29"/>
        <v>#N/A</v>
      </c>
      <c r="AN81" s="430"/>
      <c r="AO81" s="165"/>
      <c r="AP81" s="165"/>
      <c r="AQ81" s="165"/>
      <c r="AR81" s="181" t="e">
        <f t="shared" si="30"/>
        <v>#N/A</v>
      </c>
      <c r="AS81" s="430"/>
      <c r="AT81" s="165"/>
      <c r="AU81" s="165"/>
      <c r="AV81" s="179"/>
      <c r="AW81" s="181" t="e">
        <f t="shared" si="31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29" t="s">
        <v>244</v>
      </c>
      <c r="C87" s="181">
        <v>1</v>
      </c>
      <c r="D87" s="196" t="s">
        <v>245</v>
      </c>
      <c r="E87" s="165">
        <v>4</v>
      </c>
      <c r="F87" s="181">
        <v>2000</v>
      </c>
      <c r="G87" s="179">
        <v>500</v>
      </c>
      <c r="H87" s="412">
        <f>AVERAGE(G87:G101)</f>
        <v>297.91929787384328</v>
      </c>
      <c r="I87" s="165">
        <f>AVERAGE(P87,U87,Z87,AE87,AJ87,AO87,AT87)</f>
        <v>4.4285714285714288</v>
      </c>
      <c r="J87" s="165">
        <f>AVERAGE(Q87,V87,AA87,AF87,AK87,AP87,AU87)</f>
        <v>1899.2779006339356</v>
      </c>
      <c r="K87" s="179">
        <f>AVERAGE(R87,W87,AB87,AG87,AL87,AQ87,AV87)</f>
        <v>431.68163054695515</v>
      </c>
      <c r="L87" s="412">
        <f>IFERROR(AVERAGE(K87:K101),"-")</f>
        <v>259.90056733011011</v>
      </c>
      <c r="M87" s="180">
        <f>RANK(K87, K$87:$K$101)</f>
        <v>1</v>
      </c>
      <c r="N87" s="401"/>
      <c r="O87" s="401"/>
      <c r="P87" s="165">
        <v>5</v>
      </c>
      <c r="Q87" s="165">
        <v>2066.6666666666647</v>
      </c>
      <c r="R87" s="165">
        <v>413.33333333333292</v>
      </c>
      <c r="S87" s="181">
        <f>RANK(R87, R$87:R$101)</f>
        <v>1</v>
      </c>
      <c r="T87" s="430">
        <f>AVERAGE(R87:R101)</f>
        <v>253.04849861581189</v>
      </c>
      <c r="U87" s="165">
        <v>5</v>
      </c>
      <c r="V87" s="165">
        <v>1872.631578947367</v>
      </c>
      <c r="W87" s="165">
        <v>374.52631578947341</v>
      </c>
      <c r="X87" s="181">
        <f>RANK(W87, W$87:W$101)</f>
        <v>4</v>
      </c>
      <c r="Y87" s="430">
        <f>AVERAGE(W87:W101)</f>
        <v>256.32524075822727</v>
      </c>
      <c r="Z87" s="165">
        <v>4</v>
      </c>
      <c r="AA87" s="165">
        <v>1823.3333333333319</v>
      </c>
      <c r="AB87" s="165">
        <v>455.83333333333297</v>
      </c>
      <c r="AC87" s="181">
        <f>RANK(AB87, AB$87:AB$101)</f>
        <v>1</v>
      </c>
      <c r="AD87" s="430">
        <f>AVERAGE(AB87:AB101)</f>
        <v>262.02109706152618</v>
      </c>
      <c r="AE87" s="165">
        <v>4</v>
      </c>
      <c r="AF87" s="165">
        <v>1757.6470588235272</v>
      </c>
      <c r="AG87" s="165">
        <v>439.41176470588181</v>
      </c>
      <c r="AH87" s="181">
        <f>RANK(AG87, AG$87:AG$101)</f>
        <v>1</v>
      </c>
      <c r="AI87" s="430">
        <f>AVERAGE(AG87:AG101)</f>
        <v>262.83054999858985</v>
      </c>
      <c r="AJ87" s="165">
        <v>4</v>
      </c>
      <c r="AK87" s="165">
        <v>1887.9999999999968</v>
      </c>
      <c r="AL87" s="165">
        <v>471.9999999999992</v>
      </c>
      <c r="AM87" s="181">
        <f>RANK(AL87, AL$87:AL$101)</f>
        <v>1</v>
      </c>
      <c r="AN87" s="430">
        <f>AVERAGE(AL87:AL101)</f>
        <v>263.7945513633004</v>
      </c>
      <c r="AO87" s="165">
        <v>4</v>
      </c>
      <c r="AP87" s="165">
        <v>1786.6666666666652</v>
      </c>
      <c r="AQ87" s="165">
        <v>446.66666666666629</v>
      </c>
      <c r="AR87" s="181">
        <f>RANK(AQ87, AQ$87:AQ$101)</f>
        <v>1</v>
      </c>
      <c r="AS87" s="430">
        <f>AVERAGE(AQ87:AQ101)</f>
        <v>263.56950828937255</v>
      </c>
      <c r="AT87" s="165">
        <v>5</v>
      </c>
      <c r="AU87" s="165">
        <v>2099.9999999999982</v>
      </c>
      <c r="AV87" s="165">
        <v>419.99999999999966</v>
      </c>
      <c r="AW87" s="181">
        <f>RANK(AV87, AV$87:AV$101)</f>
        <v>1</v>
      </c>
      <c r="AX87" s="430">
        <f>AVERAGE(AV87:AV101)</f>
        <v>257.71452522394225</v>
      </c>
    </row>
    <row r="88" spans="2:50">
      <c r="B88" s="400"/>
      <c r="C88" s="181">
        <v>2</v>
      </c>
      <c r="D88" s="196" t="s">
        <v>246</v>
      </c>
      <c r="E88" s="165">
        <v>4</v>
      </c>
      <c r="F88" s="181">
        <v>2000</v>
      </c>
      <c r="G88" s="179">
        <v>500</v>
      </c>
      <c r="H88" s="413"/>
      <c r="I88" s="165">
        <f t="shared" ref="I88:K96" si="35">AVERAGE(P88,U88,Z88,AE88,AJ88,AO88,AT88)</f>
        <v>4.4285714285714288</v>
      </c>
      <c r="J88" s="165">
        <f t="shared" si="35"/>
        <v>1881.6529559192079</v>
      </c>
      <c r="K88" s="179">
        <f t="shared" si="35"/>
        <v>425.75748194014403</v>
      </c>
      <c r="L88" s="413"/>
      <c r="M88" s="180">
        <f>RANK(K88, K$87:$K$101)</f>
        <v>2</v>
      </c>
      <c r="N88" s="401"/>
      <c r="O88" s="401"/>
      <c r="P88" s="165">
        <v>5</v>
      </c>
      <c r="Q88" s="165">
        <v>2066.6666666666647</v>
      </c>
      <c r="R88" s="165">
        <v>413.33333333333292</v>
      </c>
      <c r="S88" s="181">
        <f t="shared" ref="S88:S101" si="36">RANK(R88, R$87:R$101)</f>
        <v>1</v>
      </c>
      <c r="T88" s="430"/>
      <c r="U88" s="165">
        <v>5</v>
      </c>
      <c r="V88" s="165">
        <v>2138.8235294117621</v>
      </c>
      <c r="W88" s="165">
        <v>427.76470588235242</v>
      </c>
      <c r="X88" s="181">
        <f t="shared" ref="X88:X101" si="37">RANK(W88, W$87:W$101)</f>
        <v>1</v>
      </c>
      <c r="Y88" s="430"/>
      <c r="Z88" s="165">
        <v>4</v>
      </c>
      <c r="AA88" s="165">
        <v>1712.9999999999993</v>
      </c>
      <c r="AB88" s="165">
        <v>428.24999999999983</v>
      </c>
      <c r="AC88" s="181">
        <f t="shared" ref="AC88:AC101" si="38">RANK(AB88, AB$87:AB$101)</f>
        <v>2</v>
      </c>
      <c r="AD88" s="430"/>
      <c r="AE88" s="165">
        <v>4</v>
      </c>
      <c r="AF88" s="165">
        <v>1754.9999999999977</v>
      </c>
      <c r="AG88" s="165">
        <v>438.74999999999943</v>
      </c>
      <c r="AH88" s="181">
        <f t="shared" ref="AH88:AH101" si="39">RANK(AG88, AG$87:AG$101)</f>
        <v>2</v>
      </c>
      <c r="AI88" s="430"/>
      <c r="AJ88" s="165">
        <v>4</v>
      </c>
      <c r="AK88" s="165">
        <v>1694.1176470588214</v>
      </c>
      <c r="AL88" s="165">
        <v>423.52941176470534</v>
      </c>
      <c r="AM88" s="181">
        <f t="shared" ref="AM88:AM101" si="40">RANK(AL88, AL$87:AL$101)</f>
        <v>2</v>
      </c>
      <c r="AN88" s="430"/>
      <c r="AO88" s="165">
        <v>4</v>
      </c>
      <c r="AP88" s="165">
        <v>1757.6470588235272</v>
      </c>
      <c r="AQ88" s="165">
        <v>439.41176470588181</v>
      </c>
      <c r="AR88" s="181">
        <f t="shared" ref="AR88:AR101" si="41">RANK(AQ88, AQ$87:AQ$101)</f>
        <v>2</v>
      </c>
      <c r="AS88" s="430"/>
      <c r="AT88" s="165">
        <v>5</v>
      </c>
      <c r="AU88" s="165">
        <v>2046.3157894736828</v>
      </c>
      <c r="AV88" s="165">
        <v>409.26315789473654</v>
      </c>
      <c r="AW88" s="181">
        <f t="shared" ref="AW88:AW101" si="42">RANK(AV88, AV$87:AV$101)</f>
        <v>4</v>
      </c>
      <c r="AX88" s="430"/>
    </row>
    <row r="89" spans="2:50">
      <c r="B89" s="400"/>
      <c r="C89" s="181">
        <v>3</v>
      </c>
      <c r="D89" s="196" t="s">
        <v>247</v>
      </c>
      <c r="E89" s="165">
        <v>4</v>
      </c>
      <c r="F89" s="181">
        <v>2000</v>
      </c>
      <c r="G89" s="179">
        <v>500</v>
      </c>
      <c r="H89" s="413"/>
      <c r="I89" s="165">
        <f t="shared" si="35"/>
        <v>5</v>
      </c>
      <c r="J89" s="165">
        <f t="shared" si="35"/>
        <v>2080.681892021023</v>
      </c>
      <c r="K89" s="179">
        <f t="shared" si="35"/>
        <v>416.13637840420466</v>
      </c>
      <c r="L89" s="413"/>
      <c r="M89" s="180">
        <f>RANK(K89, K$87:$K$101)</f>
        <v>3</v>
      </c>
      <c r="N89" s="401"/>
      <c r="O89" s="401"/>
      <c r="P89" s="165">
        <v>5</v>
      </c>
      <c r="Q89" s="165">
        <v>2060.7692307692323</v>
      </c>
      <c r="R89" s="165">
        <v>412.15384615384647</v>
      </c>
      <c r="S89" s="181">
        <f t="shared" si="36"/>
        <v>3</v>
      </c>
      <c r="T89" s="430"/>
      <c r="U89" s="165">
        <v>5</v>
      </c>
      <c r="V89" s="165">
        <v>2109.6000000000008</v>
      </c>
      <c r="W89" s="165">
        <v>421.92000000000019</v>
      </c>
      <c r="X89" s="181">
        <f t="shared" si="37"/>
        <v>3</v>
      </c>
      <c r="Y89" s="430"/>
      <c r="Z89" s="165">
        <v>5</v>
      </c>
      <c r="AA89" s="165">
        <v>2076.0000000000005</v>
      </c>
      <c r="AB89" s="165">
        <v>415.2000000000001</v>
      </c>
      <c r="AC89" s="181">
        <f t="shared" si="38"/>
        <v>3</v>
      </c>
      <c r="AD89" s="430"/>
      <c r="AE89" s="165">
        <v>5</v>
      </c>
      <c r="AF89" s="165">
        <v>2110.4347826086955</v>
      </c>
      <c r="AG89" s="165">
        <v>422.08695652173913</v>
      </c>
      <c r="AH89" s="181">
        <f t="shared" si="39"/>
        <v>3</v>
      </c>
      <c r="AI89" s="430"/>
      <c r="AJ89" s="165">
        <v>5</v>
      </c>
      <c r="AK89" s="165">
        <v>2080.8000000000002</v>
      </c>
      <c r="AL89" s="165">
        <v>416.16</v>
      </c>
      <c r="AM89" s="181">
        <f t="shared" si="40"/>
        <v>3</v>
      </c>
      <c r="AN89" s="430"/>
      <c r="AO89" s="165">
        <v>5</v>
      </c>
      <c r="AP89" s="165">
        <v>2066.4000000000005</v>
      </c>
      <c r="AQ89" s="165">
        <v>413.28000000000009</v>
      </c>
      <c r="AR89" s="181">
        <f t="shared" si="41"/>
        <v>3</v>
      </c>
      <c r="AS89" s="430"/>
      <c r="AT89" s="165">
        <v>5</v>
      </c>
      <c r="AU89" s="165">
        <v>2060.7692307692323</v>
      </c>
      <c r="AV89" s="165">
        <v>412.15384615384647</v>
      </c>
      <c r="AW89" s="181">
        <f t="shared" si="42"/>
        <v>3</v>
      </c>
      <c r="AX89" s="430"/>
    </row>
    <row r="90" spans="2:50">
      <c r="B90" s="400"/>
      <c r="C90" s="181">
        <v>4</v>
      </c>
      <c r="D90" s="196" t="s">
        <v>248</v>
      </c>
      <c r="E90" s="165">
        <v>12</v>
      </c>
      <c r="F90" s="181">
        <v>2250</v>
      </c>
      <c r="G90" s="179">
        <v>187.5</v>
      </c>
      <c r="H90" s="413"/>
      <c r="I90" s="165">
        <f t="shared" si="35"/>
        <v>12</v>
      </c>
      <c r="J90" s="165">
        <f t="shared" si="35"/>
        <v>1989.8558216530425</v>
      </c>
      <c r="K90" s="179">
        <f t="shared" si="35"/>
        <v>165.82131847108687</v>
      </c>
      <c r="L90" s="413"/>
      <c r="M90" s="180">
        <f>RANK(K90, K$87:$K$101)</f>
        <v>9</v>
      </c>
      <c r="N90" s="401"/>
      <c r="O90" s="401"/>
      <c r="P90" s="165">
        <v>12</v>
      </c>
      <c r="Q90" s="165">
        <v>1988.9552238805973</v>
      </c>
      <c r="R90" s="165">
        <v>165.74626865671644</v>
      </c>
      <c r="S90" s="181">
        <f t="shared" si="36"/>
        <v>9</v>
      </c>
      <c r="T90" s="430"/>
      <c r="U90" s="165">
        <v>12</v>
      </c>
      <c r="V90" s="165">
        <v>1970.909090909091</v>
      </c>
      <c r="W90" s="165">
        <v>164.24242424242425</v>
      </c>
      <c r="X90" s="181">
        <f t="shared" si="37"/>
        <v>9</v>
      </c>
      <c r="Y90" s="430"/>
      <c r="Z90" s="165">
        <v>12</v>
      </c>
      <c r="AA90" s="165">
        <v>2022.0000000000007</v>
      </c>
      <c r="AB90" s="165">
        <v>168.50000000000006</v>
      </c>
      <c r="AC90" s="181">
        <f t="shared" si="38"/>
        <v>9</v>
      </c>
      <c r="AD90" s="430"/>
      <c r="AE90" s="165">
        <v>12</v>
      </c>
      <c r="AF90" s="165">
        <v>1963.3333333333333</v>
      </c>
      <c r="AG90" s="165">
        <v>163.61111111111111</v>
      </c>
      <c r="AH90" s="181">
        <f t="shared" si="39"/>
        <v>9</v>
      </c>
      <c r="AI90" s="430"/>
      <c r="AJ90" s="165">
        <v>12</v>
      </c>
      <c r="AK90" s="165">
        <v>2010</v>
      </c>
      <c r="AL90" s="165">
        <v>167.5</v>
      </c>
      <c r="AM90" s="181">
        <f t="shared" si="40"/>
        <v>9</v>
      </c>
      <c r="AN90" s="430"/>
      <c r="AO90" s="165">
        <v>12</v>
      </c>
      <c r="AP90" s="165">
        <v>1973.7931034482763</v>
      </c>
      <c r="AQ90" s="165">
        <v>164.48275862068968</v>
      </c>
      <c r="AR90" s="181">
        <f t="shared" si="41"/>
        <v>9</v>
      </c>
      <c r="AS90" s="430"/>
      <c r="AT90" s="165">
        <v>12</v>
      </c>
      <c r="AU90" s="165">
        <v>1999.9999999999993</v>
      </c>
      <c r="AV90" s="165">
        <v>166.6666666666666</v>
      </c>
      <c r="AW90" s="181">
        <f t="shared" si="42"/>
        <v>9</v>
      </c>
      <c r="AX90" s="430"/>
    </row>
    <row r="91" spans="2:50">
      <c r="B91" s="400"/>
      <c r="C91" s="181">
        <v>5</v>
      </c>
      <c r="D91" s="196" t="s">
        <v>249</v>
      </c>
      <c r="E91" s="165">
        <v>11</v>
      </c>
      <c r="F91" s="181">
        <v>2118</v>
      </c>
      <c r="G91" s="179">
        <v>192.54545454545453</v>
      </c>
      <c r="H91" s="413"/>
      <c r="I91" s="165">
        <f t="shared" si="35"/>
        <v>11</v>
      </c>
      <c r="J91" s="165">
        <f t="shared" si="35"/>
        <v>2081.7977870731361</v>
      </c>
      <c r="K91" s="179">
        <f t="shared" si="35"/>
        <v>189.25434427937597</v>
      </c>
      <c r="L91" s="413"/>
      <c r="M91" s="180">
        <f>RANK(K91, K$87:$K$101)</f>
        <v>7</v>
      </c>
      <c r="N91" s="401"/>
      <c r="O91" s="401"/>
      <c r="P91" s="165">
        <v>11</v>
      </c>
      <c r="Q91" s="165">
        <v>2097.692307692309</v>
      </c>
      <c r="R91" s="165">
        <v>190.69930069930081</v>
      </c>
      <c r="S91" s="181">
        <f t="shared" si="36"/>
        <v>7</v>
      </c>
      <c r="T91" s="430"/>
      <c r="U91" s="165">
        <v>11</v>
      </c>
      <c r="V91" s="165">
        <v>2055.7281553398066</v>
      </c>
      <c r="W91" s="165">
        <v>186.88437775816422</v>
      </c>
      <c r="X91" s="181">
        <f t="shared" si="37"/>
        <v>7</v>
      </c>
      <c r="Y91" s="430"/>
      <c r="Z91" s="165">
        <v>11</v>
      </c>
      <c r="AA91" s="165">
        <v>2086.1052631578941</v>
      </c>
      <c r="AB91" s="165">
        <v>189.645933014354</v>
      </c>
      <c r="AC91" s="181">
        <f t="shared" si="38"/>
        <v>7</v>
      </c>
      <c r="AD91" s="430"/>
      <c r="AE91" s="165">
        <v>11</v>
      </c>
      <c r="AF91" s="165">
        <v>2078.5714285714289</v>
      </c>
      <c r="AG91" s="165">
        <v>188.96103896103898</v>
      </c>
      <c r="AH91" s="181">
        <f t="shared" si="39"/>
        <v>7</v>
      </c>
      <c r="AI91" s="430"/>
      <c r="AJ91" s="165">
        <v>11</v>
      </c>
      <c r="AK91" s="165">
        <v>2102.1428571428573</v>
      </c>
      <c r="AL91" s="165">
        <v>191.10389610389612</v>
      </c>
      <c r="AM91" s="181">
        <f t="shared" si="40"/>
        <v>7</v>
      </c>
      <c r="AN91" s="430"/>
      <c r="AO91" s="165">
        <v>11</v>
      </c>
      <c r="AP91" s="165">
        <v>2121.8181818181824</v>
      </c>
      <c r="AQ91" s="165">
        <v>192.89256198347113</v>
      </c>
      <c r="AR91" s="181">
        <f t="shared" si="41"/>
        <v>7</v>
      </c>
      <c r="AS91" s="430"/>
      <c r="AT91" s="165">
        <v>11</v>
      </c>
      <c r="AU91" s="165">
        <v>2030.5263157894731</v>
      </c>
      <c r="AV91" s="165">
        <v>184.59330143540663</v>
      </c>
      <c r="AW91" s="181">
        <f t="shared" si="42"/>
        <v>7</v>
      </c>
      <c r="AX91" s="430"/>
    </row>
    <row r="92" spans="2:50">
      <c r="B92" s="400"/>
      <c r="C92" s="181">
        <v>6</v>
      </c>
      <c r="D92" s="196" t="s">
        <v>250</v>
      </c>
      <c r="E92" s="165">
        <v>11</v>
      </c>
      <c r="F92" s="181">
        <v>2250</v>
      </c>
      <c r="G92" s="179">
        <v>204.54545454545453</v>
      </c>
      <c r="H92" s="413"/>
      <c r="I92" s="165">
        <f t="shared" si="35"/>
        <v>11</v>
      </c>
      <c r="J92" s="165">
        <f t="shared" si="35"/>
        <v>1961.4203630094137</v>
      </c>
      <c r="K92" s="179">
        <f t="shared" si="35"/>
        <v>178.31094209176487</v>
      </c>
      <c r="L92" s="413"/>
      <c r="M92" s="180">
        <f>RANK(K92, K$87:$K$101)</f>
        <v>8</v>
      </c>
      <c r="N92" s="401"/>
      <c r="O92" s="401"/>
      <c r="P92" s="165">
        <v>11</v>
      </c>
      <c r="Q92" s="165">
        <v>1932.571428571428</v>
      </c>
      <c r="R92" s="165">
        <v>175.68831168831164</v>
      </c>
      <c r="S92" s="181">
        <f t="shared" si="36"/>
        <v>8</v>
      </c>
      <c r="T92" s="430"/>
      <c r="U92" s="165">
        <v>11</v>
      </c>
      <c r="V92" s="165">
        <v>1942.7999999999993</v>
      </c>
      <c r="W92" s="165">
        <v>176.61818181818174</v>
      </c>
      <c r="X92" s="181">
        <f t="shared" si="37"/>
        <v>8</v>
      </c>
      <c r="Y92" s="430"/>
      <c r="Z92" s="165">
        <v>11</v>
      </c>
      <c r="AA92" s="165">
        <v>1925.0000000000005</v>
      </c>
      <c r="AB92" s="165">
        <v>175.00000000000003</v>
      </c>
      <c r="AC92" s="181">
        <f t="shared" si="38"/>
        <v>8</v>
      </c>
      <c r="AD92" s="430"/>
      <c r="AE92" s="165">
        <v>11</v>
      </c>
      <c r="AF92" s="165">
        <v>2016.705882352941</v>
      </c>
      <c r="AG92" s="165">
        <v>183.3368983957219</v>
      </c>
      <c r="AH92" s="181">
        <f t="shared" si="39"/>
        <v>8</v>
      </c>
      <c r="AI92" s="430"/>
      <c r="AJ92" s="165">
        <v>11</v>
      </c>
      <c r="AK92" s="165">
        <v>1922.5806451612905</v>
      </c>
      <c r="AL92" s="165">
        <v>174.78005865102639</v>
      </c>
      <c r="AM92" s="181">
        <f t="shared" si="40"/>
        <v>8</v>
      </c>
      <c r="AN92" s="430"/>
      <c r="AO92" s="165">
        <v>11</v>
      </c>
      <c r="AP92" s="165">
        <v>2021.7391304347827</v>
      </c>
      <c r="AQ92" s="165">
        <v>183.79446640316206</v>
      </c>
      <c r="AR92" s="181">
        <f t="shared" si="41"/>
        <v>8</v>
      </c>
      <c r="AS92" s="430"/>
      <c r="AT92" s="165">
        <v>11</v>
      </c>
      <c r="AU92" s="165">
        <v>1968.5454545454543</v>
      </c>
      <c r="AV92" s="165">
        <v>178.95867768595039</v>
      </c>
      <c r="AW92" s="181">
        <f t="shared" si="42"/>
        <v>8</v>
      </c>
      <c r="AX92" s="430"/>
    </row>
    <row r="93" spans="2:50">
      <c r="B93" s="400"/>
      <c r="C93" s="181">
        <v>7</v>
      </c>
      <c r="D93" s="196" t="s">
        <v>251</v>
      </c>
      <c r="E93" s="165">
        <v>13</v>
      </c>
      <c r="F93" s="181">
        <v>2250</v>
      </c>
      <c r="G93" s="179">
        <v>173.07692307692307</v>
      </c>
      <c r="H93" s="413"/>
      <c r="I93" s="165">
        <f t="shared" si="35"/>
        <v>13</v>
      </c>
      <c r="J93" s="165">
        <f t="shared" si="35"/>
        <v>1978.0449154990613</v>
      </c>
      <c r="K93" s="179">
        <f t="shared" si="35"/>
        <v>152.15730119223548</v>
      </c>
      <c r="L93" s="413"/>
      <c r="M93" s="180">
        <f>RANK(K93, K$87:$K$101)</f>
        <v>10</v>
      </c>
      <c r="N93" s="401"/>
      <c r="O93" s="401"/>
      <c r="P93" s="165">
        <v>13</v>
      </c>
      <c r="Q93" s="165">
        <v>1998.7500000000005</v>
      </c>
      <c r="R93" s="165">
        <v>153.75000000000003</v>
      </c>
      <c r="S93" s="181">
        <f t="shared" si="36"/>
        <v>10</v>
      </c>
      <c r="T93" s="430"/>
      <c r="U93" s="165">
        <v>13</v>
      </c>
      <c r="V93" s="165">
        <v>1933.0434782608697</v>
      </c>
      <c r="W93" s="165">
        <v>148.69565217391306</v>
      </c>
      <c r="X93" s="181">
        <f t="shared" si="37"/>
        <v>10</v>
      </c>
      <c r="Y93" s="430"/>
      <c r="Z93" s="165">
        <v>13</v>
      </c>
      <c r="AA93" s="165">
        <v>2008</v>
      </c>
      <c r="AB93" s="165">
        <v>154.46153846153845</v>
      </c>
      <c r="AC93" s="181">
        <f t="shared" si="38"/>
        <v>10</v>
      </c>
      <c r="AD93" s="430"/>
      <c r="AE93" s="165">
        <v>13</v>
      </c>
      <c r="AF93" s="165">
        <v>1933.9534883720928</v>
      </c>
      <c r="AG93" s="165">
        <v>148.76565295169945</v>
      </c>
      <c r="AH93" s="181">
        <f t="shared" si="39"/>
        <v>10</v>
      </c>
      <c r="AI93" s="430"/>
      <c r="AJ93" s="165">
        <v>13</v>
      </c>
      <c r="AK93" s="165">
        <v>1989.7674418604647</v>
      </c>
      <c r="AL93" s="165">
        <v>153.05903398926651</v>
      </c>
      <c r="AM93" s="181">
        <f t="shared" si="40"/>
        <v>10</v>
      </c>
      <c r="AN93" s="430"/>
      <c r="AO93" s="165">
        <v>13</v>
      </c>
      <c r="AP93" s="165">
        <v>2004</v>
      </c>
      <c r="AQ93" s="165">
        <v>154.15384615384616</v>
      </c>
      <c r="AR93" s="181">
        <f t="shared" si="41"/>
        <v>10</v>
      </c>
      <c r="AS93" s="430"/>
      <c r="AT93" s="165">
        <v>13</v>
      </c>
      <c r="AU93" s="165">
        <v>1978.8000000000006</v>
      </c>
      <c r="AV93" s="165">
        <v>152.21538461538466</v>
      </c>
      <c r="AW93" s="181">
        <f t="shared" si="42"/>
        <v>10</v>
      </c>
      <c r="AX93" s="430"/>
    </row>
    <row r="94" spans="2:50">
      <c r="B94" s="400"/>
      <c r="C94" s="181">
        <v>8</v>
      </c>
      <c r="D94" s="196" t="s">
        <v>252</v>
      </c>
      <c r="E94" s="165">
        <v>10</v>
      </c>
      <c r="F94" s="181">
        <v>2250</v>
      </c>
      <c r="G94" s="179">
        <v>225</v>
      </c>
      <c r="H94" s="413"/>
      <c r="I94" s="165">
        <f t="shared" si="35"/>
        <v>10</v>
      </c>
      <c r="J94" s="165">
        <f t="shared" si="35"/>
        <v>1977.5518600857285</v>
      </c>
      <c r="K94" s="179">
        <f t="shared" si="35"/>
        <v>197.75518600857285</v>
      </c>
      <c r="L94" s="413"/>
      <c r="M94" s="180">
        <f>RANK(K94, K$87:$K$101)</f>
        <v>6</v>
      </c>
      <c r="N94" s="401"/>
      <c r="O94" s="401"/>
      <c r="P94" s="165">
        <v>10</v>
      </c>
      <c r="Q94" s="165">
        <v>1989.0909090909111</v>
      </c>
      <c r="R94" s="165">
        <v>198.90909090909111</v>
      </c>
      <c r="S94" s="181">
        <f t="shared" si="36"/>
        <v>5</v>
      </c>
      <c r="T94" s="430"/>
      <c r="U94" s="165">
        <v>10</v>
      </c>
      <c r="V94" s="165">
        <v>1967.2727272727295</v>
      </c>
      <c r="W94" s="165">
        <v>196.72727272727295</v>
      </c>
      <c r="X94" s="181">
        <f t="shared" si="37"/>
        <v>6</v>
      </c>
      <c r="Y94" s="430"/>
      <c r="Z94" s="165">
        <v>10</v>
      </c>
      <c r="AA94" s="165">
        <v>1963.125000000002</v>
      </c>
      <c r="AB94" s="165">
        <v>196.3125000000002</v>
      </c>
      <c r="AC94" s="181">
        <f t="shared" si="38"/>
        <v>6</v>
      </c>
      <c r="AD94" s="430"/>
      <c r="AE94" s="165">
        <v>10</v>
      </c>
      <c r="AF94" s="165">
        <v>1965.5172413793118</v>
      </c>
      <c r="AG94" s="165">
        <v>196.55172413793119</v>
      </c>
      <c r="AH94" s="181">
        <f t="shared" si="39"/>
        <v>6</v>
      </c>
      <c r="AI94" s="430"/>
      <c r="AJ94" s="165">
        <v>10</v>
      </c>
      <c r="AK94" s="165">
        <v>2012.1428571428587</v>
      </c>
      <c r="AL94" s="165">
        <v>201.21428571428586</v>
      </c>
      <c r="AM94" s="181">
        <f t="shared" si="40"/>
        <v>5</v>
      </c>
      <c r="AN94" s="430"/>
      <c r="AO94" s="165">
        <v>10</v>
      </c>
      <c r="AP94" s="165">
        <v>1952.000000000002</v>
      </c>
      <c r="AQ94" s="165">
        <v>195.20000000000022</v>
      </c>
      <c r="AR94" s="181">
        <f t="shared" si="41"/>
        <v>6</v>
      </c>
      <c r="AS94" s="430"/>
      <c r="AT94" s="165">
        <v>10</v>
      </c>
      <c r="AU94" s="165">
        <v>1993.7142857142835</v>
      </c>
      <c r="AV94" s="165">
        <v>199.37142857142834</v>
      </c>
      <c r="AW94" s="181">
        <f t="shared" si="42"/>
        <v>5</v>
      </c>
      <c r="AX94" s="430"/>
    </row>
    <row r="95" spans="2:50">
      <c r="B95" s="400"/>
      <c r="C95" s="181">
        <v>9</v>
      </c>
      <c r="D95" s="196" t="s">
        <v>253</v>
      </c>
      <c r="E95" s="165">
        <v>10</v>
      </c>
      <c r="F95" s="181">
        <v>2250</v>
      </c>
      <c r="G95" s="179">
        <v>225</v>
      </c>
      <c r="H95" s="413"/>
      <c r="I95" s="165">
        <f t="shared" si="35"/>
        <v>10</v>
      </c>
      <c r="J95" s="165">
        <f t="shared" si="35"/>
        <v>1987.6761938145162</v>
      </c>
      <c r="K95" s="179">
        <f t="shared" si="35"/>
        <v>198.76761938145162</v>
      </c>
      <c r="L95" s="413"/>
      <c r="M95" s="180">
        <f>RANK(K95, K$87:$K$101)</f>
        <v>5</v>
      </c>
      <c r="N95" s="401"/>
      <c r="O95" s="401"/>
      <c r="P95" s="165">
        <v>10</v>
      </c>
      <c r="Q95" s="165">
        <v>1939.1999999999991</v>
      </c>
      <c r="R95" s="165">
        <v>193.9199999999999</v>
      </c>
      <c r="S95" s="181">
        <f t="shared" si="36"/>
        <v>6</v>
      </c>
      <c r="T95" s="430"/>
      <c r="U95" s="165">
        <v>10</v>
      </c>
      <c r="V95" s="165">
        <v>2022.4999999999989</v>
      </c>
      <c r="W95" s="165">
        <v>202.24999999999989</v>
      </c>
      <c r="X95" s="181">
        <f t="shared" si="37"/>
        <v>5</v>
      </c>
      <c r="Y95" s="430"/>
      <c r="Z95" s="165">
        <v>10</v>
      </c>
      <c r="AA95" s="165">
        <v>2012.3595505617977</v>
      </c>
      <c r="AB95" s="165">
        <v>201.23595505617976</v>
      </c>
      <c r="AC95" s="181">
        <f t="shared" si="38"/>
        <v>5</v>
      </c>
      <c r="AD95" s="430"/>
      <c r="AE95" s="165">
        <v>10</v>
      </c>
      <c r="AF95" s="165">
        <v>1989.3506493506502</v>
      </c>
      <c r="AG95" s="165">
        <v>198.93506493506501</v>
      </c>
      <c r="AH95" s="181">
        <f t="shared" si="39"/>
        <v>5</v>
      </c>
      <c r="AI95" s="430"/>
      <c r="AJ95" s="165">
        <v>10</v>
      </c>
      <c r="AK95" s="165">
        <v>1973.1645569620262</v>
      </c>
      <c r="AL95" s="165">
        <v>197.31645569620261</v>
      </c>
      <c r="AM95" s="181">
        <f t="shared" si="40"/>
        <v>6</v>
      </c>
      <c r="AN95" s="430"/>
      <c r="AO95" s="165">
        <v>10</v>
      </c>
      <c r="AP95" s="165">
        <v>2006.9662921348329</v>
      </c>
      <c r="AQ95" s="165">
        <v>200.69662921348328</v>
      </c>
      <c r="AR95" s="181">
        <f t="shared" si="41"/>
        <v>5</v>
      </c>
      <c r="AS95" s="430"/>
      <c r="AT95" s="165">
        <v>10</v>
      </c>
      <c r="AU95" s="165">
        <v>1970.192307692309</v>
      </c>
      <c r="AV95" s="165">
        <v>197.01923076923089</v>
      </c>
      <c r="AW95" s="181">
        <f t="shared" si="42"/>
        <v>6</v>
      </c>
      <c r="AX95" s="430"/>
    </row>
    <row r="96" spans="2:50">
      <c r="B96" s="400"/>
      <c r="C96" s="181">
        <v>10</v>
      </c>
      <c r="D96" s="196" t="s">
        <v>254</v>
      </c>
      <c r="E96" s="165">
        <v>18</v>
      </c>
      <c r="F96" s="181">
        <v>1250</v>
      </c>
      <c r="G96" s="179">
        <v>69.444444444444443</v>
      </c>
      <c r="H96" s="413"/>
      <c r="I96" s="165">
        <f t="shared" si="35"/>
        <v>13</v>
      </c>
      <c r="J96" s="165">
        <f t="shared" si="35"/>
        <v>1244.4833394896427</v>
      </c>
      <c r="K96" s="179">
        <f t="shared" si="35"/>
        <v>95.729487653049418</v>
      </c>
      <c r="L96" s="413"/>
      <c r="M96" s="180">
        <f>RANK(K96, K$87:$K$101)</f>
        <v>11</v>
      </c>
      <c r="N96" s="401"/>
      <c r="O96" s="401"/>
      <c r="P96" s="165">
        <v>13</v>
      </c>
      <c r="Q96" s="165">
        <v>1248</v>
      </c>
      <c r="R96" s="165">
        <v>96</v>
      </c>
      <c r="S96" s="181">
        <f t="shared" si="36"/>
        <v>11</v>
      </c>
      <c r="T96" s="430"/>
      <c r="U96" s="165">
        <v>13</v>
      </c>
      <c r="V96" s="165">
        <v>1230</v>
      </c>
      <c r="W96" s="165">
        <v>94.615384615384613</v>
      </c>
      <c r="X96" s="181">
        <f t="shared" si="37"/>
        <v>11</v>
      </c>
      <c r="Y96" s="430"/>
      <c r="Z96" s="165">
        <v>13</v>
      </c>
      <c r="AA96" s="165">
        <v>1249.4117647058833</v>
      </c>
      <c r="AB96" s="165">
        <v>96.108597285067944</v>
      </c>
      <c r="AC96" s="181">
        <f t="shared" si="38"/>
        <v>11</v>
      </c>
      <c r="AD96" s="430"/>
      <c r="AE96" s="165">
        <v>13</v>
      </c>
      <c r="AF96" s="165">
        <v>1274.7692307692314</v>
      </c>
      <c r="AG96" s="165">
        <v>98.059171597633181</v>
      </c>
      <c r="AH96" s="181">
        <f t="shared" si="39"/>
        <v>11</v>
      </c>
      <c r="AI96" s="430"/>
      <c r="AJ96" s="165">
        <v>13</v>
      </c>
      <c r="AK96" s="165">
        <v>1180.2857142857151</v>
      </c>
      <c r="AL96" s="165">
        <v>90.791208791208859</v>
      </c>
      <c r="AM96" s="181">
        <f t="shared" si="40"/>
        <v>11</v>
      </c>
      <c r="AN96" s="430"/>
      <c r="AO96" s="165">
        <v>13</v>
      </c>
      <c r="AP96" s="165">
        <v>1274.2500000000007</v>
      </c>
      <c r="AQ96" s="165">
        <v>98.019230769230816</v>
      </c>
      <c r="AR96" s="181">
        <f t="shared" si="41"/>
        <v>11</v>
      </c>
      <c r="AS96" s="430"/>
      <c r="AT96" s="165">
        <v>13</v>
      </c>
      <c r="AU96" s="165">
        <v>1254.6666666666667</v>
      </c>
      <c r="AV96" s="165">
        <v>96.512820512820525</v>
      </c>
      <c r="AW96" s="181">
        <f t="shared" si="42"/>
        <v>11</v>
      </c>
      <c r="AX96" s="430"/>
    </row>
    <row r="97" spans="2:50">
      <c r="B97" s="400"/>
      <c r="C97" s="181">
        <v>11</v>
      </c>
      <c r="D97" s="196" t="s">
        <v>255</v>
      </c>
      <c r="E97" s="165">
        <v>4</v>
      </c>
      <c r="F97" s="181">
        <v>2000</v>
      </c>
      <c r="G97" s="179">
        <v>500</v>
      </c>
      <c r="H97" s="413"/>
      <c r="I97" s="165">
        <f t="shared" ref="I97" si="43">AVERAGE(P97,U97,Z97,AE97,AJ97,AO97,AT97)</f>
        <v>5</v>
      </c>
      <c r="J97" s="165">
        <f t="shared" ref="J97" si="44">AVERAGE(Q97,V97,AA97,AF97,AK97,AP97,AU97)</f>
        <v>2037.6727533118487</v>
      </c>
      <c r="K97" s="179">
        <f t="shared" ref="K97" si="45">AVERAGE(R97,W97,AB97,AG97,AL97,AQ97,AV97)</f>
        <v>407.53455066236978</v>
      </c>
      <c r="L97" s="413"/>
      <c r="M97" s="180">
        <f>RANK(K97, K$87:$K$101)</f>
        <v>4</v>
      </c>
      <c r="N97" s="401"/>
      <c r="O97" s="401"/>
      <c r="P97" s="165">
        <v>5</v>
      </c>
      <c r="Q97" s="165">
        <v>1849.9999999999941</v>
      </c>
      <c r="R97" s="165">
        <v>369.99999999999881</v>
      </c>
      <c r="S97" s="181">
        <f t="shared" si="36"/>
        <v>4</v>
      </c>
      <c r="T97" s="430"/>
      <c r="U97" s="165">
        <v>5</v>
      </c>
      <c r="V97" s="165">
        <v>2126.6666666666647</v>
      </c>
      <c r="W97" s="165">
        <v>425.33333333333292</v>
      </c>
      <c r="X97" s="181">
        <f t="shared" si="37"/>
        <v>2</v>
      </c>
      <c r="Y97" s="430"/>
      <c r="Z97" s="165">
        <v>5</v>
      </c>
      <c r="AA97" s="165">
        <v>2008.4210526315776</v>
      </c>
      <c r="AB97" s="165">
        <v>401.6842105263155</v>
      </c>
      <c r="AC97" s="181">
        <f t="shared" si="38"/>
        <v>4</v>
      </c>
      <c r="AD97" s="430"/>
      <c r="AE97" s="165">
        <v>5</v>
      </c>
      <c r="AF97" s="165">
        <v>2063.3333333333317</v>
      </c>
      <c r="AG97" s="165">
        <v>412.66666666666634</v>
      </c>
      <c r="AH97" s="181">
        <f t="shared" si="39"/>
        <v>4</v>
      </c>
      <c r="AI97" s="430"/>
      <c r="AJ97" s="165">
        <v>5</v>
      </c>
      <c r="AK97" s="165">
        <v>2071.4285714285706</v>
      </c>
      <c r="AL97" s="165">
        <v>414.28571428571411</v>
      </c>
      <c r="AM97" s="181">
        <f t="shared" si="40"/>
        <v>4</v>
      </c>
      <c r="AN97" s="430"/>
      <c r="AO97" s="165">
        <v>5</v>
      </c>
      <c r="AP97" s="165">
        <v>2053.3333333333317</v>
      </c>
      <c r="AQ97" s="165">
        <v>410.66666666666634</v>
      </c>
      <c r="AR97" s="181">
        <f t="shared" si="41"/>
        <v>4</v>
      </c>
      <c r="AS97" s="430"/>
      <c r="AT97" s="165">
        <v>5</v>
      </c>
      <c r="AU97" s="165">
        <v>2090.5263157894719</v>
      </c>
      <c r="AV97" s="165">
        <v>418.1052631578944</v>
      </c>
      <c r="AW97" s="181">
        <f t="shared" si="42"/>
        <v>2</v>
      </c>
      <c r="AX97" s="43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65"/>
      <c r="Q98" s="165"/>
      <c r="R98" s="165"/>
      <c r="S98" s="181" t="e">
        <f t="shared" si="36"/>
        <v>#N/A</v>
      </c>
      <c r="T98" s="430"/>
      <c r="U98" s="165"/>
      <c r="V98" s="165"/>
      <c r="W98" s="165"/>
      <c r="X98" s="181" t="e">
        <f t="shared" si="37"/>
        <v>#N/A</v>
      </c>
      <c r="Y98" s="430"/>
      <c r="Z98" s="165"/>
      <c r="AA98" s="165"/>
      <c r="AB98" s="165"/>
      <c r="AC98" s="181" t="e">
        <f t="shared" si="38"/>
        <v>#N/A</v>
      </c>
      <c r="AD98" s="430"/>
      <c r="AE98" s="165"/>
      <c r="AF98" s="165"/>
      <c r="AG98" s="165"/>
      <c r="AH98" s="181" t="e">
        <f t="shared" si="39"/>
        <v>#N/A</v>
      </c>
      <c r="AI98" s="430"/>
      <c r="AJ98" s="165"/>
      <c r="AK98" s="165"/>
      <c r="AL98" s="165"/>
      <c r="AM98" s="181" t="e">
        <f t="shared" si="40"/>
        <v>#N/A</v>
      </c>
      <c r="AN98" s="430"/>
      <c r="AO98" s="165"/>
      <c r="AP98" s="165"/>
      <c r="AQ98" s="165"/>
      <c r="AR98" s="181" t="e">
        <f t="shared" si="41"/>
        <v>#N/A</v>
      </c>
      <c r="AS98" s="430"/>
      <c r="AT98" s="165"/>
      <c r="AU98" s="165"/>
      <c r="AV98" s="179"/>
      <c r="AW98" s="181" t="e">
        <f t="shared" si="42"/>
        <v>#N/A</v>
      </c>
      <c r="AX98" s="43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65"/>
      <c r="Q99" s="165"/>
      <c r="R99" s="165"/>
      <c r="S99" s="181" t="e">
        <f t="shared" si="36"/>
        <v>#N/A</v>
      </c>
      <c r="T99" s="430"/>
      <c r="U99" s="165"/>
      <c r="V99" s="165"/>
      <c r="W99" s="165"/>
      <c r="X99" s="181" t="e">
        <f t="shared" si="37"/>
        <v>#N/A</v>
      </c>
      <c r="Y99" s="430"/>
      <c r="Z99" s="165"/>
      <c r="AA99" s="165"/>
      <c r="AB99" s="165"/>
      <c r="AC99" s="181" t="e">
        <f t="shared" si="38"/>
        <v>#N/A</v>
      </c>
      <c r="AD99" s="430"/>
      <c r="AE99" s="165"/>
      <c r="AF99" s="165"/>
      <c r="AG99" s="165"/>
      <c r="AH99" s="181" t="e">
        <f t="shared" si="39"/>
        <v>#N/A</v>
      </c>
      <c r="AI99" s="430"/>
      <c r="AJ99" s="165"/>
      <c r="AK99" s="165"/>
      <c r="AL99" s="165"/>
      <c r="AM99" s="181" t="e">
        <f t="shared" si="40"/>
        <v>#N/A</v>
      </c>
      <c r="AN99" s="430"/>
      <c r="AO99" s="165"/>
      <c r="AP99" s="165"/>
      <c r="AQ99" s="165"/>
      <c r="AR99" s="181" t="e">
        <f t="shared" si="41"/>
        <v>#N/A</v>
      </c>
      <c r="AS99" s="430"/>
      <c r="AT99" s="165"/>
      <c r="AU99" s="165"/>
      <c r="AV99" s="179"/>
      <c r="AW99" s="181" t="e">
        <f t="shared" si="42"/>
        <v>#N/A</v>
      </c>
      <c r="AX99" s="43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65"/>
      <c r="Q100" s="165"/>
      <c r="R100" s="165"/>
      <c r="S100" s="181" t="e">
        <f t="shared" si="36"/>
        <v>#N/A</v>
      </c>
      <c r="T100" s="430"/>
      <c r="U100" s="165"/>
      <c r="V100" s="165"/>
      <c r="W100" s="165"/>
      <c r="X100" s="181" t="e">
        <f t="shared" si="37"/>
        <v>#N/A</v>
      </c>
      <c r="Y100" s="430"/>
      <c r="Z100" s="165"/>
      <c r="AA100" s="165"/>
      <c r="AB100" s="165"/>
      <c r="AC100" s="181" t="e">
        <f t="shared" si="38"/>
        <v>#N/A</v>
      </c>
      <c r="AD100" s="430"/>
      <c r="AE100" s="165"/>
      <c r="AF100" s="165"/>
      <c r="AG100" s="165"/>
      <c r="AH100" s="181" t="e">
        <f t="shared" si="39"/>
        <v>#N/A</v>
      </c>
      <c r="AI100" s="430"/>
      <c r="AJ100" s="165"/>
      <c r="AK100" s="165"/>
      <c r="AL100" s="165"/>
      <c r="AM100" s="181" t="e">
        <f t="shared" si="40"/>
        <v>#N/A</v>
      </c>
      <c r="AN100" s="430"/>
      <c r="AO100" s="165"/>
      <c r="AP100" s="165"/>
      <c r="AQ100" s="165"/>
      <c r="AR100" s="181" t="e">
        <f t="shared" si="41"/>
        <v>#N/A</v>
      </c>
      <c r="AS100" s="430"/>
      <c r="AT100" s="165"/>
      <c r="AU100" s="165"/>
      <c r="AV100" s="179"/>
      <c r="AW100" s="181" t="e">
        <f t="shared" si="42"/>
        <v>#N/A</v>
      </c>
      <c r="AX100" s="43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65"/>
      <c r="Q101" s="165"/>
      <c r="R101" s="165"/>
      <c r="S101" s="181" t="e">
        <f t="shared" si="36"/>
        <v>#N/A</v>
      </c>
      <c r="T101" s="430"/>
      <c r="U101" s="165"/>
      <c r="V101" s="165"/>
      <c r="W101" s="165"/>
      <c r="X101" s="181" t="e">
        <f t="shared" si="37"/>
        <v>#N/A</v>
      </c>
      <c r="Y101" s="430"/>
      <c r="Z101" s="165"/>
      <c r="AA101" s="165"/>
      <c r="AB101" s="165"/>
      <c r="AC101" s="181" t="e">
        <f t="shared" si="38"/>
        <v>#N/A</v>
      </c>
      <c r="AD101" s="430"/>
      <c r="AE101" s="165"/>
      <c r="AF101" s="165"/>
      <c r="AG101" s="165"/>
      <c r="AH101" s="181" t="e">
        <f t="shared" si="39"/>
        <v>#N/A</v>
      </c>
      <c r="AI101" s="430"/>
      <c r="AJ101" s="165"/>
      <c r="AK101" s="165"/>
      <c r="AL101" s="165"/>
      <c r="AM101" s="181" t="e">
        <f t="shared" si="40"/>
        <v>#N/A</v>
      </c>
      <c r="AN101" s="430"/>
      <c r="AO101" s="165"/>
      <c r="AP101" s="165"/>
      <c r="AQ101" s="165"/>
      <c r="AR101" s="181" t="e">
        <f t="shared" si="41"/>
        <v>#N/A</v>
      </c>
      <c r="AS101" s="430"/>
      <c r="AT101" s="165"/>
      <c r="AU101" s="165"/>
      <c r="AV101" s="179"/>
      <c r="AW101" s="181" t="e">
        <f t="shared" si="42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29" t="s">
        <v>244</v>
      </c>
      <c r="C107" s="181">
        <v>1</v>
      </c>
      <c r="D107" s="196" t="s">
        <v>245</v>
      </c>
      <c r="E107" s="165">
        <v>4</v>
      </c>
      <c r="F107" s="181">
        <v>2000</v>
      </c>
      <c r="G107" s="179">
        <v>500</v>
      </c>
      <c r="H107" s="412">
        <f>AVERAGE(G107:G121)</f>
        <v>281.19454156954151</v>
      </c>
      <c r="I107" s="165">
        <f>AVERAGE(P107,U107,Z107,AE107,AJ107,AO107,AT107)</f>
        <v>5</v>
      </c>
      <c r="J107" s="165">
        <f>AVERAGE(Q107,V107,AA107,AF107,AK107,AP107,AU107)</f>
        <v>2056.6666666666738</v>
      </c>
      <c r="K107" s="179">
        <f>AVERAGE(R107,W107,AB107,AG107,AL107,AQ107,AV107)</f>
        <v>411.33333333333474</v>
      </c>
      <c r="L107" s="412">
        <f>IFERROR(AVERAGE(K107:K121),"-")</f>
        <v>238.73601840403774</v>
      </c>
      <c r="M107" s="180" t="e">
        <f>RANK(K107, K$87:$K$101)</f>
        <v>#N/A</v>
      </c>
      <c r="N107" s="401"/>
      <c r="O107" s="401"/>
      <c r="P107" s="165">
        <v>5</v>
      </c>
      <c r="Q107" s="165">
        <v>2056.6666666666738</v>
      </c>
      <c r="R107" s="165">
        <v>411.33333333333474</v>
      </c>
      <c r="S107" s="181">
        <f>RANK(R107, R$107:R$121)</f>
        <v>1</v>
      </c>
      <c r="T107" s="430">
        <f>AVERAGE(R107:R121)</f>
        <v>238.73601840403774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246</v>
      </c>
      <c r="E108" s="165">
        <v>4</v>
      </c>
      <c r="F108" s="181">
        <v>2000</v>
      </c>
      <c r="G108" s="179">
        <v>500</v>
      </c>
      <c r="H108" s="413"/>
      <c r="I108" s="165">
        <f t="shared" ref="I108:K118" si="46">AVERAGE(P108,U108,Z108,AE108,AJ108,AO108,AT108)</f>
        <v>5</v>
      </c>
      <c r="J108" s="165">
        <f t="shared" si="46"/>
        <v>2011.5789473684283</v>
      </c>
      <c r="K108" s="179">
        <f t="shared" si="46"/>
        <v>402.31578947368564</v>
      </c>
      <c r="L108" s="413"/>
      <c r="M108" s="180" t="e">
        <f>RANK(K108, K$87:$K$101)</f>
        <v>#N/A</v>
      </c>
      <c r="N108" s="401"/>
      <c r="O108" s="401"/>
      <c r="P108" s="165">
        <v>5</v>
      </c>
      <c r="Q108" s="165">
        <v>2011.5789473684283</v>
      </c>
      <c r="R108" s="165">
        <v>402.31578947368564</v>
      </c>
      <c r="S108" s="181">
        <f t="shared" ref="S108:S121" si="47">RANK(R108, R$107:R$121)</f>
        <v>2</v>
      </c>
      <c r="T108" s="430"/>
      <c r="X108" s="103"/>
      <c r="AC108" s="103"/>
      <c r="AH108" s="103"/>
      <c r="AM108" s="103"/>
    </row>
    <row r="109" spans="2:50">
      <c r="B109" s="400"/>
      <c r="C109" s="181">
        <v>3</v>
      </c>
      <c r="D109" s="196" t="s">
        <v>247</v>
      </c>
      <c r="E109" s="165">
        <v>4</v>
      </c>
      <c r="F109" s="181">
        <v>2000</v>
      </c>
      <c r="G109" s="179">
        <v>500</v>
      </c>
      <c r="H109" s="413"/>
      <c r="I109" s="165">
        <f t="shared" si="46"/>
        <v>5</v>
      </c>
      <c r="J109" s="165">
        <f t="shared" si="46"/>
        <v>1999.9999999999936</v>
      </c>
      <c r="K109" s="179">
        <f t="shared" si="46"/>
        <v>399.99999999999875</v>
      </c>
      <c r="L109" s="413"/>
      <c r="M109" s="180" t="e">
        <f>RANK(K109, K$87:$K$101)</f>
        <v>#N/A</v>
      </c>
      <c r="N109" s="401"/>
      <c r="O109" s="401"/>
      <c r="P109" s="165">
        <v>5</v>
      </c>
      <c r="Q109" s="165">
        <v>1999.9999999999936</v>
      </c>
      <c r="R109" s="165">
        <v>399.99999999999875</v>
      </c>
      <c r="S109" s="181">
        <f t="shared" si="47"/>
        <v>3</v>
      </c>
      <c r="T109" s="430"/>
      <c r="X109" s="103"/>
      <c r="AC109" s="103"/>
      <c r="AH109" s="103"/>
      <c r="AM109" s="103"/>
    </row>
    <row r="110" spans="2:50">
      <c r="B110" s="400"/>
      <c r="C110" s="181">
        <v>4</v>
      </c>
      <c r="D110" s="196" t="s">
        <v>248</v>
      </c>
      <c r="E110" s="165">
        <v>12</v>
      </c>
      <c r="F110" s="181">
        <v>2250</v>
      </c>
      <c r="G110" s="179">
        <v>187.5</v>
      </c>
      <c r="H110" s="413"/>
      <c r="I110" s="165">
        <f t="shared" si="46"/>
        <v>12</v>
      </c>
      <c r="J110" s="165">
        <f t="shared" si="46"/>
        <v>1985.5384615384623</v>
      </c>
      <c r="K110" s="179">
        <f t="shared" si="46"/>
        <v>165.46153846153854</v>
      </c>
      <c r="L110" s="413"/>
      <c r="M110" s="180" t="e">
        <f>RANK(K110, K$87:$K$101)</f>
        <v>#N/A</v>
      </c>
      <c r="N110" s="401"/>
      <c r="O110" s="401"/>
      <c r="P110" s="165">
        <v>12</v>
      </c>
      <c r="Q110" s="165">
        <v>1985.5384615384623</v>
      </c>
      <c r="R110" s="165">
        <v>165.46153846153854</v>
      </c>
      <c r="S110" s="181">
        <f t="shared" si="47"/>
        <v>9</v>
      </c>
      <c r="T110" s="430"/>
      <c r="X110" s="103"/>
      <c r="AC110" s="103"/>
      <c r="AH110" s="103"/>
      <c r="AM110" s="103"/>
    </row>
    <row r="111" spans="2:50">
      <c r="B111" s="400"/>
      <c r="C111" s="181">
        <v>5</v>
      </c>
      <c r="D111" s="196" t="s">
        <v>249</v>
      </c>
      <c r="E111" s="165">
        <v>11</v>
      </c>
      <c r="F111" s="181">
        <v>2118</v>
      </c>
      <c r="G111" s="179">
        <v>192.54545454545453</v>
      </c>
      <c r="H111" s="413"/>
      <c r="I111" s="165">
        <f t="shared" si="46"/>
        <v>11</v>
      </c>
      <c r="J111" s="165">
        <f t="shared" si="46"/>
        <v>2119.9999999999991</v>
      </c>
      <c r="K111" s="179">
        <f t="shared" si="46"/>
        <v>192.72727272727263</v>
      </c>
      <c r="L111" s="413"/>
      <c r="M111" s="180" t="e">
        <f>RANK(K111, K$87:$K$101)</f>
        <v>#N/A</v>
      </c>
      <c r="N111" s="401"/>
      <c r="O111" s="401"/>
      <c r="P111" s="165">
        <v>11</v>
      </c>
      <c r="Q111" s="165">
        <v>2119.9999999999991</v>
      </c>
      <c r="R111" s="165">
        <v>192.72727272727263</v>
      </c>
      <c r="S111" s="181">
        <f t="shared" si="47"/>
        <v>7</v>
      </c>
      <c r="T111" s="430"/>
      <c r="X111" s="103"/>
      <c r="AC111" s="103"/>
      <c r="AH111" s="103"/>
      <c r="AM111" s="103"/>
    </row>
    <row r="112" spans="2:50">
      <c r="B112" s="400"/>
      <c r="C112" s="181">
        <v>6</v>
      </c>
      <c r="D112" s="196" t="s">
        <v>250</v>
      </c>
      <c r="E112" s="165">
        <v>11</v>
      </c>
      <c r="F112" s="181">
        <v>2250</v>
      </c>
      <c r="G112" s="179">
        <v>204.54545454545453</v>
      </c>
      <c r="H112" s="413"/>
      <c r="I112" s="165">
        <f t="shared" si="46"/>
        <v>11</v>
      </c>
      <c r="J112" s="165">
        <f t="shared" si="46"/>
        <v>1996.8750000000005</v>
      </c>
      <c r="K112" s="179">
        <f t="shared" si="46"/>
        <v>181.53409090909096</v>
      </c>
      <c r="L112" s="413"/>
      <c r="M112" s="180" t="e">
        <f>RANK(K112, K$87:$K$101)</f>
        <v>#N/A</v>
      </c>
      <c r="N112" s="401"/>
      <c r="O112" s="401"/>
      <c r="P112" s="165">
        <v>11</v>
      </c>
      <c r="Q112" s="165">
        <v>1996.8750000000005</v>
      </c>
      <c r="R112" s="165">
        <v>181.53409090909096</v>
      </c>
      <c r="S112" s="181">
        <f t="shared" si="47"/>
        <v>8</v>
      </c>
      <c r="T112" s="430"/>
      <c r="X112" s="103"/>
      <c r="AC112" s="103"/>
      <c r="AH112" s="103"/>
      <c r="AM112" s="103"/>
    </row>
    <row r="113" spans="2:39">
      <c r="B113" s="400"/>
      <c r="C113" s="181">
        <v>7</v>
      </c>
      <c r="D113" s="196" t="s">
        <v>251</v>
      </c>
      <c r="E113" s="165">
        <v>13</v>
      </c>
      <c r="F113" s="181">
        <v>2250</v>
      </c>
      <c r="G113" s="179">
        <v>173.07692307692307</v>
      </c>
      <c r="H113" s="413"/>
      <c r="I113" s="165">
        <f t="shared" si="46"/>
        <v>13</v>
      </c>
      <c r="J113" s="165">
        <f t="shared" si="46"/>
        <v>1963.4042553191491</v>
      </c>
      <c r="K113" s="179">
        <f t="shared" si="46"/>
        <v>151.03109656301146</v>
      </c>
      <c r="L113" s="413"/>
      <c r="M113" s="180" t="e">
        <f>RANK(K113, K$87:$K$101)</f>
        <v>#N/A</v>
      </c>
      <c r="N113" s="401"/>
      <c r="O113" s="401"/>
      <c r="P113" s="165">
        <v>13</v>
      </c>
      <c r="Q113" s="165">
        <v>1963.4042553191491</v>
      </c>
      <c r="R113" s="165">
        <v>151.03109656301146</v>
      </c>
      <c r="S113" s="181">
        <f t="shared" si="47"/>
        <v>10</v>
      </c>
      <c r="T113" s="430"/>
      <c r="X113" s="103"/>
      <c r="AC113" s="103"/>
      <c r="AH113" s="103"/>
      <c r="AM113" s="103"/>
    </row>
    <row r="114" spans="2:39">
      <c r="B114" s="400"/>
      <c r="C114" s="181">
        <v>8</v>
      </c>
      <c r="D114" s="196" t="s">
        <v>252</v>
      </c>
      <c r="E114" s="165">
        <v>10</v>
      </c>
      <c r="F114" s="181">
        <v>2250</v>
      </c>
      <c r="G114" s="179">
        <v>225</v>
      </c>
      <c r="H114" s="413"/>
      <c r="I114" s="165">
        <f t="shared" si="46"/>
        <v>10</v>
      </c>
      <c r="J114" s="165">
        <f t="shared" si="46"/>
        <v>1942.9411764705858</v>
      </c>
      <c r="K114" s="179">
        <f t="shared" si="46"/>
        <v>194.29411764705858</v>
      </c>
      <c r="L114" s="413"/>
      <c r="M114" s="180" t="e">
        <f>RANK(K114, K$87:$K$101)</f>
        <v>#N/A</v>
      </c>
      <c r="N114" s="401"/>
      <c r="O114" s="401"/>
      <c r="P114" s="165">
        <v>10</v>
      </c>
      <c r="Q114" s="165">
        <v>1942.9411764705858</v>
      </c>
      <c r="R114" s="165">
        <v>194.29411764705858</v>
      </c>
      <c r="S114" s="181">
        <f t="shared" si="47"/>
        <v>6</v>
      </c>
      <c r="T114" s="430"/>
      <c r="X114" s="103"/>
      <c r="AC114" s="103"/>
      <c r="AH114" s="103"/>
      <c r="AM114" s="103"/>
    </row>
    <row r="115" spans="2:39">
      <c r="B115" s="400"/>
      <c r="C115" s="181">
        <v>9</v>
      </c>
      <c r="D115" s="196" t="s">
        <v>253</v>
      </c>
      <c r="E115" s="165">
        <v>10</v>
      </c>
      <c r="F115" s="181">
        <v>2250</v>
      </c>
      <c r="G115" s="179">
        <v>225</v>
      </c>
      <c r="H115" s="413"/>
      <c r="I115" s="165">
        <f t="shared" si="46"/>
        <v>10</v>
      </c>
      <c r="J115" s="165">
        <f t="shared" si="46"/>
        <v>2005.9793814432996</v>
      </c>
      <c r="K115" s="179">
        <f t="shared" si="46"/>
        <v>200.59793814432996</v>
      </c>
      <c r="L115" s="413"/>
      <c r="M115" s="180" t="e">
        <f>RANK(K115, K$87:$K$101)</f>
        <v>#N/A</v>
      </c>
      <c r="N115" s="401"/>
      <c r="O115" s="401"/>
      <c r="P115" s="165">
        <v>10</v>
      </c>
      <c r="Q115" s="165">
        <v>2005.9793814432996</v>
      </c>
      <c r="R115" s="165">
        <v>200.59793814432996</v>
      </c>
      <c r="S115" s="181">
        <f t="shared" si="47"/>
        <v>5</v>
      </c>
      <c r="T115" s="430"/>
      <c r="X115" s="103"/>
      <c r="AC115" s="103"/>
      <c r="AH115" s="103"/>
      <c r="AM115" s="103"/>
    </row>
    <row r="116" spans="2:39">
      <c r="B116" s="400"/>
      <c r="C116" s="181">
        <v>10</v>
      </c>
      <c r="D116" s="196" t="s">
        <v>254</v>
      </c>
      <c r="E116" s="165">
        <v>18</v>
      </c>
      <c r="F116" s="181">
        <v>1200</v>
      </c>
      <c r="G116" s="179">
        <v>66.666666666666671</v>
      </c>
      <c r="H116" s="413"/>
      <c r="I116" s="165">
        <f t="shared" si="46"/>
        <v>18</v>
      </c>
      <c r="J116" s="165">
        <f t="shared" si="46"/>
        <v>1219.7872340425529</v>
      </c>
      <c r="K116" s="179">
        <f t="shared" si="46"/>
        <v>67.7659574468085</v>
      </c>
      <c r="L116" s="413"/>
      <c r="M116" s="180" t="e">
        <f>RANK(K116, K$87:$K$101)</f>
        <v>#N/A</v>
      </c>
      <c r="N116" s="401"/>
      <c r="O116" s="401"/>
      <c r="P116" s="165">
        <v>18</v>
      </c>
      <c r="Q116" s="165">
        <v>1219.7872340425529</v>
      </c>
      <c r="R116" s="165">
        <v>67.7659574468085</v>
      </c>
      <c r="S116" s="181">
        <f t="shared" si="47"/>
        <v>12</v>
      </c>
      <c r="T116" s="430"/>
      <c r="X116" s="103"/>
      <c r="AC116" s="103"/>
      <c r="AH116" s="103"/>
      <c r="AM116" s="103"/>
    </row>
    <row r="117" spans="2:39">
      <c r="B117" s="400"/>
      <c r="C117" s="181">
        <v>11</v>
      </c>
      <c r="D117" s="196" t="s">
        <v>255</v>
      </c>
      <c r="E117" s="165">
        <v>4</v>
      </c>
      <c r="F117" s="181">
        <v>2000</v>
      </c>
      <c r="G117" s="179">
        <v>500</v>
      </c>
      <c r="H117" s="413"/>
      <c r="I117" s="165">
        <f t="shared" si="46"/>
        <v>5</v>
      </c>
      <c r="J117" s="165">
        <f t="shared" si="46"/>
        <v>1986.6666666666738</v>
      </c>
      <c r="K117" s="179">
        <f t="shared" si="46"/>
        <v>397.33333333333474</v>
      </c>
      <c r="L117" s="413"/>
      <c r="M117" s="180" t="e">
        <f>RANK(K117, K$87:$K$101)</f>
        <v>#N/A</v>
      </c>
      <c r="N117" s="401"/>
      <c r="O117" s="401"/>
      <c r="P117" s="165">
        <v>5</v>
      </c>
      <c r="Q117" s="165">
        <v>1986.6666666666738</v>
      </c>
      <c r="R117" s="165">
        <v>397.33333333333474</v>
      </c>
      <c r="S117" s="181">
        <f t="shared" si="47"/>
        <v>4</v>
      </c>
      <c r="T117" s="430"/>
      <c r="X117" s="103"/>
      <c r="AC117" s="103"/>
      <c r="AH117" s="103"/>
      <c r="AM117" s="103"/>
    </row>
    <row r="118" spans="2:39">
      <c r="B118" s="400"/>
      <c r="C118" s="181">
        <v>12</v>
      </c>
      <c r="D118" s="196" t="s">
        <v>256</v>
      </c>
      <c r="E118" s="165">
        <v>15</v>
      </c>
      <c r="F118" s="181">
        <v>1500</v>
      </c>
      <c r="G118" s="179">
        <v>100</v>
      </c>
      <c r="H118" s="413"/>
      <c r="I118" s="165">
        <f t="shared" si="46"/>
        <v>15</v>
      </c>
      <c r="J118" s="165">
        <f t="shared" si="46"/>
        <v>1506.5662921348312</v>
      </c>
      <c r="K118" s="179">
        <f t="shared" si="46"/>
        <v>100.43775280898875</v>
      </c>
      <c r="L118" s="413"/>
      <c r="M118" s="180" t="e">
        <f>RANK(K118, K$87:$K$101)</f>
        <v>#N/A</v>
      </c>
      <c r="N118" s="401"/>
      <c r="O118" s="401"/>
      <c r="P118" s="165">
        <v>15</v>
      </c>
      <c r="Q118" s="165">
        <v>1506.5662921348312</v>
      </c>
      <c r="R118" s="165">
        <v>100.43775280898875</v>
      </c>
      <c r="S118" s="181">
        <f t="shared" si="47"/>
        <v>11</v>
      </c>
      <c r="T118" s="430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81"/>
      <c r="J119" s="181"/>
      <c r="K119" s="181"/>
      <c r="L119" s="413"/>
      <c r="M119" s="180" t="e">
        <f>RANK(K119, K$87:$K$101)</f>
        <v>#N/A</v>
      </c>
      <c r="N119" s="401"/>
      <c r="O119" s="401"/>
      <c r="P119" s="165"/>
      <c r="Q119" s="165"/>
      <c r="R119" s="165"/>
      <c r="S119" s="181" t="e">
        <f t="shared" si="47"/>
        <v>#N/A</v>
      </c>
      <c r="T119" s="430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81"/>
      <c r="J120" s="181"/>
      <c r="K120" s="181"/>
      <c r="L120" s="413"/>
      <c r="M120" s="180" t="e">
        <f>RANK(K120, K$87:$K$101)</f>
        <v>#N/A</v>
      </c>
      <c r="N120" s="401"/>
      <c r="O120" s="401"/>
      <c r="P120" s="165"/>
      <c r="Q120" s="165"/>
      <c r="R120" s="165"/>
      <c r="S120" s="181" t="e">
        <f t="shared" si="47"/>
        <v>#N/A</v>
      </c>
      <c r="T120" s="430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81"/>
      <c r="J121" s="181"/>
      <c r="K121" s="181"/>
      <c r="L121" s="414"/>
      <c r="M121" s="165" t="e">
        <f>RANK(K121, K$87:$K$101)</f>
        <v>#N/A</v>
      </c>
      <c r="N121" s="401"/>
      <c r="O121" s="401"/>
      <c r="P121" s="165"/>
      <c r="Q121" s="165"/>
      <c r="R121" s="165"/>
      <c r="S121" s="181" t="e">
        <f t="shared" si="47"/>
        <v>#N/A</v>
      </c>
      <c r="T121" s="430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X124" s="103"/>
      <c r="AC124" s="103"/>
      <c r="AH124" s="103"/>
      <c r="A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</row>
    <row r="129" spans="3:14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</row>
    <row r="130" spans="3:14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</row>
    <row r="131" spans="3:14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</row>
    <row r="132" spans="3:14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</row>
    <row r="133" spans="3:14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</row>
    <row r="134" spans="3:14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</row>
    <row r="135" spans="3:14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</row>
    <row r="136" spans="3:14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</row>
    <row r="137" spans="3:14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</row>
    <row r="138" spans="3:14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</row>
    <row r="139" spans="3:14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</row>
    <row r="140" spans="3:14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</row>
    <row r="141" spans="3:14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</row>
    <row r="142" spans="3:14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CC"/>
  </sheetPr>
  <dimension ref="A1:AX142"/>
  <sheetViews>
    <sheetView topLeftCell="A73" zoomScale="60" zoomScaleNormal="6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109.37945387945386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257</v>
      </c>
      <c r="C7" s="181">
        <v>1</v>
      </c>
      <c r="D7" s="196" t="s">
        <v>258</v>
      </c>
      <c r="E7" s="165">
        <v>13</v>
      </c>
      <c r="F7" s="181">
        <v>1607.9999999999993</v>
      </c>
      <c r="G7" s="179">
        <v>123.69230769230764</v>
      </c>
      <c r="H7" s="412">
        <f>AVERAGE(G7:G21)</f>
        <v>123.69230769230764</v>
      </c>
      <c r="I7" s="165">
        <f>AVERAGE(P7,U7,Z7,AE7,AJ7,AO7,AT7)</f>
        <v>13</v>
      </c>
      <c r="J7" s="165">
        <f>AVERAGE(Q7,V7,AA7,AF7,AK7,AP7,AU7)</f>
        <v>1262.9999999999995</v>
      </c>
      <c r="K7" s="179">
        <f>AVERAGE(R7,W7,AB7,AG7,AL7,AQ7,AV7)</f>
        <v>97.153846153846118</v>
      </c>
      <c r="L7" s="412">
        <f>IFERROR(AVERAGE(K7:K21),"-")</f>
        <v>97.153846153846118</v>
      </c>
      <c r="M7" s="180">
        <f>RANK(K7, K$7:$K$21)</f>
        <v>1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81">
        <v>13</v>
      </c>
      <c r="AU7" s="165">
        <v>1262.9999999999995</v>
      </c>
      <c r="AV7" s="179">
        <v>97.153846153846118</v>
      </c>
      <c r="AW7" s="181">
        <f t="shared" ref="AW7:AW21" si="0">RANK(AV7, AV$7:AV$21)</f>
        <v>1</v>
      </c>
      <c r="AX7" s="430">
        <f>AVERAGE(AV7:AV21)</f>
        <v>97.153846153846118</v>
      </c>
    </row>
    <row r="8" spans="1:50" ht="15" customHeight="1">
      <c r="A8" s="79"/>
      <c r="B8" s="400"/>
      <c r="C8" s="181">
        <v>2</v>
      </c>
      <c r="D8" s="196"/>
      <c r="E8" s="165"/>
      <c r="F8" s="181"/>
      <c r="G8" s="179"/>
      <c r="H8" s="413"/>
      <c r="I8" s="165"/>
      <c r="J8" s="165"/>
      <c r="K8" s="179"/>
      <c r="L8" s="413"/>
      <c r="M8" s="180" t="e">
        <f>RANK(K8, K$7:$K$21)</f>
        <v>#N/A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81"/>
      <c r="AU8" s="181"/>
      <c r="AV8" s="181"/>
      <c r="AW8" s="181" t="e">
        <f t="shared" si="0"/>
        <v>#N/A</v>
      </c>
      <c r="AX8" s="430"/>
    </row>
    <row r="9" spans="1:50">
      <c r="A9" s="79"/>
      <c r="B9" s="400"/>
      <c r="C9" s="181">
        <v>3</v>
      </c>
      <c r="D9" s="196"/>
      <c r="E9" s="165"/>
      <c r="F9" s="181"/>
      <c r="G9" s="179"/>
      <c r="H9" s="413"/>
      <c r="I9" s="165"/>
      <c r="J9" s="165"/>
      <c r="K9" s="179"/>
      <c r="L9" s="413"/>
      <c r="M9" s="180" t="e">
        <f>RANK(K9, K$7:$K$21)</f>
        <v>#N/A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81"/>
      <c r="AU9" s="181"/>
      <c r="AV9" s="181"/>
      <c r="AW9" s="181" t="e">
        <f t="shared" si="0"/>
        <v>#N/A</v>
      </c>
      <c r="AX9" s="430"/>
    </row>
    <row r="10" spans="1:50">
      <c r="A10" s="79"/>
      <c r="B10" s="400"/>
      <c r="C10" s="181">
        <v>4</v>
      </c>
      <c r="D10" s="196"/>
      <c r="E10" s="165"/>
      <c r="F10" s="181"/>
      <c r="G10" s="179"/>
      <c r="H10" s="413"/>
      <c r="I10" s="165"/>
      <c r="J10" s="165"/>
      <c r="K10" s="179"/>
      <c r="L10" s="413"/>
      <c r="M10" s="180" t="e">
        <f>RANK(K10, K$7:$K$21)</f>
        <v>#N/A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81"/>
      <c r="AU10" s="181"/>
      <c r="AV10" s="181"/>
      <c r="AW10" s="181" t="e">
        <f t="shared" si="0"/>
        <v>#N/A</v>
      </c>
      <c r="AX10" s="430"/>
    </row>
    <row r="11" spans="1:50">
      <c r="A11" s="79"/>
      <c r="B11" s="400"/>
      <c r="C11" s="181">
        <v>5</v>
      </c>
      <c r="D11" s="196"/>
      <c r="E11" s="165"/>
      <c r="F11" s="181"/>
      <c r="G11" s="179"/>
      <c r="H11" s="413"/>
      <c r="I11" s="165"/>
      <c r="J11" s="165"/>
      <c r="K11" s="179"/>
      <c r="L11" s="413"/>
      <c r="M11" s="180" t="e">
        <f>RANK(K11, K$7:$K$21)</f>
        <v>#N/A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81"/>
      <c r="AU11" s="181"/>
      <c r="AV11" s="181"/>
      <c r="AW11" s="181" t="e">
        <f t="shared" si="0"/>
        <v>#N/A</v>
      </c>
      <c r="AX11" s="430"/>
    </row>
    <row r="12" spans="1:50">
      <c r="A12" s="79"/>
      <c r="B12" s="400"/>
      <c r="C12" s="181">
        <v>6</v>
      </c>
      <c r="D12" s="196"/>
      <c r="E12" s="165"/>
      <c r="F12" s="181"/>
      <c r="G12" s="179"/>
      <c r="H12" s="413"/>
      <c r="I12" s="165"/>
      <c r="J12" s="165"/>
      <c r="K12" s="179"/>
      <c r="L12" s="413"/>
      <c r="M12" s="180" t="e">
        <f>RANK(K12, K$7:$K$21)</f>
        <v>#N/A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81"/>
      <c r="AU12" s="181"/>
      <c r="AV12" s="181"/>
      <c r="AW12" s="181" t="e">
        <f t="shared" si="0"/>
        <v>#N/A</v>
      </c>
      <c r="AX12" s="430"/>
    </row>
    <row r="13" spans="1:50">
      <c r="A13" s="79"/>
      <c r="B13" s="400"/>
      <c r="C13" s="181">
        <v>7</v>
      </c>
      <c r="D13" s="196"/>
      <c r="E13" s="165"/>
      <c r="F13" s="181"/>
      <c r="G13" s="179"/>
      <c r="H13" s="413"/>
      <c r="I13" s="165"/>
      <c r="J13" s="165"/>
      <c r="K13" s="179"/>
      <c r="L13" s="413"/>
      <c r="M13" s="180" t="e">
        <f>RANK(K13, K$7:$K$21)</f>
        <v>#N/A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81"/>
      <c r="AU13" s="181"/>
      <c r="AV13" s="181"/>
      <c r="AW13" s="181" t="e">
        <f t="shared" si="0"/>
        <v>#N/A</v>
      </c>
      <c r="AX13" s="430"/>
    </row>
    <row r="14" spans="1:50">
      <c r="A14" s="79"/>
      <c r="B14" s="400"/>
      <c r="C14" s="181">
        <v>8</v>
      </c>
      <c r="D14" s="196"/>
      <c r="E14" s="165"/>
      <c r="F14" s="181"/>
      <c r="G14" s="179"/>
      <c r="H14" s="413"/>
      <c r="I14" s="165"/>
      <c r="J14" s="165"/>
      <c r="K14" s="179"/>
      <c r="L14" s="413"/>
      <c r="M14" s="180" t="e">
        <f>RANK(K14, K$7:$K$21)</f>
        <v>#N/A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81"/>
      <c r="AU14" s="181"/>
      <c r="AV14" s="181"/>
      <c r="AW14" s="181" t="e">
        <f t="shared" si="0"/>
        <v>#N/A</v>
      </c>
      <c r="AX14" s="430"/>
    </row>
    <row r="15" spans="1:50">
      <c r="A15" s="79"/>
      <c r="B15" s="400"/>
      <c r="C15" s="181">
        <v>9</v>
      </c>
      <c r="D15" s="196"/>
      <c r="E15" s="165"/>
      <c r="F15" s="181"/>
      <c r="G15" s="179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81"/>
      <c r="AU15" s="181"/>
      <c r="AV15" s="181"/>
      <c r="AW15" s="181" t="e">
        <f t="shared" si="0"/>
        <v>#N/A</v>
      </c>
      <c r="AX15" s="430"/>
    </row>
    <row r="16" spans="1:50">
      <c r="A16" s="79"/>
      <c r="B16" s="400"/>
      <c r="C16" s="181">
        <v>10</v>
      </c>
      <c r="D16" s="196"/>
      <c r="E16" s="165"/>
      <c r="F16" s="181"/>
      <c r="G16" s="179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81"/>
      <c r="AU16" s="181"/>
      <c r="AV16" s="181"/>
      <c r="AW16" s="181" t="e">
        <f t="shared" si="0"/>
        <v>#N/A</v>
      </c>
      <c r="AX16" s="43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81"/>
      <c r="AU17" s="181"/>
      <c r="AV17" s="181"/>
      <c r="AW17" s="181" t="e">
        <f t="shared" si="0"/>
        <v>#N/A</v>
      </c>
      <c r="AX17" s="43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81"/>
      <c r="AU18" s="181"/>
      <c r="AV18" s="181"/>
      <c r="AW18" s="181" t="e">
        <f t="shared" si="0"/>
        <v>#N/A</v>
      </c>
      <c r="AX18" s="43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81"/>
      <c r="AU19" s="181"/>
      <c r="AV19" s="181"/>
      <c r="AW19" s="181" t="e">
        <f t="shared" si="0"/>
        <v>#N/A</v>
      </c>
      <c r="AX19" s="43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81"/>
      <c r="AU20" s="181"/>
      <c r="AV20" s="181"/>
      <c r="AW20" s="181" t="e">
        <f t="shared" si="0"/>
        <v>#N/A</v>
      </c>
      <c r="AX20" s="43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81"/>
      <c r="AU21" s="181"/>
      <c r="AV21" s="181"/>
      <c r="AW21" s="181" t="e">
        <f t="shared" si="0"/>
        <v>#N/A</v>
      </c>
      <c r="AX21" s="430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01" t="s">
        <v>257</v>
      </c>
      <c r="C27" s="181">
        <v>1</v>
      </c>
      <c r="D27" s="196" t="s">
        <v>258</v>
      </c>
      <c r="E27" s="165">
        <v>13</v>
      </c>
      <c r="F27" s="181">
        <v>1607.9999999999993</v>
      </c>
      <c r="G27" s="179">
        <v>123.69230769230764</v>
      </c>
      <c r="H27" s="412">
        <f>AVERAGE(G27:G41)</f>
        <v>123.69230769230764</v>
      </c>
      <c r="I27" s="165">
        <f>AVERAGE(P27,U27,Z27,AE27,AJ27,AO27,AT27)</f>
        <v>13</v>
      </c>
      <c r="J27" s="165">
        <f>AVERAGE(Q27,V27,AA27,AF27,AK27,AP27,AU27)</f>
        <v>1368.2000000000005</v>
      </c>
      <c r="K27" s="179">
        <f>AVERAGE(R27,W27,AB27,AG27,AL27,AQ27,AV27)</f>
        <v>105.24615384615387</v>
      </c>
      <c r="L27" s="412">
        <f>IFERROR(AVERAGE(K27:K41),"-")</f>
        <v>105.24615384615387</v>
      </c>
      <c r="M27" s="180">
        <f>RANK(K27, K$27:$K$41)</f>
        <v>1</v>
      </c>
      <c r="N27" s="401"/>
      <c r="O27" s="401"/>
      <c r="P27" s="181">
        <v>13</v>
      </c>
      <c r="Q27" s="165">
        <v>1386.000000000005</v>
      </c>
      <c r="R27" s="179">
        <v>106.615384615385</v>
      </c>
      <c r="S27" s="181">
        <f t="shared" ref="S27:S41" si="1">RANK(R27, R$27:R$41)</f>
        <v>1</v>
      </c>
      <c r="T27" s="430">
        <f>AVERAGE(R27:R41)</f>
        <v>106.615384615385</v>
      </c>
      <c r="U27" s="181">
        <v>13</v>
      </c>
      <c r="V27" s="165">
        <v>1295.9999999999943</v>
      </c>
      <c r="W27" s="179">
        <v>99.692307692307253</v>
      </c>
      <c r="X27" s="181">
        <f t="shared" ref="X27:X41" si="2">RANK(W27, W$27:W$41)</f>
        <v>1</v>
      </c>
      <c r="Y27" s="430">
        <f>AVERAGE(W27:W41)</f>
        <v>99.692307692307253</v>
      </c>
      <c r="Z27" s="181">
        <v>13</v>
      </c>
      <c r="AA27" s="165">
        <v>1265.9999999999995</v>
      </c>
      <c r="AB27" s="179">
        <v>97.384615384615344</v>
      </c>
      <c r="AC27" s="181">
        <f t="shared" ref="AC27:AC41" si="3">RANK(AB27, AB$27:AB$41)</f>
        <v>1</v>
      </c>
      <c r="AD27" s="430">
        <f>AVERAGE(AB27:AB41)</f>
        <v>97.384615384615344</v>
      </c>
      <c r="AE27" s="181">
        <v>13</v>
      </c>
      <c r="AF27" s="165">
        <v>1484.0000000000052</v>
      </c>
      <c r="AG27" s="179">
        <v>114.15384615384656</v>
      </c>
      <c r="AH27" s="181">
        <f t="shared" ref="AH27:AH41" si="4">RANK(AG27, AG$27:AG$41)</f>
        <v>1</v>
      </c>
      <c r="AI27" s="430">
        <f>AVERAGE(AG27:AG41)</f>
        <v>114.15384615384656</v>
      </c>
      <c r="AJ27" s="181">
        <v>13</v>
      </c>
      <c r="AK27" s="165">
        <v>1223.9999999999995</v>
      </c>
      <c r="AL27" s="179">
        <v>94.153846153846118</v>
      </c>
      <c r="AM27" s="181">
        <f t="shared" ref="AM27:AM41" si="5">RANK(AL27, AL$27:AL$41)</f>
        <v>1</v>
      </c>
      <c r="AN27" s="430">
        <f>AVERAGE(AL27:AL41)</f>
        <v>94.153846153846118</v>
      </c>
      <c r="AO27" s="181">
        <v>13</v>
      </c>
      <c r="AP27" s="165">
        <v>1346.4000000000003</v>
      </c>
      <c r="AQ27" s="179">
        <v>103.5692307692308</v>
      </c>
      <c r="AR27" s="181">
        <f t="shared" ref="AR27:AR41" si="6">RANK(AQ27, AQ$27:AQ$41)</f>
        <v>1</v>
      </c>
      <c r="AS27" s="430">
        <f>AVERAGE(AQ27:AQ41)</f>
        <v>103.5692307692308</v>
      </c>
      <c r="AT27" s="181">
        <v>13</v>
      </c>
      <c r="AU27" s="165">
        <v>1574.9999999999993</v>
      </c>
      <c r="AV27" s="179">
        <v>121.1538461538461</v>
      </c>
      <c r="AW27" s="181">
        <f t="shared" ref="AW27:AW41" si="7">RANK(AV27, AV$27:AV$41)</f>
        <v>1</v>
      </c>
      <c r="AX27" s="430">
        <f>AVERAGE(AV27:AV41)</f>
        <v>121.1538461538461</v>
      </c>
    </row>
    <row r="28" spans="2:50">
      <c r="B28" s="400"/>
      <c r="C28" s="181">
        <v>2</v>
      </c>
      <c r="D28" s="196"/>
      <c r="E28" s="165"/>
      <c r="F28" s="181"/>
      <c r="G28" s="179"/>
      <c r="H28" s="413"/>
      <c r="I28" s="165"/>
      <c r="J28" s="165"/>
      <c r="K28" s="179"/>
      <c r="L28" s="413"/>
      <c r="M28" s="180" t="e">
        <f>RANK(K28, K$27:$K$41)</f>
        <v>#N/A</v>
      </c>
      <c r="N28" s="401"/>
      <c r="O28" s="401"/>
      <c r="P28" s="181"/>
      <c r="Q28" s="181"/>
      <c r="R28" s="181"/>
      <c r="S28" s="181" t="e">
        <f t="shared" si="1"/>
        <v>#N/A</v>
      </c>
      <c r="T28" s="430"/>
      <c r="U28" s="181"/>
      <c r="V28" s="181"/>
      <c r="W28" s="181"/>
      <c r="X28" s="181" t="e">
        <f t="shared" si="2"/>
        <v>#N/A</v>
      </c>
      <c r="Y28" s="430"/>
      <c r="Z28" s="181"/>
      <c r="AA28" s="181"/>
      <c r="AB28" s="181"/>
      <c r="AC28" s="181" t="e">
        <f t="shared" si="3"/>
        <v>#N/A</v>
      </c>
      <c r="AD28" s="430"/>
      <c r="AE28" s="181"/>
      <c r="AF28" s="181"/>
      <c r="AG28" s="181"/>
      <c r="AH28" s="181" t="e">
        <f t="shared" si="4"/>
        <v>#N/A</v>
      </c>
      <c r="AI28" s="430"/>
      <c r="AJ28" s="181"/>
      <c r="AK28" s="181"/>
      <c r="AL28" s="181"/>
      <c r="AM28" s="181" t="e">
        <f t="shared" si="5"/>
        <v>#N/A</v>
      </c>
      <c r="AN28" s="430"/>
      <c r="AO28" s="181"/>
      <c r="AP28" s="181"/>
      <c r="AQ28" s="181"/>
      <c r="AR28" s="181" t="e">
        <f t="shared" si="6"/>
        <v>#N/A</v>
      </c>
      <c r="AS28" s="430"/>
      <c r="AT28" s="181"/>
      <c r="AU28" s="181"/>
      <c r="AV28" s="181"/>
      <c r="AW28" s="181" t="e">
        <f t="shared" si="7"/>
        <v>#N/A</v>
      </c>
      <c r="AX28" s="430"/>
    </row>
    <row r="29" spans="2:50">
      <c r="B29" s="400"/>
      <c r="C29" s="181">
        <v>3</v>
      </c>
      <c r="D29" s="196"/>
      <c r="E29" s="165"/>
      <c r="F29" s="181"/>
      <c r="G29" s="179"/>
      <c r="H29" s="413"/>
      <c r="I29" s="165"/>
      <c r="J29" s="165"/>
      <c r="K29" s="179"/>
      <c r="L29" s="413"/>
      <c r="M29" s="180" t="e">
        <f>RANK(K29, K$27:$K$41)</f>
        <v>#N/A</v>
      </c>
      <c r="N29" s="401"/>
      <c r="O29" s="401"/>
      <c r="P29" s="181"/>
      <c r="Q29" s="181"/>
      <c r="R29" s="181"/>
      <c r="S29" s="181" t="e">
        <f t="shared" si="1"/>
        <v>#N/A</v>
      </c>
      <c r="T29" s="430"/>
      <c r="U29" s="181"/>
      <c r="V29" s="181"/>
      <c r="W29" s="181"/>
      <c r="X29" s="181" t="e">
        <f t="shared" si="2"/>
        <v>#N/A</v>
      </c>
      <c r="Y29" s="430"/>
      <c r="Z29" s="181"/>
      <c r="AA29" s="181"/>
      <c r="AB29" s="181"/>
      <c r="AC29" s="181" t="e">
        <f t="shared" si="3"/>
        <v>#N/A</v>
      </c>
      <c r="AD29" s="430"/>
      <c r="AE29" s="181"/>
      <c r="AF29" s="181"/>
      <c r="AG29" s="181"/>
      <c r="AH29" s="181" t="e">
        <f t="shared" si="4"/>
        <v>#N/A</v>
      </c>
      <c r="AI29" s="430"/>
      <c r="AJ29" s="181"/>
      <c r="AK29" s="181"/>
      <c r="AL29" s="181"/>
      <c r="AM29" s="181" t="e">
        <f t="shared" si="5"/>
        <v>#N/A</v>
      </c>
      <c r="AN29" s="430"/>
      <c r="AO29" s="181"/>
      <c r="AP29" s="181"/>
      <c r="AQ29" s="181"/>
      <c r="AR29" s="181" t="e">
        <f t="shared" si="6"/>
        <v>#N/A</v>
      </c>
      <c r="AS29" s="430"/>
      <c r="AT29" s="181"/>
      <c r="AU29" s="181"/>
      <c r="AV29" s="181"/>
      <c r="AW29" s="181" t="e">
        <f t="shared" si="7"/>
        <v>#N/A</v>
      </c>
      <c r="AX29" s="430"/>
    </row>
    <row r="30" spans="2:50">
      <c r="B30" s="400"/>
      <c r="C30" s="181">
        <v>4</v>
      </c>
      <c r="D30" s="196"/>
      <c r="E30" s="165"/>
      <c r="F30" s="181"/>
      <c r="G30" s="179"/>
      <c r="H30" s="413"/>
      <c r="I30" s="165"/>
      <c r="J30" s="165"/>
      <c r="K30" s="179"/>
      <c r="L30" s="413"/>
      <c r="M30" s="180" t="e">
        <f>RANK(K30, K$27:$K$41)</f>
        <v>#N/A</v>
      </c>
      <c r="N30" s="401"/>
      <c r="O30" s="401"/>
      <c r="P30" s="181"/>
      <c r="Q30" s="181"/>
      <c r="R30" s="181"/>
      <c r="S30" s="181" t="e">
        <f t="shared" si="1"/>
        <v>#N/A</v>
      </c>
      <c r="T30" s="430"/>
      <c r="U30" s="181"/>
      <c r="V30" s="181"/>
      <c r="W30" s="181"/>
      <c r="X30" s="181" t="e">
        <f t="shared" si="2"/>
        <v>#N/A</v>
      </c>
      <c r="Y30" s="430"/>
      <c r="Z30" s="181"/>
      <c r="AA30" s="181"/>
      <c r="AB30" s="181"/>
      <c r="AC30" s="181" t="e">
        <f t="shared" si="3"/>
        <v>#N/A</v>
      </c>
      <c r="AD30" s="430"/>
      <c r="AE30" s="181"/>
      <c r="AF30" s="181"/>
      <c r="AG30" s="181"/>
      <c r="AH30" s="181" t="e">
        <f t="shared" si="4"/>
        <v>#N/A</v>
      </c>
      <c r="AI30" s="430"/>
      <c r="AJ30" s="181"/>
      <c r="AK30" s="181"/>
      <c r="AL30" s="181"/>
      <c r="AM30" s="181" t="e">
        <f t="shared" si="5"/>
        <v>#N/A</v>
      </c>
      <c r="AN30" s="430"/>
      <c r="AO30" s="181"/>
      <c r="AP30" s="181"/>
      <c r="AQ30" s="181"/>
      <c r="AR30" s="181" t="e">
        <f t="shared" si="6"/>
        <v>#N/A</v>
      </c>
      <c r="AS30" s="430"/>
      <c r="AT30" s="181"/>
      <c r="AU30" s="181"/>
      <c r="AV30" s="181"/>
      <c r="AW30" s="181" t="e">
        <f t="shared" si="7"/>
        <v>#N/A</v>
      </c>
      <c r="AX30" s="430"/>
    </row>
    <row r="31" spans="2:50">
      <c r="B31" s="400"/>
      <c r="C31" s="181">
        <v>5</v>
      </c>
      <c r="D31" s="196"/>
      <c r="E31" s="165"/>
      <c r="F31" s="181"/>
      <c r="G31" s="179"/>
      <c r="H31" s="413"/>
      <c r="I31" s="165"/>
      <c r="J31" s="165"/>
      <c r="K31" s="179"/>
      <c r="L31" s="413"/>
      <c r="M31" s="180" t="e">
        <f>RANK(K31, K$27:$K$41)</f>
        <v>#N/A</v>
      </c>
      <c r="N31" s="401"/>
      <c r="O31" s="401"/>
      <c r="P31" s="181"/>
      <c r="Q31" s="181"/>
      <c r="R31" s="181"/>
      <c r="S31" s="181" t="e">
        <f t="shared" si="1"/>
        <v>#N/A</v>
      </c>
      <c r="T31" s="430"/>
      <c r="U31" s="181"/>
      <c r="V31" s="181"/>
      <c r="W31" s="181"/>
      <c r="X31" s="181" t="e">
        <f t="shared" si="2"/>
        <v>#N/A</v>
      </c>
      <c r="Y31" s="430"/>
      <c r="Z31" s="181"/>
      <c r="AA31" s="181"/>
      <c r="AB31" s="181"/>
      <c r="AC31" s="181" t="e">
        <f t="shared" si="3"/>
        <v>#N/A</v>
      </c>
      <c r="AD31" s="430"/>
      <c r="AE31" s="181"/>
      <c r="AF31" s="181"/>
      <c r="AG31" s="181"/>
      <c r="AH31" s="181" t="e">
        <f t="shared" si="4"/>
        <v>#N/A</v>
      </c>
      <c r="AI31" s="430"/>
      <c r="AJ31" s="181"/>
      <c r="AK31" s="181"/>
      <c r="AL31" s="181"/>
      <c r="AM31" s="181" t="e">
        <f t="shared" si="5"/>
        <v>#N/A</v>
      </c>
      <c r="AN31" s="430"/>
      <c r="AO31" s="181"/>
      <c r="AP31" s="181"/>
      <c r="AQ31" s="181"/>
      <c r="AR31" s="181" t="e">
        <f t="shared" si="6"/>
        <v>#N/A</v>
      </c>
      <c r="AS31" s="430"/>
      <c r="AT31" s="181"/>
      <c r="AU31" s="181"/>
      <c r="AV31" s="181"/>
      <c r="AW31" s="181" t="e">
        <f t="shared" si="7"/>
        <v>#N/A</v>
      </c>
      <c r="AX31" s="430"/>
    </row>
    <row r="32" spans="2:50">
      <c r="B32" s="400"/>
      <c r="C32" s="181">
        <v>6</v>
      </c>
      <c r="D32" s="196"/>
      <c r="E32" s="165"/>
      <c r="F32" s="181"/>
      <c r="G32" s="179"/>
      <c r="H32" s="413"/>
      <c r="I32" s="165"/>
      <c r="J32" s="165"/>
      <c r="K32" s="179"/>
      <c r="L32" s="413"/>
      <c r="M32" s="180" t="e">
        <f>RANK(K32, K$27:$K$41)</f>
        <v>#N/A</v>
      </c>
      <c r="N32" s="401"/>
      <c r="O32" s="401"/>
      <c r="P32" s="181"/>
      <c r="Q32" s="181"/>
      <c r="R32" s="181"/>
      <c r="S32" s="181" t="e">
        <f t="shared" si="1"/>
        <v>#N/A</v>
      </c>
      <c r="T32" s="430"/>
      <c r="U32" s="181"/>
      <c r="V32" s="181"/>
      <c r="W32" s="181"/>
      <c r="X32" s="181" t="e">
        <f t="shared" si="2"/>
        <v>#N/A</v>
      </c>
      <c r="Y32" s="430"/>
      <c r="Z32" s="181"/>
      <c r="AA32" s="181"/>
      <c r="AB32" s="181"/>
      <c r="AC32" s="181" t="e">
        <f t="shared" si="3"/>
        <v>#N/A</v>
      </c>
      <c r="AD32" s="430"/>
      <c r="AE32" s="181"/>
      <c r="AF32" s="181"/>
      <c r="AG32" s="181"/>
      <c r="AH32" s="181" t="e">
        <f t="shared" si="4"/>
        <v>#N/A</v>
      </c>
      <c r="AI32" s="430"/>
      <c r="AJ32" s="181"/>
      <c r="AK32" s="181"/>
      <c r="AL32" s="181"/>
      <c r="AM32" s="181" t="e">
        <f t="shared" si="5"/>
        <v>#N/A</v>
      </c>
      <c r="AN32" s="430"/>
      <c r="AO32" s="181"/>
      <c r="AP32" s="181"/>
      <c r="AQ32" s="181"/>
      <c r="AR32" s="181" t="e">
        <f t="shared" si="6"/>
        <v>#N/A</v>
      </c>
      <c r="AS32" s="430"/>
      <c r="AT32" s="181"/>
      <c r="AU32" s="181"/>
      <c r="AV32" s="181"/>
      <c r="AW32" s="181" t="e">
        <f t="shared" si="7"/>
        <v>#N/A</v>
      </c>
      <c r="AX32" s="430"/>
    </row>
    <row r="33" spans="2:50">
      <c r="B33" s="400"/>
      <c r="C33" s="181">
        <v>7</v>
      </c>
      <c r="D33" s="196"/>
      <c r="E33" s="165"/>
      <c r="F33" s="181"/>
      <c r="G33" s="179"/>
      <c r="H33" s="413"/>
      <c r="I33" s="165"/>
      <c r="J33" s="165"/>
      <c r="K33" s="179"/>
      <c r="L33" s="413"/>
      <c r="M33" s="180" t="e">
        <f>RANK(K33, K$27:$K$41)</f>
        <v>#N/A</v>
      </c>
      <c r="N33" s="401"/>
      <c r="O33" s="401"/>
      <c r="P33" s="181"/>
      <c r="Q33" s="181"/>
      <c r="R33" s="181"/>
      <c r="S33" s="181" t="e">
        <f t="shared" si="1"/>
        <v>#N/A</v>
      </c>
      <c r="T33" s="430"/>
      <c r="U33" s="181"/>
      <c r="V33" s="181"/>
      <c r="W33" s="181"/>
      <c r="X33" s="181" t="e">
        <f t="shared" si="2"/>
        <v>#N/A</v>
      </c>
      <c r="Y33" s="430"/>
      <c r="Z33" s="181"/>
      <c r="AA33" s="181"/>
      <c r="AB33" s="181"/>
      <c r="AC33" s="181" t="e">
        <f t="shared" si="3"/>
        <v>#N/A</v>
      </c>
      <c r="AD33" s="430"/>
      <c r="AE33" s="181"/>
      <c r="AF33" s="181"/>
      <c r="AG33" s="181"/>
      <c r="AH33" s="181" t="e">
        <f t="shared" si="4"/>
        <v>#N/A</v>
      </c>
      <c r="AI33" s="430"/>
      <c r="AJ33" s="181"/>
      <c r="AK33" s="181"/>
      <c r="AL33" s="181"/>
      <c r="AM33" s="181" t="e">
        <f t="shared" si="5"/>
        <v>#N/A</v>
      </c>
      <c r="AN33" s="430"/>
      <c r="AO33" s="181"/>
      <c r="AP33" s="181"/>
      <c r="AQ33" s="181"/>
      <c r="AR33" s="181" t="e">
        <f t="shared" si="6"/>
        <v>#N/A</v>
      </c>
      <c r="AS33" s="430"/>
      <c r="AT33" s="181"/>
      <c r="AU33" s="181"/>
      <c r="AV33" s="181"/>
      <c r="AW33" s="181" t="e">
        <f t="shared" si="7"/>
        <v>#N/A</v>
      </c>
      <c r="AX33" s="430"/>
    </row>
    <row r="34" spans="2:50">
      <c r="B34" s="400"/>
      <c r="C34" s="181">
        <v>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80" t="e">
        <f>RANK(K34, K$27:$K$41)</f>
        <v>#N/A</v>
      </c>
      <c r="N34" s="401"/>
      <c r="O34" s="401"/>
      <c r="P34" s="181"/>
      <c r="Q34" s="181"/>
      <c r="R34" s="181"/>
      <c r="S34" s="181" t="e">
        <f t="shared" si="1"/>
        <v>#N/A</v>
      </c>
      <c r="T34" s="430"/>
      <c r="U34" s="181"/>
      <c r="V34" s="181"/>
      <c r="W34" s="181"/>
      <c r="X34" s="181" t="e">
        <f t="shared" si="2"/>
        <v>#N/A</v>
      </c>
      <c r="Y34" s="430"/>
      <c r="Z34" s="181"/>
      <c r="AA34" s="181"/>
      <c r="AB34" s="181"/>
      <c r="AC34" s="181" t="e">
        <f t="shared" si="3"/>
        <v>#N/A</v>
      </c>
      <c r="AD34" s="430"/>
      <c r="AE34" s="181"/>
      <c r="AF34" s="181"/>
      <c r="AG34" s="181"/>
      <c r="AH34" s="181" t="e">
        <f t="shared" si="4"/>
        <v>#N/A</v>
      </c>
      <c r="AI34" s="430"/>
      <c r="AJ34" s="181"/>
      <c r="AK34" s="181"/>
      <c r="AL34" s="181"/>
      <c r="AM34" s="181" t="e">
        <f t="shared" si="5"/>
        <v>#N/A</v>
      </c>
      <c r="AN34" s="430"/>
      <c r="AO34" s="181"/>
      <c r="AP34" s="181"/>
      <c r="AQ34" s="181"/>
      <c r="AR34" s="181" t="e">
        <f t="shared" si="6"/>
        <v>#N/A</v>
      </c>
      <c r="AS34" s="430"/>
      <c r="AT34" s="181"/>
      <c r="AU34" s="181"/>
      <c r="AV34" s="181"/>
      <c r="AW34" s="181" t="e">
        <f t="shared" si="7"/>
        <v>#N/A</v>
      </c>
      <c r="AX34" s="430"/>
    </row>
    <row r="35" spans="2:50">
      <c r="B35" s="400"/>
      <c r="C35" s="181">
        <v>9</v>
      </c>
      <c r="D35" s="196"/>
      <c r="E35" s="165"/>
      <c r="F35" s="181"/>
      <c r="G35" s="179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81"/>
      <c r="Q35" s="181"/>
      <c r="R35" s="181"/>
      <c r="S35" s="181" t="e">
        <f t="shared" si="1"/>
        <v>#N/A</v>
      </c>
      <c r="T35" s="430"/>
      <c r="U35" s="181"/>
      <c r="V35" s="181"/>
      <c r="W35" s="181"/>
      <c r="X35" s="181" t="e">
        <f t="shared" si="2"/>
        <v>#N/A</v>
      </c>
      <c r="Y35" s="430"/>
      <c r="Z35" s="181"/>
      <c r="AA35" s="181"/>
      <c r="AB35" s="181"/>
      <c r="AC35" s="181" t="e">
        <f t="shared" si="3"/>
        <v>#N/A</v>
      </c>
      <c r="AD35" s="430"/>
      <c r="AE35" s="181"/>
      <c r="AF35" s="181"/>
      <c r="AG35" s="181"/>
      <c r="AH35" s="181" t="e">
        <f t="shared" si="4"/>
        <v>#N/A</v>
      </c>
      <c r="AI35" s="430"/>
      <c r="AJ35" s="181"/>
      <c r="AK35" s="181"/>
      <c r="AL35" s="181"/>
      <c r="AM35" s="181" t="e">
        <f t="shared" si="5"/>
        <v>#N/A</v>
      </c>
      <c r="AN35" s="430"/>
      <c r="AO35" s="181"/>
      <c r="AP35" s="181"/>
      <c r="AQ35" s="181"/>
      <c r="AR35" s="181" t="e">
        <f t="shared" si="6"/>
        <v>#N/A</v>
      </c>
      <c r="AS35" s="430"/>
      <c r="AT35" s="181"/>
      <c r="AU35" s="181"/>
      <c r="AV35" s="181"/>
      <c r="AW35" s="181" t="e">
        <f t="shared" si="7"/>
        <v>#N/A</v>
      </c>
      <c r="AX35" s="430"/>
    </row>
    <row r="36" spans="2:50">
      <c r="B36" s="400"/>
      <c r="C36" s="181">
        <v>10</v>
      </c>
      <c r="D36" s="196"/>
      <c r="E36" s="165"/>
      <c r="F36" s="181"/>
      <c r="G36" s="179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81"/>
      <c r="Q36" s="181"/>
      <c r="R36" s="181"/>
      <c r="S36" s="181" t="e">
        <f t="shared" si="1"/>
        <v>#N/A</v>
      </c>
      <c r="T36" s="430"/>
      <c r="U36" s="181"/>
      <c r="V36" s="181"/>
      <c r="W36" s="181"/>
      <c r="X36" s="181" t="e">
        <f t="shared" si="2"/>
        <v>#N/A</v>
      </c>
      <c r="Y36" s="430"/>
      <c r="Z36" s="181"/>
      <c r="AA36" s="181"/>
      <c r="AB36" s="181"/>
      <c r="AC36" s="181" t="e">
        <f t="shared" si="3"/>
        <v>#N/A</v>
      </c>
      <c r="AD36" s="430"/>
      <c r="AE36" s="181"/>
      <c r="AF36" s="181"/>
      <c r="AG36" s="181"/>
      <c r="AH36" s="181" t="e">
        <f t="shared" si="4"/>
        <v>#N/A</v>
      </c>
      <c r="AI36" s="430"/>
      <c r="AJ36" s="181"/>
      <c r="AK36" s="181"/>
      <c r="AL36" s="181"/>
      <c r="AM36" s="181" t="e">
        <f t="shared" si="5"/>
        <v>#N/A</v>
      </c>
      <c r="AN36" s="430"/>
      <c r="AO36" s="181"/>
      <c r="AP36" s="181"/>
      <c r="AQ36" s="181"/>
      <c r="AR36" s="181" t="e">
        <f t="shared" si="6"/>
        <v>#N/A</v>
      </c>
      <c r="AS36" s="430"/>
      <c r="AT36" s="181"/>
      <c r="AU36" s="181"/>
      <c r="AV36" s="181"/>
      <c r="AW36" s="181" t="e">
        <f t="shared" si="7"/>
        <v>#N/A</v>
      </c>
      <c r="AX36" s="43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81"/>
      <c r="Q37" s="181"/>
      <c r="R37" s="181"/>
      <c r="S37" s="181" t="e">
        <f t="shared" si="1"/>
        <v>#N/A</v>
      </c>
      <c r="T37" s="430"/>
      <c r="U37" s="181"/>
      <c r="V37" s="181"/>
      <c r="W37" s="181"/>
      <c r="X37" s="181" t="e">
        <f t="shared" si="2"/>
        <v>#N/A</v>
      </c>
      <c r="Y37" s="430"/>
      <c r="Z37" s="181"/>
      <c r="AA37" s="181"/>
      <c r="AB37" s="181"/>
      <c r="AC37" s="181" t="e">
        <f t="shared" si="3"/>
        <v>#N/A</v>
      </c>
      <c r="AD37" s="430"/>
      <c r="AE37" s="181"/>
      <c r="AF37" s="181"/>
      <c r="AG37" s="181"/>
      <c r="AH37" s="181" t="e">
        <f t="shared" si="4"/>
        <v>#N/A</v>
      </c>
      <c r="AI37" s="430"/>
      <c r="AJ37" s="181"/>
      <c r="AK37" s="181"/>
      <c r="AL37" s="181"/>
      <c r="AM37" s="181" t="e">
        <f t="shared" si="5"/>
        <v>#N/A</v>
      </c>
      <c r="AN37" s="430"/>
      <c r="AO37" s="181"/>
      <c r="AP37" s="181"/>
      <c r="AQ37" s="181"/>
      <c r="AR37" s="181" t="e">
        <f t="shared" si="6"/>
        <v>#N/A</v>
      </c>
      <c r="AS37" s="430"/>
      <c r="AT37" s="181"/>
      <c r="AU37" s="181"/>
      <c r="AV37" s="181"/>
      <c r="AW37" s="181" t="e">
        <f t="shared" si="7"/>
        <v>#N/A</v>
      </c>
      <c r="AX37" s="43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81"/>
      <c r="Q38" s="181"/>
      <c r="R38" s="181"/>
      <c r="S38" s="181" t="e">
        <f t="shared" si="1"/>
        <v>#N/A</v>
      </c>
      <c r="T38" s="430"/>
      <c r="U38" s="181"/>
      <c r="V38" s="181"/>
      <c r="W38" s="181"/>
      <c r="X38" s="181" t="e">
        <f t="shared" si="2"/>
        <v>#N/A</v>
      </c>
      <c r="Y38" s="430"/>
      <c r="Z38" s="181"/>
      <c r="AA38" s="181"/>
      <c r="AB38" s="181"/>
      <c r="AC38" s="181" t="e">
        <f t="shared" si="3"/>
        <v>#N/A</v>
      </c>
      <c r="AD38" s="430"/>
      <c r="AE38" s="181"/>
      <c r="AF38" s="181"/>
      <c r="AG38" s="181"/>
      <c r="AH38" s="181" t="e">
        <f t="shared" si="4"/>
        <v>#N/A</v>
      </c>
      <c r="AI38" s="430"/>
      <c r="AJ38" s="181"/>
      <c r="AK38" s="181"/>
      <c r="AL38" s="181"/>
      <c r="AM38" s="181" t="e">
        <f t="shared" si="5"/>
        <v>#N/A</v>
      </c>
      <c r="AN38" s="430"/>
      <c r="AO38" s="181"/>
      <c r="AP38" s="181"/>
      <c r="AQ38" s="181"/>
      <c r="AR38" s="181" t="e">
        <f t="shared" si="6"/>
        <v>#N/A</v>
      </c>
      <c r="AS38" s="430"/>
      <c r="AT38" s="181"/>
      <c r="AU38" s="181"/>
      <c r="AV38" s="181"/>
      <c r="AW38" s="181" t="e">
        <f t="shared" si="7"/>
        <v>#N/A</v>
      </c>
      <c r="AX38" s="43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81"/>
      <c r="Q39" s="181"/>
      <c r="R39" s="181"/>
      <c r="S39" s="181" t="e">
        <f t="shared" si="1"/>
        <v>#N/A</v>
      </c>
      <c r="T39" s="430"/>
      <c r="U39" s="181"/>
      <c r="V39" s="181"/>
      <c r="W39" s="181"/>
      <c r="X39" s="181" t="e">
        <f t="shared" si="2"/>
        <v>#N/A</v>
      </c>
      <c r="Y39" s="430"/>
      <c r="Z39" s="181"/>
      <c r="AA39" s="181"/>
      <c r="AB39" s="181"/>
      <c r="AC39" s="181" t="e">
        <f t="shared" si="3"/>
        <v>#N/A</v>
      </c>
      <c r="AD39" s="430"/>
      <c r="AE39" s="181"/>
      <c r="AF39" s="181"/>
      <c r="AG39" s="181"/>
      <c r="AH39" s="181" t="e">
        <f t="shared" si="4"/>
        <v>#N/A</v>
      </c>
      <c r="AI39" s="430"/>
      <c r="AJ39" s="181"/>
      <c r="AK39" s="181"/>
      <c r="AL39" s="181"/>
      <c r="AM39" s="181" t="e">
        <f t="shared" si="5"/>
        <v>#N/A</v>
      </c>
      <c r="AN39" s="430"/>
      <c r="AO39" s="181"/>
      <c r="AP39" s="181"/>
      <c r="AQ39" s="181"/>
      <c r="AR39" s="181" t="e">
        <f t="shared" si="6"/>
        <v>#N/A</v>
      </c>
      <c r="AS39" s="430"/>
      <c r="AT39" s="181"/>
      <c r="AU39" s="181"/>
      <c r="AV39" s="181"/>
      <c r="AW39" s="181" t="e">
        <f t="shared" si="7"/>
        <v>#N/A</v>
      </c>
      <c r="AX39" s="43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81"/>
      <c r="Q40" s="181"/>
      <c r="R40" s="181"/>
      <c r="S40" s="181" t="e">
        <f t="shared" si="1"/>
        <v>#N/A</v>
      </c>
      <c r="T40" s="430"/>
      <c r="U40" s="181"/>
      <c r="V40" s="181"/>
      <c r="W40" s="181"/>
      <c r="X40" s="181" t="e">
        <f t="shared" si="2"/>
        <v>#N/A</v>
      </c>
      <c r="Y40" s="430"/>
      <c r="Z40" s="181"/>
      <c r="AA40" s="181"/>
      <c r="AB40" s="181"/>
      <c r="AC40" s="181" t="e">
        <f t="shared" si="3"/>
        <v>#N/A</v>
      </c>
      <c r="AD40" s="430"/>
      <c r="AE40" s="181"/>
      <c r="AF40" s="181"/>
      <c r="AG40" s="181"/>
      <c r="AH40" s="181" t="e">
        <f t="shared" si="4"/>
        <v>#N/A</v>
      </c>
      <c r="AI40" s="430"/>
      <c r="AJ40" s="181"/>
      <c r="AK40" s="181"/>
      <c r="AL40" s="181"/>
      <c r="AM40" s="181" t="e">
        <f t="shared" si="5"/>
        <v>#N/A</v>
      </c>
      <c r="AN40" s="430"/>
      <c r="AO40" s="181"/>
      <c r="AP40" s="181"/>
      <c r="AQ40" s="181"/>
      <c r="AR40" s="181" t="e">
        <f t="shared" si="6"/>
        <v>#N/A</v>
      </c>
      <c r="AS40" s="430"/>
      <c r="AT40" s="181"/>
      <c r="AU40" s="181"/>
      <c r="AV40" s="181"/>
      <c r="AW40" s="181" t="e">
        <f t="shared" si="7"/>
        <v>#N/A</v>
      </c>
      <c r="AX40" s="43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81"/>
      <c r="Q41" s="181"/>
      <c r="R41" s="181"/>
      <c r="S41" s="181" t="e">
        <f t="shared" si="1"/>
        <v>#N/A</v>
      </c>
      <c r="T41" s="430"/>
      <c r="U41" s="181"/>
      <c r="V41" s="181"/>
      <c r="W41" s="181"/>
      <c r="X41" s="181" t="e">
        <f t="shared" si="2"/>
        <v>#N/A</v>
      </c>
      <c r="Y41" s="430"/>
      <c r="Z41" s="181"/>
      <c r="AA41" s="181"/>
      <c r="AB41" s="181"/>
      <c r="AC41" s="181" t="e">
        <f t="shared" si="3"/>
        <v>#N/A</v>
      </c>
      <c r="AD41" s="430"/>
      <c r="AE41" s="181"/>
      <c r="AF41" s="181"/>
      <c r="AG41" s="181"/>
      <c r="AH41" s="181" t="e">
        <f t="shared" si="4"/>
        <v>#N/A</v>
      </c>
      <c r="AI41" s="430"/>
      <c r="AJ41" s="181"/>
      <c r="AK41" s="181"/>
      <c r="AL41" s="181"/>
      <c r="AM41" s="181" t="e">
        <f t="shared" si="5"/>
        <v>#N/A</v>
      </c>
      <c r="AN41" s="430"/>
      <c r="AO41" s="181"/>
      <c r="AP41" s="181"/>
      <c r="AQ41" s="181"/>
      <c r="AR41" s="181" t="e">
        <f t="shared" si="6"/>
        <v>#N/A</v>
      </c>
      <c r="AS41" s="430"/>
      <c r="AT41" s="181"/>
      <c r="AU41" s="181"/>
      <c r="AV41" s="181"/>
      <c r="AW41" s="181" t="e">
        <f t="shared" si="7"/>
        <v>#N/A</v>
      </c>
      <c r="AX41" s="430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01" t="s">
        <v>257</v>
      </c>
      <c r="C47" s="181">
        <v>1</v>
      </c>
      <c r="D47" s="196" t="s">
        <v>258</v>
      </c>
      <c r="E47" s="165">
        <v>13</v>
      </c>
      <c r="F47" s="181">
        <v>1607.9999999999993</v>
      </c>
      <c r="G47" s="179">
        <v>123.69230769230764</v>
      </c>
      <c r="H47" s="412">
        <f>AVERAGE(G47:G61)</f>
        <v>123.69230769230764</v>
      </c>
      <c r="I47" s="165">
        <f>AVERAGE(P47,U47,Z47,AE47,AJ47,AO47,AT47)</f>
        <v>12.666666666666666</v>
      </c>
      <c r="J47" s="165">
        <f>AVERAGE(Q47,V47,AA47,AF47,AK47,AP47,AU47)</f>
        <v>1512.5714285714296</v>
      </c>
      <c r="K47" s="179">
        <f>AVERAGE(R47,W47,AB47,AG47,AL47,AQ47,AV47)</f>
        <v>119.14285714285722</v>
      </c>
      <c r="L47" s="412">
        <f>IFERROR(AVERAGE(K47:K61),"-")</f>
        <v>119.14285714285722</v>
      </c>
      <c r="M47" s="180">
        <f>RANK(K47, K$47:$K$61)</f>
        <v>1</v>
      </c>
      <c r="N47" s="401"/>
      <c r="O47" s="401"/>
      <c r="P47" s="245" t="s">
        <v>259</v>
      </c>
      <c r="Q47" s="165">
        <f>'[1]（５-4）品群別人時生產性（4℃-壽司手卷)'!Q47</f>
        <v>1412.9999999999993</v>
      </c>
      <c r="R47" s="179">
        <f>'[1]（５-4）品群別人時生產性（4℃-壽司手卷)'!R47</f>
        <v>108.69230769230764</v>
      </c>
      <c r="S47" s="181">
        <f>RANK(R47, R$47:R$61)</f>
        <v>1</v>
      </c>
      <c r="T47" s="430">
        <f>AVERAGE(R47:R61)</f>
        <v>108.69230769230764</v>
      </c>
      <c r="U47" s="181">
        <v>12</v>
      </c>
      <c r="V47" s="165">
        <v>1572.0000000000055</v>
      </c>
      <c r="W47" s="179">
        <v>131.00000000000045</v>
      </c>
      <c r="X47" s="181">
        <f>RANK(W47, W$47:W$61)</f>
        <v>1</v>
      </c>
      <c r="Y47" s="430">
        <f>AVERAGE(W47:W61)</f>
        <v>131.00000000000045</v>
      </c>
      <c r="Z47" s="181">
        <v>12</v>
      </c>
      <c r="AA47" s="165">
        <v>1476.0000000000052</v>
      </c>
      <c r="AB47" s="179">
        <v>123.00000000000044</v>
      </c>
      <c r="AC47" s="181">
        <f>RANK(AB47, AB$47:AB$61)</f>
        <v>1</v>
      </c>
      <c r="AD47" s="430">
        <f>AVERAGE(AB47:AB61)</f>
        <v>123.00000000000044</v>
      </c>
      <c r="AE47" s="181">
        <v>13</v>
      </c>
      <c r="AF47" s="165">
        <v>1527.9999999999973</v>
      </c>
      <c r="AG47" s="179">
        <v>117.53846153846133</v>
      </c>
      <c r="AH47" s="181">
        <f>RANK(AG47, AG$47:AG$61)</f>
        <v>1</v>
      </c>
      <c r="AI47" s="430">
        <f>AVERAGE(AG47:AG61)</f>
        <v>117.53846153846133</v>
      </c>
      <c r="AJ47" s="181">
        <v>13</v>
      </c>
      <c r="AK47" s="165">
        <v>1412.9999999999936</v>
      </c>
      <c r="AL47" s="179">
        <v>108.6923076923072</v>
      </c>
      <c r="AM47" s="181">
        <f>RANK(AL47, AL$47:AL$61)</f>
        <v>1</v>
      </c>
      <c r="AN47" s="430">
        <f>AVERAGE(AL47:AL61)</f>
        <v>108.6923076923072</v>
      </c>
      <c r="AO47" s="181">
        <v>13</v>
      </c>
      <c r="AP47" s="165">
        <v>1569.0000000000057</v>
      </c>
      <c r="AQ47" s="179">
        <v>120.69230769230813</v>
      </c>
      <c r="AR47" s="181">
        <f>RANK(AQ47, AQ$47:AQ$61)</f>
        <v>1</v>
      </c>
      <c r="AS47" s="430">
        <f>AVERAGE(AQ47:AQ61)</f>
        <v>120.69230769230813</v>
      </c>
      <c r="AT47" s="181">
        <v>13</v>
      </c>
      <c r="AU47" s="165">
        <v>1616.9999999999995</v>
      </c>
      <c r="AV47" s="179">
        <v>124.38461538461534</v>
      </c>
      <c r="AW47" s="181">
        <f>RANK(AV47, AV$47:AV$61)</f>
        <v>1</v>
      </c>
      <c r="AX47" s="430">
        <f>AVERAGE(AV47:AV61)</f>
        <v>124.38461538461534</v>
      </c>
    </row>
    <row r="48" spans="2:50">
      <c r="B48" s="400"/>
      <c r="C48" s="181">
        <v>2</v>
      </c>
      <c r="D48" s="196"/>
      <c r="E48" s="165"/>
      <c r="F48" s="181"/>
      <c r="G48" s="179"/>
      <c r="H48" s="413"/>
      <c r="I48" s="165"/>
      <c r="J48" s="165"/>
      <c r="K48" s="179"/>
      <c r="L48" s="413"/>
      <c r="M48" s="180" t="e">
        <f>RANK(K48, K$47:$K$61)</f>
        <v>#N/A</v>
      </c>
      <c r="N48" s="401"/>
      <c r="O48" s="401"/>
      <c r="P48" s="181"/>
      <c r="Q48" s="181"/>
      <c r="R48" s="181"/>
      <c r="S48" s="181" t="e">
        <f t="shared" ref="S48:S61" si="8">RANK(R48, R$47:R$61)</f>
        <v>#N/A</v>
      </c>
      <c r="T48" s="430"/>
      <c r="U48" s="181"/>
      <c r="V48" s="181"/>
      <c r="W48" s="181"/>
      <c r="X48" s="181" t="e">
        <f t="shared" ref="X48:X61" si="9">RANK(W48, W$47:W$61)</f>
        <v>#N/A</v>
      </c>
      <c r="Y48" s="430"/>
      <c r="Z48" s="181"/>
      <c r="AA48" s="181"/>
      <c r="AB48" s="181"/>
      <c r="AC48" s="181" t="e">
        <f t="shared" ref="AC48:AC61" si="10">RANK(AB48, AB$47:AB$61)</f>
        <v>#N/A</v>
      </c>
      <c r="AD48" s="430"/>
      <c r="AE48" s="181"/>
      <c r="AF48" s="181"/>
      <c r="AG48" s="181"/>
      <c r="AH48" s="181" t="e">
        <f t="shared" ref="AH48:AH61" si="11">RANK(AG48, AG$47:AG$61)</f>
        <v>#N/A</v>
      </c>
      <c r="AI48" s="430"/>
      <c r="AJ48" s="181"/>
      <c r="AK48" s="181"/>
      <c r="AL48" s="181"/>
      <c r="AM48" s="181" t="e">
        <f t="shared" ref="AM48:AM61" si="12">RANK(AL48, AL$47:AL$61)</f>
        <v>#N/A</v>
      </c>
      <c r="AN48" s="430"/>
      <c r="AO48" s="181"/>
      <c r="AP48" s="181"/>
      <c r="AQ48" s="181"/>
      <c r="AR48" s="181" t="e">
        <f t="shared" ref="AR48:AR61" si="13">RANK(AQ48, AQ$47:AQ$61)</f>
        <v>#N/A</v>
      </c>
      <c r="AS48" s="430"/>
      <c r="AT48" s="181"/>
      <c r="AU48" s="181"/>
      <c r="AV48" s="181"/>
      <c r="AW48" s="181" t="e">
        <f t="shared" ref="AW48:AW61" si="14">RANK(AV48, AV$47:AV$61)</f>
        <v>#N/A</v>
      </c>
      <c r="AX48" s="430"/>
    </row>
    <row r="49" spans="2:50">
      <c r="B49" s="400"/>
      <c r="C49" s="181">
        <v>3</v>
      </c>
      <c r="D49" s="196"/>
      <c r="E49" s="165"/>
      <c r="F49" s="181"/>
      <c r="G49" s="179"/>
      <c r="H49" s="413"/>
      <c r="I49" s="165"/>
      <c r="J49" s="165"/>
      <c r="K49" s="179"/>
      <c r="L49" s="413"/>
      <c r="M49" s="180" t="e">
        <f>RANK(K49, K$47:$K$61)</f>
        <v>#N/A</v>
      </c>
      <c r="N49" s="401"/>
      <c r="O49" s="401"/>
      <c r="P49" s="181"/>
      <c r="Q49" s="181"/>
      <c r="R49" s="181"/>
      <c r="S49" s="181" t="e">
        <f t="shared" si="8"/>
        <v>#N/A</v>
      </c>
      <c r="T49" s="430"/>
      <c r="U49" s="181"/>
      <c r="V49" s="181"/>
      <c r="W49" s="181"/>
      <c r="X49" s="181" t="e">
        <f t="shared" si="9"/>
        <v>#N/A</v>
      </c>
      <c r="Y49" s="430"/>
      <c r="Z49" s="181"/>
      <c r="AA49" s="181"/>
      <c r="AB49" s="181"/>
      <c r="AC49" s="181" t="e">
        <f t="shared" si="10"/>
        <v>#N/A</v>
      </c>
      <c r="AD49" s="430"/>
      <c r="AE49" s="181"/>
      <c r="AF49" s="181"/>
      <c r="AG49" s="181"/>
      <c r="AH49" s="181" t="e">
        <f t="shared" si="11"/>
        <v>#N/A</v>
      </c>
      <c r="AI49" s="430"/>
      <c r="AJ49" s="181"/>
      <c r="AK49" s="181"/>
      <c r="AL49" s="181"/>
      <c r="AM49" s="181" t="e">
        <f t="shared" si="12"/>
        <v>#N/A</v>
      </c>
      <c r="AN49" s="430"/>
      <c r="AO49" s="181"/>
      <c r="AP49" s="181"/>
      <c r="AQ49" s="181"/>
      <c r="AR49" s="181" t="e">
        <f t="shared" si="13"/>
        <v>#N/A</v>
      </c>
      <c r="AS49" s="430"/>
      <c r="AT49" s="181"/>
      <c r="AU49" s="181"/>
      <c r="AV49" s="181"/>
      <c r="AW49" s="181" t="e">
        <f t="shared" si="14"/>
        <v>#N/A</v>
      </c>
      <c r="AX49" s="430"/>
    </row>
    <row r="50" spans="2:50">
      <c r="B50" s="400"/>
      <c r="C50" s="181">
        <v>4</v>
      </c>
      <c r="D50" s="196"/>
      <c r="E50" s="165"/>
      <c r="F50" s="181"/>
      <c r="G50" s="179"/>
      <c r="H50" s="413"/>
      <c r="I50" s="165"/>
      <c r="J50" s="165"/>
      <c r="K50" s="179"/>
      <c r="L50" s="413"/>
      <c r="M50" s="180" t="e">
        <f>RANK(K50, K$47:$K$61)</f>
        <v>#N/A</v>
      </c>
      <c r="N50" s="401"/>
      <c r="O50" s="401"/>
      <c r="P50" s="181"/>
      <c r="Q50" s="181"/>
      <c r="R50" s="181"/>
      <c r="S50" s="181" t="e">
        <f t="shared" si="8"/>
        <v>#N/A</v>
      </c>
      <c r="T50" s="430"/>
      <c r="U50" s="181"/>
      <c r="V50" s="181"/>
      <c r="W50" s="181"/>
      <c r="X50" s="181" t="e">
        <f t="shared" si="9"/>
        <v>#N/A</v>
      </c>
      <c r="Y50" s="430"/>
      <c r="Z50" s="181"/>
      <c r="AA50" s="181"/>
      <c r="AB50" s="181"/>
      <c r="AC50" s="181" t="e">
        <f t="shared" si="10"/>
        <v>#N/A</v>
      </c>
      <c r="AD50" s="430"/>
      <c r="AE50" s="181"/>
      <c r="AF50" s="181"/>
      <c r="AG50" s="181"/>
      <c r="AH50" s="181" t="e">
        <f t="shared" si="11"/>
        <v>#N/A</v>
      </c>
      <c r="AI50" s="430"/>
      <c r="AJ50" s="181"/>
      <c r="AK50" s="181"/>
      <c r="AL50" s="181"/>
      <c r="AM50" s="181" t="e">
        <f t="shared" si="12"/>
        <v>#N/A</v>
      </c>
      <c r="AN50" s="430"/>
      <c r="AO50" s="181"/>
      <c r="AP50" s="181"/>
      <c r="AQ50" s="181"/>
      <c r="AR50" s="181" t="e">
        <f t="shared" si="13"/>
        <v>#N/A</v>
      </c>
      <c r="AS50" s="430"/>
      <c r="AT50" s="181"/>
      <c r="AU50" s="181"/>
      <c r="AV50" s="181"/>
      <c r="AW50" s="181" t="e">
        <f t="shared" si="14"/>
        <v>#N/A</v>
      </c>
      <c r="AX50" s="430"/>
    </row>
    <row r="51" spans="2:50">
      <c r="B51" s="400"/>
      <c r="C51" s="181">
        <v>5</v>
      </c>
      <c r="D51" s="196"/>
      <c r="E51" s="165"/>
      <c r="F51" s="181"/>
      <c r="G51" s="179"/>
      <c r="H51" s="413"/>
      <c r="I51" s="165"/>
      <c r="J51" s="165"/>
      <c r="K51" s="179"/>
      <c r="L51" s="413"/>
      <c r="M51" s="180" t="e">
        <f>RANK(K51, K$47:$K$61)</f>
        <v>#N/A</v>
      </c>
      <c r="N51" s="401"/>
      <c r="O51" s="401"/>
      <c r="P51" s="181"/>
      <c r="Q51" s="181"/>
      <c r="R51" s="181"/>
      <c r="S51" s="181" t="e">
        <f t="shared" si="8"/>
        <v>#N/A</v>
      </c>
      <c r="T51" s="430"/>
      <c r="U51" s="181"/>
      <c r="V51" s="181"/>
      <c r="W51" s="181"/>
      <c r="X51" s="181" t="e">
        <f t="shared" si="9"/>
        <v>#N/A</v>
      </c>
      <c r="Y51" s="430"/>
      <c r="Z51" s="181"/>
      <c r="AA51" s="181"/>
      <c r="AB51" s="181"/>
      <c r="AC51" s="181" t="e">
        <f t="shared" si="10"/>
        <v>#N/A</v>
      </c>
      <c r="AD51" s="430"/>
      <c r="AE51" s="181"/>
      <c r="AF51" s="181"/>
      <c r="AG51" s="181"/>
      <c r="AH51" s="181" t="e">
        <f t="shared" si="11"/>
        <v>#N/A</v>
      </c>
      <c r="AI51" s="430"/>
      <c r="AJ51" s="181"/>
      <c r="AK51" s="181"/>
      <c r="AL51" s="181"/>
      <c r="AM51" s="181" t="e">
        <f t="shared" si="12"/>
        <v>#N/A</v>
      </c>
      <c r="AN51" s="430"/>
      <c r="AO51" s="181"/>
      <c r="AP51" s="181"/>
      <c r="AQ51" s="181"/>
      <c r="AR51" s="181" t="e">
        <f t="shared" si="13"/>
        <v>#N/A</v>
      </c>
      <c r="AS51" s="430"/>
      <c r="AT51" s="181"/>
      <c r="AU51" s="181"/>
      <c r="AV51" s="181"/>
      <c r="AW51" s="181" t="e">
        <f t="shared" si="14"/>
        <v>#N/A</v>
      </c>
      <c r="AX51" s="430"/>
    </row>
    <row r="52" spans="2:50">
      <c r="B52" s="400"/>
      <c r="C52" s="181">
        <v>6</v>
      </c>
      <c r="D52" s="196"/>
      <c r="E52" s="165"/>
      <c r="F52" s="181"/>
      <c r="G52" s="179"/>
      <c r="H52" s="413"/>
      <c r="I52" s="165"/>
      <c r="J52" s="165"/>
      <c r="K52" s="179"/>
      <c r="L52" s="413"/>
      <c r="M52" s="180" t="e">
        <f>RANK(K52, K$47:$K$61)</f>
        <v>#N/A</v>
      </c>
      <c r="N52" s="401"/>
      <c r="O52" s="401"/>
      <c r="P52" s="181"/>
      <c r="Q52" s="181"/>
      <c r="R52" s="181"/>
      <c r="S52" s="181" t="e">
        <f t="shared" si="8"/>
        <v>#N/A</v>
      </c>
      <c r="T52" s="430"/>
      <c r="U52" s="181"/>
      <c r="V52" s="181"/>
      <c r="W52" s="181"/>
      <c r="X52" s="181" t="e">
        <f t="shared" si="9"/>
        <v>#N/A</v>
      </c>
      <c r="Y52" s="430"/>
      <c r="Z52" s="181"/>
      <c r="AA52" s="181"/>
      <c r="AB52" s="181"/>
      <c r="AC52" s="181" t="e">
        <f t="shared" si="10"/>
        <v>#N/A</v>
      </c>
      <c r="AD52" s="430"/>
      <c r="AE52" s="181"/>
      <c r="AF52" s="181"/>
      <c r="AG52" s="181"/>
      <c r="AH52" s="181" t="e">
        <f t="shared" si="11"/>
        <v>#N/A</v>
      </c>
      <c r="AI52" s="430"/>
      <c r="AJ52" s="181"/>
      <c r="AK52" s="181"/>
      <c r="AL52" s="181"/>
      <c r="AM52" s="181" t="e">
        <f t="shared" si="12"/>
        <v>#N/A</v>
      </c>
      <c r="AN52" s="430"/>
      <c r="AO52" s="181"/>
      <c r="AP52" s="181"/>
      <c r="AQ52" s="181"/>
      <c r="AR52" s="181" t="e">
        <f t="shared" si="13"/>
        <v>#N/A</v>
      </c>
      <c r="AS52" s="430"/>
      <c r="AT52" s="181"/>
      <c r="AU52" s="181"/>
      <c r="AV52" s="181"/>
      <c r="AW52" s="181" t="e">
        <f t="shared" si="14"/>
        <v>#N/A</v>
      </c>
      <c r="AX52" s="430"/>
    </row>
    <row r="53" spans="2:50">
      <c r="B53" s="400"/>
      <c r="C53" s="181">
        <v>7</v>
      </c>
      <c r="D53" s="196"/>
      <c r="E53" s="165"/>
      <c r="F53" s="181"/>
      <c r="G53" s="179"/>
      <c r="H53" s="413"/>
      <c r="I53" s="165"/>
      <c r="J53" s="165"/>
      <c r="K53" s="179"/>
      <c r="L53" s="413"/>
      <c r="M53" s="180" t="e">
        <f>RANK(K53, K$47:$K$61)</f>
        <v>#N/A</v>
      </c>
      <c r="N53" s="401"/>
      <c r="O53" s="401"/>
      <c r="P53" s="181"/>
      <c r="Q53" s="181"/>
      <c r="R53" s="181"/>
      <c r="S53" s="181" t="e">
        <f t="shared" si="8"/>
        <v>#N/A</v>
      </c>
      <c r="T53" s="430"/>
      <c r="U53" s="181"/>
      <c r="V53" s="181"/>
      <c r="W53" s="181"/>
      <c r="X53" s="181" t="e">
        <f t="shared" si="9"/>
        <v>#N/A</v>
      </c>
      <c r="Y53" s="430"/>
      <c r="Z53" s="181"/>
      <c r="AA53" s="181"/>
      <c r="AB53" s="181"/>
      <c r="AC53" s="181" t="e">
        <f t="shared" si="10"/>
        <v>#N/A</v>
      </c>
      <c r="AD53" s="430"/>
      <c r="AE53" s="181"/>
      <c r="AF53" s="181"/>
      <c r="AG53" s="181"/>
      <c r="AH53" s="181" t="e">
        <f t="shared" si="11"/>
        <v>#N/A</v>
      </c>
      <c r="AI53" s="430"/>
      <c r="AJ53" s="181"/>
      <c r="AK53" s="181"/>
      <c r="AL53" s="181"/>
      <c r="AM53" s="181" t="e">
        <f t="shared" si="12"/>
        <v>#N/A</v>
      </c>
      <c r="AN53" s="430"/>
      <c r="AO53" s="181"/>
      <c r="AP53" s="181"/>
      <c r="AQ53" s="181"/>
      <c r="AR53" s="181" t="e">
        <f t="shared" si="13"/>
        <v>#N/A</v>
      </c>
      <c r="AS53" s="430"/>
      <c r="AT53" s="181"/>
      <c r="AU53" s="181"/>
      <c r="AV53" s="181"/>
      <c r="AW53" s="181" t="e">
        <f t="shared" si="14"/>
        <v>#N/A</v>
      </c>
      <c r="AX53" s="430"/>
    </row>
    <row r="54" spans="2:50">
      <c r="B54" s="400"/>
      <c r="C54" s="181">
        <v>8</v>
      </c>
      <c r="D54" s="196"/>
      <c r="E54" s="165"/>
      <c r="F54" s="181"/>
      <c r="G54" s="179"/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81"/>
      <c r="Q54" s="181"/>
      <c r="R54" s="181"/>
      <c r="S54" s="181" t="e">
        <f t="shared" si="8"/>
        <v>#N/A</v>
      </c>
      <c r="T54" s="430"/>
      <c r="U54" s="181"/>
      <c r="V54" s="181"/>
      <c r="W54" s="181"/>
      <c r="X54" s="181" t="e">
        <f t="shared" si="9"/>
        <v>#N/A</v>
      </c>
      <c r="Y54" s="430"/>
      <c r="Z54" s="181"/>
      <c r="AA54" s="181"/>
      <c r="AB54" s="181"/>
      <c r="AC54" s="181" t="e">
        <f t="shared" si="10"/>
        <v>#N/A</v>
      </c>
      <c r="AD54" s="430"/>
      <c r="AE54" s="181"/>
      <c r="AF54" s="181"/>
      <c r="AG54" s="181"/>
      <c r="AH54" s="181" t="e">
        <f t="shared" si="11"/>
        <v>#N/A</v>
      </c>
      <c r="AI54" s="430"/>
      <c r="AJ54" s="181"/>
      <c r="AK54" s="181"/>
      <c r="AL54" s="181"/>
      <c r="AM54" s="181" t="e">
        <f t="shared" si="12"/>
        <v>#N/A</v>
      </c>
      <c r="AN54" s="430"/>
      <c r="AO54" s="181"/>
      <c r="AP54" s="181"/>
      <c r="AQ54" s="181"/>
      <c r="AR54" s="181" t="e">
        <f t="shared" si="13"/>
        <v>#N/A</v>
      </c>
      <c r="AS54" s="430"/>
      <c r="AT54" s="181"/>
      <c r="AU54" s="181"/>
      <c r="AV54" s="181"/>
      <c r="AW54" s="181" t="e">
        <f t="shared" si="14"/>
        <v>#N/A</v>
      </c>
      <c r="AX54" s="430"/>
    </row>
    <row r="55" spans="2:50">
      <c r="B55" s="400"/>
      <c r="C55" s="181">
        <v>9</v>
      </c>
      <c r="D55" s="196"/>
      <c r="E55" s="165"/>
      <c r="F55" s="181"/>
      <c r="G55" s="179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81"/>
      <c r="Q55" s="181"/>
      <c r="R55" s="181"/>
      <c r="S55" s="181" t="e">
        <f t="shared" si="8"/>
        <v>#N/A</v>
      </c>
      <c r="T55" s="430"/>
      <c r="U55" s="181"/>
      <c r="V55" s="181"/>
      <c r="W55" s="181"/>
      <c r="X55" s="181" t="e">
        <f t="shared" si="9"/>
        <v>#N/A</v>
      </c>
      <c r="Y55" s="430"/>
      <c r="Z55" s="181"/>
      <c r="AA55" s="181"/>
      <c r="AB55" s="181"/>
      <c r="AC55" s="181" t="e">
        <f t="shared" si="10"/>
        <v>#N/A</v>
      </c>
      <c r="AD55" s="430"/>
      <c r="AE55" s="181"/>
      <c r="AF55" s="181"/>
      <c r="AG55" s="181"/>
      <c r="AH55" s="181" t="e">
        <f t="shared" si="11"/>
        <v>#N/A</v>
      </c>
      <c r="AI55" s="430"/>
      <c r="AJ55" s="181"/>
      <c r="AK55" s="181"/>
      <c r="AL55" s="181"/>
      <c r="AM55" s="181" t="e">
        <f t="shared" si="12"/>
        <v>#N/A</v>
      </c>
      <c r="AN55" s="430"/>
      <c r="AO55" s="181"/>
      <c r="AP55" s="181"/>
      <c r="AQ55" s="181"/>
      <c r="AR55" s="181" t="e">
        <f t="shared" si="13"/>
        <v>#N/A</v>
      </c>
      <c r="AS55" s="430"/>
      <c r="AT55" s="181"/>
      <c r="AU55" s="181"/>
      <c r="AV55" s="181"/>
      <c r="AW55" s="181" t="e">
        <f t="shared" si="14"/>
        <v>#N/A</v>
      </c>
      <c r="AX55" s="430"/>
    </row>
    <row r="56" spans="2:50">
      <c r="B56" s="400"/>
      <c r="C56" s="181">
        <v>10</v>
      </c>
      <c r="D56" s="196"/>
      <c r="E56" s="165"/>
      <c r="F56" s="181"/>
      <c r="G56" s="179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81"/>
      <c r="Q56" s="181"/>
      <c r="R56" s="181"/>
      <c r="S56" s="181" t="e">
        <f t="shared" si="8"/>
        <v>#N/A</v>
      </c>
      <c r="T56" s="430"/>
      <c r="U56" s="181"/>
      <c r="V56" s="181"/>
      <c r="W56" s="181"/>
      <c r="X56" s="181" t="e">
        <f t="shared" si="9"/>
        <v>#N/A</v>
      </c>
      <c r="Y56" s="430"/>
      <c r="Z56" s="181"/>
      <c r="AA56" s="181"/>
      <c r="AB56" s="181"/>
      <c r="AC56" s="181" t="e">
        <f t="shared" si="10"/>
        <v>#N/A</v>
      </c>
      <c r="AD56" s="430"/>
      <c r="AE56" s="181"/>
      <c r="AF56" s="181"/>
      <c r="AG56" s="181"/>
      <c r="AH56" s="181" t="e">
        <f t="shared" si="11"/>
        <v>#N/A</v>
      </c>
      <c r="AI56" s="430"/>
      <c r="AJ56" s="181"/>
      <c r="AK56" s="181"/>
      <c r="AL56" s="181"/>
      <c r="AM56" s="181" t="e">
        <f t="shared" si="12"/>
        <v>#N/A</v>
      </c>
      <c r="AN56" s="430"/>
      <c r="AO56" s="181"/>
      <c r="AP56" s="181"/>
      <c r="AQ56" s="181"/>
      <c r="AR56" s="181" t="e">
        <f t="shared" si="13"/>
        <v>#N/A</v>
      </c>
      <c r="AS56" s="430"/>
      <c r="AT56" s="181"/>
      <c r="AU56" s="181"/>
      <c r="AV56" s="181"/>
      <c r="AW56" s="181" t="e">
        <f t="shared" si="14"/>
        <v>#N/A</v>
      </c>
      <c r="AX56" s="43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81"/>
      <c r="Q57" s="181"/>
      <c r="R57" s="181"/>
      <c r="S57" s="181" t="e">
        <f t="shared" si="8"/>
        <v>#N/A</v>
      </c>
      <c r="T57" s="430"/>
      <c r="U57" s="181"/>
      <c r="V57" s="181"/>
      <c r="W57" s="181"/>
      <c r="X57" s="181" t="e">
        <f t="shared" si="9"/>
        <v>#N/A</v>
      </c>
      <c r="Y57" s="430"/>
      <c r="Z57" s="181"/>
      <c r="AA57" s="181"/>
      <c r="AB57" s="181"/>
      <c r="AC57" s="181" t="e">
        <f t="shared" si="10"/>
        <v>#N/A</v>
      </c>
      <c r="AD57" s="430"/>
      <c r="AE57" s="181"/>
      <c r="AF57" s="181"/>
      <c r="AG57" s="181"/>
      <c r="AH57" s="181" t="e">
        <f t="shared" si="11"/>
        <v>#N/A</v>
      </c>
      <c r="AI57" s="430"/>
      <c r="AJ57" s="181"/>
      <c r="AK57" s="181"/>
      <c r="AL57" s="181"/>
      <c r="AM57" s="181" t="e">
        <f t="shared" si="12"/>
        <v>#N/A</v>
      </c>
      <c r="AN57" s="430"/>
      <c r="AO57" s="181"/>
      <c r="AP57" s="181"/>
      <c r="AQ57" s="181"/>
      <c r="AR57" s="181" t="e">
        <f t="shared" si="13"/>
        <v>#N/A</v>
      </c>
      <c r="AS57" s="430"/>
      <c r="AT57" s="181"/>
      <c r="AU57" s="181"/>
      <c r="AV57" s="181"/>
      <c r="AW57" s="181" t="e">
        <f t="shared" si="14"/>
        <v>#N/A</v>
      </c>
      <c r="AX57" s="43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81"/>
      <c r="Q58" s="181"/>
      <c r="R58" s="181"/>
      <c r="S58" s="181" t="e">
        <f t="shared" si="8"/>
        <v>#N/A</v>
      </c>
      <c r="T58" s="430"/>
      <c r="U58" s="181"/>
      <c r="V58" s="181"/>
      <c r="W58" s="181"/>
      <c r="X58" s="181" t="e">
        <f t="shared" si="9"/>
        <v>#N/A</v>
      </c>
      <c r="Y58" s="430"/>
      <c r="Z58" s="181"/>
      <c r="AA58" s="181"/>
      <c r="AB58" s="181"/>
      <c r="AC58" s="181" t="e">
        <f t="shared" si="10"/>
        <v>#N/A</v>
      </c>
      <c r="AD58" s="430"/>
      <c r="AE58" s="181"/>
      <c r="AF58" s="181"/>
      <c r="AG58" s="181"/>
      <c r="AH58" s="181" t="e">
        <f t="shared" si="11"/>
        <v>#N/A</v>
      </c>
      <c r="AI58" s="430"/>
      <c r="AJ58" s="181"/>
      <c r="AK58" s="181"/>
      <c r="AL58" s="181"/>
      <c r="AM58" s="181" t="e">
        <f t="shared" si="12"/>
        <v>#N/A</v>
      </c>
      <c r="AN58" s="430"/>
      <c r="AO58" s="181"/>
      <c r="AP58" s="181"/>
      <c r="AQ58" s="181"/>
      <c r="AR58" s="181" t="e">
        <f t="shared" si="13"/>
        <v>#N/A</v>
      </c>
      <c r="AS58" s="430"/>
      <c r="AT58" s="181"/>
      <c r="AU58" s="181"/>
      <c r="AV58" s="181"/>
      <c r="AW58" s="181" t="e">
        <f t="shared" si="14"/>
        <v>#N/A</v>
      </c>
      <c r="AX58" s="43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81"/>
      <c r="Q59" s="181"/>
      <c r="R59" s="181"/>
      <c r="S59" s="181" t="e">
        <f t="shared" si="8"/>
        <v>#N/A</v>
      </c>
      <c r="T59" s="430"/>
      <c r="U59" s="181"/>
      <c r="V59" s="181"/>
      <c r="W59" s="181"/>
      <c r="X59" s="181" t="e">
        <f t="shared" si="9"/>
        <v>#N/A</v>
      </c>
      <c r="Y59" s="430"/>
      <c r="Z59" s="181"/>
      <c r="AA59" s="181"/>
      <c r="AB59" s="181"/>
      <c r="AC59" s="181" t="e">
        <f t="shared" si="10"/>
        <v>#N/A</v>
      </c>
      <c r="AD59" s="430"/>
      <c r="AE59" s="181"/>
      <c r="AF59" s="181"/>
      <c r="AG59" s="181"/>
      <c r="AH59" s="181" t="e">
        <f t="shared" si="11"/>
        <v>#N/A</v>
      </c>
      <c r="AI59" s="430"/>
      <c r="AJ59" s="181"/>
      <c r="AK59" s="181"/>
      <c r="AL59" s="181"/>
      <c r="AM59" s="181" t="e">
        <f t="shared" si="12"/>
        <v>#N/A</v>
      </c>
      <c r="AN59" s="430"/>
      <c r="AO59" s="181"/>
      <c r="AP59" s="181"/>
      <c r="AQ59" s="181"/>
      <c r="AR59" s="181" t="e">
        <f t="shared" si="13"/>
        <v>#N/A</v>
      </c>
      <c r="AS59" s="430"/>
      <c r="AT59" s="181"/>
      <c r="AU59" s="181"/>
      <c r="AV59" s="181"/>
      <c r="AW59" s="181" t="e">
        <f t="shared" si="14"/>
        <v>#N/A</v>
      </c>
      <c r="AX59" s="43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81"/>
      <c r="Q60" s="181"/>
      <c r="R60" s="181"/>
      <c r="S60" s="181" t="e">
        <f t="shared" si="8"/>
        <v>#N/A</v>
      </c>
      <c r="T60" s="430"/>
      <c r="U60" s="181"/>
      <c r="V60" s="181"/>
      <c r="W60" s="181"/>
      <c r="X60" s="181" t="e">
        <f t="shared" si="9"/>
        <v>#N/A</v>
      </c>
      <c r="Y60" s="430"/>
      <c r="Z60" s="181"/>
      <c r="AA60" s="181"/>
      <c r="AB60" s="181"/>
      <c r="AC60" s="181" t="e">
        <f t="shared" si="10"/>
        <v>#N/A</v>
      </c>
      <c r="AD60" s="430"/>
      <c r="AE60" s="181"/>
      <c r="AF60" s="181"/>
      <c r="AG60" s="181"/>
      <c r="AH60" s="181" t="e">
        <f t="shared" si="11"/>
        <v>#N/A</v>
      </c>
      <c r="AI60" s="430"/>
      <c r="AJ60" s="181"/>
      <c r="AK60" s="181"/>
      <c r="AL60" s="181"/>
      <c r="AM60" s="181" t="e">
        <f t="shared" si="12"/>
        <v>#N/A</v>
      </c>
      <c r="AN60" s="430"/>
      <c r="AO60" s="181"/>
      <c r="AP60" s="181"/>
      <c r="AQ60" s="181"/>
      <c r="AR60" s="181" t="e">
        <f t="shared" si="13"/>
        <v>#N/A</v>
      </c>
      <c r="AS60" s="430"/>
      <c r="AT60" s="181"/>
      <c r="AU60" s="181"/>
      <c r="AV60" s="181"/>
      <c r="AW60" s="181" t="e">
        <f t="shared" si="14"/>
        <v>#N/A</v>
      </c>
      <c r="AX60" s="43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81"/>
      <c r="Q61" s="181"/>
      <c r="R61" s="181"/>
      <c r="S61" s="181" t="e">
        <f t="shared" si="8"/>
        <v>#N/A</v>
      </c>
      <c r="T61" s="430"/>
      <c r="U61" s="181"/>
      <c r="V61" s="181"/>
      <c r="W61" s="181"/>
      <c r="X61" s="181" t="e">
        <f t="shared" si="9"/>
        <v>#N/A</v>
      </c>
      <c r="Y61" s="430"/>
      <c r="Z61" s="181"/>
      <c r="AA61" s="181"/>
      <c r="AB61" s="181"/>
      <c r="AC61" s="181" t="e">
        <f t="shared" si="10"/>
        <v>#N/A</v>
      </c>
      <c r="AD61" s="430"/>
      <c r="AE61" s="181"/>
      <c r="AF61" s="181"/>
      <c r="AG61" s="181"/>
      <c r="AH61" s="181" t="e">
        <f t="shared" si="11"/>
        <v>#N/A</v>
      </c>
      <c r="AI61" s="430"/>
      <c r="AJ61" s="181"/>
      <c r="AK61" s="181"/>
      <c r="AL61" s="181"/>
      <c r="AM61" s="181" t="e">
        <f t="shared" si="12"/>
        <v>#N/A</v>
      </c>
      <c r="AN61" s="430"/>
      <c r="AO61" s="181"/>
      <c r="AP61" s="181"/>
      <c r="AQ61" s="181"/>
      <c r="AR61" s="181" t="e">
        <f t="shared" si="13"/>
        <v>#N/A</v>
      </c>
      <c r="AS61" s="430"/>
      <c r="AT61" s="181"/>
      <c r="AU61" s="181"/>
      <c r="AV61" s="181"/>
      <c r="AW61" s="181" t="e">
        <f t="shared" si="14"/>
        <v>#N/A</v>
      </c>
      <c r="AX61" s="430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01" t="s">
        <v>257</v>
      </c>
      <c r="C67" s="181">
        <v>1</v>
      </c>
      <c r="D67" s="196" t="s">
        <v>258</v>
      </c>
      <c r="E67" s="165">
        <v>13</v>
      </c>
      <c r="F67" s="181">
        <v>1607.9999999999993</v>
      </c>
      <c r="G67" s="179">
        <v>123.69230769230764</v>
      </c>
      <c r="H67" s="412">
        <f>AVERAGE(G67:G81)</f>
        <v>123.69230769230764</v>
      </c>
      <c r="I67" s="165">
        <f>AVERAGE(P67,U67,Z67,AE67,AJ67,AO67,AT67)</f>
        <v>13</v>
      </c>
      <c r="J67" s="165">
        <f>AVERAGE(Q67,V67,AA67,AF67,AK67,AP67,AU67)</f>
        <v>1444.5999999999997</v>
      </c>
      <c r="K67" s="179">
        <f>AVERAGE(R67,W67,AB67,AG67,AL67,AQ67,AV67)</f>
        <v>111.12307692307688</v>
      </c>
      <c r="L67" s="412">
        <f>IFERROR(AVERAGE(K67:K81),"-")</f>
        <v>111.12307692307688</v>
      </c>
      <c r="M67" s="180">
        <f>RANK(K67, K$67:$K$81)</f>
        <v>1</v>
      </c>
      <c r="N67" s="401"/>
      <c r="O67" s="401"/>
      <c r="P67" s="181">
        <v>13</v>
      </c>
      <c r="Q67" s="165">
        <v>1535.9999999999995</v>
      </c>
      <c r="R67" s="179">
        <v>118.15384615384612</v>
      </c>
      <c r="S67" s="181">
        <f>RANK(R67, R$67:R$81)</f>
        <v>1</v>
      </c>
      <c r="T67" s="430">
        <f>AVERAGE(R67:R81)</f>
        <v>118.15384615384612</v>
      </c>
      <c r="U67" s="181">
        <v>13</v>
      </c>
      <c r="V67" s="165">
        <v>1472.9999999999993</v>
      </c>
      <c r="W67" s="179">
        <v>113.30769230769225</v>
      </c>
      <c r="X67" s="181">
        <f>RANK(W67, W$67:W$81)</f>
        <v>1</v>
      </c>
      <c r="Y67" s="430">
        <f>AVERAGE(W67:W81)</f>
        <v>113.30769230769225</v>
      </c>
      <c r="Z67" s="181">
        <v>13</v>
      </c>
      <c r="AA67" s="165">
        <v>1263.0000000000045</v>
      </c>
      <c r="AB67" s="179">
        <v>97.153846153846501</v>
      </c>
      <c r="AC67" s="181">
        <f>RANK(AB67, AB$67:AB$81)</f>
        <v>1</v>
      </c>
      <c r="AD67" s="430">
        <f>AVERAGE(AB67:AB81)</f>
        <v>97.153846153846501</v>
      </c>
      <c r="AE67" s="181">
        <v>13</v>
      </c>
      <c r="AF67" s="165">
        <v>1551.9999999999973</v>
      </c>
      <c r="AG67" s="179">
        <v>119.38461538461517</v>
      </c>
      <c r="AH67" s="181">
        <f>RANK(AG67, AG$67:AG$81)</f>
        <v>1</v>
      </c>
      <c r="AI67" s="430">
        <f>AVERAGE(AG67:AG81)</f>
        <v>119.38461538461517</v>
      </c>
      <c r="AJ67" s="181">
        <v>13</v>
      </c>
      <c r="AK67" s="165">
        <v>1280.9999999999995</v>
      </c>
      <c r="AL67" s="179">
        <v>98.538461538461505</v>
      </c>
      <c r="AM67" s="181">
        <f>RANK(AL67, AL$67:AL$81)</f>
        <v>1</v>
      </c>
      <c r="AN67" s="430">
        <f>AVERAGE(AL67:AL81)</f>
        <v>98.538461538461505</v>
      </c>
      <c r="AO67" s="181">
        <v>13</v>
      </c>
      <c r="AP67" s="165">
        <v>1394.399999999996</v>
      </c>
      <c r="AQ67" s="179">
        <v>107.26153846153815</v>
      </c>
      <c r="AR67" s="181">
        <f>RANK(AQ67, AQ$67:AQ$81)</f>
        <v>1</v>
      </c>
      <c r="AS67" s="430">
        <f>AVERAGE(AQ67:AQ81)</f>
        <v>107.26153846153815</v>
      </c>
      <c r="AT67" s="181">
        <v>13</v>
      </c>
      <c r="AU67" s="165">
        <v>1612.8000000000004</v>
      </c>
      <c r="AV67" s="179">
        <v>124.06153846153849</v>
      </c>
      <c r="AW67" s="181">
        <f>RANK(AV67, AV$67:AV$81)</f>
        <v>1</v>
      </c>
      <c r="AX67" s="430">
        <f>AVERAGE(AV67:AV81)</f>
        <v>124.06153846153849</v>
      </c>
    </row>
    <row r="68" spans="2:50">
      <c r="B68" s="400"/>
      <c r="C68" s="181">
        <v>2</v>
      </c>
      <c r="D68" s="196"/>
      <c r="E68" s="165"/>
      <c r="F68" s="181"/>
      <c r="G68" s="179"/>
      <c r="H68" s="413"/>
      <c r="I68" s="165"/>
      <c r="J68" s="165"/>
      <c r="K68" s="179"/>
      <c r="L68" s="413"/>
      <c r="M68" s="180" t="e">
        <f>RANK(K68, K$67:$K$81)</f>
        <v>#N/A</v>
      </c>
      <c r="N68" s="401"/>
      <c r="O68" s="401"/>
      <c r="P68" s="181"/>
      <c r="Q68" s="181"/>
      <c r="R68" s="181"/>
      <c r="S68" s="181" t="e">
        <f t="shared" ref="S68:S81" si="15">RANK(R68, R$67:R$81)</f>
        <v>#N/A</v>
      </c>
      <c r="T68" s="430"/>
      <c r="U68" s="181"/>
      <c r="V68" s="181"/>
      <c r="W68" s="181"/>
      <c r="X68" s="181" t="e">
        <f t="shared" ref="X68:X81" si="16">RANK(W68, W$67:W$81)</f>
        <v>#N/A</v>
      </c>
      <c r="Y68" s="430"/>
      <c r="Z68" s="181"/>
      <c r="AA68" s="181"/>
      <c r="AB68" s="181"/>
      <c r="AC68" s="181" t="e">
        <f t="shared" ref="AC68:AC81" si="17">RANK(AB68, AB$67:AB$81)</f>
        <v>#N/A</v>
      </c>
      <c r="AD68" s="430"/>
      <c r="AE68" s="181"/>
      <c r="AF68" s="181"/>
      <c r="AG68" s="181"/>
      <c r="AH68" s="181" t="e">
        <f t="shared" ref="AH68:AH81" si="18">RANK(AG68, AG$67:AG$81)</f>
        <v>#N/A</v>
      </c>
      <c r="AI68" s="430"/>
      <c r="AJ68" s="181"/>
      <c r="AK68" s="181"/>
      <c r="AL68" s="181"/>
      <c r="AM68" s="181" t="e">
        <f t="shared" ref="AM68:AM81" si="19">RANK(AL68, AL$67:AL$81)</f>
        <v>#N/A</v>
      </c>
      <c r="AN68" s="430"/>
      <c r="AO68" s="181"/>
      <c r="AP68" s="181"/>
      <c r="AQ68" s="181"/>
      <c r="AR68" s="181" t="e">
        <f t="shared" ref="AR68:AR81" si="20">RANK(AQ68, AQ$67:AQ$81)</f>
        <v>#N/A</v>
      </c>
      <c r="AS68" s="430"/>
      <c r="AT68" s="181"/>
      <c r="AU68" s="181"/>
      <c r="AV68" s="181"/>
      <c r="AW68" s="181" t="e">
        <f t="shared" ref="AW68:AW81" si="21">RANK(AV68, AV$67:AV$81)</f>
        <v>#N/A</v>
      </c>
      <c r="AX68" s="430"/>
    </row>
    <row r="69" spans="2:50">
      <c r="B69" s="400"/>
      <c r="C69" s="181">
        <v>3</v>
      </c>
      <c r="D69" s="196"/>
      <c r="E69" s="165"/>
      <c r="F69" s="181"/>
      <c r="G69" s="179"/>
      <c r="H69" s="413"/>
      <c r="I69" s="165"/>
      <c r="J69" s="165"/>
      <c r="K69" s="179"/>
      <c r="L69" s="413"/>
      <c r="M69" s="180" t="e">
        <f>RANK(K69, K$67:$K$81)</f>
        <v>#N/A</v>
      </c>
      <c r="N69" s="401"/>
      <c r="O69" s="401"/>
      <c r="P69" s="181"/>
      <c r="Q69" s="181"/>
      <c r="R69" s="181"/>
      <c r="S69" s="181" t="e">
        <f t="shared" si="15"/>
        <v>#N/A</v>
      </c>
      <c r="T69" s="430"/>
      <c r="U69" s="181"/>
      <c r="V69" s="181"/>
      <c r="W69" s="181"/>
      <c r="X69" s="181" t="e">
        <f t="shared" si="16"/>
        <v>#N/A</v>
      </c>
      <c r="Y69" s="430"/>
      <c r="Z69" s="181"/>
      <c r="AA69" s="181"/>
      <c r="AB69" s="181"/>
      <c r="AC69" s="181" t="e">
        <f t="shared" si="17"/>
        <v>#N/A</v>
      </c>
      <c r="AD69" s="430"/>
      <c r="AE69" s="181"/>
      <c r="AF69" s="181"/>
      <c r="AG69" s="181"/>
      <c r="AH69" s="181" t="e">
        <f t="shared" si="18"/>
        <v>#N/A</v>
      </c>
      <c r="AI69" s="430"/>
      <c r="AJ69" s="181"/>
      <c r="AK69" s="181"/>
      <c r="AL69" s="181"/>
      <c r="AM69" s="181" t="e">
        <f t="shared" si="19"/>
        <v>#N/A</v>
      </c>
      <c r="AN69" s="430"/>
      <c r="AO69" s="181"/>
      <c r="AP69" s="181"/>
      <c r="AQ69" s="181"/>
      <c r="AR69" s="181" t="e">
        <f t="shared" si="20"/>
        <v>#N/A</v>
      </c>
      <c r="AS69" s="430"/>
      <c r="AT69" s="181"/>
      <c r="AU69" s="181"/>
      <c r="AV69" s="181"/>
      <c r="AW69" s="181" t="e">
        <f t="shared" si="21"/>
        <v>#N/A</v>
      </c>
      <c r="AX69" s="430"/>
    </row>
    <row r="70" spans="2:50">
      <c r="B70" s="400"/>
      <c r="C70" s="181">
        <v>4</v>
      </c>
      <c r="D70" s="196"/>
      <c r="E70" s="165"/>
      <c r="F70" s="181"/>
      <c r="G70" s="179"/>
      <c r="H70" s="413"/>
      <c r="I70" s="165"/>
      <c r="J70" s="165"/>
      <c r="K70" s="179"/>
      <c r="L70" s="413"/>
      <c r="M70" s="180" t="e">
        <f>RANK(K70, K$67:$K$81)</f>
        <v>#N/A</v>
      </c>
      <c r="N70" s="401"/>
      <c r="O70" s="401"/>
      <c r="P70" s="181"/>
      <c r="Q70" s="181"/>
      <c r="R70" s="181"/>
      <c r="S70" s="181" t="e">
        <f t="shared" si="15"/>
        <v>#N/A</v>
      </c>
      <c r="T70" s="430"/>
      <c r="U70" s="181"/>
      <c r="V70" s="181"/>
      <c r="W70" s="181"/>
      <c r="X70" s="181" t="e">
        <f t="shared" si="16"/>
        <v>#N/A</v>
      </c>
      <c r="Y70" s="430"/>
      <c r="Z70" s="181"/>
      <c r="AA70" s="181"/>
      <c r="AB70" s="181"/>
      <c r="AC70" s="181" t="e">
        <f t="shared" si="17"/>
        <v>#N/A</v>
      </c>
      <c r="AD70" s="430"/>
      <c r="AE70" s="181"/>
      <c r="AF70" s="181"/>
      <c r="AG70" s="181"/>
      <c r="AH70" s="181" t="e">
        <f t="shared" si="18"/>
        <v>#N/A</v>
      </c>
      <c r="AI70" s="430"/>
      <c r="AJ70" s="181"/>
      <c r="AK70" s="181"/>
      <c r="AL70" s="181"/>
      <c r="AM70" s="181" t="e">
        <f t="shared" si="19"/>
        <v>#N/A</v>
      </c>
      <c r="AN70" s="430"/>
      <c r="AO70" s="181"/>
      <c r="AP70" s="181"/>
      <c r="AQ70" s="181"/>
      <c r="AR70" s="181" t="e">
        <f t="shared" si="20"/>
        <v>#N/A</v>
      </c>
      <c r="AS70" s="430"/>
      <c r="AT70" s="181"/>
      <c r="AU70" s="181"/>
      <c r="AV70" s="181"/>
      <c r="AW70" s="181" t="e">
        <f t="shared" si="21"/>
        <v>#N/A</v>
      </c>
      <c r="AX70" s="430"/>
    </row>
    <row r="71" spans="2:50">
      <c r="B71" s="400"/>
      <c r="C71" s="181">
        <v>5</v>
      </c>
      <c r="D71" s="196"/>
      <c r="E71" s="165"/>
      <c r="F71" s="181"/>
      <c r="G71" s="179"/>
      <c r="H71" s="413"/>
      <c r="I71" s="165"/>
      <c r="J71" s="165"/>
      <c r="K71" s="179"/>
      <c r="L71" s="413"/>
      <c r="M71" s="180" t="e">
        <f>RANK(K71, K$67:$K$81)</f>
        <v>#N/A</v>
      </c>
      <c r="N71" s="401"/>
      <c r="O71" s="401"/>
      <c r="P71" s="181"/>
      <c r="Q71" s="181"/>
      <c r="R71" s="181"/>
      <c r="S71" s="181" t="e">
        <f t="shared" si="15"/>
        <v>#N/A</v>
      </c>
      <c r="T71" s="430"/>
      <c r="U71" s="181"/>
      <c r="V71" s="181"/>
      <c r="W71" s="181"/>
      <c r="X71" s="181" t="e">
        <f t="shared" si="16"/>
        <v>#N/A</v>
      </c>
      <c r="Y71" s="430"/>
      <c r="Z71" s="181"/>
      <c r="AA71" s="181"/>
      <c r="AB71" s="181"/>
      <c r="AC71" s="181" t="e">
        <f t="shared" si="17"/>
        <v>#N/A</v>
      </c>
      <c r="AD71" s="430"/>
      <c r="AE71" s="181"/>
      <c r="AF71" s="181"/>
      <c r="AG71" s="181"/>
      <c r="AH71" s="181" t="e">
        <f t="shared" si="18"/>
        <v>#N/A</v>
      </c>
      <c r="AI71" s="430"/>
      <c r="AJ71" s="181"/>
      <c r="AK71" s="181"/>
      <c r="AL71" s="181"/>
      <c r="AM71" s="181" t="e">
        <f t="shared" si="19"/>
        <v>#N/A</v>
      </c>
      <c r="AN71" s="430"/>
      <c r="AO71" s="181"/>
      <c r="AP71" s="181"/>
      <c r="AQ71" s="181"/>
      <c r="AR71" s="181" t="e">
        <f t="shared" si="20"/>
        <v>#N/A</v>
      </c>
      <c r="AS71" s="430"/>
      <c r="AT71" s="181"/>
      <c r="AU71" s="181"/>
      <c r="AV71" s="181"/>
      <c r="AW71" s="181" t="e">
        <f t="shared" si="21"/>
        <v>#N/A</v>
      </c>
      <c r="AX71" s="430"/>
    </row>
    <row r="72" spans="2:50">
      <c r="B72" s="400"/>
      <c r="C72" s="181">
        <v>6</v>
      </c>
      <c r="D72" s="196"/>
      <c r="E72" s="165"/>
      <c r="F72" s="181"/>
      <c r="G72" s="179"/>
      <c r="H72" s="413"/>
      <c r="I72" s="165"/>
      <c r="J72" s="165"/>
      <c r="K72" s="179"/>
      <c r="L72" s="413"/>
      <c r="M72" s="180" t="e">
        <f>RANK(K72, K$67:$K$81)</f>
        <v>#N/A</v>
      </c>
      <c r="N72" s="401"/>
      <c r="O72" s="401"/>
      <c r="P72" s="181"/>
      <c r="Q72" s="181"/>
      <c r="R72" s="181"/>
      <c r="S72" s="181" t="e">
        <f t="shared" si="15"/>
        <v>#N/A</v>
      </c>
      <c r="T72" s="430"/>
      <c r="U72" s="181"/>
      <c r="V72" s="181"/>
      <c r="W72" s="181"/>
      <c r="X72" s="181" t="e">
        <f t="shared" si="16"/>
        <v>#N/A</v>
      </c>
      <c r="Y72" s="430"/>
      <c r="Z72" s="181"/>
      <c r="AA72" s="181"/>
      <c r="AB72" s="181"/>
      <c r="AC72" s="181" t="e">
        <f t="shared" si="17"/>
        <v>#N/A</v>
      </c>
      <c r="AD72" s="430"/>
      <c r="AE72" s="181"/>
      <c r="AF72" s="181"/>
      <c r="AG72" s="181"/>
      <c r="AH72" s="181" t="e">
        <f t="shared" si="18"/>
        <v>#N/A</v>
      </c>
      <c r="AI72" s="430"/>
      <c r="AJ72" s="181"/>
      <c r="AK72" s="181"/>
      <c r="AL72" s="181"/>
      <c r="AM72" s="181" t="e">
        <f t="shared" si="19"/>
        <v>#N/A</v>
      </c>
      <c r="AN72" s="430"/>
      <c r="AO72" s="181"/>
      <c r="AP72" s="181"/>
      <c r="AQ72" s="181"/>
      <c r="AR72" s="181" t="e">
        <f t="shared" si="20"/>
        <v>#N/A</v>
      </c>
      <c r="AS72" s="430"/>
      <c r="AT72" s="181"/>
      <c r="AU72" s="181"/>
      <c r="AV72" s="181"/>
      <c r="AW72" s="181" t="e">
        <f t="shared" si="21"/>
        <v>#N/A</v>
      </c>
      <c r="AX72" s="430"/>
    </row>
    <row r="73" spans="2:50">
      <c r="B73" s="400"/>
      <c r="C73" s="181">
        <v>7</v>
      </c>
      <c r="D73" s="196"/>
      <c r="E73" s="165"/>
      <c r="F73" s="181"/>
      <c r="G73" s="179"/>
      <c r="H73" s="413"/>
      <c r="I73" s="165"/>
      <c r="J73" s="165"/>
      <c r="K73" s="179"/>
      <c r="L73" s="413"/>
      <c r="M73" s="180" t="e">
        <f>RANK(K73, K$67:$K$81)</f>
        <v>#N/A</v>
      </c>
      <c r="N73" s="401"/>
      <c r="O73" s="401"/>
      <c r="P73" s="181"/>
      <c r="Q73" s="181"/>
      <c r="R73" s="181"/>
      <c r="S73" s="181" t="e">
        <f t="shared" si="15"/>
        <v>#N/A</v>
      </c>
      <c r="T73" s="430"/>
      <c r="U73" s="181"/>
      <c r="V73" s="181"/>
      <c r="W73" s="181"/>
      <c r="X73" s="181" t="e">
        <f t="shared" si="16"/>
        <v>#N/A</v>
      </c>
      <c r="Y73" s="430"/>
      <c r="Z73" s="181"/>
      <c r="AA73" s="181"/>
      <c r="AB73" s="181"/>
      <c r="AC73" s="181" t="e">
        <f t="shared" si="17"/>
        <v>#N/A</v>
      </c>
      <c r="AD73" s="430"/>
      <c r="AE73" s="181"/>
      <c r="AF73" s="181"/>
      <c r="AG73" s="181"/>
      <c r="AH73" s="181" t="e">
        <f t="shared" si="18"/>
        <v>#N/A</v>
      </c>
      <c r="AI73" s="430"/>
      <c r="AJ73" s="181"/>
      <c r="AK73" s="181"/>
      <c r="AL73" s="181"/>
      <c r="AM73" s="181" t="e">
        <f t="shared" si="19"/>
        <v>#N/A</v>
      </c>
      <c r="AN73" s="430"/>
      <c r="AO73" s="181"/>
      <c r="AP73" s="181"/>
      <c r="AQ73" s="181"/>
      <c r="AR73" s="181" t="e">
        <f t="shared" si="20"/>
        <v>#N/A</v>
      </c>
      <c r="AS73" s="430"/>
      <c r="AT73" s="181"/>
      <c r="AU73" s="181"/>
      <c r="AV73" s="181"/>
      <c r="AW73" s="181" t="e">
        <f t="shared" si="21"/>
        <v>#N/A</v>
      </c>
      <c r="AX73" s="430"/>
    </row>
    <row r="74" spans="2:50">
      <c r="B74" s="400"/>
      <c r="C74" s="181">
        <v>8</v>
      </c>
      <c r="D74" s="196"/>
      <c r="E74" s="165"/>
      <c r="F74" s="181"/>
      <c r="G74" s="179"/>
      <c r="H74" s="413"/>
      <c r="I74" s="165"/>
      <c r="J74" s="165"/>
      <c r="K74" s="179"/>
      <c r="L74" s="413"/>
      <c r="M74" s="180" t="e">
        <f>RANK(K74, K$67:$K$81)</f>
        <v>#N/A</v>
      </c>
      <c r="N74" s="401"/>
      <c r="O74" s="401"/>
      <c r="P74" s="181"/>
      <c r="Q74" s="181"/>
      <c r="R74" s="181"/>
      <c r="S74" s="181" t="e">
        <f t="shared" si="15"/>
        <v>#N/A</v>
      </c>
      <c r="T74" s="430"/>
      <c r="U74" s="181"/>
      <c r="V74" s="181"/>
      <c r="W74" s="181"/>
      <c r="X74" s="181" t="e">
        <f t="shared" si="16"/>
        <v>#N/A</v>
      </c>
      <c r="Y74" s="430"/>
      <c r="Z74" s="181"/>
      <c r="AA74" s="181"/>
      <c r="AB74" s="181"/>
      <c r="AC74" s="181" t="e">
        <f t="shared" si="17"/>
        <v>#N/A</v>
      </c>
      <c r="AD74" s="430"/>
      <c r="AE74" s="181"/>
      <c r="AF74" s="181"/>
      <c r="AG74" s="181"/>
      <c r="AH74" s="181" t="e">
        <f t="shared" si="18"/>
        <v>#N/A</v>
      </c>
      <c r="AI74" s="430"/>
      <c r="AJ74" s="181"/>
      <c r="AK74" s="181"/>
      <c r="AL74" s="181"/>
      <c r="AM74" s="181" t="e">
        <f t="shared" si="19"/>
        <v>#N/A</v>
      </c>
      <c r="AN74" s="430"/>
      <c r="AO74" s="181"/>
      <c r="AP74" s="181"/>
      <c r="AQ74" s="181"/>
      <c r="AR74" s="181" t="e">
        <f t="shared" si="20"/>
        <v>#N/A</v>
      </c>
      <c r="AS74" s="430"/>
      <c r="AT74" s="181"/>
      <c r="AU74" s="181"/>
      <c r="AV74" s="181"/>
      <c r="AW74" s="181" t="e">
        <f t="shared" si="21"/>
        <v>#N/A</v>
      </c>
      <c r="AX74" s="430"/>
    </row>
    <row r="75" spans="2:50">
      <c r="B75" s="400"/>
      <c r="C75" s="181">
        <v>9</v>
      </c>
      <c r="D75" s="196"/>
      <c r="E75" s="165"/>
      <c r="F75" s="181"/>
      <c r="G75" s="179"/>
      <c r="H75" s="413"/>
      <c r="I75" s="165"/>
      <c r="J75" s="165"/>
      <c r="K75" s="179"/>
      <c r="L75" s="413"/>
      <c r="M75" s="180" t="e">
        <f>RANK(K75, K$67:$K$81)</f>
        <v>#N/A</v>
      </c>
      <c r="N75" s="401"/>
      <c r="O75" s="401"/>
      <c r="P75" s="181"/>
      <c r="Q75" s="181"/>
      <c r="R75" s="181"/>
      <c r="S75" s="181" t="e">
        <f t="shared" si="15"/>
        <v>#N/A</v>
      </c>
      <c r="T75" s="430"/>
      <c r="U75" s="181"/>
      <c r="V75" s="181"/>
      <c r="W75" s="181"/>
      <c r="X75" s="181" t="e">
        <f t="shared" si="16"/>
        <v>#N/A</v>
      </c>
      <c r="Y75" s="430"/>
      <c r="Z75" s="181"/>
      <c r="AA75" s="181"/>
      <c r="AB75" s="181"/>
      <c r="AC75" s="181" t="e">
        <f t="shared" si="17"/>
        <v>#N/A</v>
      </c>
      <c r="AD75" s="430"/>
      <c r="AE75" s="181"/>
      <c r="AF75" s="181"/>
      <c r="AG75" s="181"/>
      <c r="AH75" s="181" t="e">
        <f t="shared" si="18"/>
        <v>#N/A</v>
      </c>
      <c r="AI75" s="430"/>
      <c r="AJ75" s="181"/>
      <c r="AK75" s="181"/>
      <c r="AL75" s="181"/>
      <c r="AM75" s="181" t="e">
        <f t="shared" si="19"/>
        <v>#N/A</v>
      </c>
      <c r="AN75" s="430"/>
      <c r="AO75" s="181"/>
      <c r="AP75" s="181"/>
      <c r="AQ75" s="181"/>
      <c r="AR75" s="181" t="e">
        <f t="shared" si="20"/>
        <v>#N/A</v>
      </c>
      <c r="AS75" s="430"/>
      <c r="AT75" s="181"/>
      <c r="AU75" s="181"/>
      <c r="AV75" s="181"/>
      <c r="AW75" s="181" t="e">
        <f t="shared" si="21"/>
        <v>#N/A</v>
      </c>
      <c r="AX75" s="430"/>
    </row>
    <row r="76" spans="2:50">
      <c r="B76" s="400"/>
      <c r="C76" s="181">
        <v>10</v>
      </c>
      <c r="D76" s="196"/>
      <c r="E76" s="165"/>
      <c r="F76" s="181"/>
      <c r="G76" s="179"/>
      <c r="H76" s="413"/>
      <c r="I76" s="165"/>
      <c r="J76" s="165"/>
      <c r="K76" s="179"/>
      <c r="L76" s="413"/>
      <c r="M76" s="180" t="e">
        <f>RANK(K76, K$67:$K$81)</f>
        <v>#N/A</v>
      </c>
      <c r="N76" s="401"/>
      <c r="O76" s="401"/>
      <c r="P76" s="181"/>
      <c r="Q76" s="181"/>
      <c r="R76" s="181"/>
      <c r="S76" s="181" t="e">
        <f t="shared" si="15"/>
        <v>#N/A</v>
      </c>
      <c r="T76" s="430"/>
      <c r="U76" s="181"/>
      <c r="V76" s="181"/>
      <c r="W76" s="181"/>
      <c r="X76" s="181" t="e">
        <f t="shared" si="16"/>
        <v>#N/A</v>
      </c>
      <c r="Y76" s="430"/>
      <c r="Z76" s="181"/>
      <c r="AA76" s="181"/>
      <c r="AB76" s="181"/>
      <c r="AC76" s="181" t="e">
        <f t="shared" si="17"/>
        <v>#N/A</v>
      </c>
      <c r="AD76" s="430"/>
      <c r="AE76" s="181"/>
      <c r="AF76" s="181"/>
      <c r="AG76" s="181"/>
      <c r="AH76" s="181" t="e">
        <f t="shared" si="18"/>
        <v>#N/A</v>
      </c>
      <c r="AI76" s="430"/>
      <c r="AJ76" s="181"/>
      <c r="AK76" s="181"/>
      <c r="AL76" s="181"/>
      <c r="AM76" s="181" t="e">
        <f t="shared" si="19"/>
        <v>#N/A</v>
      </c>
      <c r="AN76" s="430"/>
      <c r="AO76" s="181"/>
      <c r="AP76" s="181"/>
      <c r="AQ76" s="181"/>
      <c r="AR76" s="181" t="e">
        <f t="shared" si="20"/>
        <v>#N/A</v>
      </c>
      <c r="AS76" s="430"/>
      <c r="AT76" s="181"/>
      <c r="AU76" s="181"/>
      <c r="AV76" s="181"/>
      <c r="AW76" s="181" t="e">
        <f t="shared" si="21"/>
        <v>#N/A</v>
      </c>
      <c r="AX76" s="430"/>
    </row>
    <row r="77" spans="2:50">
      <c r="B77" s="400"/>
      <c r="C77" s="181">
        <v>11</v>
      </c>
      <c r="D77" s="196"/>
      <c r="E77" s="165"/>
      <c r="F77" s="181"/>
      <c r="G77" s="179"/>
      <c r="H77" s="413"/>
      <c r="I77" s="181"/>
      <c r="J77" s="181"/>
      <c r="K77" s="181"/>
      <c r="L77" s="413"/>
      <c r="M77" s="180" t="e">
        <f>RANK(K77, K$67:$K$81)</f>
        <v>#N/A</v>
      </c>
      <c r="N77" s="401"/>
      <c r="O77" s="401"/>
      <c r="P77" s="181"/>
      <c r="Q77" s="181"/>
      <c r="R77" s="181"/>
      <c r="S77" s="181" t="e">
        <f t="shared" si="15"/>
        <v>#N/A</v>
      </c>
      <c r="T77" s="430"/>
      <c r="U77" s="181"/>
      <c r="V77" s="181"/>
      <c r="W77" s="181"/>
      <c r="X77" s="181" t="e">
        <f t="shared" si="16"/>
        <v>#N/A</v>
      </c>
      <c r="Y77" s="430"/>
      <c r="Z77" s="181"/>
      <c r="AA77" s="181"/>
      <c r="AB77" s="181"/>
      <c r="AC77" s="181" t="e">
        <f t="shared" si="17"/>
        <v>#N/A</v>
      </c>
      <c r="AD77" s="430"/>
      <c r="AE77" s="181"/>
      <c r="AF77" s="181"/>
      <c r="AG77" s="181"/>
      <c r="AH77" s="181" t="e">
        <f t="shared" si="18"/>
        <v>#N/A</v>
      </c>
      <c r="AI77" s="430"/>
      <c r="AJ77" s="181"/>
      <c r="AK77" s="181"/>
      <c r="AL77" s="181"/>
      <c r="AM77" s="181" t="e">
        <f t="shared" si="19"/>
        <v>#N/A</v>
      </c>
      <c r="AN77" s="430"/>
      <c r="AO77" s="181"/>
      <c r="AP77" s="181"/>
      <c r="AQ77" s="181"/>
      <c r="AR77" s="181" t="e">
        <f t="shared" si="20"/>
        <v>#N/A</v>
      </c>
      <c r="AS77" s="430"/>
      <c r="AT77" s="181"/>
      <c r="AU77" s="181"/>
      <c r="AV77" s="181"/>
      <c r="AW77" s="181" t="e">
        <f t="shared" si="21"/>
        <v>#N/A</v>
      </c>
      <c r="AX77" s="43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81"/>
      <c r="Q78" s="181"/>
      <c r="R78" s="181"/>
      <c r="S78" s="181" t="e">
        <f t="shared" si="15"/>
        <v>#N/A</v>
      </c>
      <c r="T78" s="430"/>
      <c r="U78" s="181"/>
      <c r="V78" s="181"/>
      <c r="W78" s="181"/>
      <c r="X78" s="181" t="e">
        <f t="shared" si="16"/>
        <v>#N/A</v>
      </c>
      <c r="Y78" s="430"/>
      <c r="Z78" s="181"/>
      <c r="AA78" s="181"/>
      <c r="AB78" s="181"/>
      <c r="AC78" s="181" t="e">
        <f t="shared" si="17"/>
        <v>#N/A</v>
      </c>
      <c r="AD78" s="430"/>
      <c r="AE78" s="181"/>
      <c r="AF78" s="181"/>
      <c r="AG78" s="181"/>
      <c r="AH78" s="181" t="e">
        <f t="shared" si="18"/>
        <v>#N/A</v>
      </c>
      <c r="AI78" s="430"/>
      <c r="AJ78" s="181"/>
      <c r="AK78" s="181"/>
      <c r="AL78" s="181"/>
      <c r="AM78" s="181" t="e">
        <f t="shared" si="19"/>
        <v>#N/A</v>
      </c>
      <c r="AN78" s="430"/>
      <c r="AO78" s="181"/>
      <c r="AP78" s="181"/>
      <c r="AQ78" s="181"/>
      <c r="AR78" s="181" t="e">
        <f t="shared" si="20"/>
        <v>#N/A</v>
      </c>
      <c r="AS78" s="430"/>
      <c r="AT78" s="181"/>
      <c r="AU78" s="181"/>
      <c r="AV78" s="181"/>
      <c r="AW78" s="181" t="e">
        <f t="shared" si="21"/>
        <v>#N/A</v>
      </c>
      <c r="AX78" s="43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81"/>
      <c r="Q79" s="181"/>
      <c r="R79" s="181"/>
      <c r="S79" s="181" t="e">
        <f t="shared" si="15"/>
        <v>#N/A</v>
      </c>
      <c r="T79" s="430"/>
      <c r="U79" s="181"/>
      <c r="V79" s="181"/>
      <c r="W79" s="181"/>
      <c r="X79" s="181" t="e">
        <f t="shared" si="16"/>
        <v>#N/A</v>
      </c>
      <c r="Y79" s="430"/>
      <c r="Z79" s="181"/>
      <c r="AA79" s="181"/>
      <c r="AB79" s="181"/>
      <c r="AC79" s="181" t="e">
        <f t="shared" si="17"/>
        <v>#N/A</v>
      </c>
      <c r="AD79" s="430"/>
      <c r="AE79" s="181"/>
      <c r="AF79" s="181"/>
      <c r="AG79" s="181"/>
      <c r="AH79" s="181" t="e">
        <f t="shared" si="18"/>
        <v>#N/A</v>
      </c>
      <c r="AI79" s="430"/>
      <c r="AJ79" s="181"/>
      <c r="AK79" s="181"/>
      <c r="AL79" s="181"/>
      <c r="AM79" s="181" t="e">
        <f t="shared" si="19"/>
        <v>#N/A</v>
      </c>
      <c r="AN79" s="430"/>
      <c r="AO79" s="181"/>
      <c r="AP79" s="181"/>
      <c r="AQ79" s="181"/>
      <c r="AR79" s="181" t="e">
        <f t="shared" si="20"/>
        <v>#N/A</v>
      </c>
      <c r="AS79" s="430"/>
      <c r="AT79" s="181"/>
      <c r="AU79" s="181"/>
      <c r="AV79" s="181"/>
      <c r="AW79" s="181" t="e">
        <f t="shared" si="21"/>
        <v>#N/A</v>
      </c>
      <c r="AX79" s="43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81"/>
      <c r="Q80" s="181"/>
      <c r="R80" s="181"/>
      <c r="S80" s="181" t="e">
        <f t="shared" si="15"/>
        <v>#N/A</v>
      </c>
      <c r="T80" s="430"/>
      <c r="U80" s="181"/>
      <c r="V80" s="181"/>
      <c r="W80" s="181"/>
      <c r="X80" s="181" t="e">
        <f t="shared" si="16"/>
        <v>#N/A</v>
      </c>
      <c r="Y80" s="430"/>
      <c r="Z80" s="181"/>
      <c r="AA80" s="181"/>
      <c r="AB80" s="181"/>
      <c r="AC80" s="181" t="e">
        <f t="shared" si="17"/>
        <v>#N/A</v>
      </c>
      <c r="AD80" s="430"/>
      <c r="AE80" s="181"/>
      <c r="AF80" s="181"/>
      <c r="AG80" s="181"/>
      <c r="AH80" s="181" t="e">
        <f t="shared" si="18"/>
        <v>#N/A</v>
      </c>
      <c r="AI80" s="430"/>
      <c r="AJ80" s="181"/>
      <c r="AK80" s="181"/>
      <c r="AL80" s="181"/>
      <c r="AM80" s="181" t="e">
        <f t="shared" si="19"/>
        <v>#N/A</v>
      </c>
      <c r="AN80" s="430"/>
      <c r="AO80" s="181"/>
      <c r="AP80" s="181"/>
      <c r="AQ80" s="181"/>
      <c r="AR80" s="181" t="e">
        <f t="shared" si="20"/>
        <v>#N/A</v>
      </c>
      <c r="AS80" s="430"/>
      <c r="AT80" s="181"/>
      <c r="AU80" s="181"/>
      <c r="AV80" s="181"/>
      <c r="AW80" s="181" t="e">
        <f t="shared" si="21"/>
        <v>#N/A</v>
      </c>
      <c r="AX80" s="43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81"/>
      <c r="Q81" s="181"/>
      <c r="R81" s="181"/>
      <c r="S81" s="181" t="e">
        <f t="shared" si="15"/>
        <v>#N/A</v>
      </c>
      <c r="T81" s="430"/>
      <c r="U81" s="181"/>
      <c r="V81" s="181"/>
      <c r="W81" s="181"/>
      <c r="X81" s="181" t="e">
        <f t="shared" si="16"/>
        <v>#N/A</v>
      </c>
      <c r="Y81" s="430"/>
      <c r="Z81" s="181"/>
      <c r="AA81" s="181"/>
      <c r="AB81" s="181"/>
      <c r="AC81" s="181" t="e">
        <f t="shared" si="17"/>
        <v>#N/A</v>
      </c>
      <c r="AD81" s="430"/>
      <c r="AE81" s="181"/>
      <c r="AF81" s="181"/>
      <c r="AG81" s="181"/>
      <c r="AH81" s="181" t="e">
        <f t="shared" si="18"/>
        <v>#N/A</v>
      </c>
      <c r="AI81" s="430"/>
      <c r="AJ81" s="181"/>
      <c r="AK81" s="181"/>
      <c r="AL81" s="181"/>
      <c r="AM81" s="181" t="e">
        <f t="shared" si="19"/>
        <v>#N/A</v>
      </c>
      <c r="AN81" s="430"/>
      <c r="AO81" s="181"/>
      <c r="AP81" s="181"/>
      <c r="AQ81" s="181"/>
      <c r="AR81" s="181" t="e">
        <f t="shared" si="20"/>
        <v>#N/A</v>
      </c>
      <c r="AS81" s="430"/>
      <c r="AT81" s="181"/>
      <c r="AU81" s="181"/>
      <c r="AV81" s="181"/>
      <c r="AW81" s="181" t="e">
        <f t="shared" si="21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01" t="s">
        <v>257</v>
      </c>
      <c r="C87" s="181">
        <v>1</v>
      </c>
      <c r="D87" s="196" t="s">
        <v>258</v>
      </c>
      <c r="E87" s="165">
        <v>13</v>
      </c>
      <c r="F87" s="181">
        <v>1607.9999999999993</v>
      </c>
      <c r="G87" s="179">
        <v>123.69230769230764</v>
      </c>
      <c r="H87" s="412">
        <f>AVERAGE(G87:G101)</f>
        <v>123.69230769230764</v>
      </c>
      <c r="I87" s="165">
        <f>AVERAGE(P87,U87,Z87,AE87,AJ87,AO87,AT87)</f>
        <v>12.857142857142858</v>
      </c>
      <c r="J87" s="165">
        <f>AVERAGE(Q87,V87,AA87,AF87,AK87,AP87,AU87)</f>
        <v>1408.9428571428566</v>
      </c>
      <c r="K87" s="179">
        <f>AVERAGE(R87,W87,AB87,AG87,AL87,AQ87,AV87)</f>
        <v>109.60659340659336</v>
      </c>
      <c r="L87" s="412">
        <f>IFERROR(AVERAGE(K87:K101),"-")</f>
        <v>109.60659340659336</v>
      </c>
      <c r="M87" s="180">
        <f>RANK(K87, K$87:$K$101)</f>
        <v>1</v>
      </c>
      <c r="N87" s="401"/>
      <c r="O87" s="401"/>
      <c r="P87" s="165">
        <v>13</v>
      </c>
      <c r="Q87" s="165">
        <v>1507.1999999999957</v>
      </c>
      <c r="R87" s="179">
        <v>115.93846153846121</v>
      </c>
      <c r="S87" s="181">
        <f>RANK(R87, R$87:R$101)</f>
        <v>1</v>
      </c>
      <c r="T87" s="430">
        <f>AVERAGE(R87:R101)</f>
        <v>115.93846153846121</v>
      </c>
      <c r="U87" s="165">
        <v>13</v>
      </c>
      <c r="V87" s="165">
        <v>1375.199999999996</v>
      </c>
      <c r="W87" s="179">
        <v>105.78461538461508</v>
      </c>
      <c r="X87" s="181">
        <f>RANK(W87, W$87:W$101)</f>
        <v>1</v>
      </c>
      <c r="Y87" s="430">
        <f>AVERAGE(W87:W101)</f>
        <v>105.78461538461508</v>
      </c>
      <c r="Z87" s="165">
        <v>12</v>
      </c>
      <c r="AA87" s="165">
        <v>1339.2000000000048</v>
      </c>
      <c r="AB87" s="179">
        <v>111.60000000000041</v>
      </c>
      <c r="AC87" s="181">
        <f>RANK(AB87, AB$87:AB$101)</f>
        <v>1</v>
      </c>
      <c r="AD87" s="430">
        <f>AVERAGE(AB87:AB101)</f>
        <v>111.60000000000041</v>
      </c>
      <c r="AE87" s="165">
        <v>13</v>
      </c>
      <c r="AF87" s="165">
        <v>1479.0000000000052</v>
      </c>
      <c r="AG87" s="179">
        <v>113.76923076923117</v>
      </c>
      <c r="AH87" s="181">
        <f>RANK(AG87, AG$87:AG$101)</f>
        <v>1</v>
      </c>
      <c r="AI87" s="430">
        <f>AVERAGE(AG87:AG101)</f>
        <v>113.76923076923117</v>
      </c>
      <c r="AJ87" s="165">
        <v>13</v>
      </c>
      <c r="AK87" s="165">
        <v>1367.9999999999961</v>
      </c>
      <c r="AL87" s="179">
        <v>105.23076923076893</v>
      </c>
      <c r="AM87" s="181">
        <f>RANK(AL87, AL$87:AL$101)</f>
        <v>1</v>
      </c>
      <c r="AN87" s="430">
        <f>AVERAGE(AL87:AL101)</f>
        <v>105.23076923076893</v>
      </c>
      <c r="AO87" s="165">
        <v>13</v>
      </c>
      <c r="AP87" s="165">
        <v>1380.0000000000005</v>
      </c>
      <c r="AQ87" s="179">
        <v>106.15384615384619</v>
      </c>
      <c r="AR87" s="181">
        <f>RANK(AQ87, AQ$87:AQ$101)</f>
        <v>1</v>
      </c>
      <c r="AS87" s="430">
        <f>AVERAGE(AQ87:AQ101)</f>
        <v>106.15384615384619</v>
      </c>
      <c r="AT87" s="165">
        <v>13</v>
      </c>
      <c r="AU87" s="165">
        <v>1413.9999999999975</v>
      </c>
      <c r="AV87" s="179">
        <v>108.76923076923057</v>
      </c>
      <c r="AW87" s="181">
        <f>RANK(AV87, AV$87:AV$101)</f>
        <v>1</v>
      </c>
      <c r="AX87" s="430">
        <f>AVERAGE(AV87:AV101)</f>
        <v>108.76923076923057</v>
      </c>
    </row>
    <row r="88" spans="2:50">
      <c r="B88" s="400"/>
      <c r="C88" s="181">
        <v>2</v>
      </c>
      <c r="D88" s="196"/>
      <c r="E88" s="165"/>
      <c r="F88" s="181"/>
      <c r="G88" s="179"/>
      <c r="H88" s="413"/>
      <c r="I88" s="165"/>
      <c r="J88" s="165"/>
      <c r="K88" s="179"/>
      <c r="L88" s="413"/>
      <c r="M88" s="180" t="e">
        <f>RANK(K88, K$87:$K$101)</f>
        <v>#N/A</v>
      </c>
      <c r="N88" s="401"/>
      <c r="O88" s="401"/>
      <c r="P88" s="181"/>
      <c r="Q88" s="181"/>
      <c r="R88" s="181"/>
      <c r="S88" s="181" t="e">
        <f t="shared" ref="S88:S101" si="22">RANK(R88, R$87:R$101)</f>
        <v>#N/A</v>
      </c>
      <c r="T88" s="430"/>
      <c r="U88" s="181"/>
      <c r="V88" s="181"/>
      <c r="W88" s="181"/>
      <c r="X88" s="181" t="e">
        <f t="shared" ref="X88:X101" si="23">RANK(W88, W$87:W$101)</f>
        <v>#N/A</v>
      </c>
      <c r="Y88" s="430"/>
      <c r="Z88" s="181"/>
      <c r="AA88" s="181"/>
      <c r="AB88" s="181"/>
      <c r="AC88" s="181" t="e">
        <f t="shared" ref="AC88:AC101" si="24">RANK(AB88, AB$87:AB$101)</f>
        <v>#N/A</v>
      </c>
      <c r="AD88" s="430"/>
      <c r="AE88" s="181"/>
      <c r="AF88" s="181"/>
      <c r="AG88" s="181"/>
      <c r="AH88" s="181" t="e">
        <f t="shared" ref="AH88:AH101" si="25">RANK(AG88, AG$87:AG$101)</f>
        <v>#N/A</v>
      </c>
      <c r="AI88" s="430"/>
      <c r="AJ88" s="181"/>
      <c r="AK88" s="181"/>
      <c r="AL88" s="181"/>
      <c r="AM88" s="181" t="e">
        <f t="shared" ref="AM88:AM101" si="26">RANK(AL88, AL$87:AL$101)</f>
        <v>#N/A</v>
      </c>
      <c r="AN88" s="430"/>
      <c r="AO88" s="181"/>
      <c r="AP88" s="181"/>
      <c r="AQ88" s="181"/>
      <c r="AR88" s="181" t="e">
        <f t="shared" ref="AR88:AR101" si="27">RANK(AQ88, AQ$87:AQ$101)</f>
        <v>#N/A</v>
      </c>
      <c r="AS88" s="430"/>
      <c r="AT88" s="181"/>
      <c r="AU88" s="181"/>
      <c r="AV88" s="181"/>
      <c r="AW88" s="181" t="e">
        <f t="shared" ref="AW88:AW101" si="28">RANK(AV88, AV$87:AV$101)</f>
        <v>#N/A</v>
      </c>
      <c r="AX88" s="430"/>
    </row>
    <row r="89" spans="2:50">
      <c r="B89" s="400"/>
      <c r="C89" s="181">
        <v>3</v>
      </c>
      <c r="D89" s="196"/>
      <c r="E89" s="165"/>
      <c r="F89" s="181"/>
      <c r="G89" s="179"/>
      <c r="H89" s="413"/>
      <c r="I89" s="165"/>
      <c r="J89" s="165"/>
      <c r="K89" s="179"/>
      <c r="L89" s="413"/>
      <c r="M89" s="180" t="e">
        <f>RANK(K89, K$87:$K$101)</f>
        <v>#N/A</v>
      </c>
      <c r="N89" s="401"/>
      <c r="O89" s="401"/>
      <c r="P89" s="181"/>
      <c r="Q89" s="181"/>
      <c r="R89" s="181"/>
      <c r="S89" s="181" t="e">
        <f t="shared" si="22"/>
        <v>#N/A</v>
      </c>
      <c r="T89" s="430"/>
      <c r="U89" s="181"/>
      <c r="V89" s="181"/>
      <c r="W89" s="181"/>
      <c r="X89" s="181" t="e">
        <f t="shared" si="23"/>
        <v>#N/A</v>
      </c>
      <c r="Y89" s="430"/>
      <c r="Z89" s="181"/>
      <c r="AA89" s="181"/>
      <c r="AB89" s="181"/>
      <c r="AC89" s="181" t="e">
        <f t="shared" si="24"/>
        <v>#N/A</v>
      </c>
      <c r="AD89" s="430"/>
      <c r="AE89" s="181"/>
      <c r="AF89" s="181"/>
      <c r="AG89" s="181"/>
      <c r="AH89" s="181" t="e">
        <f t="shared" si="25"/>
        <v>#N/A</v>
      </c>
      <c r="AI89" s="430"/>
      <c r="AJ89" s="181"/>
      <c r="AK89" s="181"/>
      <c r="AL89" s="181"/>
      <c r="AM89" s="181" t="e">
        <f t="shared" si="26"/>
        <v>#N/A</v>
      </c>
      <c r="AN89" s="430"/>
      <c r="AO89" s="181"/>
      <c r="AP89" s="181"/>
      <c r="AQ89" s="181"/>
      <c r="AR89" s="181" t="e">
        <f t="shared" si="27"/>
        <v>#N/A</v>
      </c>
      <c r="AS89" s="430"/>
      <c r="AT89" s="181"/>
      <c r="AU89" s="181"/>
      <c r="AV89" s="181"/>
      <c r="AW89" s="181" t="e">
        <f t="shared" si="28"/>
        <v>#N/A</v>
      </c>
      <c r="AX89" s="430"/>
    </row>
    <row r="90" spans="2:50">
      <c r="B90" s="400"/>
      <c r="C90" s="181">
        <v>4</v>
      </c>
      <c r="D90" s="196"/>
      <c r="E90" s="165"/>
      <c r="F90" s="181"/>
      <c r="G90" s="179"/>
      <c r="H90" s="413"/>
      <c r="I90" s="165"/>
      <c r="J90" s="165"/>
      <c r="K90" s="179"/>
      <c r="L90" s="413"/>
      <c r="M90" s="180" t="e">
        <f>RANK(K90, K$87:$K$101)</f>
        <v>#N/A</v>
      </c>
      <c r="N90" s="401"/>
      <c r="O90" s="401"/>
      <c r="P90" s="181"/>
      <c r="Q90" s="181"/>
      <c r="R90" s="181"/>
      <c r="S90" s="181" t="e">
        <f t="shared" si="22"/>
        <v>#N/A</v>
      </c>
      <c r="T90" s="430"/>
      <c r="U90" s="181"/>
      <c r="V90" s="181"/>
      <c r="W90" s="181"/>
      <c r="X90" s="181" t="e">
        <f t="shared" si="23"/>
        <v>#N/A</v>
      </c>
      <c r="Y90" s="430"/>
      <c r="Z90" s="181"/>
      <c r="AA90" s="181"/>
      <c r="AB90" s="181"/>
      <c r="AC90" s="181" t="e">
        <f t="shared" si="24"/>
        <v>#N/A</v>
      </c>
      <c r="AD90" s="430"/>
      <c r="AE90" s="181"/>
      <c r="AF90" s="181"/>
      <c r="AG90" s="181"/>
      <c r="AH90" s="181" t="e">
        <f t="shared" si="25"/>
        <v>#N/A</v>
      </c>
      <c r="AI90" s="430"/>
      <c r="AJ90" s="181"/>
      <c r="AK90" s="181"/>
      <c r="AL90" s="181"/>
      <c r="AM90" s="181" t="e">
        <f t="shared" si="26"/>
        <v>#N/A</v>
      </c>
      <c r="AN90" s="430"/>
      <c r="AO90" s="181"/>
      <c r="AP90" s="181"/>
      <c r="AQ90" s="181"/>
      <c r="AR90" s="181" t="e">
        <f t="shared" si="27"/>
        <v>#N/A</v>
      </c>
      <c r="AS90" s="430"/>
      <c r="AT90" s="181"/>
      <c r="AU90" s="181"/>
      <c r="AV90" s="181"/>
      <c r="AW90" s="181" t="e">
        <f t="shared" si="28"/>
        <v>#N/A</v>
      </c>
      <c r="AX90" s="430"/>
    </row>
    <row r="91" spans="2:50">
      <c r="B91" s="400"/>
      <c r="C91" s="181">
        <v>5</v>
      </c>
      <c r="D91" s="196"/>
      <c r="E91" s="165"/>
      <c r="F91" s="181"/>
      <c r="G91" s="179"/>
      <c r="H91" s="413"/>
      <c r="I91" s="165"/>
      <c r="J91" s="165"/>
      <c r="K91" s="179"/>
      <c r="L91" s="413"/>
      <c r="M91" s="180" t="e">
        <f>RANK(K91, K$87:$K$101)</f>
        <v>#N/A</v>
      </c>
      <c r="N91" s="401"/>
      <c r="O91" s="401"/>
      <c r="P91" s="181"/>
      <c r="Q91" s="181"/>
      <c r="R91" s="181"/>
      <c r="S91" s="181" t="e">
        <f t="shared" si="22"/>
        <v>#N/A</v>
      </c>
      <c r="T91" s="430"/>
      <c r="U91" s="181"/>
      <c r="V91" s="181"/>
      <c r="W91" s="181"/>
      <c r="X91" s="181" t="e">
        <f t="shared" si="23"/>
        <v>#N/A</v>
      </c>
      <c r="Y91" s="430"/>
      <c r="Z91" s="181"/>
      <c r="AA91" s="181"/>
      <c r="AB91" s="181"/>
      <c r="AC91" s="181" t="e">
        <f t="shared" si="24"/>
        <v>#N/A</v>
      </c>
      <c r="AD91" s="430"/>
      <c r="AE91" s="181"/>
      <c r="AF91" s="181"/>
      <c r="AG91" s="181"/>
      <c r="AH91" s="181" t="e">
        <f t="shared" si="25"/>
        <v>#N/A</v>
      </c>
      <c r="AI91" s="430"/>
      <c r="AJ91" s="181"/>
      <c r="AK91" s="181"/>
      <c r="AL91" s="181"/>
      <c r="AM91" s="181" t="e">
        <f t="shared" si="26"/>
        <v>#N/A</v>
      </c>
      <c r="AN91" s="430"/>
      <c r="AO91" s="181"/>
      <c r="AP91" s="181"/>
      <c r="AQ91" s="181"/>
      <c r="AR91" s="181" t="e">
        <f t="shared" si="27"/>
        <v>#N/A</v>
      </c>
      <c r="AS91" s="430"/>
      <c r="AT91" s="181"/>
      <c r="AU91" s="181"/>
      <c r="AV91" s="181"/>
      <c r="AW91" s="181" t="e">
        <f t="shared" si="28"/>
        <v>#N/A</v>
      </c>
      <c r="AX91" s="430"/>
    </row>
    <row r="92" spans="2:50">
      <c r="B92" s="400"/>
      <c r="C92" s="181">
        <v>6</v>
      </c>
      <c r="D92" s="196"/>
      <c r="E92" s="165"/>
      <c r="F92" s="181"/>
      <c r="G92" s="179"/>
      <c r="H92" s="413"/>
      <c r="I92" s="165"/>
      <c r="J92" s="165"/>
      <c r="K92" s="179"/>
      <c r="L92" s="413"/>
      <c r="M92" s="180" t="e">
        <f>RANK(K92, K$87:$K$101)</f>
        <v>#N/A</v>
      </c>
      <c r="N92" s="401"/>
      <c r="O92" s="401"/>
      <c r="P92" s="181"/>
      <c r="Q92" s="181"/>
      <c r="R92" s="181"/>
      <c r="S92" s="181" t="e">
        <f t="shared" si="22"/>
        <v>#N/A</v>
      </c>
      <c r="T92" s="430"/>
      <c r="U92" s="181"/>
      <c r="V92" s="181"/>
      <c r="W92" s="181"/>
      <c r="X92" s="181" t="e">
        <f t="shared" si="23"/>
        <v>#N/A</v>
      </c>
      <c r="Y92" s="430"/>
      <c r="Z92" s="181"/>
      <c r="AA92" s="181"/>
      <c r="AB92" s="181"/>
      <c r="AC92" s="181" t="e">
        <f t="shared" si="24"/>
        <v>#N/A</v>
      </c>
      <c r="AD92" s="430"/>
      <c r="AE92" s="181"/>
      <c r="AF92" s="181"/>
      <c r="AG92" s="181"/>
      <c r="AH92" s="181" t="e">
        <f t="shared" si="25"/>
        <v>#N/A</v>
      </c>
      <c r="AI92" s="430"/>
      <c r="AJ92" s="181"/>
      <c r="AK92" s="181"/>
      <c r="AL92" s="181"/>
      <c r="AM92" s="181" t="e">
        <f t="shared" si="26"/>
        <v>#N/A</v>
      </c>
      <c r="AN92" s="430"/>
      <c r="AO92" s="181"/>
      <c r="AP92" s="181"/>
      <c r="AQ92" s="181"/>
      <c r="AR92" s="181" t="e">
        <f t="shared" si="27"/>
        <v>#N/A</v>
      </c>
      <c r="AS92" s="430"/>
      <c r="AT92" s="181"/>
      <c r="AU92" s="181"/>
      <c r="AV92" s="181"/>
      <c r="AW92" s="181" t="e">
        <f t="shared" si="28"/>
        <v>#N/A</v>
      </c>
      <c r="AX92" s="430"/>
    </row>
    <row r="93" spans="2:50">
      <c r="B93" s="400"/>
      <c r="C93" s="181">
        <v>7</v>
      </c>
      <c r="D93" s="196"/>
      <c r="E93" s="165"/>
      <c r="F93" s="181"/>
      <c r="G93" s="179"/>
      <c r="H93" s="413"/>
      <c r="I93" s="165"/>
      <c r="J93" s="165"/>
      <c r="K93" s="179"/>
      <c r="L93" s="413"/>
      <c r="M93" s="180" t="e">
        <f>RANK(K93, K$87:$K$101)</f>
        <v>#N/A</v>
      </c>
      <c r="N93" s="401"/>
      <c r="O93" s="401"/>
      <c r="P93" s="181"/>
      <c r="Q93" s="181"/>
      <c r="R93" s="181"/>
      <c r="S93" s="181" t="e">
        <f t="shared" si="22"/>
        <v>#N/A</v>
      </c>
      <c r="T93" s="430"/>
      <c r="U93" s="181"/>
      <c r="V93" s="181"/>
      <c r="W93" s="181"/>
      <c r="X93" s="181" t="e">
        <f t="shared" si="23"/>
        <v>#N/A</v>
      </c>
      <c r="Y93" s="430"/>
      <c r="Z93" s="181"/>
      <c r="AA93" s="181"/>
      <c r="AB93" s="181"/>
      <c r="AC93" s="181" t="e">
        <f t="shared" si="24"/>
        <v>#N/A</v>
      </c>
      <c r="AD93" s="430"/>
      <c r="AE93" s="181"/>
      <c r="AF93" s="181"/>
      <c r="AG93" s="181"/>
      <c r="AH93" s="181" t="e">
        <f t="shared" si="25"/>
        <v>#N/A</v>
      </c>
      <c r="AI93" s="430"/>
      <c r="AJ93" s="181"/>
      <c r="AK93" s="181"/>
      <c r="AL93" s="181"/>
      <c r="AM93" s="181" t="e">
        <f t="shared" si="26"/>
        <v>#N/A</v>
      </c>
      <c r="AN93" s="430"/>
      <c r="AO93" s="181"/>
      <c r="AP93" s="181"/>
      <c r="AQ93" s="181"/>
      <c r="AR93" s="181" t="e">
        <f t="shared" si="27"/>
        <v>#N/A</v>
      </c>
      <c r="AS93" s="430"/>
      <c r="AT93" s="181"/>
      <c r="AU93" s="181"/>
      <c r="AV93" s="181"/>
      <c r="AW93" s="181" t="e">
        <f t="shared" si="28"/>
        <v>#N/A</v>
      </c>
      <c r="AX93" s="430"/>
    </row>
    <row r="94" spans="2:50">
      <c r="B94" s="400"/>
      <c r="C94" s="181">
        <v>8</v>
      </c>
      <c r="D94" s="196"/>
      <c r="E94" s="165"/>
      <c r="F94" s="181"/>
      <c r="G94" s="179"/>
      <c r="H94" s="413"/>
      <c r="I94" s="165"/>
      <c r="J94" s="165"/>
      <c r="K94" s="179"/>
      <c r="L94" s="413"/>
      <c r="M94" s="180" t="e">
        <f>RANK(K94, K$87:$K$101)</f>
        <v>#N/A</v>
      </c>
      <c r="N94" s="401"/>
      <c r="O94" s="401"/>
      <c r="P94" s="181"/>
      <c r="Q94" s="181"/>
      <c r="R94" s="181"/>
      <c r="S94" s="181" t="e">
        <f t="shared" si="22"/>
        <v>#N/A</v>
      </c>
      <c r="T94" s="430"/>
      <c r="U94" s="181"/>
      <c r="V94" s="181"/>
      <c r="W94" s="181"/>
      <c r="X94" s="181" t="e">
        <f t="shared" si="23"/>
        <v>#N/A</v>
      </c>
      <c r="Y94" s="430"/>
      <c r="Z94" s="181"/>
      <c r="AA94" s="181"/>
      <c r="AB94" s="181"/>
      <c r="AC94" s="181" t="e">
        <f t="shared" si="24"/>
        <v>#N/A</v>
      </c>
      <c r="AD94" s="430"/>
      <c r="AE94" s="181"/>
      <c r="AF94" s="181"/>
      <c r="AG94" s="181"/>
      <c r="AH94" s="181" t="e">
        <f t="shared" si="25"/>
        <v>#N/A</v>
      </c>
      <c r="AI94" s="430"/>
      <c r="AJ94" s="181"/>
      <c r="AK94" s="181"/>
      <c r="AL94" s="181"/>
      <c r="AM94" s="181" t="e">
        <f t="shared" si="26"/>
        <v>#N/A</v>
      </c>
      <c r="AN94" s="430"/>
      <c r="AO94" s="181"/>
      <c r="AP94" s="181"/>
      <c r="AQ94" s="181"/>
      <c r="AR94" s="181" t="e">
        <f t="shared" si="27"/>
        <v>#N/A</v>
      </c>
      <c r="AS94" s="430"/>
      <c r="AT94" s="181"/>
      <c r="AU94" s="181"/>
      <c r="AV94" s="181"/>
      <c r="AW94" s="181" t="e">
        <f t="shared" si="28"/>
        <v>#N/A</v>
      </c>
      <c r="AX94" s="430"/>
    </row>
    <row r="95" spans="2:50">
      <c r="B95" s="400"/>
      <c r="C95" s="181">
        <v>9</v>
      </c>
      <c r="D95" s="196"/>
      <c r="E95" s="165"/>
      <c r="F95" s="181"/>
      <c r="G95" s="179"/>
      <c r="H95" s="413"/>
      <c r="I95" s="165"/>
      <c r="J95" s="165"/>
      <c r="K95" s="179"/>
      <c r="L95" s="413"/>
      <c r="M95" s="180" t="e">
        <f>RANK(K95, K$87:$K$101)</f>
        <v>#N/A</v>
      </c>
      <c r="N95" s="401"/>
      <c r="O95" s="401"/>
      <c r="P95" s="181"/>
      <c r="Q95" s="181"/>
      <c r="R95" s="181"/>
      <c r="S95" s="181" t="e">
        <f t="shared" si="22"/>
        <v>#N/A</v>
      </c>
      <c r="T95" s="430"/>
      <c r="U95" s="181"/>
      <c r="V95" s="181"/>
      <c r="W95" s="181"/>
      <c r="X95" s="181" t="e">
        <f t="shared" si="23"/>
        <v>#N/A</v>
      </c>
      <c r="Y95" s="430"/>
      <c r="Z95" s="181"/>
      <c r="AA95" s="181"/>
      <c r="AB95" s="181"/>
      <c r="AC95" s="181" t="e">
        <f t="shared" si="24"/>
        <v>#N/A</v>
      </c>
      <c r="AD95" s="430"/>
      <c r="AE95" s="181"/>
      <c r="AF95" s="181"/>
      <c r="AG95" s="181"/>
      <c r="AH95" s="181" t="e">
        <f t="shared" si="25"/>
        <v>#N/A</v>
      </c>
      <c r="AI95" s="430"/>
      <c r="AJ95" s="181"/>
      <c r="AK95" s="181"/>
      <c r="AL95" s="181"/>
      <c r="AM95" s="181" t="e">
        <f t="shared" si="26"/>
        <v>#N/A</v>
      </c>
      <c r="AN95" s="430"/>
      <c r="AO95" s="181"/>
      <c r="AP95" s="181"/>
      <c r="AQ95" s="181"/>
      <c r="AR95" s="181" t="e">
        <f t="shared" si="27"/>
        <v>#N/A</v>
      </c>
      <c r="AS95" s="430"/>
      <c r="AT95" s="181"/>
      <c r="AU95" s="181"/>
      <c r="AV95" s="181"/>
      <c r="AW95" s="181" t="e">
        <f t="shared" si="28"/>
        <v>#N/A</v>
      </c>
      <c r="AX95" s="430"/>
    </row>
    <row r="96" spans="2:50">
      <c r="B96" s="400"/>
      <c r="C96" s="181">
        <v>10</v>
      </c>
      <c r="D96" s="196"/>
      <c r="E96" s="165"/>
      <c r="F96" s="181"/>
      <c r="G96" s="179"/>
      <c r="H96" s="413"/>
      <c r="I96" s="165"/>
      <c r="J96" s="165"/>
      <c r="K96" s="179"/>
      <c r="L96" s="413"/>
      <c r="M96" s="180" t="e">
        <f>RANK(K96, K$87:$K$101)</f>
        <v>#N/A</v>
      </c>
      <c r="N96" s="401"/>
      <c r="O96" s="401"/>
      <c r="P96" s="181"/>
      <c r="Q96" s="181"/>
      <c r="R96" s="181"/>
      <c r="S96" s="181" t="e">
        <f t="shared" si="22"/>
        <v>#N/A</v>
      </c>
      <c r="T96" s="430"/>
      <c r="U96" s="181"/>
      <c r="V96" s="181"/>
      <c r="W96" s="181"/>
      <c r="X96" s="181" t="e">
        <f t="shared" si="23"/>
        <v>#N/A</v>
      </c>
      <c r="Y96" s="430"/>
      <c r="Z96" s="181"/>
      <c r="AA96" s="181"/>
      <c r="AB96" s="181"/>
      <c r="AC96" s="181" t="e">
        <f t="shared" si="24"/>
        <v>#N/A</v>
      </c>
      <c r="AD96" s="430"/>
      <c r="AE96" s="181"/>
      <c r="AF96" s="181"/>
      <c r="AG96" s="181"/>
      <c r="AH96" s="181" t="e">
        <f t="shared" si="25"/>
        <v>#N/A</v>
      </c>
      <c r="AI96" s="430"/>
      <c r="AJ96" s="181"/>
      <c r="AK96" s="181"/>
      <c r="AL96" s="181"/>
      <c r="AM96" s="181" t="e">
        <f t="shared" si="26"/>
        <v>#N/A</v>
      </c>
      <c r="AN96" s="430"/>
      <c r="AO96" s="181"/>
      <c r="AP96" s="181"/>
      <c r="AQ96" s="181"/>
      <c r="AR96" s="181" t="e">
        <f t="shared" si="27"/>
        <v>#N/A</v>
      </c>
      <c r="AS96" s="430"/>
      <c r="AT96" s="181"/>
      <c r="AU96" s="181"/>
      <c r="AV96" s="181"/>
      <c r="AW96" s="181" t="e">
        <f t="shared" si="28"/>
        <v>#N/A</v>
      </c>
      <c r="AX96" s="430"/>
    </row>
    <row r="97" spans="2:50">
      <c r="B97" s="400"/>
      <c r="C97" s="181">
        <v>11</v>
      </c>
      <c r="D97" s="196"/>
      <c r="E97" s="165"/>
      <c r="F97" s="181"/>
      <c r="G97" s="179"/>
      <c r="H97" s="413"/>
      <c r="I97" s="181"/>
      <c r="J97" s="181"/>
      <c r="K97" s="181"/>
      <c r="L97" s="413"/>
      <c r="M97" s="180" t="e">
        <f>RANK(K97, K$87:$K$101)</f>
        <v>#N/A</v>
      </c>
      <c r="N97" s="401"/>
      <c r="O97" s="401"/>
      <c r="P97" s="181"/>
      <c r="Q97" s="181"/>
      <c r="R97" s="181"/>
      <c r="S97" s="181" t="e">
        <f t="shared" si="22"/>
        <v>#N/A</v>
      </c>
      <c r="T97" s="430"/>
      <c r="U97" s="181"/>
      <c r="V97" s="181"/>
      <c r="W97" s="181"/>
      <c r="X97" s="181" t="e">
        <f t="shared" si="23"/>
        <v>#N/A</v>
      </c>
      <c r="Y97" s="430"/>
      <c r="Z97" s="181"/>
      <c r="AA97" s="181"/>
      <c r="AB97" s="181"/>
      <c r="AC97" s="181" t="e">
        <f t="shared" si="24"/>
        <v>#N/A</v>
      </c>
      <c r="AD97" s="430"/>
      <c r="AE97" s="181"/>
      <c r="AF97" s="181"/>
      <c r="AG97" s="181"/>
      <c r="AH97" s="181" t="e">
        <f t="shared" si="25"/>
        <v>#N/A</v>
      </c>
      <c r="AI97" s="430"/>
      <c r="AJ97" s="181"/>
      <c r="AK97" s="181"/>
      <c r="AL97" s="181"/>
      <c r="AM97" s="181" t="e">
        <f t="shared" si="26"/>
        <v>#N/A</v>
      </c>
      <c r="AN97" s="430"/>
      <c r="AO97" s="181"/>
      <c r="AP97" s="181"/>
      <c r="AQ97" s="181"/>
      <c r="AR97" s="181" t="e">
        <f t="shared" si="27"/>
        <v>#N/A</v>
      </c>
      <c r="AS97" s="430"/>
      <c r="AT97" s="181"/>
      <c r="AU97" s="181"/>
      <c r="AV97" s="181"/>
      <c r="AW97" s="181" t="e">
        <f t="shared" si="28"/>
        <v>#N/A</v>
      </c>
      <c r="AX97" s="43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81"/>
      <c r="Q98" s="181"/>
      <c r="R98" s="181"/>
      <c r="S98" s="181" t="e">
        <f t="shared" si="22"/>
        <v>#N/A</v>
      </c>
      <c r="T98" s="430"/>
      <c r="U98" s="181"/>
      <c r="V98" s="181"/>
      <c r="W98" s="181"/>
      <c r="X98" s="181" t="e">
        <f t="shared" si="23"/>
        <v>#N/A</v>
      </c>
      <c r="Y98" s="430"/>
      <c r="Z98" s="181"/>
      <c r="AA98" s="181"/>
      <c r="AB98" s="181"/>
      <c r="AC98" s="181" t="e">
        <f t="shared" si="24"/>
        <v>#N/A</v>
      </c>
      <c r="AD98" s="430"/>
      <c r="AE98" s="181"/>
      <c r="AF98" s="181"/>
      <c r="AG98" s="181"/>
      <c r="AH98" s="181" t="e">
        <f t="shared" si="25"/>
        <v>#N/A</v>
      </c>
      <c r="AI98" s="430"/>
      <c r="AJ98" s="181"/>
      <c r="AK98" s="181"/>
      <c r="AL98" s="181"/>
      <c r="AM98" s="181" t="e">
        <f t="shared" si="26"/>
        <v>#N/A</v>
      </c>
      <c r="AN98" s="430"/>
      <c r="AO98" s="181"/>
      <c r="AP98" s="181"/>
      <c r="AQ98" s="181"/>
      <c r="AR98" s="181" t="e">
        <f t="shared" si="27"/>
        <v>#N/A</v>
      </c>
      <c r="AS98" s="430"/>
      <c r="AT98" s="181"/>
      <c r="AU98" s="181"/>
      <c r="AV98" s="181"/>
      <c r="AW98" s="181" t="e">
        <f t="shared" si="28"/>
        <v>#N/A</v>
      </c>
      <c r="AX98" s="43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81"/>
      <c r="Q99" s="181"/>
      <c r="R99" s="181"/>
      <c r="S99" s="181" t="e">
        <f t="shared" si="22"/>
        <v>#N/A</v>
      </c>
      <c r="T99" s="430"/>
      <c r="U99" s="181"/>
      <c r="V99" s="181"/>
      <c r="W99" s="181"/>
      <c r="X99" s="181" t="e">
        <f t="shared" si="23"/>
        <v>#N/A</v>
      </c>
      <c r="Y99" s="430"/>
      <c r="Z99" s="181"/>
      <c r="AA99" s="181"/>
      <c r="AB99" s="181"/>
      <c r="AC99" s="181" t="e">
        <f t="shared" si="24"/>
        <v>#N/A</v>
      </c>
      <c r="AD99" s="430"/>
      <c r="AE99" s="181"/>
      <c r="AF99" s="181"/>
      <c r="AG99" s="181"/>
      <c r="AH99" s="181" t="e">
        <f t="shared" si="25"/>
        <v>#N/A</v>
      </c>
      <c r="AI99" s="430"/>
      <c r="AJ99" s="181"/>
      <c r="AK99" s="181"/>
      <c r="AL99" s="181"/>
      <c r="AM99" s="181" t="e">
        <f t="shared" si="26"/>
        <v>#N/A</v>
      </c>
      <c r="AN99" s="430"/>
      <c r="AO99" s="181"/>
      <c r="AP99" s="181"/>
      <c r="AQ99" s="181"/>
      <c r="AR99" s="181" t="e">
        <f t="shared" si="27"/>
        <v>#N/A</v>
      </c>
      <c r="AS99" s="430"/>
      <c r="AT99" s="181"/>
      <c r="AU99" s="181"/>
      <c r="AV99" s="181"/>
      <c r="AW99" s="181" t="e">
        <f t="shared" si="28"/>
        <v>#N/A</v>
      </c>
      <c r="AX99" s="43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81"/>
      <c r="Q100" s="181"/>
      <c r="R100" s="181"/>
      <c r="S100" s="181" t="e">
        <f t="shared" si="22"/>
        <v>#N/A</v>
      </c>
      <c r="T100" s="430"/>
      <c r="U100" s="181"/>
      <c r="V100" s="181"/>
      <c r="W100" s="181"/>
      <c r="X100" s="181" t="e">
        <f t="shared" si="23"/>
        <v>#N/A</v>
      </c>
      <c r="Y100" s="430"/>
      <c r="Z100" s="181"/>
      <c r="AA100" s="181"/>
      <c r="AB100" s="181"/>
      <c r="AC100" s="181" t="e">
        <f t="shared" si="24"/>
        <v>#N/A</v>
      </c>
      <c r="AD100" s="430"/>
      <c r="AE100" s="181"/>
      <c r="AF100" s="181"/>
      <c r="AG100" s="181"/>
      <c r="AH100" s="181" t="e">
        <f t="shared" si="25"/>
        <v>#N/A</v>
      </c>
      <c r="AI100" s="430"/>
      <c r="AJ100" s="181"/>
      <c r="AK100" s="181"/>
      <c r="AL100" s="181"/>
      <c r="AM100" s="181" t="e">
        <f t="shared" si="26"/>
        <v>#N/A</v>
      </c>
      <c r="AN100" s="430"/>
      <c r="AO100" s="181"/>
      <c r="AP100" s="181"/>
      <c r="AQ100" s="181"/>
      <c r="AR100" s="181" t="e">
        <f t="shared" si="27"/>
        <v>#N/A</v>
      </c>
      <c r="AS100" s="430"/>
      <c r="AT100" s="181"/>
      <c r="AU100" s="181"/>
      <c r="AV100" s="181"/>
      <c r="AW100" s="181" t="e">
        <f t="shared" si="28"/>
        <v>#N/A</v>
      </c>
      <c r="AX100" s="43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81"/>
      <c r="Q101" s="181"/>
      <c r="R101" s="181"/>
      <c r="S101" s="181" t="e">
        <f t="shared" si="22"/>
        <v>#N/A</v>
      </c>
      <c r="T101" s="430"/>
      <c r="U101" s="181"/>
      <c r="V101" s="181"/>
      <c r="W101" s="181"/>
      <c r="X101" s="181" t="e">
        <f t="shared" si="23"/>
        <v>#N/A</v>
      </c>
      <c r="Y101" s="430"/>
      <c r="Z101" s="181"/>
      <c r="AA101" s="181"/>
      <c r="AB101" s="181"/>
      <c r="AC101" s="181" t="e">
        <f t="shared" si="24"/>
        <v>#N/A</v>
      </c>
      <c r="AD101" s="430"/>
      <c r="AE101" s="181"/>
      <c r="AF101" s="181"/>
      <c r="AG101" s="181"/>
      <c r="AH101" s="181" t="e">
        <f t="shared" si="25"/>
        <v>#N/A</v>
      </c>
      <c r="AI101" s="430"/>
      <c r="AJ101" s="181"/>
      <c r="AK101" s="181"/>
      <c r="AL101" s="181"/>
      <c r="AM101" s="181" t="e">
        <f t="shared" si="26"/>
        <v>#N/A</v>
      </c>
      <c r="AN101" s="430"/>
      <c r="AO101" s="181"/>
      <c r="AP101" s="181"/>
      <c r="AQ101" s="181"/>
      <c r="AR101" s="181" t="e">
        <f t="shared" si="27"/>
        <v>#N/A</v>
      </c>
      <c r="AS101" s="430"/>
      <c r="AT101" s="181"/>
      <c r="AU101" s="181"/>
      <c r="AV101" s="181"/>
      <c r="AW101" s="181" t="e">
        <f t="shared" si="28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01" t="s">
        <v>257</v>
      </c>
      <c r="C107" s="181">
        <v>1</v>
      </c>
      <c r="D107" s="196" t="s">
        <v>258</v>
      </c>
      <c r="E107" s="165">
        <v>13</v>
      </c>
      <c r="F107" s="181">
        <v>1607.9999999999993</v>
      </c>
      <c r="G107" s="179">
        <v>123.69230769230764</v>
      </c>
      <c r="H107" s="412">
        <f>AVERAGE(G107:G121)</f>
        <v>123.69230769230764</v>
      </c>
      <c r="I107" s="165">
        <f t="shared" ref="I107:K108" si="29">AVERAGE(P107,U107,Z107,AE107,AJ107,AO107,AT107)</f>
        <v>13</v>
      </c>
      <c r="J107" s="165">
        <f t="shared" si="29"/>
        <v>1447.1999999999957</v>
      </c>
      <c r="K107" s="179">
        <f t="shared" si="29"/>
        <v>111.3230769230766</v>
      </c>
      <c r="L107" s="412">
        <f>IFERROR(AVERAGE(K107:K121),"-")</f>
        <v>114.00419580419565</v>
      </c>
      <c r="M107" s="180" t="e">
        <f>RANK(K107, K$87:$K$101)</f>
        <v>#N/A</v>
      </c>
      <c r="N107" s="401"/>
      <c r="O107" s="401"/>
      <c r="P107" s="165">
        <v>13</v>
      </c>
      <c r="Q107" s="165">
        <v>1447.1999999999957</v>
      </c>
      <c r="R107" s="179">
        <v>111.3230769230766</v>
      </c>
      <c r="S107" s="181">
        <f>RANK(R107, R$107:R$121)</f>
        <v>2</v>
      </c>
      <c r="T107" s="430">
        <f>AVERAGE(R107:R121)</f>
        <v>114.00419580419565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260</v>
      </c>
      <c r="E108" s="165">
        <v>13</v>
      </c>
      <c r="F108" s="181">
        <v>1607.9999999999993</v>
      </c>
      <c r="G108" s="179">
        <v>123.69230769230764</v>
      </c>
      <c r="H108" s="413"/>
      <c r="I108" s="165">
        <f t="shared" si="29"/>
        <v>13</v>
      </c>
      <c r="J108" s="165">
        <f t="shared" si="29"/>
        <v>1516.909090909091</v>
      </c>
      <c r="K108" s="179">
        <f t="shared" si="29"/>
        <v>116.68531468531469</v>
      </c>
      <c r="L108" s="413"/>
      <c r="M108" s="180" t="e">
        <f>RANK(K108, K$87:$K$101)</f>
        <v>#N/A</v>
      </c>
      <c r="N108" s="401"/>
      <c r="O108" s="401"/>
      <c r="P108" s="181">
        <v>13</v>
      </c>
      <c r="Q108" s="165">
        <v>1516.909090909091</v>
      </c>
      <c r="R108" s="179">
        <v>116.68531468531469</v>
      </c>
      <c r="S108" s="181">
        <f t="shared" ref="S108:S121" si="30">RANK(R108, R$107:R$121)</f>
        <v>1</v>
      </c>
      <c r="T108" s="430"/>
      <c r="X108" s="103"/>
      <c r="AC108" s="103"/>
      <c r="AH108" s="103"/>
      <c r="AM108" s="103"/>
    </row>
    <row r="109" spans="2:50">
      <c r="B109" s="400"/>
      <c r="C109" s="181">
        <v>3</v>
      </c>
      <c r="D109" s="196"/>
      <c r="E109" s="165"/>
      <c r="F109" s="181"/>
      <c r="G109" s="179"/>
      <c r="H109" s="413"/>
      <c r="I109" s="165"/>
      <c r="J109" s="165"/>
      <c r="K109" s="179"/>
      <c r="L109" s="413"/>
      <c r="M109" s="180" t="e">
        <f>RANK(K109, K$87:$K$101)</f>
        <v>#N/A</v>
      </c>
      <c r="N109" s="401"/>
      <c r="O109" s="401"/>
      <c r="P109" s="181"/>
      <c r="Q109" s="181"/>
      <c r="R109" s="181"/>
      <c r="S109" s="181" t="e">
        <f t="shared" si="30"/>
        <v>#N/A</v>
      </c>
      <c r="T109" s="430"/>
      <c r="X109" s="103"/>
      <c r="AC109" s="103"/>
      <c r="AH109" s="103"/>
      <c r="AM109" s="103"/>
    </row>
    <row r="110" spans="2:50">
      <c r="B110" s="400"/>
      <c r="C110" s="181">
        <v>4</v>
      </c>
      <c r="D110" s="196"/>
      <c r="E110" s="165"/>
      <c r="F110" s="181"/>
      <c r="G110" s="179"/>
      <c r="H110" s="413"/>
      <c r="I110" s="165"/>
      <c r="J110" s="165"/>
      <c r="K110" s="179"/>
      <c r="L110" s="413"/>
      <c r="M110" s="180" t="e">
        <f>RANK(K110, K$87:$K$101)</f>
        <v>#N/A</v>
      </c>
      <c r="N110" s="401"/>
      <c r="O110" s="401"/>
      <c r="P110" s="181"/>
      <c r="Q110" s="181"/>
      <c r="R110" s="181"/>
      <c r="S110" s="181" t="e">
        <f t="shared" si="30"/>
        <v>#N/A</v>
      </c>
      <c r="T110" s="430"/>
      <c r="X110" s="103"/>
      <c r="AC110" s="103"/>
      <c r="AH110" s="103"/>
      <c r="AM110" s="103"/>
    </row>
    <row r="111" spans="2:50">
      <c r="B111" s="400"/>
      <c r="C111" s="181">
        <v>5</v>
      </c>
      <c r="D111" s="196"/>
      <c r="E111" s="165"/>
      <c r="F111" s="181"/>
      <c r="G111" s="179"/>
      <c r="H111" s="413"/>
      <c r="I111" s="165"/>
      <c r="J111" s="165"/>
      <c r="K111" s="179"/>
      <c r="L111" s="413"/>
      <c r="M111" s="180" t="e">
        <f>RANK(K111, K$87:$K$101)</f>
        <v>#N/A</v>
      </c>
      <c r="N111" s="401"/>
      <c r="O111" s="401"/>
      <c r="P111" s="181"/>
      <c r="Q111" s="181"/>
      <c r="R111" s="181"/>
      <c r="S111" s="181" t="e">
        <f t="shared" si="30"/>
        <v>#N/A</v>
      </c>
      <c r="T111" s="430"/>
      <c r="X111" s="103"/>
      <c r="AC111" s="103"/>
      <c r="AH111" s="103"/>
      <c r="AM111" s="103"/>
    </row>
    <row r="112" spans="2:50">
      <c r="B112" s="400"/>
      <c r="C112" s="181">
        <v>6</v>
      </c>
      <c r="D112" s="196"/>
      <c r="E112" s="165"/>
      <c r="F112" s="181"/>
      <c r="G112" s="179"/>
      <c r="H112" s="413"/>
      <c r="I112" s="165"/>
      <c r="J112" s="165"/>
      <c r="K112" s="179"/>
      <c r="L112" s="413"/>
      <c r="M112" s="180" t="e">
        <f>RANK(K112, K$87:$K$101)</f>
        <v>#N/A</v>
      </c>
      <c r="N112" s="401"/>
      <c r="O112" s="401"/>
      <c r="P112" s="181"/>
      <c r="Q112" s="181"/>
      <c r="R112" s="181"/>
      <c r="S112" s="181" t="e">
        <f t="shared" si="30"/>
        <v>#N/A</v>
      </c>
      <c r="T112" s="430"/>
      <c r="X112" s="103"/>
      <c r="AC112" s="103"/>
      <c r="AH112" s="103"/>
      <c r="AM112" s="103"/>
    </row>
    <row r="113" spans="2:39">
      <c r="B113" s="400"/>
      <c r="C113" s="181">
        <v>7</v>
      </c>
      <c r="D113" s="196"/>
      <c r="E113" s="165"/>
      <c r="F113" s="181"/>
      <c r="G113" s="179"/>
      <c r="H113" s="413"/>
      <c r="I113" s="165"/>
      <c r="J113" s="165"/>
      <c r="K113" s="179"/>
      <c r="L113" s="413"/>
      <c r="M113" s="180" t="e">
        <f>RANK(K113, K$87:$K$101)</f>
        <v>#N/A</v>
      </c>
      <c r="N113" s="401"/>
      <c r="O113" s="401"/>
      <c r="P113" s="181"/>
      <c r="Q113" s="181"/>
      <c r="R113" s="181"/>
      <c r="S113" s="181" t="e">
        <f t="shared" si="30"/>
        <v>#N/A</v>
      </c>
      <c r="T113" s="430"/>
      <c r="X113" s="103"/>
      <c r="AC113" s="103"/>
      <c r="AH113" s="103"/>
      <c r="AM113" s="103"/>
    </row>
    <row r="114" spans="2:39">
      <c r="B114" s="400"/>
      <c r="C114" s="181">
        <v>8</v>
      </c>
      <c r="D114" s="196"/>
      <c r="E114" s="165"/>
      <c r="F114" s="181"/>
      <c r="G114" s="179"/>
      <c r="H114" s="413"/>
      <c r="I114" s="165"/>
      <c r="J114" s="165"/>
      <c r="K114" s="179"/>
      <c r="L114" s="413"/>
      <c r="M114" s="180" t="e">
        <f>RANK(K114, K$87:$K$101)</f>
        <v>#N/A</v>
      </c>
      <c r="N114" s="401"/>
      <c r="O114" s="401"/>
      <c r="P114" s="181"/>
      <c r="Q114" s="181"/>
      <c r="R114" s="181"/>
      <c r="S114" s="181" t="e">
        <f t="shared" si="30"/>
        <v>#N/A</v>
      </c>
      <c r="T114" s="430"/>
      <c r="X114" s="103"/>
      <c r="AC114" s="103"/>
      <c r="AH114" s="103"/>
      <c r="AM114" s="103"/>
    </row>
    <row r="115" spans="2:39">
      <c r="B115" s="400"/>
      <c r="C115" s="181">
        <v>9</v>
      </c>
      <c r="D115" s="196"/>
      <c r="E115" s="165"/>
      <c r="F115" s="181"/>
      <c r="G115" s="179"/>
      <c r="H115" s="413"/>
      <c r="I115" s="165"/>
      <c r="J115" s="165"/>
      <c r="K115" s="179"/>
      <c r="L115" s="413"/>
      <c r="M115" s="180" t="e">
        <f>RANK(K115, K$87:$K$101)</f>
        <v>#N/A</v>
      </c>
      <c r="N115" s="401"/>
      <c r="O115" s="401"/>
      <c r="P115" s="181"/>
      <c r="Q115" s="181"/>
      <c r="R115" s="181"/>
      <c r="S115" s="181" t="e">
        <f t="shared" si="30"/>
        <v>#N/A</v>
      </c>
      <c r="T115" s="430"/>
      <c r="X115" s="103"/>
      <c r="AC115" s="103"/>
      <c r="AH115" s="103"/>
      <c r="AM115" s="103"/>
    </row>
    <row r="116" spans="2:39">
      <c r="B116" s="400"/>
      <c r="C116" s="181">
        <v>10</v>
      </c>
      <c r="D116" s="196"/>
      <c r="E116" s="165"/>
      <c r="F116" s="181"/>
      <c r="G116" s="179"/>
      <c r="H116" s="413"/>
      <c r="I116" s="165"/>
      <c r="J116" s="165"/>
      <c r="K116" s="179"/>
      <c r="L116" s="413"/>
      <c r="M116" s="180" t="e">
        <f>RANK(K116, K$87:$K$101)</f>
        <v>#N/A</v>
      </c>
      <c r="N116" s="401"/>
      <c r="O116" s="401"/>
      <c r="P116" s="181"/>
      <c r="Q116" s="181"/>
      <c r="R116" s="181"/>
      <c r="S116" s="181" t="e">
        <f t="shared" si="30"/>
        <v>#N/A</v>
      </c>
      <c r="T116" s="430"/>
      <c r="X116" s="103"/>
      <c r="AC116" s="103"/>
      <c r="AH116" s="103"/>
      <c r="AM116" s="103"/>
    </row>
    <row r="117" spans="2:39">
      <c r="B117" s="400"/>
      <c r="C117" s="181">
        <v>11</v>
      </c>
      <c r="D117" s="196"/>
      <c r="E117" s="165"/>
      <c r="F117" s="181"/>
      <c r="G117" s="179"/>
      <c r="H117" s="413"/>
      <c r="I117" s="181"/>
      <c r="J117" s="181"/>
      <c r="K117" s="181"/>
      <c r="L117" s="413"/>
      <c r="M117" s="180" t="e">
        <f>RANK(K117, K$87:$K$101)</f>
        <v>#N/A</v>
      </c>
      <c r="N117" s="401"/>
      <c r="O117" s="401"/>
      <c r="P117" s="181"/>
      <c r="Q117" s="181"/>
      <c r="R117" s="181"/>
      <c r="S117" s="181" t="e">
        <f t="shared" si="30"/>
        <v>#N/A</v>
      </c>
      <c r="T117" s="430"/>
      <c r="X117" s="103"/>
      <c r="AC117" s="103"/>
      <c r="AH117" s="103"/>
      <c r="AM117" s="103"/>
    </row>
    <row r="118" spans="2:39">
      <c r="B118" s="400"/>
      <c r="C118" s="181">
        <v>12</v>
      </c>
      <c r="D118" s="196"/>
      <c r="E118" s="165"/>
      <c r="F118" s="181"/>
      <c r="G118" s="179"/>
      <c r="H118" s="413"/>
      <c r="I118" s="181"/>
      <c r="J118" s="181"/>
      <c r="K118" s="181"/>
      <c r="L118" s="413"/>
      <c r="M118" s="180" t="e">
        <f>RANK(K118, K$87:$K$101)</f>
        <v>#N/A</v>
      </c>
      <c r="N118" s="401"/>
      <c r="O118" s="401"/>
      <c r="P118" s="181"/>
      <c r="Q118" s="181"/>
      <c r="R118" s="181"/>
      <c r="S118" s="181" t="e">
        <f t="shared" si="30"/>
        <v>#N/A</v>
      </c>
      <c r="T118" s="430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81"/>
      <c r="J119" s="181"/>
      <c r="K119" s="181"/>
      <c r="L119" s="413"/>
      <c r="M119" s="180" t="e">
        <f>RANK(K119, K$87:$K$101)</f>
        <v>#N/A</v>
      </c>
      <c r="N119" s="401"/>
      <c r="O119" s="401"/>
      <c r="P119" s="181"/>
      <c r="Q119" s="181"/>
      <c r="R119" s="181"/>
      <c r="S119" s="181" t="e">
        <f t="shared" si="30"/>
        <v>#N/A</v>
      </c>
      <c r="T119" s="430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81"/>
      <c r="J120" s="181"/>
      <c r="K120" s="181"/>
      <c r="L120" s="413"/>
      <c r="M120" s="180" t="e">
        <f>RANK(K120, K$87:$K$101)</f>
        <v>#N/A</v>
      </c>
      <c r="N120" s="401"/>
      <c r="O120" s="401"/>
      <c r="P120" s="181"/>
      <c r="Q120" s="181"/>
      <c r="R120" s="181"/>
      <c r="S120" s="181" t="e">
        <f t="shared" si="30"/>
        <v>#N/A</v>
      </c>
      <c r="T120" s="430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81"/>
      <c r="J121" s="181"/>
      <c r="K121" s="181"/>
      <c r="L121" s="414"/>
      <c r="M121" s="165" t="e">
        <f>RANK(K121, K$87:$K$101)</f>
        <v>#N/A</v>
      </c>
      <c r="N121" s="401"/>
      <c r="O121" s="401"/>
      <c r="P121" s="181"/>
      <c r="Q121" s="181"/>
      <c r="R121" s="181"/>
      <c r="S121" s="181" t="e">
        <f t="shared" si="30"/>
        <v>#N/A</v>
      </c>
      <c r="T121" s="430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3:13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3:13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3:13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3:13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3:1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3:13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3:13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3:13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3:13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3:13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3:13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3:13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3:13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3:13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FFCC"/>
  </sheetPr>
  <dimension ref="A1:AX247"/>
  <sheetViews>
    <sheetView zoomScale="55" zoomScaleNormal="55" workbookViewId="0">
      <pane xSplit="15" topLeftCell="P1" activePane="topRight" state="frozen"/>
      <selection pane="topRight" activeCell="T18" sqref="T18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AVERAGE(L7,L42,L77,L112,L147,L182)</f>
        <v>89.000698412187703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172</v>
      </c>
      <c r="C7" s="181">
        <v>1</v>
      </c>
      <c r="D7" s="196" t="s">
        <v>261</v>
      </c>
      <c r="E7" s="165">
        <v>5</v>
      </c>
      <c r="F7" s="181">
        <v>1600</v>
      </c>
      <c r="G7" s="179">
        <v>320</v>
      </c>
      <c r="H7" s="412">
        <f>AVERAGE(G7:G36)</f>
        <v>107.10150826412433</v>
      </c>
      <c r="I7" s="165">
        <f>AVERAGE(P7,U7,Z7,AE7,AJ7,AO7,AT7)</f>
        <v>5</v>
      </c>
      <c r="J7" s="165">
        <f>AVERAGE(Q7,V7,AA7,AF7,AK7,AP7,AU7)</f>
        <v>880.00000000000318</v>
      </c>
      <c r="K7" s="179">
        <f>AVERAGE(R7,W7,AB7,AG7,AL7,AQ7,AV7)</f>
        <v>176.00000000000063</v>
      </c>
      <c r="L7" s="412">
        <f>IFERROR(AVERAGE(K7:K36),"-")</f>
        <v>91.462330723642893</v>
      </c>
      <c r="M7" s="180">
        <f>RANK(K7, K$7:$K$36)</f>
        <v>3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65">
        <v>5</v>
      </c>
      <c r="AU7" s="165">
        <v>880.00000000000318</v>
      </c>
      <c r="AV7" s="165">
        <v>176.00000000000063</v>
      </c>
      <c r="AW7" s="181">
        <f t="shared" ref="AW7:AW36" si="0">RANK(AV7, AV$7:AV$36)</f>
        <v>3</v>
      </c>
      <c r="AX7" s="430">
        <f>AVERAGE(AV7:AV36)</f>
        <v>91.462330723642893</v>
      </c>
    </row>
    <row r="8" spans="1:50" ht="15" customHeight="1">
      <c r="A8" s="79"/>
      <c r="B8" s="400"/>
      <c r="C8" s="181">
        <v>2</v>
      </c>
      <c r="D8" s="196" t="s">
        <v>262</v>
      </c>
      <c r="E8" s="165">
        <v>6</v>
      </c>
      <c r="F8" s="181">
        <v>1500</v>
      </c>
      <c r="G8" s="179">
        <v>250</v>
      </c>
      <c r="H8" s="413"/>
      <c r="I8" s="165">
        <f t="shared" ref="I8:K30" si="1">AVERAGE(P8,U8,Z8,AE8,AJ8,AO8,AT8)</f>
        <v>5</v>
      </c>
      <c r="J8" s="165">
        <f t="shared" si="1"/>
        <v>1530.6795180722895</v>
      </c>
      <c r="K8" s="179">
        <f t="shared" si="1"/>
        <v>306.1359036144579</v>
      </c>
      <c r="L8" s="413"/>
      <c r="M8" s="180">
        <f>RANK(K8, K$7:$K$36)</f>
        <v>1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65">
        <v>5</v>
      </c>
      <c r="AU8" s="165">
        <v>1530.6795180722895</v>
      </c>
      <c r="AV8" s="165">
        <v>306.1359036144579</v>
      </c>
      <c r="AW8" s="181">
        <f t="shared" si="0"/>
        <v>1</v>
      </c>
      <c r="AX8" s="430"/>
    </row>
    <row r="9" spans="1:50">
      <c r="A9" s="79"/>
      <c r="B9" s="400"/>
      <c r="C9" s="181">
        <v>3</v>
      </c>
      <c r="D9" s="196" t="s">
        <v>263</v>
      </c>
      <c r="E9" s="165">
        <v>7</v>
      </c>
      <c r="F9" s="181">
        <v>1500</v>
      </c>
      <c r="G9" s="179">
        <v>214.28571428571428</v>
      </c>
      <c r="H9" s="413"/>
      <c r="I9" s="165">
        <f t="shared" si="1"/>
        <v>7</v>
      </c>
      <c r="J9" s="165">
        <f t="shared" si="1"/>
        <v>1461.346153846154</v>
      </c>
      <c r="K9" s="179">
        <f t="shared" si="1"/>
        <v>208.76373626373629</v>
      </c>
      <c r="L9" s="413"/>
      <c r="M9" s="180">
        <f>RANK(K9, K$7:$K$36)</f>
        <v>2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65">
        <v>7</v>
      </c>
      <c r="AU9" s="165">
        <v>1461.346153846154</v>
      </c>
      <c r="AV9" s="165">
        <v>208.76373626373629</v>
      </c>
      <c r="AW9" s="181">
        <f t="shared" si="0"/>
        <v>2</v>
      </c>
      <c r="AX9" s="430"/>
    </row>
    <row r="10" spans="1:50">
      <c r="A10" s="79"/>
      <c r="B10" s="400"/>
      <c r="C10" s="181">
        <v>4</v>
      </c>
      <c r="D10" s="196" t="s">
        <v>264</v>
      </c>
      <c r="E10" s="165">
        <v>18</v>
      </c>
      <c r="F10" s="181">
        <v>1500</v>
      </c>
      <c r="G10" s="179">
        <v>83.333333333333329</v>
      </c>
      <c r="H10" s="413"/>
      <c r="I10" s="165">
        <f t="shared" si="1"/>
        <v>17</v>
      </c>
      <c r="J10" s="165">
        <f t="shared" si="1"/>
        <v>1265.8407079646017</v>
      </c>
      <c r="K10" s="179">
        <f t="shared" si="1"/>
        <v>74.461218115564805</v>
      </c>
      <c r="L10" s="413"/>
      <c r="M10" s="180">
        <f>RANK(K10, K$7:$K$36)</f>
        <v>13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65">
        <v>17</v>
      </c>
      <c r="AU10" s="165">
        <v>1265.8407079646017</v>
      </c>
      <c r="AV10" s="165">
        <v>74.461218115564805</v>
      </c>
      <c r="AW10" s="181">
        <f t="shared" si="0"/>
        <v>13</v>
      </c>
      <c r="AX10" s="430"/>
    </row>
    <row r="11" spans="1:50">
      <c r="A11" s="79"/>
      <c r="B11" s="400"/>
      <c r="C11" s="181">
        <v>5</v>
      </c>
      <c r="D11" s="196" t="s">
        <v>265</v>
      </c>
      <c r="E11" s="165">
        <v>21</v>
      </c>
      <c r="F11" s="181">
        <v>1500</v>
      </c>
      <c r="G11" s="179">
        <v>71.428571428571431</v>
      </c>
      <c r="H11" s="413"/>
      <c r="I11" s="165">
        <f t="shared" si="1"/>
        <v>20</v>
      </c>
      <c r="J11" s="165">
        <f t="shared" si="1"/>
        <v>1087.0129870129874</v>
      </c>
      <c r="K11" s="179">
        <f t="shared" si="1"/>
        <v>54.35064935064937</v>
      </c>
      <c r="L11" s="413"/>
      <c r="M11" s="180">
        <f>RANK(K11, K$7:$K$36)</f>
        <v>23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65">
        <v>20</v>
      </c>
      <c r="AU11" s="165">
        <v>1087.0129870129874</v>
      </c>
      <c r="AV11" s="165">
        <v>54.35064935064937</v>
      </c>
      <c r="AW11" s="181">
        <f t="shared" si="0"/>
        <v>23</v>
      </c>
      <c r="AX11" s="430"/>
    </row>
    <row r="12" spans="1:50">
      <c r="A12" s="79"/>
      <c r="B12" s="400"/>
      <c r="C12" s="181">
        <v>6</v>
      </c>
      <c r="D12" s="196" t="s">
        <v>266</v>
      </c>
      <c r="E12" s="165">
        <v>19</v>
      </c>
      <c r="F12" s="181">
        <v>1500</v>
      </c>
      <c r="G12" s="179">
        <v>78.94736842105263</v>
      </c>
      <c r="H12" s="413"/>
      <c r="I12" s="165">
        <f t="shared" si="1"/>
        <v>20</v>
      </c>
      <c r="J12" s="165">
        <f t="shared" si="1"/>
        <v>1084.4776119402998</v>
      </c>
      <c r="K12" s="179">
        <f t="shared" si="1"/>
        <v>54.22388059701499</v>
      </c>
      <c r="L12" s="413"/>
      <c r="M12" s="180">
        <f>RANK(K12, K$7:$K$36)</f>
        <v>24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65">
        <v>20</v>
      </c>
      <c r="AU12" s="165">
        <v>1084.4776119402998</v>
      </c>
      <c r="AV12" s="165">
        <v>54.22388059701499</v>
      </c>
      <c r="AW12" s="181">
        <f t="shared" si="0"/>
        <v>24</v>
      </c>
      <c r="AX12" s="430"/>
    </row>
    <row r="13" spans="1:50">
      <c r="A13" s="79"/>
      <c r="B13" s="400"/>
      <c r="C13" s="181">
        <v>7</v>
      </c>
      <c r="D13" s="196" t="s">
        <v>267</v>
      </c>
      <c r="E13" s="165">
        <v>17</v>
      </c>
      <c r="F13" s="181">
        <v>1500</v>
      </c>
      <c r="G13" s="179">
        <v>88.235294117647058</v>
      </c>
      <c r="H13" s="413"/>
      <c r="I13" s="165">
        <f t="shared" si="1"/>
        <v>20</v>
      </c>
      <c r="J13" s="165">
        <f t="shared" si="1"/>
        <v>1298.3606557377061</v>
      </c>
      <c r="K13" s="179">
        <f t="shared" si="1"/>
        <v>64.918032786885306</v>
      </c>
      <c r="L13" s="413"/>
      <c r="M13" s="180">
        <f>RANK(K13, K$7:$K$36)</f>
        <v>20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65">
        <v>20</v>
      </c>
      <c r="AU13" s="165">
        <v>1298.3606557377061</v>
      </c>
      <c r="AV13" s="165">
        <v>64.918032786885306</v>
      </c>
      <c r="AW13" s="181">
        <f t="shared" si="0"/>
        <v>20</v>
      </c>
      <c r="AX13" s="430"/>
    </row>
    <row r="14" spans="1:50">
      <c r="A14" s="79"/>
      <c r="B14" s="400"/>
      <c r="C14" s="181">
        <v>8</v>
      </c>
      <c r="D14" s="196" t="s">
        <v>268</v>
      </c>
      <c r="E14" s="165">
        <v>17</v>
      </c>
      <c r="F14" s="181">
        <v>1565</v>
      </c>
      <c r="G14" s="179">
        <v>92.058823529411768</v>
      </c>
      <c r="H14" s="413"/>
      <c r="I14" s="165">
        <f t="shared" si="1"/>
        <v>18</v>
      </c>
      <c r="J14" s="165">
        <f t="shared" si="1"/>
        <v>1331.2087912087911</v>
      </c>
      <c r="K14" s="179">
        <f t="shared" si="1"/>
        <v>73.956043956043956</v>
      </c>
      <c r="L14" s="413"/>
      <c r="M14" s="180">
        <f>RANK(K14, K$7:$K$36)</f>
        <v>14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65">
        <v>18</v>
      </c>
      <c r="AU14" s="165">
        <v>1331.2087912087911</v>
      </c>
      <c r="AV14" s="165">
        <v>73.956043956043956</v>
      </c>
      <c r="AW14" s="181">
        <f t="shared" si="0"/>
        <v>14</v>
      </c>
      <c r="AX14" s="430"/>
    </row>
    <row r="15" spans="1:50">
      <c r="A15" s="79"/>
      <c r="B15" s="400"/>
      <c r="C15" s="181">
        <v>9</v>
      </c>
      <c r="D15" s="196" t="s">
        <v>269</v>
      </c>
      <c r="E15" s="165">
        <v>16</v>
      </c>
      <c r="F15" s="181">
        <v>1440</v>
      </c>
      <c r="G15" s="179">
        <v>90</v>
      </c>
      <c r="H15" s="413"/>
      <c r="I15" s="165">
        <f t="shared" si="1"/>
        <v>17</v>
      </c>
      <c r="J15" s="165">
        <f t="shared" si="1"/>
        <v>1321.8749999999982</v>
      </c>
      <c r="K15" s="179">
        <f t="shared" si="1"/>
        <v>77.757352941176364</v>
      </c>
      <c r="L15" s="413"/>
      <c r="M15" s="180">
        <f>RANK(K15, K$7:$K$36)</f>
        <v>8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65">
        <v>17</v>
      </c>
      <c r="AU15" s="165">
        <v>1321.8749999999982</v>
      </c>
      <c r="AV15" s="165">
        <v>77.757352941176364</v>
      </c>
      <c r="AW15" s="181">
        <f t="shared" si="0"/>
        <v>8</v>
      </c>
      <c r="AX15" s="430"/>
    </row>
    <row r="16" spans="1:50">
      <c r="A16" s="79"/>
      <c r="B16" s="400"/>
      <c r="C16" s="181">
        <v>10</v>
      </c>
      <c r="D16" s="196" t="s">
        <v>270</v>
      </c>
      <c r="E16" s="165">
        <v>17</v>
      </c>
      <c r="F16" s="181">
        <v>1440</v>
      </c>
      <c r="G16" s="179">
        <v>84.705882352941174</v>
      </c>
      <c r="H16" s="413"/>
      <c r="I16" s="165">
        <f t="shared" si="1"/>
        <v>17</v>
      </c>
      <c r="J16" s="165">
        <f t="shared" si="1"/>
        <v>1309.0909090909099</v>
      </c>
      <c r="K16" s="179">
        <f t="shared" si="1"/>
        <v>77.00534759358294</v>
      </c>
      <c r="L16" s="413"/>
      <c r="M16" s="180">
        <f>RANK(K16, K$7:$K$36)</f>
        <v>9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65">
        <v>17</v>
      </c>
      <c r="AU16" s="165">
        <v>1309.0909090909099</v>
      </c>
      <c r="AV16" s="165">
        <v>77.00534759358294</v>
      </c>
      <c r="AW16" s="181">
        <f t="shared" si="0"/>
        <v>9</v>
      </c>
      <c r="AX16" s="430"/>
    </row>
    <row r="17" spans="2:50">
      <c r="B17" s="400"/>
      <c r="C17" s="181">
        <v>11</v>
      </c>
      <c r="D17" s="196" t="s">
        <v>271</v>
      </c>
      <c r="E17" s="165">
        <v>15</v>
      </c>
      <c r="F17" s="181">
        <v>1500</v>
      </c>
      <c r="G17" s="179">
        <v>100</v>
      </c>
      <c r="H17" s="413"/>
      <c r="I17" s="165">
        <f t="shared" si="1"/>
        <v>17</v>
      </c>
      <c r="J17" s="165">
        <f t="shared" si="1"/>
        <v>1110.0000000000039</v>
      </c>
      <c r="K17" s="179">
        <f t="shared" si="1"/>
        <v>65.294117647059053</v>
      </c>
      <c r="L17" s="413"/>
      <c r="M17" s="180">
        <f>RANK(K17, K$7:$K$36)</f>
        <v>19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65">
        <v>17</v>
      </c>
      <c r="AU17" s="165">
        <v>1110.0000000000039</v>
      </c>
      <c r="AV17" s="165">
        <v>65.294117647059053</v>
      </c>
      <c r="AW17" s="181">
        <f t="shared" si="0"/>
        <v>19</v>
      </c>
      <c r="AX17" s="430"/>
    </row>
    <row r="18" spans="2:50">
      <c r="B18" s="400"/>
      <c r="C18" s="181">
        <v>12</v>
      </c>
      <c r="D18" s="196" t="s">
        <v>272</v>
      </c>
      <c r="E18" s="165">
        <v>18</v>
      </c>
      <c r="F18" s="181">
        <v>1440</v>
      </c>
      <c r="G18" s="179">
        <v>80</v>
      </c>
      <c r="H18" s="413"/>
      <c r="I18" s="165">
        <f t="shared" si="1"/>
        <v>17</v>
      </c>
      <c r="J18" s="165">
        <f t="shared" si="1"/>
        <v>1204.5283018867931</v>
      </c>
      <c r="K18" s="179">
        <f t="shared" si="1"/>
        <v>70.854605993340769</v>
      </c>
      <c r="L18" s="413"/>
      <c r="M18" s="180">
        <f>RANK(K18, K$7:$K$36)</f>
        <v>16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65">
        <v>17</v>
      </c>
      <c r="AU18" s="165">
        <v>1204.5283018867931</v>
      </c>
      <c r="AV18" s="165">
        <v>70.854605993340769</v>
      </c>
      <c r="AW18" s="181">
        <f t="shared" si="0"/>
        <v>16</v>
      </c>
      <c r="AX18" s="430"/>
    </row>
    <row r="19" spans="2:50">
      <c r="B19" s="400"/>
      <c r="C19" s="181">
        <v>13</v>
      </c>
      <c r="D19" s="196" t="s">
        <v>273</v>
      </c>
      <c r="E19" s="165">
        <v>20</v>
      </c>
      <c r="F19" s="181">
        <v>1636</v>
      </c>
      <c r="G19" s="179">
        <v>81.8</v>
      </c>
      <c r="H19" s="413"/>
      <c r="I19" s="165">
        <f t="shared" si="1"/>
        <v>19</v>
      </c>
      <c r="J19" s="165">
        <f t="shared" si="1"/>
        <v>1273.5483870967744</v>
      </c>
      <c r="K19" s="179">
        <f t="shared" si="1"/>
        <v>67.028862478777597</v>
      </c>
      <c r="L19" s="413"/>
      <c r="M19" s="180">
        <f>RANK(K19, K$7:$K$36)</f>
        <v>18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65">
        <v>19</v>
      </c>
      <c r="AU19" s="165">
        <v>1273.5483870967744</v>
      </c>
      <c r="AV19" s="165">
        <v>67.028862478777597</v>
      </c>
      <c r="AW19" s="181">
        <f t="shared" si="0"/>
        <v>18</v>
      </c>
      <c r="AX19" s="430"/>
    </row>
    <row r="20" spans="2:50">
      <c r="B20" s="400"/>
      <c r="C20" s="181">
        <v>14</v>
      </c>
      <c r="D20" s="196" t="s">
        <v>274</v>
      </c>
      <c r="E20" s="165">
        <v>19</v>
      </c>
      <c r="F20" s="181">
        <v>1636</v>
      </c>
      <c r="G20" s="179">
        <v>86.10526315789474</v>
      </c>
      <c r="H20" s="413"/>
      <c r="I20" s="165">
        <f t="shared" si="1"/>
        <v>19</v>
      </c>
      <c r="J20" s="165">
        <f t="shared" si="1"/>
        <v>1306.0869565217379</v>
      </c>
      <c r="K20" s="179">
        <f t="shared" si="1"/>
        <v>68.741418764301997</v>
      </c>
      <c r="L20" s="413"/>
      <c r="M20" s="180">
        <f>RANK(K20, K$7:$K$36)</f>
        <v>17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65">
        <v>19</v>
      </c>
      <c r="AU20" s="165">
        <v>1306.0869565217379</v>
      </c>
      <c r="AV20" s="165">
        <v>68.741418764301997</v>
      </c>
      <c r="AW20" s="181">
        <f t="shared" si="0"/>
        <v>17</v>
      </c>
      <c r="AX20" s="430"/>
    </row>
    <row r="21" spans="2:50">
      <c r="B21" s="400"/>
      <c r="C21" s="181">
        <v>15</v>
      </c>
      <c r="D21" s="196" t="s">
        <v>275</v>
      </c>
      <c r="E21" s="165">
        <v>20</v>
      </c>
      <c r="F21" s="181">
        <v>1500</v>
      </c>
      <c r="G21" s="179">
        <v>75</v>
      </c>
      <c r="H21" s="413"/>
      <c r="I21" s="165">
        <f t="shared" si="1"/>
        <v>17</v>
      </c>
      <c r="J21" s="165">
        <f t="shared" si="1"/>
        <v>1101.4285714285722</v>
      </c>
      <c r="K21" s="179">
        <f t="shared" si="1"/>
        <v>64.789915966386602</v>
      </c>
      <c r="L21" s="413"/>
      <c r="M21" s="165">
        <f>RANK(K21, K$7:$K$36)</f>
        <v>21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65">
        <v>17</v>
      </c>
      <c r="AU21" s="165">
        <v>1101.4285714285722</v>
      </c>
      <c r="AV21" s="165">
        <v>64.789915966386602</v>
      </c>
      <c r="AW21" s="181">
        <f t="shared" si="0"/>
        <v>21</v>
      </c>
      <c r="AX21" s="430"/>
    </row>
    <row r="22" spans="2:50">
      <c r="B22" s="400"/>
      <c r="C22" s="181">
        <v>16</v>
      </c>
      <c r="D22" s="196" t="s">
        <v>276</v>
      </c>
      <c r="E22" s="165">
        <v>18</v>
      </c>
      <c r="F22" s="181">
        <v>1500</v>
      </c>
      <c r="G22" s="179">
        <v>83.333333333333329</v>
      </c>
      <c r="H22" s="413"/>
      <c r="I22" s="165">
        <f t="shared" si="1"/>
        <v>17</v>
      </c>
      <c r="J22" s="165">
        <f t="shared" si="1"/>
        <v>1304.5714285714273</v>
      </c>
      <c r="K22" s="179">
        <f t="shared" si="1"/>
        <v>76.739495798319254</v>
      </c>
      <c r="L22" s="413"/>
      <c r="M22" s="165">
        <f>RANK(K22, K$7:$K$36)</f>
        <v>11</v>
      </c>
      <c r="N22" s="401"/>
      <c r="O22" s="401"/>
      <c r="P22" s="103"/>
      <c r="Q22" s="103"/>
      <c r="R22" s="103"/>
      <c r="S22" s="103"/>
      <c r="T22" s="103"/>
      <c r="X22" s="103"/>
      <c r="AC22" s="103"/>
      <c r="AH22" s="103"/>
      <c r="AM22" s="103"/>
      <c r="AT22" s="165">
        <v>17</v>
      </c>
      <c r="AU22" s="165">
        <v>1304.5714285714273</v>
      </c>
      <c r="AV22" s="165">
        <v>76.739495798319254</v>
      </c>
      <c r="AW22" s="181">
        <f t="shared" si="0"/>
        <v>11</v>
      </c>
      <c r="AX22" s="430"/>
    </row>
    <row r="23" spans="2:50">
      <c r="B23" s="400"/>
      <c r="C23" s="181">
        <v>17</v>
      </c>
      <c r="D23" s="196" t="s">
        <v>277</v>
      </c>
      <c r="E23" s="165">
        <v>18</v>
      </c>
      <c r="F23" s="181">
        <v>1500</v>
      </c>
      <c r="G23" s="179">
        <v>83.333333333333329</v>
      </c>
      <c r="H23" s="413"/>
      <c r="I23" s="165">
        <f t="shared" si="1"/>
        <v>16</v>
      </c>
      <c r="J23" s="165">
        <f t="shared" si="1"/>
        <v>1321.0344827586216</v>
      </c>
      <c r="K23" s="179">
        <f t="shared" si="1"/>
        <v>82.56465517241385</v>
      </c>
      <c r="L23" s="413"/>
      <c r="M23" s="165">
        <f>RANK(K23, K$7:$K$36)</f>
        <v>5</v>
      </c>
      <c r="N23" s="401"/>
      <c r="O23" s="401"/>
      <c r="P23" s="103"/>
      <c r="Q23" s="103"/>
      <c r="R23" s="103"/>
      <c r="S23" s="103"/>
      <c r="T23" s="103"/>
      <c r="X23" s="103"/>
      <c r="AC23" s="103"/>
      <c r="AH23" s="103"/>
      <c r="AM23" s="103"/>
      <c r="AT23" s="165">
        <v>16</v>
      </c>
      <c r="AU23" s="165">
        <v>1321.0344827586216</v>
      </c>
      <c r="AV23" s="165">
        <v>82.56465517241385</v>
      </c>
      <c r="AW23" s="181">
        <f t="shared" si="0"/>
        <v>5</v>
      </c>
      <c r="AX23" s="430"/>
    </row>
    <row r="24" spans="2:50">
      <c r="B24" s="400"/>
      <c r="C24" s="181">
        <v>18</v>
      </c>
      <c r="D24" s="196" t="s">
        <v>278</v>
      </c>
      <c r="E24" s="165">
        <v>17</v>
      </c>
      <c r="F24" s="181">
        <v>1440</v>
      </c>
      <c r="G24" s="179">
        <v>84.705882352941174</v>
      </c>
      <c r="H24" s="413"/>
      <c r="I24" s="165">
        <f t="shared" si="1"/>
        <v>17</v>
      </c>
      <c r="J24" s="165">
        <f t="shared" si="1"/>
        <v>1415.9999999999995</v>
      </c>
      <c r="K24" s="179">
        <f t="shared" si="1"/>
        <v>83.294117647058798</v>
      </c>
      <c r="L24" s="413"/>
      <c r="M24" s="165">
        <f>RANK(K24, K$7:$K$36)</f>
        <v>4</v>
      </c>
      <c r="N24" s="401"/>
      <c r="O24" s="401"/>
      <c r="P24" s="103"/>
      <c r="Q24" s="103"/>
      <c r="R24" s="103"/>
      <c r="S24" s="103"/>
      <c r="T24" s="103"/>
      <c r="X24" s="103"/>
      <c r="AC24" s="103"/>
      <c r="AH24" s="103"/>
      <c r="AM24" s="103"/>
      <c r="AT24" s="165">
        <v>17</v>
      </c>
      <c r="AU24" s="165">
        <v>1415.9999999999995</v>
      </c>
      <c r="AV24" s="165">
        <v>83.294117647058798</v>
      </c>
      <c r="AW24" s="181">
        <f t="shared" si="0"/>
        <v>4</v>
      </c>
      <c r="AX24" s="430"/>
    </row>
    <row r="25" spans="2:50">
      <c r="B25" s="400"/>
      <c r="C25" s="181">
        <v>19</v>
      </c>
      <c r="D25" s="196" t="s">
        <v>279</v>
      </c>
      <c r="E25" s="165">
        <v>15</v>
      </c>
      <c r="F25" s="181">
        <v>1440</v>
      </c>
      <c r="G25" s="179">
        <v>96</v>
      </c>
      <c r="H25" s="413"/>
      <c r="I25" s="165">
        <f t="shared" si="1"/>
        <v>17</v>
      </c>
      <c r="J25" s="165">
        <f t="shared" si="1"/>
        <v>1340.0000000000014</v>
      </c>
      <c r="K25" s="179">
        <f t="shared" si="1"/>
        <v>78.823529411764781</v>
      </c>
      <c r="L25" s="413"/>
      <c r="M25" s="165">
        <f>RANK(K25, K$7:$K$36)</f>
        <v>7</v>
      </c>
      <c r="N25" s="401"/>
      <c r="O25" s="401"/>
      <c r="P25" s="103"/>
      <c r="Q25" s="103"/>
      <c r="R25" s="103"/>
      <c r="S25" s="103"/>
      <c r="T25" s="103"/>
      <c r="X25" s="103"/>
      <c r="AC25" s="103"/>
      <c r="AH25" s="103"/>
      <c r="AM25" s="103"/>
      <c r="AT25" s="165">
        <v>17</v>
      </c>
      <c r="AU25" s="165">
        <v>1340.0000000000014</v>
      </c>
      <c r="AV25" s="165">
        <v>78.823529411764781</v>
      </c>
      <c r="AW25" s="181">
        <f t="shared" si="0"/>
        <v>7</v>
      </c>
      <c r="AX25" s="430"/>
    </row>
    <row r="26" spans="2:50">
      <c r="B26" s="400"/>
      <c r="C26" s="181">
        <v>20</v>
      </c>
      <c r="D26" s="196" t="s">
        <v>280</v>
      </c>
      <c r="E26" s="165">
        <v>17</v>
      </c>
      <c r="F26" s="181">
        <v>1440</v>
      </c>
      <c r="G26" s="179">
        <v>84.705882352941174</v>
      </c>
      <c r="H26" s="413"/>
      <c r="I26" s="165">
        <f t="shared" si="1"/>
        <v>17</v>
      </c>
      <c r="J26" s="165">
        <f t="shared" si="1"/>
        <v>1387.9646017699124</v>
      </c>
      <c r="K26" s="179">
        <f t="shared" si="1"/>
        <v>81.644976574700735</v>
      </c>
      <c r="L26" s="413"/>
      <c r="M26" s="165">
        <f>RANK(K26, K$7:$K$36)</f>
        <v>6</v>
      </c>
      <c r="N26" s="401"/>
      <c r="O26" s="401"/>
      <c r="P26" s="103"/>
      <c r="Q26" s="103"/>
      <c r="R26" s="103"/>
      <c r="S26" s="103"/>
      <c r="T26" s="103"/>
      <c r="X26" s="103"/>
      <c r="AC26" s="103"/>
      <c r="AH26" s="103"/>
      <c r="AM26" s="103"/>
      <c r="AT26" s="165">
        <v>17</v>
      </c>
      <c r="AU26" s="165">
        <v>1387.9646017699124</v>
      </c>
      <c r="AV26" s="165">
        <v>81.644976574700735</v>
      </c>
      <c r="AW26" s="181">
        <f t="shared" si="0"/>
        <v>6</v>
      </c>
      <c r="AX26" s="430"/>
    </row>
    <row r="27" spans="2:50">
      <c r="B27" s="400"/>
      <c r="C27" s="181">
        <v>21</v>
      </c>
      <c r="D27" s="196" t="s">
        <v>281</v>
      </c>
      <c r="E27" s="165">
        <v>18</v>
      </c>
      <c r="F27" s="181">
        <v>1636</v>
      </c>
      <c r="G27" s="179">
        <v>90.888888888888886</v>
      </c>
      <c r="H27" s="413"/>
      <c r="I27" s="165">
        <f t="shared" si="1"/>
        <v>17</v>
      </c>
      <c r="J27" s="165">
        <f t="shared" si="1"/>
        <v>1305.5172413793114</v>
      </c>
      <c r="K27" s="179">
        <f t="shared" si="1"/>
        <v>76.795131845841851</v>
      </c>
      <c r="L27" s="413"/>
      <c r="M27" s="165">
        <f>RANK(K27, K$7:$K$36)</f>
        <v>10</v>
      </c>
      <c r="N27" s="401"/>
      <c r="O27" s="401"/>
      <c r="P27" s="103"/>
      <c r="Q27" s="103"/>
      <c r="R27" s="103"/>
      <c r="S27" s="103"/>
      <c r="T27" s="103"/>
      <c r="X27" s="103"/>
      <c r="AC27" s="103"/>
      <c r="AH27" s="103"/>
      <c r="AM27" s="103"/>
      <c r="AT27" s="165">
        <v>17</v>
      </c>
      <c r="AU27" s="165">
        <v>1305.5172413793114</v>
      </c>
      <c r="AV27" s="165">
        <v>76.795131845841851</v>
      </c>
      <c r="AW27" s="181">
        <f t="shared" si="0"/>
        <v>10</v>
      </c>
      <c r="AX27" s="430"/>
    </row>
    <row r="28" spans="2:50">
      <c r="B28" s="400"/>
      <c r="C28" s="181">
        <v>22</v>
      </c>
      <c r="D28" s="196" t="s">
        <v>282</v>
      </c>
      <c r="E28" s="165">
        <v>18</v>
      </c>
      <c r="F28" s="181">
        <v>1440</v>
      </c>
      <c r="G28" s="179">
        <v>80</v>
      </c>
      <c r="H28" s="413"/>
      <c r="I28" s="165">
        <f t="shared" si="1"/>
        <v>18</v>
      </c>
      <c r="J28" s="165">
        <f t="shared" si="1"/>
        <v>1301.1235955056179</v>
      </c>
      <c r="K28" s="179">
        <f t="shared" si="1"/>
        <v>72.284644194756552</v>
      </c>
      <c r="L28" s="413"/>
      <c r="M28" s="165">
        <f>RANK(K28, K$7:$K$36)</f>
        <v>15</v>
      </c>
      <c r="N28" s="401"/>
      <c r="O28" s="401"/>
      <c r="P28" s="103"/>
      <c r="Q28" s="103"/>
      <c r="R28" s="103"/>
      <c r="S28" s="103"/>
      <c r="T28" s="103"/>
      <c r="X28" s="103"/>
      <c r="AC28" s="103"/>
      <c r="AH28" s="103"/>
      <c r="AM28" s="103"/>
      <c r="AT28" s="165">
        <v>18</v>
      </c>
      <c r="AU28" s="165">
        <v>1301.1235955056179</v>
      </c>
      <c r="AV28" s="165">
        <v>72.284644194756552</v>
      </c>
      <c r="AW28" s="181">
        <f t="shared" si="0"/>
        <v>15</v>
      </c>
      <c r="AX28" s="430"/>
    </row>
    <row r="29" spans="2:50">
      <c r="B29" s="400"/>
      <c r="C29" s="181">
        <v>23</v>
      </c>
      <c r="D29" s="196" t="s">
        <v>283</v>
      </c>
      <c r="E29" s="165">
        <v>17</v>
      </c>
      <c r="F29" s="181">
        <v>1500</v>
      </c>
      <c r="G29" s="179">
        <v>88.235294117647058</v>
      </c>
      <c r="H29" s="413"/>
      <c r="I29" s="165">
        <f t="shared" si="1"/>
        <v>17</v>
      </c>
      <c r="J29" s="165">
        <f t="shared" si="1"/>
        <v>1091.2500000000039</v>
      </c>
      <c r="K29" s="179">
        <f t="shared" si="1"/>
        <v>64.191176470588459</v>
      </c>
      <c r="L29" s="413"/>
      <c r="M29" s="165">
        <f>RANK(K29, K$7:$K$36)</f>
        <v>22</v>
      </c>
      <c r="N29" s="401"/>
      <c r="O29" s="401"/>
      <c r="P29" s="103"/>
      <c r="Q29" s="103"/>
      <c r="R29" s="103"/>
      <c r="S29" s="103"/>
      <c r="T29" s="103"/>
      <c r="X29" s="103"/>
      <c r="AC29" s="103"/>
      <c r="AH29" s="103"/>
      <c r="AM29" s="103"/>
      <c r="AT29" s="165">
        <v>17</v>
      </c>
      <c r="AU29" s="165">
        <v>1091.2500000000039</v>
      </c>
      <c r="AV29" s="165">
        <v>64.191176470588459</v>
      </c>
      <c r="AW29" s="181">
        <f t="shared" si="0"/>
        <v>22</v>
      </c>
      <c r="AX29" s="430"/>
    </row>
    <row r="30" spans="2:50">
      <c r="B30" s="400"/>
      <c r="C30" s="181">
        <v>24</v>
      </c>
      <c r="D30" s="196" t="s">
        <v>284</v>
      </c>
      <c r="E30" s="165">
        <v>18</v>
      </c>
      <c r="F30" s="181">
        <v>1500</v>
      </c>
      <c r="G30" s="179">
        <v>83.333333333333329</v>
      </c>
      <c r="H30" s="413"/>
      <c r="I30" s="165">
        <f t="shared" si="1"/>
        <v>18</v>
      </c>
      <c r="J30" s="165">
        <f t="shared" si="1"/>
        <v>1340.588235294118</v>
      </c>
      <c r="K30" s="179">
        <f t="shared" si="1"/>
        <v>74.477124183006552</v>
      </c>
      <c r="L30" s="413"/>
      <c r="M30" s="165">
        <f>RANK(K30, K$7:$K$36)</f>
        <v>12</v>
      </c>
      <c r="N30" s="401"/>
      <c r="O30" s="401"/>
      <c r="P30" s="103"/>
      <c r="Q30" s="103"/>
      <c r="R30" s="103"/>
      <c r="S30" s="103"/>
      <c r="T30" s="103"/>
      <c r="X30" s="103"/>
      <c r="AC30" s="103"/>
      <c r="AH30" s="103"/>
      <c r="AM30" s="103"/>
      <c r="AT30" s="165">
        <v>18</v>
      </c>
      <c r="AU30" s="165">
        <v>1340.588235294118</v>
      </c>
      <c r="AV30" s="165">
        <v>74.477124183006552</v>
      </c>
      <c r="AW30" s="181">
        <f t="shared" si="0"/>
        <v>12</v>
      </c>
      <c r="AX30" s="430"/>
    </row>
    <row r="31" spans="2:50">
      <c r="B31" s="400"/>
      <c r="C31" s="181">
        <v>25</v>
      </c>
      <c r="D31" s="196"/>
      <c r="E31" s="165"/>
      <c r="F31" s="181"/>
      <c r="G31" s="179"/>
      <c r="H31" s="413"/>
      <c r="I31" s="165"/>
      <c r="J31" s="165"/>
      <c r="K31" s="179"/>
      <c r="L31" s="413"/>
      <c r="M31" s="165" t="e">
        <f>RANK(K31, K$7:$K$36)</f>
        <v>#N/A</v>
      </c>
      <c r="N31" s="401"/>
      <c r="O31" s="401"/>
      <c r="P31" s="103"/>
      <c r="Q31" s="103"/>
      <c r="R31" s="103"/>
      <c r="S31" s="103"/>
      <c r="T31" s="103"/>
      <c r="X31" s="103"/>
      <c r="AC31" s="103"/>
      <c r="AH31" s="103"/>
      <c r="AM31" s="103"/>
      <c r="AT31" s="181"/>
      <c r="AU31" s="179"/>
      <c r="AV31" s="179"/>
      <c r="AW31" s="181" t="e">
        <f t="shared" si="0"/>
        <v>#N/A</v>
      </c>
      <c r="AX31" s="430"/>
    </row>
    <row r="32" spans="2:50">
      <c r="B32" s="400"/>
      <c r="C32" s="181">
        <v>26</v>
      </c>
      <c r="D32" s="196"/>
      <c r="E32" s="165"/>
      <c r="F32" s="181"/>
      <c r="G32" s="179"/>
      <c r="H32" s="413"/>
      <c r="I32" s="165"/>
      <c r="J32" s="165"/>
      <c r="K32" s="179"/>
      <c r="L32" s="413"/>
      <c r="M32" s="165" t="e">
        <f>RANK(K32, K$7:$K$36)</f>
        <v>#N/A</v>
      </c>
      <c r="N32" s="401"/>
      <c r="O32" s="401"/>
      <c r="P32" s="103"/>
      <c r="Q32" s="103"/>
      <c r="R32" s="103"/>
      <c r="S32" s="103"/>
      <c r="T32" s="103"/>
      <c r="X32" s="103"/>
      <c r="AC32" s="103"/>
      <c r="AH32" s="103"/>
      <c r="AM32" s="103"/>
      <c r="AT32" s="181"/>
      <c r="AU32" s="179"/>
      <c r="AV32" s="179"/>
      <c r="AW32" s="181" t="e">
        <f t="shared" si="0"/>
        <v>#N/A</v>
      </c>
      <c r="AX32" s="430"/>
    </row>
    <row r="33" spans="2:50">
      <c r="B33" s="400"/>
      <c r="C33" s="181">
        <v>27</v>
      </c>
      <c r="D33" s="196"/>
      <c r="E33" s="165"/>
      <c r="F33" s="181"/>
      <c r="G33" s="179"/>
      <c r="H33" s="413"/>
      <c r="I33" s="165"/>
      <c r="J33" s="165"/>
      <c r="K33" s="179"/>
      <c r="L33" s="413"/>
      <c r="M33" s="165" t="e">
        <f>RANK(K33, K$7:$K$36)</f>
        <v>#N/A</v>
      </c>
      <c r="N33" s="401"/>
      <c r="O33" s="401"/>
      <c r="P33" s="103"/>
      <c r="Q33" s="103"/>
      <c r="R33" s="103"/>
      <c r="S33" s="103"/>
      <c r="T33" s="103"/>
      <c r="X33" s="103"/>
      <c r="AC33" s="103"/>
      <c r="AH33" s="103"/>
      <c r="AM33" s="103"/>
      <c r="AT33" s="181"/>
      <c r="AU33" s="179"/>
      <c r="AV33" s="179"/>
      <c r="AW33" s="181" t="e">
        <f t="shared" si="0"/>
        <v>#N/A</v>
      </c>
      <c r="AX33" s="430"/>
    </row>
    <row r="34" spans="2:50">
      <c r="B34" s="400"/>
      <c r="C34" s="181">
        <v>28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65" t="e">
        <f>RANK(K34, K$7:$K$36)</f>
        <v>#N/A</v>
      </c>
      <c r="N34" s="401"/>
      <c r="O34" s="401"/>
      <c r="P34" s="103"/>
      <c r="Q34" s="103"/>
      <c r="R34" s="103"/>
      <c r="S34" s="103"/>
      <c r="T34" s="103"/>
      <c r="X34" s="103"/>
      <c r="AC34" s="103"/>
      <c r="AH34" s="103"/>
      <c r="AM34" s="103"/>
      <c r="AT34" s="181"/>
      <c r="AU34" s="179"/>
      <c r="AV34" s="179"/>
      <c r="AW34" s="181" t="e">
        <f t="shared" si="0"/>
        <v>#N/A</v>
      </c>
      <c r="AX34" s="430"/>
    </row>
    <row r="35" spans="2:50">
      <c r="B35" s="400"/>
      <c r="C35" s="181">
        <v>29</v>
      </c>
      <c r="D35" s="196"/>
      <c r="E35" s="165"/>
      <c r="F35" s="181"/>
      <c r="G35" s="179"/>
      <c r="H35" s="413"/>
      <c r="I35" s="181"/>
      <c r="J35" s="181"/>
      <c r="K35" s="181"/>
      <c r="L35" s="413"/>
      <c r="M35" s="165" t="e">
        <f>RANK(K35, K$7:$K$36)</f>
        <v>#N/A</v>
      </c>
      <c r="N35" s="401"/>
      <c r="O35" s="401"/>
      <c r="P35" s="103"/>
      <c r="Q35" s="103"/>
      <c r="R35" s="103"/>
      <c r="S35" s="103"/>
      <c r="T35" s="103"/>
      <c r="X35" s="103"/>
      <c r="AC35" s="103"/>
      <c r="AH35" s="103"/>
      <c r="AM35" s="103"/>
      <c r="AT35" s="181"/>
      <c r="AU35" s="181"/>
      <c r="AV35" s="181"/>
      <c r="AW35" s="181" t="e">
        <f t="shared" si="0"/>
        <v>#N/A</v>
      </c>
      <c r="AX35" s="430"/>
    </row>
    <row r="36" spans="2:50">
      <c r="B36" s="400"/>
      <c r="C36" s="181">
        <v>30</v>
      </c>
      <c r="D36" s="196"/>
      <c r="E36" s="165"/>
      <c r="F36" s="181"/>
      <c r="G36" s="179"/>
      <c r="H36" s="414"/>
      <c r="I36" s="181"/>
      <c r="J36" s="181"/>
      <c r="K36" s="181"/>
      <c r="L36" s="414"/>
      <c r="M36" s="165" t="e">
        <f>RANK(K36, K$7:$K$36)</f>
        <v>#N/A</v>
      </c>
      <c r="N36" s="401"/>
      <c r="O36" s="401"/>
      <c r="P36" s="103"/>
      <c r="Q36" s="103"/>
      <c r="R36" s="103"/>
      <c r="S36" s="103"/>
      <c r="T36" s="103"/>
      <c r="X36" s="103"/>
      <c r="AC36" s="103"/>
      <c r="AH36" s="103"/>
      <c r="AM36" s="103"/>
      <c r="AT36" s="181"/>
      <c r="AU36" s="181"/>
      <c r="AV36" s="181"/>
      <c r="AW36" s="181" t="e">
        <f t="shared" si="0"/>
        <v>#N/A</v>
      </c>
      <c r="AX36" s="430"/>
    </row>
    <row r="37" spans="2:50" ht="15.75">
      <c r="B37" s="424" t="s">
        <v>187</v>
      </c>
      <c r="C37" s="425"/>
      <c r="D37" s="425"/>
      <c r="E37" s="425"/>
      <c r="F37" s="425"/>
      <c r="G37" s="425"/>
      <c r="H37" s="425"/>
      <c r="I37" s="182"/>
      <c r="J37" s="182"/>
      <c r="K37" s="182"/>
      <c r="L37" s="182"/>
      <c r="M37" s="177"/>
      <c r="N37" s="397" t="s">
        <v>188</v>
      </c>
      <c r="O37" s="397" t="s">
        <v>135</v>
      </c>
      <c r="P37" s="415">
        <f>AT2+1</f>
        <v>45902</v>
      </c>
      <c r="Q37" s="416"/>
      <c r="R37" s="416"/>
      <c r="S37" s="416"/>
      <c r="T37" s="416"/>
      <c r="U37" s="399">
        <f>P37+1</f>
        <v>45903</v>
      </c>
      <c r="V37" s="400"/>
      <c r="W37" s="400"/>
      <c r="X37" s="400"/>
      <c r="Y37" s="400"/>
      <c r="Z37" s="399">
        <f>U37+1</f>
        <v>45904</v>
      </c>
      <c r="AA37" s="400"/>
      <c r="AB37" s="400"/>
      <c r="AC37" s="400"/>
      <c r="AD37" s="400"/>
      <c r="AE37" s="399">
        <f>Z37+1</f>
        <v>45905</v>
      </c>
      <c r="AF37" s="400"/>
      <c r="AG37" s="400"/>
      <c r="AH37" s="400"/>
      <c r="AI37" s="400"/>
      <c r="AJ37" s="399">
        <f>AE37+1</f>
        <v>45906</v>
      </c>
      <c r="AK37" s="400"/>
      <c r="AL37" s="400"/>
      <c r="AM37" s="400"/>
      <c r="AN37" s="400"/>
      <c r="AO37" s="399">
        <f>AJ37+1</f>
        <v>45907</v>
      </c>
      <c r="AP37" s="400"/>
      <c r="AQ37" s="400"/>
      <c r="AR37" s="400"/>
      <c r="AS37" s="400"/>
      <c r="AT37" s="399">
        <f>AO37+1</f>
        <v>45908</v>
      </c>
      <c r="AU37" s="400"/>
      <c r="AV37" s="400"/>
      <c r="AW37" s="400"/>
      <c r="AX37" s="400"/>
    </row>
    <row r="38" spans="2:50" ht="15.75">
      <c r="B38" s="396"/>
      <c r="C38" s="396"/>
      <c r="D38" s="396"/>
      <c r="E38" s="396"/>
      <c r="F38" s="396"/>
      <c r="G38" s="396"/>
      <c r="H38" s="396"/>
      <c r="I38" s="183"/>
      <c r="J38" s="183"/>
      <c r="K38" s="183"/>
      <c r="L38" s="183"/>
      <c r="M38" s="178"/>
      <c r="N38" s="398"/>
      <c r="O38" s="398"/>
      <c r="P38" s="399" t="s">
        <v>223</v>
      </c>
      <c r="Q38" s="400"/>
      <c r="R38" s="400"/>
      <c r="S38" s="400"/>
      <c r="T38" s="400"/>
      <c r="U38" s="399" t="s">
        <v>224</v>
      </c>
      <c r="V38" s="400"/>
      <c r="W38" s="400"/>
      <c r="X38" s="400"/>
      <c r="Y38" s="400"/>
      <c r="Z38" s="399" t="s">
        <v>225</v>
      </c>
      <c r="AA38" s="400"/>
      <c r="AB38" s="400"/>
      <c r="AC38" s="400"/>
      <c r="AD38" s="400"/>
      <c r="AE38" s="399" t="s">
        <v>226</v>
      </c>
      <c r="AF38" s="400"/>
      <c r="AG38" s="400"/>
      <c r="AH38" s="400"/>
      <c r="AI38" s="400"/>
      <c r="AJ38" s="399" t="s">
        <v>227</v>
      </c>
      <c r="AK38" s="400"/>
      <c r="AL38" s="400"/>
      <c r="AM38" s="400"/>
      <c r="AN38" s="400"/>
      <c r="AO38" s="399" t="s">
        <v>142</v>
      </c>
      <c r="AP38" s="400"/>
      <c r="AQ38" s="400"/>
      <c r="AR38" s="400"/>
      <c r="AS38" s="400"/>
      <c r="AT38" s="399" t="s">
        <v>189</v>
      </c>
      <c r="AU38" s="400"/>
      <c r="AV38" s="400"/>
      <c r="AW38" s="400"/>
      <c r="AX38" s="400"/>
    </row>
    <row r="39" spans="2:50">
      <c r="B39" s="401" t="s">
        <v>190</v>
      </c>
      <c r="C39" s="401" t="s">
        <v>191</v>
      </c>
      <c r="D39" s="401"/>
      <c r="E39" s="401" t="s">
        <v>192</v>
      </c>
      <c r="F39" s="401"/>
      <c r="G39" s="401"/>
      <c r="H39" s="402" t="s">
        <v>193</v>
      </c>
      <c r="I39" s="401" t="s">
        <v>194</v>
      </c>
      <c r="J39" s="401"/>
      <c r="K39" s="401"/>
      <c r="L39" s="402" t="s">
        <v>193</v>
      </c>
      <c r="M39" s="397" t="s">
        <v>195</v>
      </c>
      <c r="N39" s="401"/>
      <c r="O39" s="401" t="s">
        <v>196</v>
      </c>
      <c r="P39" s="406" t="s">
        <v>197</v>
      </c>
      <c r="Q39" s="407"/>
      <c r="R39" s="407"/>
      <c r="S39" s="408"/>
      <c r="T39" s="401" t="s">
        <v>193</v>
      </c>
      <c r="U39" s="406" t="s">
        <v>197</v>
      </c>
      <c r="V39" s="407"/>
      <c r="W39" s="407"/>
      <c r="X39" s="408"/>
      <c r="Y39" s="401" t="s">
        <v>193</v>
      </c>
      <c r="Z39" s="406" t="s">
        <v>197</v>
      </c>
      <c r="AA39" s="407"/>
      <c r="AB39" s="407"/>
      <c r="AC39" s="408"/>
      <c r="AD39" s="401" t="s">
        <v>193</v>
      </c>
      <c r="AE39" s="406" t="s">
        <v>197</v>
      </c>
      <c r="AF39" s="407"/>
      <c r="AG39" s="407"/>
      <c r="AH39" s="408"/>
      <c r="AI39" s="401" t="s">
        <v>193</v>
      </c>
      <c r="AJ39" s="406" t="s">
        <v>197</v>
      </c>
      <c r="AK39" s="407"/>
      <c r="AL39" s="407"/>
      <c r="AM39" s="408"/>
      <c r="AN39" s="401" t="s">
        <v>193</v>
      </c>
      <c r="AO39" s="406" t="s">
        <v>197</v>
      </c>
      <c r="AP39" s="407"/>
      <c r="AQ39" s="407"/>
      <c r="AR39" s="408"/>
      <c r="AS39" s="401" t="s">
        <v>193</v>
      </c>
      <c r="AT39" s="406" t="s">
        <v>197</v>
      </c>
      <c r="AU39" s="407"/>
      <c r="AV39" s="407"/>
      <c r="AW39" s="408"/>
      <c r="AX39" s="401" t="s">
        <v>193</v>
      </c>
    </row>
    <row r="40" spans="2:50">
      <c r="B40" s="401"/>
      <c r="C40" s="401"/>
      <c r="D40" s="401"/>
      <c r="E40" s="401" t="s">
        <v>198</v>
      </c>
      <c r="F40" s="401"/>
      <c r="G40" s="401"/>
      <c r="H40" s="403"/>
      <c r="I40" s="401" t="s">
        <v>198</v>
      </c>
      <c r="J40" s="401"/>
      <c r="K40" s="401"/>
      <c r="L40" s="403"/>
      <c r="M40" s="405"/>
      <c r="N40" s="401"/>
      <c r="O40" s="401"/>
      <c r="P40" s="406" t="s">
        <v>199</v>
      </c>
      <c r="Q40" s="407"/>
      <c r="R40" s="407"/>
      <c r="S40" s="408"/>
      <c r="T40" s="401"/>
      <c r="U40" s="406" t="s">
        <v>199</v>
      </c>
      <c r="V40" s="407"/>
      <c r="W40" s="407"/>
      <c r="X40" s="408"/>
      <c r="Y40" s="401"/>
      <c r="Z40" s="406" t="s">
        <v>199</v>
      </c>
      <c r="AA40" s="407"/>
      <c r="AB40" s="407"/>
      <c r="AC40" s="408"/>
      <c r="AD40" s="401"/>
      <c r="AE40" s="406" t="s">
        <v>199</v>
      </c>
      <c r="AF40" s="407"/>
      <c r="AG40" s="407"/>
      <c r="AH40" s="408"/>
      <c r="AI40" s="401"/>
      <c r="AJ40" s="406" t="s">
        <v>199</v>
      </c>
      <c r="AK40" s="407"/>
      <c r="AL40" s="407"/>
      <c r="AM40" s="408"/>
      <c r="AN40" s="401"/>
      <c r="AO40" s="406" t="s">
        <v>199</v>
      </c>
      <c r="AP40" s="407"/>
      <c r="AQ40" s="407"/>
      <c r="AR40" s="408"/>
      <c r="AS40" s="401"/>
      <c r="AT40" s="406" t="s">
        <v>199</v>
      </c>
      <c r="AU40" s="407"/>
      <c r="AV40" s="407"/>
      <c r="AW40" s="408"/>
      <c r="AX40" s="401"/>
    </row>
    <row r="41" spans="2:50">
      <c r="B41" s="401"/>
      <c r="C41" s="401"/>
      <c r="D41" s="401"/>
      <c r="E41" s="234" t="s">
        <v>200</v>
      </c>
      <c r="F41" s="234" t="s">
        <v>201</v>
      </c>
      <c r="G41" s="234" t="s">
        <v>202</v>
      </c>
      <c r="H41" s="404"/>
      <c r="I41" s="234" t="s">
        <v>200</v>
      </c>
      <c r="J41" s="234" t="s">
        <v>201</v>
      </c>
      <c r="K41" s="234" t="s">
        <v>202</v>
      </c>
      <c r="L41" s="404"/>
      <c r="M41" s="398"/>
      <c r="N41" s="401"/>
      <c r="O41" s="401"/>
      <c r="P41" s="234" t="s">
        <v>200</v>
      </c>
      <c r="Q41" s="234" t="s">
        <v>201</v>
      </c>
      <c r="R41" s="234" t="s">
        <v>202</v>
      </c>
      <c r="S41" s="234" t="s">
        <v>195</v>
      </c>
      <c r="T41" s="401"/>
      <c r="U41" s="234" t="s">
        <v>200</v>
      </c>
      <c r="V41" s="234" t="s">
        <v>201</v>
      </c>
      <c r="W41" s="234" t="s">
        <v>202</v>
      </c>
      <c r="X41" s="234" t="s">
        <v>195</v>
      </c>
      <c r="Y41" s="401"/>
      <c r="Z41" s="234" t="s">
        <v>200</v>
      </c>
      <c r="AA41" s="234" t="s">
        <v>201</v>
      </c>
      <c r="AB41" s="234" t="s">
        <v>202</v>
      </c>
      <c r="AC41" s="234" t="s">
        <v>195</v>
      </c>
      <c r="AD41" s="401"/>
      <c r="AE41" s="234" t="s">
        <v>200</v>
      </c>
      <c r="AF41" s="234" t="s">
        <v>201</v>
      </c>
      <c r="AG41" s="234" t="s">
        <v>202</v>
      </c>
      <c r="AH41" s="234" t="s">
        <v>195</v>
      </c>
      <c r="AI41" s="401"/>
      <c r="AJ41" s="234" t="s">
        <v>200</v>
      </c>
      <c r="AK41" s="234" t="s">
        <v>201</v>
      </c>
      <c r="AL41" s="234" t="s">
        <v>202</v>
      </c>
      <c r="AM41" s="234" t="s">
        <v>195</v>
      </c>
      <c r="AN41" s="401"/>
      <c r="AO41" s="234" t="s">
        <v>200</v>
      </c>
      <c r="AP41" s="234" t="s">
        <v>201</v>
      </c>
      <c r="AQ41" s="234" t="s">
        <v>202</v>
      </c>
      <c r="AR41" s="234" t="s">
        <v>195</v>
      </c>
      <c r="AS41" s="401"/>
      <c r="AT41" s="234" t="s">
        <v>200</v>
      </c>
      <c r="AU41" s="234" t="s">
        <v>201</v>
      </c>
      <c r="AV41" s="234" t="s">
        <v>202</v>
      </c>
      <c r="AW41" s="234" t="s">
        <v>195</v>
      </c>
      <c r="AX41" s="401"/>
    </row>
    <row r="42" spans="2:50">
      <c r="B42" s="401" t="s">
        <v>172</v>
      </c>
      <c r="C42" s="181">
        <v>1</v>
      </c>
      <c r="D42" s="196" t="s">
        <v>261</v>
      </c>
      <c r="E42" s="165">
        <v>5</v>
      </c>
      <c r="F42" s="181">
        <v>1600</v>
      </c>
      <c r="G42" s="179">
        <v>320</v>
      </c>
      <c r="H42" s="412">
        <f>AVERAGE(G42:G71)</f>
        <v>106.45300348911491</v>
      </c>
      <c r="I42" s="165">
        <f>AVERAGE(P42,U42,Z42,AE42,AJ42,AO42,AT42)</f>
        <v>5</v>
      </c>
      <c r="J42" s="165">
        <f>AVERAGE(Q42,V42,AA42,AF42,AK42,AP42,AU42)</f>
        <v>1020.0000000000036</v>
      </c>
      <c r="K42" s="179">
        <f>AVERAGE(R42,W42,AB42,AG42,AL42,AQ42,AV42)</f>
        <v>204.00000000000074</v>
      </c>
      <c r="L42" s="412">
        <f>IFERROR(AVERAGE(K42:K71),"-")</f>
        <v>92.221576332413861</v>
      </c>
      <c r="M42" s="180">
        <f>RANK(K42, K$42:$K$71)</f>
        <v>3</v>
      </c>
      <c r="N42" s="401"/>
      <c r="O42" s="401"/>
      <c r="P42" s="165">
        <v>5</v>
      </c>
      <c r="Q42" s="165">
        <v>1140.0000000000041</v>
      </c>
      <c r="R42" s="165">
        <v>228.00000000000082</v>
      </c>
      <c r="S42" s="181">
        <f t="shared" ref="S42:S71" si="2">RANK(R42, R$42:R$71)</f>
        <v>2</v>
      </c>
      <c r="T42" s="430">
        <f>AVERAGE(R42:R71)</f>
        <v>92.208798167320353</v>
      </c>
      <c r="U42" s="165">
        <v>5</v>
      </c>
      <c r="V42" s="165">
        <v>1080.0000000000039</v>
      </c>
      <c r="W42" s="165">
        <v>216.00000000000077</v>
      </c>
      <c r="X42" s="181">
        <f t="shared" ref="X42:X71" si="3">RANK(W42, W$42:W$71)</f>
        <v>2</v>
      </c>
      <c r="Y42" s="430">
        <f>AVERAGE(W42:W71)</f>
        <v>92.479905204228018</v>
      </c>
      <c r="Z42" s="165">
        <v>5</v>
      </c>
      <c r="AA42" s="165">
        <v>900.00000000000318</v>
      </c>
      <c r="AB42" s="165">
        <v>180.00000000000063</v>
      </c>
      <c r="AC42" s="181">
        <f t="shared" ref="AC42:AC71" si="4">RANK(AB42, AB$42:AB$71)</f>
        <v>3</v>
      </c>
      <c r="AD42" s="430">
        <f>AVERAGE(AB42:AB71)</f>
        <v>90.475791549657899</v>
      </c>
      <c r="AE42" s="165">
        <v>5</v>
      </c>
      <c r="AF42" s="165">
        <v>1110.0000000000039</v>
      </c>
      <c r="AG42" s="165">
        <v>222.00000000000077</v>
      </c>
      <c r="AH42" s="181">
        <f t="shared" ref="AH42:AH71" si="5">RANK(AG42, AG$42:AG$71)</f>
        <v>2</v>
      </c>
      <c r="AI42" s="430">
        <f>AVERAGE(AG42:AG71)</f>
        <v>92.625160220073454</v>
      </c>
      <c r="AJ42" s="165">
        <v>5</v>
      </c>
      <c r="AK42" s="165">
        <v>860.00000000000307</v>
      </c>
      <c r="AL42" s="165">
        <v>172.00000000000063</v>
      </c>
      <c r="AM42" s="181">
        <f t="shared" ref="AM42:AM71" si="6">RANK(AL42, AL$42:AL$71)</f>
        <v>3</v>
      </c>
      <c r="AN42" s="430">
        <f>AVERAGE(AL42:AL71)</f>
        <v>90.401450015029255</v>
      </c>
      <c r="AO42" s="165">
        <v>5</v>
      </c>
      <c r="AP42" s="165">
        <v>1170.0000000000043</v>
      </c>
      <c r="AQ42" s="165">
        <v>234.00000000000085</v>
      </c>
      <c r="AR42" s="181">
        <f t="shared" ref="AR42:AR71" si="7">RANK(AQ42, AQ$42:AQ$71)</f>
        <v>2</v>
      </c>
      <c r="AS42" s="430">
        <f>AVERAGE(AQ42:AQ71)</f>
        <v>95.178614654255796</v>
      </c>
      <c r="AT42" s="165">
        <v>5</v>
      </c>
      <c r="AU42" s="165">
        <v>880.00000000000318</v>
      </c>
      <c r="AV42" s="165">
        <v>176.00000000000063</v>
      </c>
      <c r="AW42" s="181">
        <f t="shared" ref="AW42:AW71" si="8">RANK(AV42, AV$42:AV$71)</f>
        <v>3</v>
      </c>
      <c r="AX42" s="430">
        <f>AVERAGE(AV42:AV71)</f>
        <v>92.181314516332364</v>
      </c>
    </row>
    <row r="43" spans="2:50">
      <c r="B43" s="400"/>
      <c r="C43" s="181">
        <v>2</v>
      </c>
      <c r="D43" s="196" t="s">
        <v>262</v>
      </c>
      <c r="E43" s="165">
        <v>6</v>
      </c>
      <c r="F43" s="181">
        <v>1500</v>
      </c>
      <c r="G43" s="179">
        <v>250</v>
      </c>
      <c r="H43" s="413"/>
      <c r="I43" s="165">
        <f t="shared" ref="I43:I65" si="9">AVERAGE(P43,U43,Z43,AE43,AJ43,AO43,AT43)</f>
        <v>5.7142857142857144</v>
      </c>
      <c r="J43" s="165">
        <f t="shared" ref="J43:J65" si="10">AVERAGE(Q43,V43,AA43,AF43,AK43,AP43,AU43)</f>
        <v>1478.1565832843191</v>
      </c>
      <c r="K43" s="179">
        <f t="shared" ref="K43:K65" si="11">AVERAGE(R43,W43,AB43,AG43,AL43,AQ43,AV43)</f>
        <v>260.47424316334201</v>
      </c>
      <c r="L43" s="413"/>
      <c r="M43" s="180">
        <f>RANK(K43, K$42:$K$71)</f>
        <v>1</v>
      </c>
      <c r="N43" s="401"/>
      <c r="O43" s="401"/>
      <c r="P43" s="165">
        <v>6</v>
      </c>
      <c r="Q43" s="165">
        <v>1443.3799126637555</v>
      </c>
      <c r="R43" s="165">
        <v>240.56331877729258</v>
      </c>
      <c r="S43" s="181">
        <f t="shared" si="2"/>
        <v>1</v>
      </c>
      <c r="T43" s="430"/>
      <c r="U43" s="165">
        <v>6</v>
      </c>
      <c r="V43" s="165">
        <v>1505.435779816514</v>
      </c>
      <c r="W43" s="165">
        <v>250.90596330275233</v>
      </c>
      <c r="X43" s="181">
        <f t="shared" si="3"/>
        <v>1</v>
      </c>
      <c r="Y43" s="430"/>
      <c r="Z43" s="165">
        <v>6</v>
      </c>
      <c r="AA43" s="165">
        <v>1460.4312796208533</v>
      </c>
      <c r="AB43" s="165">
        <v>243.40521327014221</v>
      </c>
      <c r="AC43" s="181">
        <f t="shared" si="4"/>
        <v>1</v>
      </c>
      <c r="AD43" s="430"/>
      <c r="AE43" s="165">
        <v>6</v>
      </c>
      <c r="AF43" s="165">
        <v>1480.7076923076922</v>
      </c>
      <c r="AG43" s="165">
        <v>246.78461538461536</v>
      </c>
      <c r="AH43" s="181">
        <f t="shared" si="5"/>
        <v>1</v>
      </c>
      <c r="AI43" s="430"/>
      <c r="AJ43" s="165">
        <v>6</v>
      </c>
      <c r="AK43" s="165">
        <v>1493.0307692307692</v>
      </c>
      <c r="AL43" s="165">
        <v>248.83846153846153</v>
      </c>
      <c r="AM43" s="181">
        <f t="shared" si="6"/>
        <v>1</v>
      </c>
      <c r="AN43" s="430"/>
      <c r="AO43" s="165">
        <v>5</v>
      </c>
      <c r="AP43" s="165">
        <v>1496.76</v>
      </c>
      <c r="AQ43" s="165">
        <v>299.35199999999998</v>
      </c>
      <c r="AR43" s="181">
        <f t="shared" si="7"/>
        <v>1</v>
      </c>
      <c r="AS43" s="430"/>
      <c r="AT43" s="165">
        <v>5</v>
      </c>
      <c r="AU43" s="165">
        <v>1467.3506493506495</v>
      </c>
      <c r="AV43" s="165">
        <v>293.47012987012988</v>
      </c>
      <c r="AW43" s="181">
        <f t="shared" si="8"/>
        <v>1</v>
      </c>
      <c r="AX43" s="430"/>
    </row>
    <row r="44" spans="2:50">
      <c r="B44" s="400"/>
      <c r="C44" s="181">
        <v>3</v>
      </c>
      <c r="D44" s="196" t="s">
        <v>263</v>
      </c>
      <c r="E44" s="165">
        <v>7</v>
      </c>
      <c r="F44" s="181">
        <v>1500</v>
      </c>
      <c r="G44" s="179">
        <v>214.28571428571428</v>
      </c>
      <c r="H44" s="413"/>
      <c r="I44" s="165">
        <f t="shared" si="9"/>
        <v>7</v>
      </c>
      <c r="J44" s="165">
        <f t="shared" si="10"/>
        <v>1483.7800199025849</v>
      </c>
      <c r="K44" s="179">
        <f t="shared" si="11"/>
        <v>211.96857427179788</v>
      </c>
      <c r="L44" s="413"/>
      <c r="M44" s="180">
        <f>RANK(K44, K$42:$K$71)</f>
        <v>2</v>
      </c>
      <c r="N44" s="401"/>
      <c r="O44" s="401"/>
      <c r="P44" s="165">
        <v>7</v>
      </c>
      <c r="Q44" s="165">
        <v>1473.0612244897957</v>
      </c>
      <c r="R44" s="165">
        <v>210.43731778425652</v>
      </c>
      <c r="S44" s="181">
        <f t="shared" si="2"/>
        <v>3</v>
      </c>
      <c r="T44" s="430"/>
      <c r="U44" s="165">
        <v>7</v>
      </c>
      <c r="V44" s="165">
        <v>1447.2</v>
      </c>
      <c r="W44" s="165">
        <v>206.74285714285716</v>
      </c>
      <c r="X44" s="181">
        <f t="shared" si="3"/>
        <v>3</v>
      </c>
      <c r="Y44" s="430"/>
      <c r="Z44" s="165">
        <v>7</v>
      </c>
      <c r="AA44" s="165">
        <v>1491.5217391304348</v>
      </c>
      <c r="AB44" s="165">
        <v>213.07453416149067</v>
      </c>
      <c r="AC44" s="181">
        <f t="shared" si="4"/>
        <v>2</v>
      </c>
      <c r="AD44" s="430"/>
      <c r="AE44" s="165">
        <v>7</v>
      </c>
      <c r="AF44" s="165">
        <v>1515.1724137931033</v>
      </c>
      <c r="AG44" s="165">
        <v>216.45320197044333</v>
      </c>
      <c r="AH44" s="181">
        <f t="shared" si="5"/>
        <v>3</v>
      </c>
      <c r="AI44" s="430"/>
      <c r="AJ44" s="165">
        <v>7</v>
      </c>
      <c r="AK44" s="165">
        <v>1525.3333333333333</v>
      </c>
      <c r="AL44" s="165">
        <v>217.9047619047619</v>
      </c>
      <c r="AM44" s="181">
        <f t="shared" si="6"/>
        <v>2</v>
      </c>
      <c r="AN44" s="430"/>
      <c r="AO44" s="165">
        <v>7</v>
      </c>
      <c r="AP44" s="165">
        <v>1478.5714285714284</v>
      </c>
      <c r="AQ44" s="165">
        <v>211.22448979591834</v>
      </c>
      <c r="AR44" s="181">
        <f t="shared" si="7"/>
        <v>3</v>
      </c>
      <c r="AS44" s="430"/>
      <c r="AT44" s="165">
        <v>7</v>
      </c>
      <c r="AU44" s="165">
        <v>1455.6000000000001</v>
      </c>
      <c r="AV44" s="165">
        <v>207.94285714285715</v>
      </c>
      <c r="AW44" s="181">
        <f t="shared" si="8"/>
        <v>2</v>
      </c>
      <c r="AX44" s="430"/>
    </row>
    <row r="45" spans="2:50">
      <c r="B45" s="400"/>
      <c r="C45" s="181">
        <v>4</v>
      </c>
      <c r="D45" s="196" t="s">
        <v>264</v>
      </c>
      <c r="E45" s="165">
        <v>18</v>
      </c>
      <c r="F45" s="181">
        <v>1500</v>
      </c>
      <c r="G45" s="179">
        <v>83.333333333333329</v>
      </c>
      <c r="H45" s="413"/>
      <c r="I45" s="165">
        <f t="shared" si="9"/>
        <v>18</v>
      </c>
      <c r="J45" s="165">
        <f t="shared" si="10"/>
        <v>1287.6328549450263</v>
      </c>
      <c r="K45" s="179">
        <f t="shared" si="11"/>
        <v>71.535158608057017</v>
      </c>
      <c r="L45" s="413"/>
      <c r="M45" s="180">
        <f>RANK(K45, K$42:$K$71)</f>
        <v>16</v>
      </c>
      <c r="N45" s="401"/>
      <c r="O45" s="401"/>
      <c r="P45" s="165">
        <v>18</v>
      </c>
      <c r="Q45" s="165">
        <v>1260.5454545454545</v>
      </c>
      <c r="R45" s="165">
        <v>70.030303030303031</v>
      </c>
      <c r="S45" s="181">
        <f t="shared" si="2"/>
        <v>17</v>
      </c>
      <c r="T45" s="430"/>
      <c r="U45" s="165">
        <v>18</v>
      </c>
      <c r="V45" s="165">
        <v>1314.2307692307688</v>
      </c>
      <c r="W45" s="165">
        <v>73.012820512820497</v>
      </c>
      <c r="X45" s="181">
        <f t="shared" si="3"/>
        <v>15</v>
      </c>
      <c r="Y45" s="430"/>
      <c r="Z45" s="165">
        <v>18</v>
      </c>
      <c r="AA45" s="165">
        <v>1303.4162790697674</v>
      </c>
      <c r="AB45" s="165">
        <v>72.412015503875963</v>
      </c>
      <c r="AC45" s="181">
        <f t="shared" si="4"/>
        <v>16</v>
      </c>
      <c r="AD45" s="430"/>
      <c r="AE45" s="165">
        <v>18</v>
      </c>
      <c r="AF45" s="165">
        <v>1274.2857142857138</v>
      </c>
      <c r="AG45" s="165">
        <v>70.79365079365077</v>
      </c>
      <c r="AH45" s="181">
        <f t="shared" si="5"/>
        <v>15</v>
      </c>
      <c r="AI45" s="430"/>
      <c r="AJ45" s="165">
        <v>18</v>
      </c>
      <c r="AK45" s="165">
        <v>1285.4347826086957</v>
      </c>
      <c r="AL45" s="165">
        <v>71.413043478260875</v>
      </c>
      <c r="AM45" s="181">
        <f t="shared" si="6"/>
        <v>15</v>
      </c>
      <c r="AN45" s="430"/>
      <c r="AO45" s="165">
        <v>18</v>
      </c>
      <c r="AP45" s="165">
        <v>1311.1926605504586</v>
      </c>
      <c r="AQ45" s="165">
        <v>72.844036697247702</v>
      </c>
      <c r="AR45" s="181">
        <f t="shared" si="7"/>
        <v>15</v>
      </c>
      <c r="AS45" s="430"/>
      <c r="AT45" s="165">
        <v>18</v>
      </c>
      <c r="AU45" s="165">
        <v>1264.3243243243244</v>
      </c>
      <c r="AV45" s="165">
        <v>70.24024024024024</v>
      </c>
      <c r="AW45" s="181">
        <f t="shared" si="8"/>
        <v>16</v>
      </c>
      <c r="AX45" s="430"/>
    </row>
    <row r="46" spans="2:50">
      <c r="B46" s="400"/>
      <c r="C46" s="181">
        <v>5</v>
      </c>
      <c r="D46" s="196" t="s">
        <v>265</v>
      </c>
      <c r="E46" s="165">
        <v>21</v>
      </c>
      <c r="F46" s="181">
        <v>1500</v>
      </c>
      <c r="G46" s="179">
        <v>71.428571428571431</v>
      </c>
      <c r="H46" s="413"/>
      <c r="I46" s="165">
        <f t="shared" si="9"/>
        <v>20.285714285714285</v>
      </c>
      <c r="J46" s="165">
        <f t="shared" si="10"/>
        <v>1291.2859673591797</v>
      </c>
      <c r="K46" s="179">
        <f t="shared" si="11"/>
        <v>63.689232773698841</v>
      </c>
      <c r="L46" s="413"/>
      <c r="M46" s="180">
        <f>RANK(K46, K$42:$K$71)</f>
        <v>24</v>
      </c>
      <c r="N46" s="401"/>
      <c r="O46" s="401"/>
      <c r="P46" s="165">
        <v>21</v>
      </c>
      <c r="Q46" s="165">
        <v>1282.2580645161302</v>
      </c>
      <c r="R46" s="165">
        <v>61.059907834101438</v>
      </c>
      <c r="S46" s="181">
        <f t="shared" si="2"/>
        <v>24</v>
      </c>
      <c r="T46" s="430"/>
      <c r="U46" s="165">
        <v>20</v>
      </c>
      <c r="V46" s="165">
        <v>1301.3114754098372</v>
      </c>
      <c r="W46" s="165">
        <v>65.065573770491852</v>
      </c>
      <c r="X46" s="181">
        <f t="shared" si="3"/>
        <v>23</v>
      </c>
      <c r="Y46" s="430"/>
      <c r="Z46" s="165">
        <v>20</v>
      </c>
      <c r="AA46" s="165">
        <v>1299.6428571428582</v>
      </c>
      <c r="AB46" s="165">
        <v>64.982142857142918</v>
      </c>
      <c r="AC46" s="181">
        <f t="shared" si="4"/>
        <v>22</v>
      </c>
      <c r="AD46" s="430"/>
      <c r="AE46" s="165">
        <v>20</v>
      </c>
      <c r="AF46" s="165">
        <v>1308.9795918367352</v>
      </c>
      <c r="AG46" s="165">
        <v>65.448979591836761</v>
      </c>
      <c r="AH46" s="181">
        <f t="shared" si="5"/>
        <v>23</v>
      </c>
      <c r="AI46" s="430"/>
      <c r="AJ46" s="165">
        <v>20</v>
      </c>
      <c r="AK46" s="165">
        <v>1272.0000000000009</v>
      </c>
      <c r="AL46" s="165">
        <v>63.600000000000044</v>
      </c>
      <c r="AM46" s="181">
        <f t="shared" si="6"/>
        <v>22</v>
      </c>
      <c r="AN46" s="430"/>
      <c r="AO46" s="165">
        <v>20</v>
      </c>
      <c r="AP46" s="165">
        <v>1284.3750000000016</v>
      </c>
      <c r="AQ46" s="165">
        <v>64.218750000000085</v>
      </c>
      <c r="AR46" s="181">
        <f t="shared" si="7"/>
        <v>24</v>
      </c>
      <c r="AS46" s="430"/>
      <c r="AT46" s="165">
        <v>21</v>
      </c>
      <c r="AU46" s="165">
        <v>1290.4347826086944</v>
      </c>
      <c r="AV46" s="165">
        <v>61.44927536231878</v>
      </c>
      <c r="AW46" s="181">
        <f t="shared" si="8"/>
        <v>24</v>
      </c>
      <c r="AX46" s="430"/>
    </row>
    <row r="47" spans="2:50">
      <c r="B47" s="400"/>
      <c r="C47" s="181">
        <v>6</v>
      </c>
      <c r="D47" s="196" t="s">
        <v>266</v>
      </c>
      <c r="E47" s="165">
        <v>19</v>
      </c>
      <c r="F47" s="181">
        <v>1500</v>
      </c>
      <c r="G47" s="179">
        <v>78.94736842105263</v>
      </c>
      <c r="H47" s="413"/>
      <c r="I47" s="165">
        <f t="shared" si="9"/>
        <v>19</v>
      </c>
      <c r="J47" s="165">
        <f t="shared" si="10"/>
        <v>1287.0038226728709</v>
      </c>
      <c r="K47" s="179">
        <f t="shared" si="11"/>
        <v>67.737043298572161</v>
      </c>
      <c r="L47" s="413"/>
      <c r="M47" s="180">
        <f>RANK(K47, K$42:$K$71)</f>
        <v>21</v>
      </c>
      <c r="N47" s="401"/>
      <c r="O47" s="401"/>
      <c r="P47" s="165">
        <v>19</v>
      </c>
      <c r="Q47" s="165">
        <v>1305.30612244898</v>
      </c>
      <c r="R47" s="165">
        <v>68.700322234156843</v>
      </c>
      <c r="S47" s="181">
        <f t="shared" si="2"/>
        <v>19</v>
      </c>
      <c r="T47" s="430"/>
      <c r="U47" s="165">
        <v>19</v>
      </c>
      <c r="V47" s="165">
        <v>1267.3469387755106</v>
      </c>
      <c r="W47" s="165">
        <v>66.702470461868984</v>
      </c>
      <c r="X47" s="181">
        <f t="shared" si="3"/>
        <v>21</v>
      </c>
      <c r="Y47" s="430"/>
      <c r="Z47" s="165">
        <v>19</v>
      </c>
      <c r="AA47" s="165">
        <v>1295.744680851064</v>
      </c>
      <c r="AB47" s="165">
        <v>68.197088465845468</v>
      </c>
      <c r="AC47" s="181">
        <f t="shared" si="4"/>
        <v>19</v>
      </c>
      <c r="AD47" s="430"/>
      <c r="AE47" s="165">
        <v>19</v>
      </c>
      <c r="AF47" s="165">
        <v>1268.7804878048801</v>
      </c>
      <c r="AG47" s="165">
        <v>66.777920410783167</v>
      </c>
      <c r="AH47" s="181">
        <f t="shared" si="5"/>
        <v>21</v>
      </c>
      <c r="AI47" s="430"/>
      <c r="AJ47" s="165">
        <v>19</v>
      </c>
      <c r="AK47" s="165">
        <v>1309.090909090909</v>
      </c>
      <c r="AL47" s="165">
        <v>68.899521531100476</v>
      </c>
      <c r="AM47" s="181">
        <f t="shared" si="6"/>
        <v>20</v>
      </c>
      <c r="AN47" s="430"/>
      <c r="AO47" s="165">
        <v>19</v>
      </c>
      <c r="AP47" s="165">
        <v>1306.1538461538469</v>
      </c>
      <c r="AQ47" s="165">
        <v>68.744939271255092</v>
      </c>
      <c r="AR47" s="181">
        <f t="shared" si="7"/>
        <v>19</v>
      </c>
      <c r="AS47" s="430"/>
      <c r="AT47" s="165">
        <v>19</v>
      </c>
      <c r="AU47" s="165">
        <v>1256.6037735849063</v>
      </c>
      <c r="AV47" s="165">
        <v>66.137040714995067</v>
      </c>
      <c r="AW47" s="181">
        <f t="shared" si="8"/>
        <v>22</v>
      </c>
      <c r="AX47" s="430"/>
    </row>
    <row r="48" spans="2:50">
      <c r="B48" s="400"/>
      <c r="C48" s="181">
        <v>7</v>
      </c>
      <c r="D48" s="196" t="s">
        <v>267</v>
      </c>
      <c r="E48" s="165">
        <v>17</v>
      </c>
      <c r="F48" s="181">
        <v>1500</v>
      </c>
      <c r="G48" s="179">
        <v>88.235294117647058</v>
      </c>
      <c r="H48" s="413"/>
      <c r="I48" s="165">
        <f t="shared" si="9"/>
        <v>17</v>
      </c>
      <c r="J48" s="165">
        <f t="shared" si="10"/>
        <v>1339.8047505468664</v>
      </c>
      <c r="K48" s="179">
        <f t="shared" si="11"/>
        <v>78.812044149815691</v>
      </c>
      <c r="L48" s="413"/>
      <c r="M48" s="180">
        <f>RANK(K48, K$42:$K$71)</f>
        <v>7</v>
      </c>
      <c r="N48" s="401"/>
      <c r="O48" s="401"/>
      <c r="P48" s="165">
        <v>17</v>
      </c>
      <c r="Q48" s="165">
        <v>1317.9661016949165</v>
      </c>
      <c r="R48" s="165">
        <v>77.527417746759795</v>
      </c>
      <c r="S48" s="181">
        <f t="shared" si="2"/>
        <v>10</v>
      </c>
      <c r="T48" s="430"/>
      <c r="U48" s="165">
        <v>17</v>
      </c>
      <c r="V48" s="165">
        <v>1344.23076923077</v>
      </c>
      <c r="W48" s="165">
        <v>79.072398190045291</v>
      </c>
      <c r="X48" s="181">
        <f t="shared" si="3"/>
        <v>8</v>
      </c>
      <c r="Y48" s="430"/>
      <c r="Z48" s="165">
        <v>17</v>
      </c>
      <c r="AA48" s="165">
        <v>1361.1764705882358</v>
      </c>
      <c r="AB48" s="165">
        <v>80.069204152249171</v>
      </c>
      <c r="AC48" s="181">
        <f t="shared" si="4"/>
        <v>6</v>
      </c>
      <c r="AD48" s="430"/>
      <c r="AE48" s="165">
        <v>17</v>
      </c>
      <c r="AF48" s="165">
        <v>1363.2558139534881</v>
      </c>
      <c r="AG48" s="165">
        <v>80.191518467852234</v>
      </c>
      <c r="AH48" s="181">
        <f t="shared" si="5"/>
        <v>6</v>
      </c>
      <c r="AI48" s="430"/>
      <c r="AJ48" s="165">
        <v>17</v>
      </c>
      <c r="AK48" s="165">
        <v>1346.2500000000005</v>
      </c>
      <c r="AL48" s="165">
        <v>79.19117647058826</v>
      </c>
      <c r="AM48" s="181">
        <f t="shared" si="6"/>
        <v>7</v>
      </c>
      <c r="AN48" s="430"/>
      <c r="AO48" s="165">
        <v>17</v>
      </c>
      <c r="AP48" s="165">
        <v>1310.9999999999995</v>
      </c>
      <c r="AQ48" s="165">
        <v>77.117647058823508</v>
      </c>
      <c r="AR48" s="181">
        <f t="shared" si="7"/>
        <v>9</v>
      </c>
      <c r="AS48" s="430"/>
      <c r="AT48" s="165">
        <v>17</v>
      </c>
      <c r="AU48" s="165">
        <v>1334.7540983606552</v>
      </c>
      <c r="AV48" s="165">
        <v>78.514946962391491</v>
      </c>
      <c r="AW48" s="181">
        <f t="shared" si="8"/>
        <v>9</v>
      </c>
      <c r="AX48" s="430"/>
    </row>
    <row r="49" spans="2:50">
      <c r="B49" s="400"/>
      <c r="C49" s="181">
        <v>8</v>
      </c>
      <c r="D49" s="196" t="s">
        <v>268</v>
      </c>
      <c r="E49" s="165">
        <v>17</v>
      </c>
      <c r="F49" s="181">
        <v>1565</v>
      </c>
      <c r="G49" s="179">
        <v>92.058823529411768</v>
      </c>
      <c r="H49" s="413"/>
      <c r="I49" s="165">
        <f t="shared" si="9"/>
        <v>17</v>
      </c>
      <c r="J49" s="165">
        <f t="shared" si="10"/>
        <v>1390.0506327795863</v>
      </c>
      <c r="K49" s="179">
        <f t="shared" si="11"/>
        <v>81.767684281152142</v>
      </c>
      <c r="L49" s="413"/>
      <c r="M49" s="180">
        <f>RANK(K49, K$42:$K$71)</f>
        <v>5</v>
      </c>
      <c r="N49" s="401"/>
      <c r="O49" s="401"/>
      <c r="P49" s="165">
        <v>17</v>
      </c>
      <c r="Q49" s="165">
        <v>1354.4827586206895</v>
      </c>
      <c r="R49" s="165">
        <v>79.675456389452322</v>
      </c>
      <c r="S49" s="181">
        <f t="shared" si="2"/>
        <v>7</v>
      </c>
      <c r="T49" s="430"/>
      <c r="U49" s="165">
        <v>17</v>
      </c>
      <c r="V49" s="165">
        <v>1410.76923076923</v>
      </c>
      <c r="W49" s="165">
        <v>82.986425339366477</v>
      </c>
      <c r="X49" s="181">
        <f t="shared" si="3"/>
        <v>5</v>
      </c>
      <c r="Y49" s="430"/>
      <c r="Z49" s="165">
        <v>17</v>
      </c>
      <c r="AA49" s="165">
        <v>1373.5135135135124</v>
      </c>
      <c r="AB49" s="165">
        <v>80.794912559618382</v>
      </c>
      <c r="AC49" s="181">
        <f t="shared" si="4"/>
        <v>5</v>
      </c>
      <c r="AD49" s="430"/>
      <c r="AE49" s="165">
        <v>17</v>
      </c>
      <c r="AF49" s="165">
        <v>1417.0000000000007</v>
      </c>
      <c r="AG49" s="165">
        <v>83.352941176470623</v>
      </c>
      <c r="AH49" s="181">
        <f t="shared" si="5"/>
        <v>5</v>
      </c>
      <c r="AI49" s="430"/>
      <c r="AJ49" s="165">
        <v>17</v>
      </c>
      <c r="AK49" s="165">
        <v>1370.1355932203403</v>
      </c>
      <c r="AL49" s="165">
        <v>80.596211365902377</v>
      </c>
      <c r="AM49" s="181">
        <f t="shared" si="6"/>
        <v>6</v>
      </c>
      <c r="AN49" s="430"/>
      <c r="AO49" s="165">
        <v>17</v>
      </c>
      <c r="AP49" s="165">
        <v>1401.119999999999</v>
      </c>
      <c r="AQ49" s="165">
        <v>82.418823529411711</v>
      </c>
      <c r="AR49" s="181">
        <f t="shared" si="7"/>
        <v>5</v>
      </c>
      <c r="AS49" s="430"/>
      <c r="AT49" s="165">
        <v>17</v>
      </c>
      <c r="AU49" s="165">
        <v>1403.333333333333</v>
      </c>
      <c r="AV49" s="165">
        <v>82.549019607843121</v>
      </c>
      <c r="AW49" s="181">
        <f t="shared" si="8"/>
        <v>5</v>
      </c>
      <c r="AX49" s="430"/>
    </row>
    <row r="50" spans="2:50">
      <c r="B50" s="400"/>
      <c r="C50" s="181">
        <v>9</v>
      </c>
      <c r="D50" s="196" t="s">
        <v>269</v>
      </c>
      <c r="E50" s="165">
        <v>16</v>
      </c>
      <c r="F50" s="181">
        <v>1440</v>
      </c>
      <c r="G50" s="179">
        <v>90</v>
      </c>
      <c r="H50" s="413"/>
      <c r="I50" s="165">
        <f t="shared" si="9"/>
        <v>16</v>
      </c>
      <c r="J50" s="165">
        <f t="shared" si="10"/>
        <v>1278.7152804045138</v>
      </c>
      <c r="K50" s="179">
        <f t="shared" si="11"/>
        <v>79.919705025282113</v>
      </c>
      <c r="L50" s="413"/>
      <c r="M50" s="180">
        <f>RANK(K50, K$42:$K$71)</f>
        <v>6</v>
      </c>
      <c r="N50" s="401"/>
      <c r="O50" s="401"/>
      <c r="P50" s="165">
        <v>16</v>
      </c>
      <c r="Q50" s="165">
        <v>1305.8823529411748</v>
      </c>
      <c r="R50" s="165">
        <v>81.617647058823422</v>
      </c>
      <c r="S50" s="181">
        <f t="shared" si="2"/>
        <v>5</v>
      </c>
      <c r="T50" s="430"/>
      <c r="U50" s="165">
        <v>16</v>
      </c>
      <c r="V50" s="165">
        <v>1304.9999999999982</v>
      </c>
      <c r="W50" s="165">
        <v>81.562499999999886</v>
      </c>
      <c r="X50" s="181">
        <f t="shared" si="3"/>
        <v>6</v>
      </c>
      <c r="Y50" s="430"/>
      <c r="Z50" s="165">
        <v>16</v>
      </c>
      <c r="AA50" s="165">
        <v>1264.1379310344803</v>
      </c>
      <c r="AB50" s="165">
        <v>79.008620689655018</v>
      </c>
      <c r="AC50" s="181">
        <f t="shared" si="4"/>
        <v>7</v>
      </c>
      <c r="AD50" s="430"/>
      <c r="AE50" s="165">
        <v>16</v>
      </c>
      <c r="AF50" s="165">
        <v>1238.7096774193528</v>
      </c>
      <c r="AG50" s="165">
        <v>77.419354838709552</v>
      </c>
      <c r="AH50" s="181">
        <f t="shared" si="5"/>
        <v>9</v>
      </c>
      <c r="AI50" s="430"/>
      <c r="AJ50" s="165">
        <v>16</v>
      </c>
      <c r="AK50" s="165">
        <v>1302.5806451612882</v>
      </c>
      <c r="AL50" s="165">
        <v>81.411290322580513</v>
      </c>
      <c r="AM50" s="181">
        <f t="shared" si="6"/>
        <v>5</v>
      </c>
      <c r="AN50" s="430"/>
      <c r="AO50" s="165">
        <v>16</v>
      </c>
      <c r="AP50" s="165">
        <v>1233.1578947368412</v>
      </c>
      <c r="AQ50" s="165">
        <v>77.072368421052573</v>
      </c>
      <c r="AR50" s="181">
        <f t="shared" si="7"/>
        <v>10</v>
      </c>
      <c r="AS50" s="430"/>
      <c r="AT50" s="165">
        <v>16</v>
      </c>
      <c r="AU50" s="165">
        <v>1301.5384615384608</v>
      </c>
      <c r="AV50" s="165">
        <v>81.346153846153797</v>
      </c>
      <c r="AW50" s="181">
        <f t="shared" si="8"/>
        <v>6</v>
      </c>
      <c r="AX50" s="430"/>
    </row>
    <row r="51" spans="2:50">
      <c r="B51" s="400"/>
      <c r="C51" s="181">
        <v>10</v>
      </c>
      <c r="D51" s="196" t="s">
        <v>270</v>
      </c>
      <c r="E51" s="165">
        <v>17</v>
      </c>
      <c r="F51" s="181">
        <v>1440</v>
      </c>
      <c r="G51" s="179">
        <v>84.705882352941174</v>
      </c>
      <c r="H51" s="413"/>
      <c r="I51" s="165">
        <f t="shared" si="9"/>
        <v>17</v>
      </c>
      <c r="J51" s="165">
        <f t="shared" si="10"/>
        <v>1289.2592200816391</v>
      </c>
      <c r="K51" s="179">
        <f t="shared" si="11"/>
        <v>75.838777651861122</v>
      </c>
      <c r="L51" s="413"/>
      <c r="M51" s="180">
        <f>RANK(K51, K$42:$K$71)</f>
        <v>11</v>
      </c>
      <c r="N51" s="401"/>
      <c r="O51" s="401"/>
      <c r="P51" s="165">
        <v>17</v>
      </c>
      <c r="Q51" s="165">
        <v>1299.6226415094347</v>
      </c>
      <c r="R51" s="165">
        <v>76.448390677025571</v>
      </c>
      <c r="S51" s="181">
        <f t="shared" si="2"/>
        <v>11</v>
      </c>
      <c r="T51" s="430"/>
      <c r="U51" s="165">
        <v>17</v>
      </c>
      <c r="V51" s="165">
        <v>1308.2608695652175</v>
      </c>
      <c r="W51" s="165">
        <v>76.956521739130437</v>
      </c>
      <c r="X51" s="181">
        <f t="shared" si="3"/>
        <v>10</v>
      </c>
      <c r="Y51" s="430"/>
      <c r="Z51" s="165">
        <v>17</v>
      </c>
      <c r="AA51" s="165">
        <v>1282.8571428571424</v>
      </c>
      <c r="AB51" s="165">
        <v>75.462184873949553</v>
      </c>
      <c r="AC51" s="181">
        <f t="shared" si="4"/>
        <v>12</v>
      </c>
      <c r="AD51" s="430"/>
      <c r="AE51" s="165">
        <v>17</v>
      </c>
      <c r="AF51" s="165">
        <v>1290</v>
      </c>
      <c r="AG51" s="165">
        <v>75.882352941176464</v>
      </c>
      <c r="AH51" s="181">
        <f t="shared" si="5"/>
        <v>11</v>
      </c>
      <c r="AI51" s="430"/>
      <c r="AJ51" s="165">
        <v>17</v>
      </c>
      <c r="AK51" s="165">
        <v>1313.7500000000005</v>
      </c>
      <c r="AL51" s="165">
        <v>77.279411764705912</v>
      </c>
      <c r="AM51" s="181">
        <f t="shared" si="6"/>
        <v>8</v>
      </c>
      <c r="AN51" s="430"/>
      <c r="AO51" s="165">
        <v>17</v>
      </c>
      <c r="AP51" s="165">
        <v>1257.6923076923085</v>
      </c>
      <c r="AQ51" s="165">
        <v>73.98190045248873</v>
      </c>
      <c r="AR51" s="181">
        <f t="shared" si="7"/>
        <v>14</v>
      </c>
      <c r="AS51" s="430"/>
      <c r="AT51" s="165">
        <v>17</v>
      </c>
      <c r="AU51" s="165">
        <v>1272.6315789473695</v>
      </c>
      <c r="AV51" s="165">
        <v>74.860681114551141</v>
      </c>
      <c r="AW51" s="181">
        <f t="shared" si="8"/>
        <v>12</v>
      </c>
      <c r="AX51" s="430"/>
    </row>
    <row r="52" spans="2:50">
      <c r="B52" s="400"/>
      <c r="C52" s="181">
        <v>11</v>
      </c>
      <c r="D52" s="196" t="s">
        <v>271</v>
      </c>
      <c r="E52" s="165">
        <v>15</v>
      </c>
      <c r="F52" s="181">
        <v>1500</v>
      </c>
      <c r="G52" s="179">
        <v>100</v>
      </c>
      <c r="H52" s="413"/>
      <c r="I52" s="165">
        <f t="shared" si="9"/>
        <v>16.285714285714285</v>
      </c>
      <c r="J52" s="165">
        <f t="shared" si="10"/>
        <v>1065.3143642072253</v>
      </c>
      <c r="K52" s="179">
        <f t="shared" si="11"/>
        <v>65.459491007941864</v>
      </c>
      <c r="L52" s="413"/>
      <c r="M52" s="180">
        <f>RANK(K52, K$42:$K$71)</f>
        <v>22</v>
      </c>
      <c r="N52" s="401"/>
      <c r="O52" s="401"/>
      <c r="P52" s="165">
        <v>17</v>
      </c>
      <c r="Q52" s="165">
        <v>1076.0000000000039</v>
      </c>
      <c r="R52" s="165">
        <v>63.294117647059053</v>
      </c>
      <c r="S52" s="181">
        <f t="shared" si="2"/>
        <v>23</v>
      </c>
      <c r="T52" s="430"/>
      <c r="U52" s="165">
        <v>16</v>
      </c>
      <c r="V52" s="165">
        <v>1097.1428571428612</v>
      </c>
      <c r="W52" s="165">
        <v>68.571428571428825</v>
      </c>
      <c r="X52" s="181">
        <f t="shared" si="3"/>
        <v>19</v>
      </c>
      <c r="Y52" s="430"/>
      <c r="Z52" s="165">
        <v>16</v>
      </c>
      <c r="AA52" s="165">
        <v>1035.0000000000036</v>
      </c>
      <c r="AB52" s="165">
        <v>64.687500000000227</v>
      </c>
      <c r="AC52" s="181">
        <f t="shared" si="4"/>
        <v>23</v>
      </c>
      <c r="AD52" s="430"/>
      <c r="AE52" s="165">
        <v>16</v>
      </c>
      <c r="AF52" s="165">
        <v>1070.7692307692346</v>
      </c>
      <c r="AG52" s="165">
        <v>66.923076923077161</v>
      </c>
      <c r="AH52" s="181">
        <f t="shared" si="5"/>
        <v>20</v>
      </c>
      <c r="AI52" s="430"/>
      <c r="AJ52" s="165">
        <v>17</v>
      </c>
      <c r="AK52" s="165">
        <v>1061.5384615384653</v>
      </c>
      <c r="AL52" s="165">
        <v>62.443438914027368</v>
      </c>
      <c r="AM52" s="181">
        <f t="shared" si="6"/>
        <v>24</v>
      </c>
      <c r="AN52" s="430"/>
      <c r="AO52" s="165">
        <v>16</v>
      </c>
      <c r="AP52" s="165">
        <v>1048.0000000000036</v>
      </c>
      <c r="AQ52" s="165">
        <v>65.500000000000227</v>
      </c>
      <c r="AR52" s="181">
        <f t="shared" si="7"/>
        <v>22</v>
      </c>
      <c r="AS52" s="430"/>
      <c r="AT52" s="165">
        <v>16</v>
      </c>
      <c r="AU52" s="165">
        <v>1068.7500000000039</v>
      </c>
      <c r="AV52" s="165">
        <v>66.796875000000242</v>
      </c>
      <c r="AW52" s="181">
        <f t="shared" si="8"/>
        <v>20</v>
      </c>
      <c r="AX52" s="430"/>
    </row>
    <row r="53" spans="2:50">
      <c r="B53" s="400"/>
      <c r="C53" s="181">
        <v>12</v>
      </c>
      <c r="D53" s="196" t="s">
        <v>272</v>
      </c>
      <c r="E53" s="165">
        <v>18</v>
      </c>
      <c r="F53" s="181">
        <v>1440</v>
      </c>
      <c r="G53" s="179">
        <v>80</v>
      </c>
      <c r="H53" s="413"/>
      <c r="I53" s="165">
        <f t="shared" si="9"/>
        <v>16.285714285714285</v>
      </c>
      <c r="J53" s="165">
        <f t="shared" si="10"/>
        <v>1190.276821409366</v>
      </c>
      <c r="K53" s="179">
        <f t="shared" si="11"/>
        <v>73.121943682828132</v>
      </c>
      <c r="L53" s="413"/>
      <c r="M53" s="180">
        <f>RANK(K53, K$42:$K$71)</f>
        <v>14</v>
      </c>
      <c r="N53" s="401"/>
      <c r="O53" s="401"/>
      <c r="P53" s="165">
        <v>16</v>
      </c>
      <c r="Q53" s="165">
        <v>1170.0000000000007</v>
      </c>
      <c r="R53" s="165">
        <v>73.125000000000043</v>
      </c>
      <c r="S53" s="181">
        <f t="shared" si="2"/>
        <v>15</v>
      </c>
      <c r="T53" s="430"/>
      <c r="U53" s="165">
        <v>16</v>
      </c>
      <c r="V53" s="165">
        <v>1159.5918367346942</v>
      </c>
      <c r="W53" s="165">
        <v>72.474489795918387</v>
      </c>
      <c r="X53" s="181">
        <f t="shared" si="3"/>
        <v>16</v>
      </c>
      <c r="Y53" s="430"/>
      <c r="Z53" s="165">
        <v>17</v>
      </c>
      <c r="AA53" s="165">
        <v>1217.5609756097556</v>
      </c>
      <c r="AB53" s="165">
        <v>71.621233859397393</v>
      </c>
      <c r="AC53" s="181">
        <f t="shared" si="4"/>
        <v>17</v>
      </c>
      <c r="AD53" s="430"/>
      <c r="AE53" s="165">
        <v>16</v>
      </c>
      <c r="AF53" s="165">
        <v>1202.5531914893618</v>
      </c>
      <c r="AG53" s="165">
        <v>75.159574468085111</v>
      </c>
      <c r="AH53" s="181">
        <f t="shared" si="5"/>
        <v>12</v>
      </c>
      <c r="AI53" s="430"/>
      <c r="AJ53" s="165">
        <v>17</v>
      </c>
      <c r="AK53" s="165">
        <v>1201.2000000000005</v>
      </c>
      <c r="AL53" s="165">
        <v>70.658823529411791</v>
      </c>
      <c r="AM53" s="181">
        <f t="shared" si="6"/>
        <v>17</v>
      </c>
      <c r="AN53" s="430"/>
      <c r="AO53" s="165">
        <v>16</v>
      </c>
      <c r="AP53" s="165">
        <v>1208.8888888888896</v>
      </c>
      <c r="AQ53" s="165">
        <v>75.5555555555556</v>
      </c>
      <c r="AR53" s="181">
        <f t="shared" si="7"/>
        <v>12</v>
      </c>
      <c r="AS53" s="430"/>
      <c r="AT53" s="165">
        <v>16</v>
      </c>
      <c r="AU53" s="165">
        <v>1172.142857142858</v>
      </c>
      <c r="AV53" s="165">
        <v>73.258928571428626</v>
      </c>
      <c r="AW53" s="181">
        <f t="shared" si="8"/>
        <v>13</v>
      </c>
      <c r="AX53" s="430"/>
    </row>
    <row r="54" spans="2:50">
      <c r="B54" s="400"/>
      <c r="C54" s="181">
        <v>13</v>
      </c>
      <c r="D54" s="196" t="s">
        <v>273</v>
      </c>
      <c r="E54" s="165">
        <v>20</v>
      </c>
      <c r="F54" s="181">
        <v>1636</v>
      </c>
      <c r="G54" s="179">
        <v>81.8</v>
      </c>
      <c r="H54" s="413"/>
      <c r="I54" s="165">
        <f t="shared" si="9"/>
        <v>19</v>
      </c>
      <c r="J54" s="165">
        <f t="shared" si="10"/>
        <v>1290.9580972227163</v>
      </c>
      <c r="K54" s="179">
        <f t="shared" si="11"/>
        <v>67.945163011721931</v>
      </c>
      <c r="L54" s="413"/>
      <c r="M54" s="180">
        <f>RANK(K54, K$42:$K$71)</f>
        <v>20</v>
      </c>
      <c r="N54" s="401"/>
      <c r="O54" s="401"/>
      <c r="P54" s="165">
        <v>19</v>
      </c>
      <c r="Q54" s="165">
        <v>1255.862068965517</v>
      </c>
      <c r="R54" s="165">
        <v>66.098003629764051</v>
      </c>
      <c r="S54" s="181">
        <f t="shared" si="2"/>
        <v>21</v>
      </c>
      <c r="T54" s="430"/>
      <c r="U54" s="165">
        <v>19</v>
      </c>
      <c r="V54" s="165">
        <v>1298.8732394366184</v>
      </c>
      <c r="W54" s="165">
        <v>68.361749444032554</v>
      </c>
      <c r="X54" s="181">
        <f t="shared" si="3"/>
        <v>20</v>
      </c>
      <c r="Y54" s="430"/>
      <c r="Z54" s="165">
        <v>19</v>
      </c>
      <c r="AA54" s="165">
        <v>1286.4705882352957</v>
      </c>
      <c r="AB54" s="165">
        <v>67.708978328173458</v>
      </c>
      <c r="AC54" s="181">
        <f t="shared" si="4"/>
        <v>20</v>
      </c>
      <c r="AD54" s="430"/>
      <c r="AE54" s="165">
        <v>19</v>
      </c>
      <c r="AF54" s="165">
        <v>1310.149253731345</v>
      </c>
      <c r="AG54" s="165">
        <v>68.955223880597103</v>
      </c>
      <c r="AH54" s="181">
        <f t="shared" si="5"/>
        <v>18</v>
      </c>
      <c r="AI54" s="430"/>
      <c r="AJ54" s="165">
        <v>19</v>
      </c>
      <c r="AK54" s="165">
        <v>1283.8461538461531</v>
      </c>
      <c r="AL54" s="165">
        <v>67.570850202429114</v>
      </c>
      <c r="AM54" s="181">
        <f t="shared" si="6"/>
        <v>21</v>
      </c>
      <c r="AN54" s="430"/>
      <c r="AO54" s="165">
        <v>19</v>
      </c>
      <c r="AP54" s="165">
        <v>1286.6666666666665</v>
      </c>
      <c r="AQ54" s="165">
        <v>67.719298245614027</v>
      </c>
      <c r="AR54" s="181">
        <f t="shared" si="7"/>
        <v>21</v>
      </c>
      <c r="AS54" s="430"/>
      <c r="AT54" s="165">
        <v>19</v>
      </c>
      <c r="AU54" s="165">
        <v>1314.8387096774195</v>
      </c>
      <c r="AV54" s="165">
        <v>69.202037351443138</v>
      </c>
      <c r="AW54" s="181">
        <f t="shared" si="8"/>
        <v>19</v>
      </c>
      <c r="AX54" s="430"/>
    </row>
    <row r="55" spans="2:50">
      <c r="B55" s="400"/>
      <c r="C55" s="181">
        <v>14</v>
      </c>
      <c r="D55" s="196" t="s">
        <v>274</v>
      </c>
      <c r="E55" s="165">
        <v>19</v>
      </c>
      <c r="F55" s="181">
        <v>1636</v>
      </c>
      <c r="G55" s="179">
        <v>86.10526315789474</v>
      </c>
      <c r="H55" s="413"/>
      <c r="I55" s="165">
        <f t="shared" si="9"/>
        <v>18.857142857142858</v>
      </c>
      <c r="J55" s="165">
        <f t="shared" si="10"/>
        <v>1289.6312746542328</v>
      </c>
      <c r="K55" s="179">
        <f t="shared" si="11"/>
        <v>68.409743200425197</v>
      </c>
      <c r="L55" s="413"/>
      <c r="M55" s="180">
        <f>RANK(K55, K$42:$K$71)</f>
        <v>18</v>
      </c>
      <c r="N55" s="401"/>
      <c r="O55" s="401"/>
      <c r="P55" s="165">
        <v>19</v>
      </c>
      <c r="Q55" s="165">
        <v>1321.9047619047633</v>
      </c>
      <c r="R55" s="165">
        <v>69.573934837092807</v>
      </c>
      <c r="S55" s="181">
        <f t="shared" si="2"/>
        <v>18</v>
      </c>
      <c r="T55" s="430"/>
      <c r="U55" s="165">
        <v>19</v>
      </c>
      <c r="V55" s="165">
        <v>1264.1379310344837</v>
      </c>
      <c r="W55" s="165">
        <v>66.533575317604402</v>
      </c>
      <c r="X55" s="181">
        <f t="shared" si="3"/>
        <v>22</v>
      </c>
      <c r="Y55" s="430"/>
      <c r="Z55" s="165">
        <v>19</v>
      </c>
      <c r="AA55" s="165">
        <v>1307.5471698113215</v>
      </c>
      <c r="AB55" s="165">
        <v>68.818272095332716</v>
      </c>
      <c r="AC55" s="181">
        <f t="shared" si="4"/>
        <v>18</v>
      </c>
      <c r="AD55" s="430"/>
      <c r="AE55" s="165">
        <v>19</v>
      </c>
      <c r="AF55" s="165">
        <v>1274.444444444445</v>
      </c>
      <c r="AG55" s="165">
        <v>67.076023391812896</v>
      </c>
      <c r="AH55" s="181">
        <f t="shared" si="5"/>
        <v>19</v>
      </c>
      <c r="AI55" s="430"/>
      <c r="AJ55" s="165">
        <v>18</v>
      </c>
      <c r="AK55" s="165">
        <v>1279.3846153846168</v>
      </c>
      <c r="AL55" s="165">
        <v>71.076923076923151</v>
      </c>
      <c r="AM55" s="181">
        <f t="shared" si="6"/>
        <v>16</v>
      </c>
      <c r="AN55" s="430"/>
      <c r="AO55" s="165">
        <v>19</v>
      </c>
      <c r="AP55" s="165">
        <v>1319.9999999999986</v>
      </c>
      <c r="AQ55" s="165">
        <v>69.473684210526244</v>
      </c>
      <c r="AR55" s="181">
        <f t="shared" si="7"/>
        <v>18</v>
      </c>
      <c r="AS55" s="430"/>
      <c r="AT55" s="165">
        <v>19</v>
      </c>
      <c r="AU55" s="165">
        <v>1259.9999999999993</v>
      </c>
      <c r="AV55" s="165">
        <v>66.315789473684177</v>
      </c>
      <c r="AW55" s="181">
        <f t="shared" si="8"/>
        <v>21</v>
      </c>
      <c r="AX55" s="430"/>
    </row>
    <row r="56" spans="2:50">
      <c r="B56" s="400"/>
      <c r="C56" s="181">
        <v>15</v>
      </c>
      <c r="D56" s="196" t="s">
        <v>275</v>
      </c>
      <c r="E56" s="165">
        <v>20</v>
      </c>
      <c r="F56" s="181">
        <v>1500</v>
      </c>
      <c r="G56" s="179">
        <v>75</v>
      </c>
      <c r="H56" s="413"/>
      <c r="I56" s="165">
        <f t="shared" si="9"/>
        <v>20</v>
      </c>
      <c r="J56" s="165">
        <f t="shared" si="10"/>
        <v>1285.5586529086233</v>
      </c>
      <c r="K56" s="179">
        <f t="shared" si="11"/>
        <v>64.277932645431179</v>
      </c>
      <c r="L56" s="413"/>
      <c r="M56" s="165">
        <f>RANK(K56, K$42:$K$71)</f>
        <v>23</v>
      </c>
      <c r="N56" s="401"/>
      <c r="O56" s="401"/>
      <c r="P56" s="165">
        <v>20</v>
      </c>
      <c r="Q56" s="165">
        <v>1294.6666666666667</v>
      </c>
      <c r="R56" s="165">
        <v>64.733333333333334</v>
      </c>
      <c r="S56" s="181">
        <f t="shared" si="2"/>
        <v>22</v>
      </c>
      <c r="T56" s="430"/>
      <c r="U56" s="165">
        <v>20</v>
      </c>
      <c r="V56" s="165">
        <v>1277.1428571428567</v>
      </c>
      <c r="W56" s="165">
        <v>63.857142857142833</v>
      </c>
      <c r="X56" s="181">
        <f t="shared" si="3"/>
        <v>24</v>
      </c>
      <c r="Y56" s="430"/>
      <c r="Z56" s="165">
        <v>20</v>
      </c>
      <c r="AA56" s="165">
        <v>1286.4352941176485</v>
      </c>
      <c r="AB56" s="165">
        <v>64.32176470588243</v>
      </c>
      <c r="AC56" s="181">
        <f t="shared" si="4"/>
        <v>24</v>
      </c>
      <c r="AD56" s="430"/>
      <c r="AE56" s="165">
        <v>20</v>
      </c>
      <c r="AF56" s="165">
        <v>1294.054054054053</v>
      </c>
      <c r="AG56" s="165">
        <v>64.702702702702652</v>
      </c>
      <c r="AH56" s="181">
        <f t="shared" si="5"/>
        <v>24</v>
      </c>
      <c r="AI56" s="430"/>
      <c r="AJ56" s="165">
        <v>20</v>
      </c>
      <c r="AK56" s="165">
        <v>1265.5813953488371</v>
      </c>
      <c r="AL56" s="165">
        <v>63.279069767441854</v>
      </c>
      <c r="AM56" s="181">
        <f t="shared" si="6"/>
        <v>23</v>
      </c>
      <c r="AN56" s="430"/>
      <c r="AO56" s="165">
        <v>20</v>
      </c>
      <c r="AP56" s="165">
        <v>1306.3636363636365</v>
      </c>
      <c r="AQ56" s="165">
        <v>65.318181818181827</v>
      </c>
      <c r="AR56" s="181">
        <f t="shared" si="7"/>
        <v>23</v>
      </c>
      <c r="AS56" s="430"/>
      <c r="AT56" s="165">
        <v>20</v>
      </c>
      <c r="AU56" s="165">
        <v>1274.6666666666665</v>
      </c>
      <c r="AV56" s="165">
        <v>63.733333333333327</v>
      </c>
      <c r="AW56" s="181">
        <f t="shared" si="8"/>
        <v>23</v>
      </c>
      <c r="AX56" s="430"/>
    </row>
    <row r="57" spans="2:50">
      <c r="B57" s="400"/>
      <c r="C57" s="181">
        <v>16</v>
      </c>
      <c r="D57" s="196" t="s">
        <v>276</v>
      </c>
      <c r="E57" s="165">
        <v>18</v>
      </c>
      <c r="F57" s="181">
        <v>1500</v>
      </c>
      <c r="G57" s="179">
        <v>83.333333333333329</v>
      </c>
      <c r="H57" s="413"/>
      <c r="I57" s="165">
        <f t="shared" si="9"/>
        <v>17</v>
      </c>
      <c r="J57" s="165">
        <f t="shared" si="10"/>
        <v>1272.6466118526664</v>
      </c>
      <c r="K57" s="179">
        <f t="shared" si="11"/>
        <v>74.861565403098027</v>
      </c>
      <c r="L57" s="413"/>
      <c r="M57" s="165">
        <f>RANK(K57, K$42:$K$71)</f>
        <v>13</v>
      </c>
      <c r="N57" s="401"/>
      <c r="O57" s="401"/>
      <c r="P57" s="165">
        <v>17</v>
      </c>
      <c r="Q57" s="165">
        <v>1264.8648648648641</v>
      </c>
      <c r="R57" s="165">
        <v>74.403815580286121</v>
      </c>
      <c r="S57" s="181">
        <f t="shared" si="2"/>
        <v>12</v>
      </c>
      <c r="T57" s="430"/>
      <c r="U57" s="165">
        <v>17</v>
      </c>
      <c r="V57" s="165">
        <v>1251.1764705882338</v>
      </c>
      <c r="W57" s="165">
        <v>73.598615916954927</v>
      </c>
      <c r="X57" s="181">
        <f t="shared" si="3"/>
        <v>12</v>
      </c>
      <c r="Y57" s="430"/>
      <c r="Z57" s="165">
        <v>17</v>
      </c>
      <c r="AA57" s="165">
        <v>1284.827586206894</v>
      </c>
      <c r="AB57" s="165">
        <v>75.578093306287883</v>
      </c>
      <c r="AC57" s="181">
        <f t="shared" si="4"/>
        <v>10</v>
      </c>
      <c r="AD57" s="430"/>
      <c r="AE57" s="165">
        <v>17</v>
      </c>
      <c r="AF57" s="165">
        <v>1276.8749999999982</v>
      </c>
      <c r="AG57" s="165">
        <v>75.110294117646959</v>
      </c>
      <c r="AH57" s="181">
        <f t="shared" si="5"/>
        <v>13</v>
      </c>
      <c r="AI57" s="430"/>
      <c r="AJ57" s="165">
        <v>17</v>
      </c>
      <c r="AK57" s="165">
        <v>1269.7297297297289</v>
      </c>
      <c r="AL57" s="165">
        <v>74.689984101748763</v>
      </c>
      <c r="AM57" s="181">
        <f t="shared" si="6"/>
        <v>12</v>
      </c>
      <c r="AN57" s="430"/>
      <c r="AO57" s="165">
        <v>17</v>
      </c>
      <c r="AP57" s="165">
        <v>1259.9999999999995</v>
      </c>
      <c r="AQ57" s="165">
        <v>74.117647058823508</v>
      </c>
      <c r="AR57" s="181">
        <f t="shared" si="7"/>
        <v>13</v>
      </c>
      <c r="AS57" s="430"/>
      <c r="AT57" s="165">
        <v>17</v>
      </c>
      <c r="AU57" s="165">
        <v>1301.0526315789464</v>
      </c>
      <c r="AV57" s="165">
        <v>76.532507739938026</v>
      </c>
      <c r="AW57" s="181">
        <f t="shared" si="8"/>
        <v>10</v>
      </c>
      <c r="AX57" s="430"/>
    </row>
    <row r="58" spans="2:50">
      <c r="B58" s="400"/>
      <c r="C58" s="181">
        <v>17</v>
      </c>
      <c r="D58" s="196" t="s">
        <v>277</v>
      </c>
      <c r="E58" s="165">
        <v>18</v>
      </c>
      <c r="F58" s="181">
        <v>1500</v>
      </c>
      <c r="G58" s="179">
        <v>83.333333333333329</v>
      </c>
      <c r="H58" s="413"/>
      <c r="I58" s="165">
        <f t="shared" si="9"/>
        <v>17</v>
      </c>
      <c r="J58" s="165">
        <f t="shared" si="10"/>
        <v>1283.6679140644906</v>
      </c>
      <c r="K58" s="179">
        <f t="shared" si="11"/>
        <v>75.509877297911203</v>
      </c>
      <c r="L58" s="413"/>
      <c r="M58" s="165">
        <f>RANK(K58, K$42:$K$71)</f>
        <v>12</v>
      </c>
      <c r="N58" s="401"/>
      <c r="O58" s="401"/>
      <c r="P58" s="165">
        <v>17</v>
      </c>
      <c r="Q58" s="165">
        <v>1260.0000000000009</v>
      </c>
      <c r="R58" s="165">
        <v>74.117647058823579</v>
      </c>
      <c r="S58" s="181">
        <f t="shared" si="2"/>
        <v>13</v>
      </c>
      <c r="T58" s="430"/>
      <c r="U58" s="165">
        <v>17</v>
      </c>
      <c r="V58" s="165">
        <v>1294.6153846153852</v>
      </c>
      <c r="W58" s="165">
        <v>76.153846153846189</v>
      </c>
      <c r="X58" s="181">
        <f t="shared" si="3"/>
        <v>11</v>
      </c>
      <c r="Y58" s="430"/>
      <c r="Z58" s="165">
        <v>17</v>
      </c>
      <c r="AA58" s="165">
        <v>1283.2653061224494</v>
      </c>
      <c r="AB58" s="165">
        <v>75.486194477791145</v>
      </c>
      <c r="AC58" s="181">
        <f t="shared" si="4"/>
        <v>11</v>
      </c>
      <c r="AD58" s="430"/>
      <c r="AE58" s="165">
        <v>17</v>
      </c>
      <c r="AF58" s="165">
        <v>1295.5102040816332</v>
      </c>
      <c r="AG58" s="165">
        <v>76.206482593037251</v>
      </c>
      <c r="AH58" s="181">
        <f t="shared" si="5"/>
        <v>10</v>
      </c>
      <c r="AI58" s="430"/>
      <c r="AJ58" s="165">
        <v>17</v>
      </c>
      <c r="AK58" s="165">
        <v>1273.9285714285722</v>
      </c>
      <c r="AL58" s="165">
        <v>74.936974789916007</v>
      </c>
      <c r="AM58" s="181">
        <f t="shared" si="6"/>
        <v>11</v>
      </c>
      <c r="AN58" s="430"/>
      <c r="AO58" s="165">
        <v>17</v>
      </c>
      <c r="AP58" s="165">
        <v>1297.0000000000014</v>
      </c>
      <c r="AQ58" s="165">
        <v>76.294117647058897</v>
      </c>
      <c r="AR58" s="181">
        <f t="shared" si="7"/>
        <v>11</v>
      </c>
      <c r="AS58" s="430"/>
      <c r="AT58" s="165">
        <v>17</v>
      </c>
      <c r="AU58" s="165">
        <v>1281.3559322033909</v>
      </c>
      <c r="AV58" s="165">
        <v>75.373878364905352</v>
      </c>
      <c r="AW58" s="181">
        <f t="shared" si="8"/>
        <v>11</v>
      </c>
      <c r="AX58" s="430"/>
    </row>
    <row r="59" spans="2:50">
      <c r="B59" s="400"/>
      <c r="C59" s="181">
        <v>18</v>
      </c>
      <c r="D59" s="196" t="s">
        <v>278</v>
      </c>
      <c r="E59" s="165">
        <v>17</v>
      </c>
      <c r="F59" s="181">
        <v>1440</v>
      </c>
      <c r="G59" s="179">
        <v>84.705882352941174</v>
      </c>
      <c r="H59" s="413"/>
      <c r="I59" s="165">
        <f t="shared" si="9"/>
        <v>17.285714285714285</v>
      </c>
      <c r="J59" s="165">
        <f t="shared" si="10"/>
        <v>1329.3901773949008</v>
      </c>
      <c r="K59" s="179">
        <f t="shared" si="11"/>
        <v>76.973401384870044</v>
      </c>
      <c r="L59" s="413"/>
      <c r="M59" s="165">
        <f>RANK(K59, K$42:$K$71)</f>
        <v>9</v>
      </c>
      <c r="N59" s="401"/>
      <c r="O59" s="401"/>
      <c r="P59" s="165">
        <v>17</v>
      </c>
      <c r="Q59" s="165">
        <v>1360.2531645569613</v>
      </c>
      <c r="R59" s="165">
        <v>80.014892032762432</v>
      </c>
      <c r="S59" s="181">
        <f t="shared" si="2"/>
        <v>6</v>
      </c>
      <c r="T59" s="430"/>
      <c r="U59" s="165">
        <v>17</v>
      </c>
      <c r="V59" s="165">
        <v>1321.538461538461</v>
      </c>
      <c r="W59" s="165">
        <v>77.737556561085938</v>
      </c>
      <c r="X59" s="181">
        <f t="shared" si="3"/>
        <v>9</v>
      </c>
      <c r="Y59" s="430"/>
      <c r="Z59" s="165">
        <v>17</v>
      </c>
      <c r="AA59" s="165">
        <v>1339.1666666666656</v>
      </c>
      <c r="AB59" s="165">
        <v>78.774509803921504</v>
      </c>
      <c r="AC59" s="181">
        <f t="shared" si="4"/>
        <v>8</v>
      </c>
      <c r="AD59" s="430"/>
      <c r="AE59" s="165">
        <v>17</v>
      </c>
      <c r="AF59" s="165">
        <v>1342.7272727272743</v>
      </c>
      <c r="AG59" s="165">
        <v>78.983957219251437</v>
      </c>
      <c r="AH59" s="181">
        <f t="shared" si="5"/>
        <v>8</v>
      </c>
      <c r="AI59" s="430"/>
      <c r="AJ59" s="165">
        <v>18</v>
      </c>
      <c r="AK59" s="165">
        <v>1309.9999999999993</v>
      </c>
      <c r="AL59" s="165">
        <v>72.777777777777743</v>
      </c>
      <c r="AM59" s="181">
        <f t="shared" si="6"/>
        <v>13</v>
      </c>
      <c r="AN59" s="430"/>
      <c r="AO59" s="165">
        <v>17</v>
      </c>
      <c r="AP59" s="165">
        <v>1315.909090909091</v>
      </c>
      <c r="AQ59" s="165">
        <v>77.406417112299465</v>
      </c>
      <c r="AR59" s="181">
        <f t="shared" si="7"/>
        <v>7</v>
      </c>
      <c r="AS59" s="430"/>
      <c r="AT59" s="165">
        <v>18</v>
      </c>
      <c r="AU59" s="165">
        <v>1316.1365853658531</v>
      </c>
      <c r="AV59" s="165">
        <v>73.118699186991833</v>
      </c>
      <c r="AW59" s="181">
        <f t="shared" si="8"/>
        <v>14</v>
      </c>
      <c r="AX59" s="430"/>
    </row>
    <row r="60" spans="2:50">
      <c r="B60" s="400"/>
      <c r="C60" s="181">
        <v>19</v>
      </c>
      <c r="D60" s="196" t="s">
        <v>279</v>
      </c>
      <c r="E60" s="165">
        <v>15</v>
      </c>
      <c r="F60" s="181">
        <v>1440</v>
      </c>
      <c r="G60" s="179">
        <v>96</v>
      </c>
      <c r="H60" s="413"/>
      <c r="I60" s="165">
        <f t="shared" si="9"/>
        <v>15</v>
      </c>
      <c r="J60" s="165">
        <f t="shared" si="10"/>
        <v>1274.0815580715564</v>
      </c>
      <c r="K60" s="179">
        <f t="shared" si="11"/>
        <v>84.938770538103753</v>
      </c>
      <c r="L60" s="413"/>
      <c r="M60" s="165">
        <f>RANK(K60, K$42:$K$71)</f>
        <v>4</v>
      </c>
      <c r="N60" s="401"/>
      <c r="O60" s="401"/>
      <c r="P60" s="165">
        <v>15</v>
      </c>
      <c r="Q60" s="165">
        <v>1270.4761904761917</v>
      </c>
      <c r="R60" s="165">
        <v>84.698412698412781</v>
      </c>
      <c r="S60" s="181">
        <f t="shared" si="2"/>
        <v>4</v>
      </c>
      <c r="T60" s="430"/>
      <c r="U60" s="165">
        <v>15</v>
      </c>
      <c r="V60" s="165">
        <v>1275.7377049180338</v>
      </c>
      <c r="W60" s="165">
        <v>85.049180327868925</v>
      </c>
      <c r="X60" s="181">
        <f t="shared" si="3"/>
        <v>4</v>
      </c>
      <c r="Y60" s="430"/>
      <c r="Z60" s="165">
        <v>15</v>
      </c>
      <c r="AA60" s="165">
        <v>1250.5263157894747</v>
      </c>
      <c r="AB60" s="165">
        <v>83.368421052631646</v>
      </c>
      <c r="AC60" s="181">
        <f t="shared" si="4"/>
        <v>4</v>
      </c>
      <c r="AD60" s="430"/>
      <c r="AE60" s="165">
        <v>15</v>
      </c>
      <c r="AF60" s="165">
        <v>1254.736842105264</v>
      </c>
      <c r="AG60" s="165">
        <v>83.649122807017605</v>
      </c>
      <c r="AH60" s="181">
        <f t="shared" si="5"/>
        <v>4</v>
      </c>
      <c r="AI60" s="430"/>
      <c r="AJ60" s="165">
        <v>15</v>
      </c>
      <c r="AK60" s="165">
        <v>1295.4098360655751</v>
      </c>
      <c r="AL60" s="165">
        <v>86.360655737705002</v>
      </c>
      <c r="AM60" s="181">
        <f t="shared" si="6"/>
        <v>4</v>
      </c>
      <c r="AN60" s="430"/>
      <c r="AO60" s="165">
        <v>15</v>
      </c>
      <c r="AP60" s="165">
        <v>1294.7826086956509</v>
      </c>
      <c r="AQ60" s="165">
        <v>86.318840579710056</v>
      </c>
      <c r="AR60" s="181">
        <f t="shared" si="7"/>
        <v>4</v>
      </c>
      <c r="AS60" s="430"/>
      <c r="AT60" s="165">
        <v>15</v>
      </c>
      <c r="AU60" s="165">
        <v>1276.901408450703</v>
      </c>
      <c r="AV60" s="165">
        <v>85.126760563380202</v>
      </c>
      <c r="AW60" s="181">
        <f t="shared" si="8"/>
        <v>4</v>
      </c>
      <c r="AX60" s="430"/>
    </row>
    <row r="61" spans="2:50">
      <c r="B61" s="400"/>
      <c r="C61" s="181">
        <v>20</v>
      </c>
      <c r="D61" s="196" t="s">
        <v>280</v>
      </c>
      <c r="E61" s="165">
        <v>17</v>
      </c>
      <c r="F61" s="181">
        <v>1440</v>
      </c>
      <c r="G61" s="179">
        <v>84.705882352941174</v>
      </c>
      <c r="H61" s="413"/>
      <c r="I61" s="165">
        <f t="shared" si="9"/>
        <v>17</v>
      </c>
      <c r="J61" s="165">
        <f t="shared" si="10"/>
        <v>1337.115188988105</v>
      </c>
      <c r="K61" s="179">
        <f t="shared" si="11"/>
        <v>78.653834646359115</v>
      </c>
      <c r="L61" s="413"/>
      <c r="M61" s="165">
        <f>RANK(K61, K$42:$K$71)</f>
        <v>8</v>
      </c>
      <c r="N61" s="401"/>
      <c r="O61" s="401"/>
      <c r="P61" s="165">
        <v>17</v>
      </c>
      <c r="Q61" s="165">
        <v>1320.5607476635521</v>
      </c>
      <c r="R61" s="165">
        <v>77.68004398020895</v>
      </c>
      <c r="S61" s="181">
        <f t="shared" si="2"/>
        <v>9</v>
      </c>
      <c r="T61" s="430"/>
      <c r="U61" s="165">
        <v>17</v>
      </c>
      <c r="V61" s="165">
        <v>1358.969072164949</v>
      </c>
      <c r="W61" s="165">
        <v>79.939357186173467</v>
      </c>
      <c r="X61" s="181">
        <f t="shared" si="3"/>
        <v>7</v>
      </c>
      <c r="Y61" s="430"/>
      <c r="Z61" s="165">
        <v>17</v>
      </c>
      <c r="AA61" s="165">
        <v>1327.5862068965516</v>
      </c>
      <c r="AB61" s="165">
        <v>78.093306288032451</v>
      </c>
      <c r="AC61" s="181">
        <f t="shared" si="4"/>
        <v>9</v>
      </c>
      <c r="AD61" s="430"/>
      <c r="AE61" s="165">
        <v>17</v>
      </c>
      <c r="AF61" s="165">
        <v>1360.9756097560971</v>
      </c>
      <c r="AG61" s="165">
        <v>80.057388809182186</v>
      </c>
      <c r="AH61" s="181">
        <f t="shared" si="5"/>
        <v>7</v>
      </c>
      <c r="AI61" s="430"/>
      <c r="AJ61" s="165">
        <v>17</v>
      </c>
      <c r="AK61" s="165">
        <v>1309.677419354839</v>
      </c>
      <c r="AL61" s="165">
        <v>77.039848197343474</v>
      </c>
      <c r="AM61" s="181">
        <f t="shared" si="6"/>
        <v>9</v>
      </c>
      <c r="AN61" s="430"/>
      <c r="AO61" s="165">
        <v>17</v>
      </c>
      <c r="AP61" s="165">
        <v>1311.428571428572</v>
      </c>
      <c r="AQ61" s="165">
        <v>77.142857142857181</v>
      </c>
      <c r="AR61" s="181">
        <f t="shared" si="7"/>
        <v>8</v>
      </c>
      <c r="AS61" s="430"/>
      <c r="AT61" s="165">
        <v>17</v>
      </c>
      <c r="AU61" s="165">
        <v>1370.6086956521731</v>
      </c>
      <c r="AV61" s="165">
        <v>80.62404092071607</v>
      </c>
      <c r="AW61" s="181">
        <f t="shared" si="8"/>
        <v>7</v>
      </c>
      <c r="AX61" s="430"/>
    </row>
    <row r="62" spans="2:50">
      <c r="B62" s="400"/>
      <c r="C62" s="181">
        <v>21</v>
      </c>
      <c r="D62" s="196" t="s">
        <v>281</v>
      </c>
      <c r="E62" s="165">
        <v>18</v>
      </c>
      <c r="F62" s="181">
        <v>1636</v>
      </c>
      <c r="G62" s="179">
        <v>90.888888888888886</v>
      </c>
      <c r="H62" s="413"/>
      <c r="I62" s="165">
        <f t="shared" si="9"/>
        <v>16.571428571428573</v>
      </c>
      <c r="J62" s="165">
        <f t="shared" si="10"/>
        <v>1265.4932474779782</v>
      </c>
      <c r="K62" s="179">
        <f t="shared" si="11"/>
        <v>76.441631248215643</v>
      </c>
      <c r="L62" s="413"/>
      <c r="M62" s="165">
        <f>RANK(K62, K$42:$K$71)</f>
        <v>10</v>
      </c>
      <c r="N62" s="401"/>
      <c r="O62" s="401"/>
      <c r="P62" s="165">
        <v>16</v>
      </c>
      <c r="Q62" s="165">
        <v>1274.4827586206907</v>
      </c>
      <c r="R62" s="165">
        <v>79.655172413793167</v>
      </c>
      <c r="S62" s="181">
        <f t="shared" si="2"/>
        <v>8</v>
      </c>
      <c r="T62" s="430"/>
      <c r="U62" s="165">
        <v>17</v>
      </c>
      <c r="V62" s="165">
        <v>1246.4150943396232</v>
      </c>
      <c r="W62" s="165">
        <v>73.318534961154313</v>
      </c>
      <c r="X62" s="181">
        <f t="shared" si="3"/>
        <v>14</v>
      </c>
      <c r="Y62" s="430"/>
      <c r="Z62" s="165">
        <v>17</v>
      </c>
      <c r="AA62" s="165">
        <v>1256.0869565217392</v>
      </c>
      <c r="AB62" s="165">
        <v>73.887468030690542</v>
      </c>
      <c r="AC62" s="181">
        <f t="shared" si="4"/>
        <v>13</v>
      </c>
      <c r="AD62" s="430"/>
      <c r="AE62" s="165">
        <v>17</v>
      </c>
      <c r="AF62" s="165">
        <v>1265.2173913043478</v>
      </c>
      <c r="AG62" s="165">
        <v>74.424552429667514</v>
      </c>
      <c r="AH62" s="181">
        <f t="shared" si="5"/>
        <v>14</v>
      </c>
      <c r="AI62" s="430"/>
      <c r="AJ62" s="165">
        <v>17</v>
      </c>
      <c r="AK62" s="165">
        <v>1281.1111111111118</v>
      </c>
      <c r="AL62" s="165">
        <v>75.359477124183044</v>
      </c>
      <c r="AM62" s="181">
        <f t="shared" si="6"/>
        <v>10</v>
      </c>
      <c r="AN62" s="430"/>
      <c r="AO62" s="165">
        <v>16</v>
      </c>
      <c r="AP62" s="165">
        <v>1252.8813559322045</v>
      </c>
      <c r="AQ62" s="165">
        <v>78.305084745762784</v>
      </c>
      <c r="AR62" s="181">
        <f t="shared" si="7"/>
        <v>6</v>
      </c>
      <c r="AS62" s="430"/>
      <c r="AT62" s="165">
        <v>16</v>
      </c>
      <c r="AU62" s="165">
        <v>1282.2580645161302</v>
      </c>
      <c r="AV62" s="165">
        <v>80.141129032258135</v>
      </c>
      <c r="AW62" s="181">
        <f t="shared" si="8"/>
        <v>8</v>
      </c>
      <c r="AX62" s="430"/>
    </row>
    <row r="63" spans="2:50">
      <c r="B63" s="400"/>
      <c r="C63" s="181">
        <v>22</v>
      </c>
      <c r="D63" s="196" t="s">
        <v>282</v>
      </c>
      <c r="E63" s="165">
        <v>18</v>
      </c>
      <c r="F63" s="181">
        <v>1440</v>
      </c>
      <c r="G63" s="179">
        <v>80</v>
      </c>
      <c r="H63" s="413"/>
      <c r="I63" s="165">
        <f t="shared" si="9"/>
        <v>18</v>
      </c>
      <c r="J63" s="165">
        <f t="shared" si="10"/>
        <v>1288.9303806311873</v>
      </c>
      <c r="K63" s="179">
        <f t="shared" si="11"/>
        <v>71.607243368399295</v>
      </c>
      <c r="L63" s="413"/>
      <c r="M63" s="165">
        <f>RANK(K63, K$42:$K$71)</f>
        <v>15</v>
      </c>
      <c r="N63" s="401"/>
      <c r="O63" s="401"/>
      <c r="P63" s="165">
        <v>18</v>
      </c>
      <c r="Q63" s="165">
        <v>1265.9259259259256</v>
      </c>
      <c r="R63" s="165">
        <v>70.329218106995867</v>
      </c>
      <c r="S63" s="181">
        <f t="shared" si="2"/>
        <v>16</v>
      </c>
      <c r="T63" s="430"/>
      <c r="U63" s="165">
        <v>18</v>
      </c>
      <c r="V63" s="165">
        <v>1320.8333333333323</v>
      </c>
      <c r="W63" s="165">
        <v>73.379629629629576</v>
      </c>
      <c r="X63" s="181">
        <f t="shared" si="3"/>
        <v>13</v>
      </c>
      <c r="Y63" s="430"/>
      <c r="Z63" s="165">
        <v>18</v>
      </c>
      <c r="AA63" s="165">
        <v>1308.3870967741948</v>
      </c>
      <c r="AB63" s="165">
        <v>72.688172043010823</v>
      </c>
      <c r="AC63" s="181">
        <f t="shared" si="4"/>
        <v>14</v>
      </c>
      <c r="AD63" s="430"/>
      <c r="AE63" s="165">
        <v>18</v>
      </c>
      <c r="AF63" s="165">
        <v>1268.8235294117662</v>
      </c>
      <c r="AG63" s="165">
        <v>70.490196078431453</v>
      </c>
      <c r="AH63" s="181">
        <f t="shared" si="5"/>
        <v>16</v>
      </c>
      <c r="AI63" s="430"/>
      <c r="AJ63" s="165">
        <v>18</v>
      </c>
      <c r="AK63" s="165">
        <v>1297.7777777777774</v>
      </c>
      <c r="AL63" s="165">
        <v>72.098765432098745</v>
      </c>
      <c r="AM63" s="181">
        <f t="shared" si="6"/>
        <v>14</v>
      </c>
      <c r="AN63" s="430"/>
      <c r="AO63" s="165">
        <v>18</v>
      </c>
      <c r="AP63" s="165">
        <v>1294.38202247191</v>
      </c>
      <c r="AQ63" s="165">
        <v>71.910112359550553</v>
      </c>
      <c r="AR63" s="181">
        <f t="shared" si="7"/>
        <v>16</v>
      </c>
      <c r="AS63" s="430"/>
      <c r="AT63" s="165">
        <v>18</v>
      </c>
      <c r="AU63" s="165">
        <v>1266.3829787234044</v>
      </c>
      <c r="AV63" s="165">
        <v>70.354609929078023</v>
      </c>
      <c r="AW63" s="181">
        <f t="shared" si="8"/>
        <v>15</v>
      </c>
      <c r="AX63" s="430"/>
    </row>
    <row r="64" spans="2:50">
      <c r="B64" s="400"/>
      <c r="C64" s="181">
        <v>23</v>
      </c>
      <c r="D64" s="196" t="s">
        <v>283</v>
      </c>
      <c r="E64" s="165">
        <v>17</v>
      </c>
      <c r="F64" s="181">
        <v>1500</v>
      </c>
      <c r="G64" s="179">
        <v>88.235294117647058</v>
      </c>
      <c r="H64" s="413"/>
      <c r="I64" s="165">
        <f t="shared" si="9"/>
        <v>16</v>
      </c>
      <c r="J64" s="165">
        <f t="shared" si="10"/>
        <v>1094.2762496302896</v>
      </c>
      <c r="K64" s="179">
        <f t="shared" si="11"/>
        <v>68.392265601893101</v>
      </c>
      <c r="L64" s="413"/>
      <c r="M64" s="165">
        <f>RANK(K64, K$42:$K$71)</f>
        <v>19</v>
      </c>
      <c r="N64" s="401"/>
      <c r="O64" s="401"/>
      <c r="P64" s="165">
        <v>16</v>
      </c>
      <c r="Q64" s="165">
        <v>1089.0000000000039</v>
      </c>
      <c r="R64" s="165">
        <v>68.062500000000242</v>
      </c>
      <c r="S64" s="181">
        <f t="shared" si="2"/>
        <v>20</v>
      </c>
      <c r="T64" s="430"/>
      <c r="U64" s="165">
        <v>16</v>
      </c>
      <c r="V64" s="165">
        <v>1133.3333333333374</v>
      </c>
      <c r="W64" s="165">
        <v>70.833333333333584</v>
      </c>
      <c r="X64" s="181">
        <f t="shared" si="3"/>
        <v>17</v>
      </c>
      <c r="Y64" s="430"/>
      <c r="Z64" s="165">
        <v>16</v>
      </c>
      <c r="AA64" s="165">
        <v>1065.0000000000039</v>
      </c>
      <c r="AB64" s="165">
        <v>66.562500000000242</v>
      </c>
      <c r="AC64" s="181">
        <f t="shared" si="4"/>
        <v>21</v>
      </c>
      <c r="AD64" s="430"/>
      <c r="AE64" s="165">
        <v>16</v>
      </c>
      <c r="AF64" s="165">
        <v>1058.5714285714323</v>
      </c>
      <c r="AG64" s="165">
        <v>66.160714285714519</v>
      </c>
      <c r="AH64" s="181">
        <f t="shared" si="5"/>
        <v>22</v>
      </c>
      <c r="AI64" s="430"/>
      <c r="AJ64" s="165">
        <v>16</v>
      </c>
      <c r="AK64" s="165">
        <v>1113.3333333333374</v>
      </c>
      <c r="AL64" s="165">
        <v>69.583333333333584</v>
      </c>
      <c r="AM64" s="181">
        <f t="shared" si="6"/>
        <v>19</v>
      </c>
      <c r="AN64" s="430"/>
      <c r="AO64" s="165">
        <v>16</v>
      </c>
      <c r="AP64" s="165">
        <v>1092.0000000000039</v>
      </c>
      <c r="AQ64" s="165">
        <v>68.250000000000242</v>
      </c>
      <c r="AR64" s="181">
        <f t="shared" si="7"/>
        <v>20</v>
      </c>
      <c r="AS64" s="430"/>
      <c r="AT64" s="165">
        <v>16</v>
      </c>
      <c r="AU64" s="165">
        <v>1108.6956521739094</v>
      </c>
      <c r="AV64" s="165">
        <v>69.293478260869335</v>
      </c>
      <c r="AW64" s="181">
        <f t="shared" si="8"/>
        <v>18</v>
      </c>
      <c r="AX64" s="430"/>
    </row>
    <row r="65" spans="2:50">
      <c r="B65" s="400"/>
      <c r="C65" s="181">
        <v>24</v>
      </c>
      <c r="D65" s="196" t="s">
        <v>284</v>
      </c>
      <c r="E65" s="165">
        <v>18</v>
      </c>
      <c r="F65" s="181">
        <v>1500</v>
      </c>
      <c r="G65" s="179">
        <v>83.333333333333329</v>
      </c>
      <c r="H65" s="413"/>
      <c r="I65" s="165">
        <f t="shared" si="9"/>
        <v>18</v>
      </c>
      <c r="J65" s="165">
        <f t="shared" si="10"/>
        <v>1277.685102908787</v>
      </c>
      <c r="K65" s="179">
        <f t="shared" si="11"/>
        <v>70.982505717154851</v>
      </c>
      <c r="L65" s="413"/>
      <c r="M65" s="165">
        <f>RANK(K65, K$42:$K$71)</f>
        <v>17</v>
      </c>
      <c r="N65" s="401"/>
      <c r="O65" s="401"/>
      <c r="P65" s="165">
        <v>18</v>
      </c>
      <c r="Q65" s="165">
        <v>1316.9696969696972</v>
      </c>
      <c r="R65" s="165">
        <v>73.164983164983184</v>
      </c>
      <c r="S65" s="181">
        <f t="shared" si="2"/>
        <v>14</v>
      </c>
      <c r="T65" s="430"/>
      <c r="U65" s="165">
        <v>18</v>
      </c>
      <c r="V65" s="165">
        <v>1272.6315789473686</v>
      </c>
      <c r="W65" s="165">
        <v>70.701754385964918</v>
      </c>
      <c r="X65" s="181">
        <f t="shared" si="3"/>
        <v>18</v>
      </c>
      <c r="Y65" s="430"/>
      <c r="Z65" s="165">
        <v>18</v>
      </c>
      <c r="AA65" s="165">
        <v>1303.4999999999995</v>
      </c>
      <c r="AB65" s="165">
        <v>72.416666666666643</v>
      </c>
      <c r="AC65" s="181">
        <f t="shared" si="4"/>
        <v>15</v>
      </c>
      <c r="AD65" s="430"/>
      <c r="AE65" s="165">
        <v>18</v>
      </c>
      <c r="AF65" s="165">
        <v>1259.9999999999995</v>
      </c>
      <c r="AG65" s="165">
        <v>69.999999999999972</v>
      </c>
      <c r="AH65" s="181">
        <f t="shared" si="5"/>
        <v>17</v>
      </c>
      <c r="AI65" s="430"/>
      <c r="AJ65" s="165">
        <v>18</v>
      </c>
      <c r="AK65" s="165">
        <v>1271.2500000000005</v>
      </c>
      <c r="AL65" s="165">
        <v>70.625000000000028</v>
      </c>
      <c r="AM65" s="181">
        <f t="shared" si="6"/>
        <v>18</v>
      </c>
      <c r="AN65" s="430"/>
      <c r="AO65" s="165">
        <v>18</v>
      </c>
      <c r="AP65" s="165">
        <v>1260.0000000000007</v>
      </c>
      <c r="AQ65" s="165">
        <v>70.000000000000043</v>
      </c>
      <c r="AR65" s="181">
        <f t="shared" si="7"/>
        <v>17</v>
      </c>
      <c r="AS65" s="430"/>
      <c r="AT65" s="165">
        <v>18</v>
      </c>
      <c r="AU65" s="165">
        <v>1259.444444444445</v>
      </c>
      <c r="AV65" s="165">
        <v>69.969135802469168</v>
      </c>
      <c r="AW65" s="181">
        <f t="shared" si="8"/>
        <v>17</v>
      </c>
      <c r="AX65" s="430"/>
    </row>
    <row r="66" spans="2:50">
      <c r="B66" s="400"/>
      <c r="C66" s="181">
        <v>25</v>
      </c>
      <c r="D66" s="196" t="s">
        <v>285</v>
      </c>
      <c r="E66" s="165">
        <v>18</v>
      </c>
      <c r="F66" s="181">
        <v>1636</v>
      </c>
      <c r="G66" s="179">
        <v>90.888888888888886</v>
      </c>
      <c r="H66" s="413"/>
      <c r="I66" s="165"/>
      <c r="J66" s="165"/>
      <c r="K66" s="179"/>
      <c r="L66" s="413"/>
      <c r="M66" s="165" t="e">
        <f>RANK(K66, K$42:$K$71)</f>
        <v>#N/A</v>
      </c>
      <c r="N66" s="401"/>
      <c r="O66" s="401"/>
      <c r="P66" s="181"/>
      <c r="Q66" s="179"/>
      <c r="R66" s="179"/>
      <c r="S66" s="181" t="e">
        <f t="shared" si="2"/>
        <v>#N/A</v>
      </c>
      <c r="T66" s="430"/>
      <c r="U66" s="181"/>
      <c r="V66" s="179"/>
      <c r="W66" s="179"/>
      <c r="X66" s="181" t="e">
        <f t="shared" si="3"/>
        <v>#N/A</v>
      </c>
      <c r="Y66" s="430"/>
      <c r="Z66" s="181"/>
      <c r="AA66" s="179"/>
      <c r="AB66" s="179"/>
      <c r="AC66" s="181" t="e">
        <f t="shared" si="4"/>
        <v>#N/A</v>
      </c>
      <c r="AD66" s="430"/>
      <c r="AE66" s="181"/>
      <c r="AF66" s="179"/>
      <c r="AG66" s="179"/>
      <c r="AH66" s="181" t="e">
        <f t="shared" si="5"/>
        <v>#N/A</v>
      </c>
      <c r="AI66" s="430"/>
      <c r="AJ66" s="181"/>
      <c r="AK66" s="179"/>
      <c r="AL66" s="179"/>
      <c r="AM66" s="181" t="e">
        <f t="shared" si="6"/>
        <v>#N/A</v>
      </c>
      <c r="AN66" s="430"/>
      <c r="AO66" s="181"/>
      <c r="AP66" s="179"/>
      <c r="AQ66" s="179"/>
      <c r="AR66" s="181" t="e">
        <f t="shared" si="7"/>
        <v>#N/A</v>
      </c>
      <c r="AS66" s="430"/>
      <c r="AT66" s="181"/>
      <c r="AU66" s="179"/>
      <c r="AV66" s="179"/>
      <c r="AW66" s="181" t="e">
        <f t="shared" si="8"/>
        <v>#N/A</v>
      </c>
      <c r="AX66" s="430"/>
    </row>
    <row r="67" spans="2:50">
      <c r="B67" s="400"/>
      <c r="C67" s="181">
        <v>26</v>
      </c>
      <c r="D67" s="196"/>
      <c r="E67" s="165"/>
      <c r="F67" s="181"/>
      <c r="G67" s="179"/>
      <c r="H67" s="413"/>
      <c r="I67" s="165"/>
      <c r="J67" s="165"/>
      <c r="K67" s="179"/>
      <c r="L67" s="413"/>
      <c r="M67" s="165" t="e">
        <f>RANK(K67, K$42:$K$71)</f>
        <v>#N/A</v>
      </c>
      <c r="N67" s="401"/>
      <c r="O67" s="401"/>
      <c r="P67" s="181"/>
      <c r="Q67" s="179"/>
      <c r="R67" s="179"/>
      <c r="S67" s="181" t="e">
        <f t="shared" si="2"/>
        <v>#N/A</v>
      </c>
      <c r="T67" s="430"/>
      <c r="U67" s="181"/>
      <c r="V67" s="179"/>
      <c r="W67" s="179"/>
      <c r="X67" s="181" t="e">
        <f t="shared" si="3"/>
        <v>#N/A</v>
      </c>
      <c r="Y67" s="430"/>
      <c r="Z67" s="181"/>
      <c r="AA67" s="179"/>
      <c r="AB67" s="179"/>
      <c r="AC67" s="181" t="e">
        <f t="shared" si="4"/>
        <v>#N/A</v>
      </c>
      <c r="AD67" s="430"/>
      <c r="AE67" s="181"/>
      <c r="AF67" s="179"/>
      <c r="AG67" s="179"/>
      <c r="AH67" s="181" t="e">
        <f t="shared" si="5"/>
        <v>#N/A</v>
      </c>
      <c r="AI67" s="430"/>
      <c r="AJ67" s="181"/>
      <c r="AK67" s="179"/>
      <c r="AL67" s="179"/>
      <c r="AM67" s="181" t="e">
        <f t="shared" si="6"/>
        <v>#N/A</v>
      </c>
      <c r="AN67" s="430"/>
      <c r="AO67" s="181"/>
      <c r="AP67" s="179"/>
      <c r="AQ67" s="179"/>
      <c r="AR67" s="181" t="e">
        <f t="shared" si="7"/>
        <v>#N/A</v>
      </c>
      <c r="AS67" s="430"/>
      <c r="AT67" s="181"/>
      <c r="AU67" s="179"/>
      <c r="AV67" s="179"/>
      <c r="AW67" s="181" t="e">
        <f t="shared" si="8"/>
        <v>#N/A</v>
      </c>
      <c r="AX67" s="430"/>
    </row>
    <row r="68" spans="2:50">
      <c r="B68" s="400"/>
      <c r="C68" s="181">
        <v>27</v>
      </c>
      <c r="D68" s="196"/>
      <c r="E68" s="165"/>
      <c r="F68" s="181"/>
      <c r="G68" s="179"/>
      <c r="H68" s="413"/>
      <c r="I68" s="165"/>
      <c r="J68" s="165"/>
      <c r="K68" s="179"/>
      <c r="L68" s="413"/>
      <c r="M68" s="165" t="e">
        <f>RANK(K68, K$42:$K$71)</f>
        <v>#N/A</v>
      </c>
      <c r="N68" s="401"/>
      <c r="O68" s="401"/>
      <c r="P68" s="181"/>
      <c r="Q68" s="179"/>
      <c r="R68" s="179"/>
      <c r="S68" s="181" t="e">
        <f t="shared" si="2"/>
        <v>#N/A</v>
      </c>
      <c r="T68" s="430"/>
      <c r="U68" s="181"/>
      <c r="V68" s="179"/>
      <c r="W68" s="179"/>
      <c r="X68" s="181" t="e">
        <f t="shared" si="3"/>
        <v>#N/A</v>
      </c>
      <c r="Y68" s="430"/>
      <c r="Z68" s="181"/>
      <c r="AA68" s="179"/>
      <c r="AB68" s="179"/>
      <c r="AC68" s="181" t="e">
        <f t="shared" si="4"/>
        <v>#N/A</v>
      </c>
      <c r="AD68" s="430"/>
      <c r="AE68" s="181"/>
      <c r="AF68" s="179"/>
      <c r="AG68" s="179"/>
      <c r="AH68" s="181" t="e">
        <f t="shared" si="5"/>
        <v>#N/A</v>
      </c>
      <c r="AI68" s="430"/>
      <c r="AJ68" s="181"/>
      <c r="AK68" s="179"/>
      <c r="AL68" s="179"/>
      <c r="AM68" s="181" t="e">
        <f t="shared" si="6"/>
        <v>#N/A</v>
      </c>
      <c r="AN68" s="430"/>
      <c r="AO68" s="181"/>
      <c r="AP68" s="179"/>
      <c r="AQ68" s="179"/>
      <c r="AR68" s="181" t="e">
        <f t="shared" si="7"/>
        <v>#N/A</v>
      </c>
      <c r="AS68" s="430"/>
      <c r="AT68" s="181"/>
      <c r="AU68" s="179"/>
      <c r="AV68" s="179"/>
      <c r="AW68" s="181" t="e">
        <f t="shared" si="8"/>
        <v>#N/A</v>
      </c>
      <c r="AX68" s="430"/>
    </row>
    <row r="69" spans="2:50">
      <c r="B69" s="400"/>
      <c r="C69" s="181">
        <v>28</v>
      </c>
      <c r="D69" s="196"/>
      <c r="E69" s="165"/>
      <c r="F69" s="181"/>
      <c r="G69" s="179"/>
      <c r="H69" s="413"/>
      <c r="I69" s="165"/>
      <c r="J69" s="165"/>
      <c r="K69" s="179"/>
      <c r="L69" s="413"/>
      <c r="M69" s="165" t="e">
        <f>RANK(K69, K$42:$K$71)</f>
        <v>#N/A</v>
      </c>
      <c r="N69" s="401"/>
      <c r="O69" s="401"/>
      <c r="P69" s="181"/>
      <c r="Q69" s="179"/>
      <c r="R69" s="179"/>
      <c r="S69" s="181" t="e">
        <f t="shared" si="2"/>
        <v>#N/A</v>
      </c>
      <c r="T69" s="430"/>
      <c r="U69" s="181"/>
      <c r="V69" s="179"/>
      <c r="W69" s="179"/>
      <c r="X69" s="181" t="e">
        <f t="shared" si="3"/>
        <v>#N/A</v>
      </c>
      <c r="Y69" s="430"/>
      <c r="Z69" s="181"/>
      <c r="AA69" s="179"/>
      <c r="AB69" s="179"/>
      <c r="AC69" s="181" t="e">
        <f t="shared" si="4"/>
        <v>#N/A</v>
      </c>
      <c r="AD69" s="430"/>
      <c r="AE69" s="181"/>
      <c r="AF69" s="179"/>
      <c r="AG69" s="179"/>
      <c r="AH69" s="181" t="e">
        <f t="shared" si="5"/>
        <v>#N/A</v>
      </c>
      <c r="AI69" s="430"/>
      <c r="AJ69" s="181"/>
      <c r="AK69" s="179"/>
      <c r="AL69" s="179"/>
      <c r="AM69" s="181" t="e">
        <f t="shared" si="6"/>
        <v>#N/A</v>
      </c>
      <c r="AN69" s="430"/>
      <c r="AO69" s="181"/>
      <c r="AP69" s="179"/>
      <c r="AQ69" s="179"/>
      <c r="AR69" s="181" t="e">
        <f t="shared" si="7"/>
        <v>#N/A</v>
      </c>
      <c r="AS69" s="430"/>
      <c r="AT69" s="181"/>
      <c r="AU69" s="179"/>
      <c r="AV69" s="179"/>
      <c r="AW69" s="181" t="e">
        <f t="shared" si="8"/>
        <v>#N/A</v>
      </c>
      <c r="AX69" s="430"/>
    </row>
    <row r="70" spans="2:50">
      <c r="B70" s="400"/>
      <c r="C70" s="181">
        <v>29</v>
      </c>
      <c r="D70" s="196"/>
      <c r="E70" s="165"/>
      <c r="F70" s="181"/>
      <c r="G70" s="179"/>
      <c r="H70" s="413"/>
      <c r="I70" s="181"/>
      <c r="J70" s="181"/>
      <c r="K70" s="181"/>
      <c r="L70" s="413"/>
      <c r="M70" s="165" t="e">
        <f>RANK(K70, K$42:$K$71)</f>
        <v>#N/A</v>
      </c>
      <c r="N70" s="401"/>
      <c r="O70" s="401"/>
      <c r="P70" s="181"/>
      <c r="Q70" s="181"/>
      <c r="R70" s="181"/>
      <c r="S70" s="181" t="e">
        <f t="shared" si="2"/>
        <v>#N/A</v>
      </c>
      <c r="T70" s="430"/>
      <c r="U70" s="181"/>
      <c r="V70" s="181"/>
      <c r="W70" s="181"/>
      <c r="X70" s="181" t="e">
        <f t="shared" si="3"/>
        <v>#N/A</v>
      </c>
      <c r="Y70" s="430"/>
      <c r="Z70" s="181"/>
      <c r="AA70" s="181"/>
      <c r="AB70" s="181"/>
      <c r="AC70" s="181" t="e">
        <f t="shared" si="4"/>
        <v>#N/A</v>
      </c>
      <c r="AD70" s="430"/>
      <c r="AE70" s="181"/>
      <c r="AF70" s="181"/>
      <c r="AG70" s="181"/>
      <c r="AH70" s="181" t="e">
        <f t="shared" si="5"/>
        <v>#N/A</v>
      </c>
      <c r="AI70" s="430"/>
      <c r="AJ70" s="181"/>
      <c r="AK70" s="181"/>
      <c r="AL70" s="181"/>
      <c r="AM70" s="181" t="e">
        <f t="shared" si="6"/>
        <v>#N/A</v>
      </c>
      <c r="AN70" s="430"/>
      <c r="AO70" s="181"/>
      <c r="AP70" s="181"/>
      <c r="AQ70" s="181"/>
      <c r="AR70" s="181" t="e">
        <f t="shared" si="7"/>
        <v>#N/A</v>
      </c>
      <c r="AS70" s="430"/>
      <c r="AT70" s="181"/>
      <c r="AU70" s="181"/>
      <c r="AV70" s="181"/>
      <c r="AW70" s="181" t="e">
        <f t="shared" si="8"/>
        <v>#N/A</v>
      </c>
      <c r="AX70" s="430"/>
    </row>
    <row r="71" spans="2:50">
      <c r="B71" s="400"/>
      <c r="C71" s="181">
        <v>30</v>
      </c>
      <c r="D71" s="196"/>
      <c r="E71" s="165"/>
      <c r="F71" s="181"/>
      <c r="G71" s="179"/>
      <c r="H71" s="414"/>
      <c r="I71" s="181"/>
      <c r="J71" s="181"/>
      <c r="K71" s="181"/>
      <c r="L71" s="414"/>
      <c r="M71" s="165" t="e">
        <f>RANK(K71, K$42:$K$71)</f>
        <v>#N/A</v>
      </c>
      <c r="N71" s="401"/>
      <c r="O71" s="401"/>
      <c r="P71" s="181"/>
      <c r="Q71" s="181"/>
      <c r="R71" s="181"/>
      <c r="S71" s="181" t="e">
        <f t="shared" si="2"/>
        <v>#N/A</v>
      </c>
      <c r="T71" s="430"/>
      <c r="U71" s="181"/>
      <c r="V71" s="181"/>
      <c r="W71" s="181"/>
      <c r="X71" s="181" t="e">
        <f t="shared" si="3"/>
        <v>#N/A</v>
      </c>
      <c r="Y71" s="430"/>
      <c r="Z71" s="181"/>
      <c r="AA71" s="181"/>
      <c r="AB71" s="181"/>
      <c r="AC71" s="181" t="e">
        <f t="shared" si="4"/>
        <v>#N/A</v>
      </c>
      <c r="AD71" s="430"/>
      <c r="AE71" s="181"/>
      <c r="AF71" s="181"/>
      <c r="AG71" s="181"/>
      <c r="AH71" s="181" t="e">
        <f t="shared" si="5"/>
        <v>#N/A</v>
      </c>
      <c r="AI71" s="430"/>
      <c r="AJ71" s="181"/>
      <c r="AK71" s="181"/>
      <c r="AL71" s="181"/>
      <c r="AM71" s="181" t="e">
        <f t="shared" si="6"/>
        <v>#N/A</v>
      </c>
      <c r="AN71" s="430"/>
      <c r="AO71" s="181"/>
      <c r="AP71" s="181"/>
      <c r="AQ71" s="181"/>
      <c r="AR71" s="181" t="e">
        <f t="shared" si="7"/>
        <v>#N/A</v>
      </c>
      <c r="AS71" s="430"/>
      <c r="AT71" s="181"/>
      <c r="AU71" s="181"/>
      <c r="AV71" s="181"/>
      <c r="AW71" s="181" t="e">
        <f t="shared" si="8"/>
        <v>#N/A</v>
      </c>
      <c r="AX71" s="430"/>
    </row>
    <row r="72" spans="2:50" ht="15.75">
      <c r="B72" s="424" t="s">
        <v>187</v>
      </c>
      <c r="C72" s="425"/>
      <c r="D72" s="425"/>
      <c r="E72" s="425"/>
      <c r="F72" s="425"/>
      <c r="G72" s="425"/>
      <c r="H72" s="425"/>
      <c r="I72" s="185"/>
      <c r="J72" s="182"/>
      <c r="K72" s="185"/>
      <c r="L72" s="185"/>
      <c r="M72" s="177"/>
      <c r="N72" s="397" t="s">
        <v>188</v>
      </c>
      <c r="O72" s="397" t="s">
        <v>135</v>
      </c>
      <c r="P72" s="399">
        <f>P37+7</f>
        <v>45909</v>
      </c>
      <c r="Q72" s="400"/>
      <c r="R72" s="400"/>
      <c r="S72" s="400"/>
      <c r="T72" s="400"/>
      <c r="U72" s="426">
        <f>P72+1</f>
        <v>45910</v>
      </c>
      <c r="V72" s="427"/>
      <c r="W72" s="427"/>
      <c r="X72" s="427"/>
      <c r="Y72" s="428"/>
      <c r="Z72" s="426">
        <f>U72+1</f>
        <v>45911</v>
      </c>
      <c r="AA72" s="427"/>
      <c r="AB72" s="427"/>
      <c r="AC72" s="427"/>
      <c r="AD72" s="428"/>
      <c r="AE72" s="426">
        <f>Z72+1</f>
        <v>45912</v>
      </c>
      <c r="AF72" s="427"/>
      <c r="AG72" s="427"/>
      <c r="AH72" s="427"/>
      <c r="AI72" s="428"/>
      <c r="AJ72" s="426">
        <f>AE72+1</f>
        <v>45913</v>
      </c>
      <c r="AK72" s="427"/>
      <c r="AL72" s="427"/>
      <c r="AM72" s="427"/>
      <c r="AN72" s="428"/>
      <c r="AO72" s="426">
        <f>AJ72+1</f>
        <v>45914</v>
      </c>
      <c r="AP72" s="427"/>
      <c r="AQ72" s="427"/>
      <c r="AR72" s="427"/>
      <c r="AS72" s="428"/>
      <c r="AT72" s="426">
        <f>AO72+1</f>
        <v>45915</v>
      </c>
      <c r="AU72" s="427"/>
      <c r="AV72" s="427"/>
      <c r="AW72" s="427"/>
      <c r="AX72" s="428"/>
    </row>
    <row r="73" spans="2:50" ht="15.75">
      <c r="B73" s="396"/>
      <c r="C73" s="396"/>
      <c r="D73" s="396"/>
      <c r="E73" s="396"/>
      <c r="F73" s="396"/>
      <c r="G73" s="396"/>
      <c r="H73" s="396"/>
      <c r="I73" s="183"/>
      <c r="J73" s="183"/>
      <c r="K73" s="183"/>
      <c r="L73" s="183"/>
      <c r="M73" s="178"/>
      <c r="N73" s="398"/>
      <c r="O73" s="398"/>
      <c r="P73" s="399" t="s">
        <v>223</v>
      </c>
      <c r="Q73" s="400"/>
      <c r="R73" s="400"/>
      <c r="S73" s="400"/>
      <c r="T73" s="400"/>
      <c r="U73" s="399" t="s">
        <v>224</v>
      </c>
      <c r="V73" s="400"/>
      <c r="W73" s="400"/>
      <c r="X73" s="400"/>
      <c r="Y73" s="400"/>
      <c r="Z73" s="399" t="s">
        <v>225</v>
      </c>
      <c r="AA73" s="400"/>
      <c r="AB73" s="400"/>
      <c r="AC73" s="400"/>
      <c r="AD73" s="400"/>
      <c r="AE73" s="399" t="s">
        <v>226</v>
      </c>
      <c r="AF73" s="400"/>
      <c r="AG73" s="400"/>
      <c r="AH73" s="400"/>
      <c r="AI73" s="400"/>
      <c r="AJ73" s="399" t="s">
        <v>227</v>
      </c>
      <c r="AK73" s="400"/>
      <c r="AL73" s="400"/>
      <c r="AM73" s="400"/>
      <c r="AN73" s="400"/>
      <c r="AO73" s="399" t="s">
        <v>142</v>
      </c>
      <c r="AP73" s="400"/>
      <c r="AQ73" s="400"/>
      <c r="AR73" s="400"/>
      <c r="AS73" s="400"/>
      <c r="AT73" s="399" t="s">
        <v>189</v>
      </c>
      <c r="AU73" s="400"/>
      <c r="AV73" s="400"/>
      <c r="AW73" s="400"/>
      <c r="AX73" s="400"/>
    </row>
    <row r="74" spans="2:50">
      <c r="B74" s="401" t="s">
        <v>190</v>
      </c>
      <c r="C74" s="401" t="s">
        <v>191</v>
      </c>
      <c r="D74" s="401"/>
      <c r="E74" s="401" t="s">
        <v>192</v>
      </c>
      <c r="F74" s="401"/>
      <c r="G74" s="401"/>
      <c r="H74" s="402" t="s">
        <v>193</v>
      </c>
      <c r="I74" s="401" t="s">
        <v>194</v>
      </c>
      <c r="J74" s="401"/>
      <c r="K74" s="401"/>
      <c r="L74" s="402" t="s">
        <v>193</v>
      </c>
      <c r="M74" s="397" t="s">
        <v>195</v>
      </c>
      <c r="N74" s="401"/>
      <c r="O74" s="401" t="s">
        <v>196</v>
      </c>
      <c r="P74" s="406" t="s">
        <v>197</v>
      </c>
      <c r="Q74" s="407"/>
      <c r="R74" s="407"/>
      <c r="S74" s="408"/>
      <c r="T74" s="401" t="s">
        <v>193</v>
      </c>
      <c r="U74" s="406" t="s">
        <v>197</v>
      </c>
      <c r="V74" s="407"/>
      <c r="W74" s="407"/>
      <c r="X74" s="408"/>
      <c r="Y74" s="401" t="s">
        <v>193</v>
      </c>
      <c r="Z74" s="406" t="s">
        <v>197</v>
      </c>
      <c r="AA74" s="407"/>
      <c r="AB74" s="407"/>
      <c r="AC74" s="408"/>
      <c r="AD74" s="401" t="s">
        <v>193</v>
      </c>
      <c r="AE74" s="406" t="s">
        <v>197</v>
      </c>
      <c r="AF74" s="407"/>
      <c r="AG74" s="407"/>
      <c r="AH74" s="408"/>
      <c r="AI74" s="401" t="s">
        <v>193</v>
      </c>
      <c r="AJ74" s="406" t="s">
        <v>197</v>
      </c>
      <c r="AK74" s="407"/>
      <c r="AL74" s="407"/>
      <c r="AM74" s="408"/>
      <c r="AN74" s="401" t="s">
        <v>193</v>
      </c>
      <c r="AO74" s="406" t="s">
        <v>197</v>
      </c>
      <c r="AP74" s="407"/>
      <c r="AQ74" s="407"/>
      <c r="AR74" s="408"/>
      <c r="AS74" s="401" t="s">
        <v>193</v>
      </c>
      <c r="AT74" s="406" t="s">
        <v>197</v>
      </c>
      <c r="AU74" s="407"/>
      <c r="AV74" s="407"/>
      <c r="AW74" s="408"/>
      <c r="AX74" s="401" t="s">
        <v>193</v>
      </c>
    </row>
    <row r="75" spans="2:50">
      <c r="B75" s="401"/>
      <c r="C75" s="401"/>
      <c r="D75" s="401"/>
      <c r="E75" s="401" t="s">
        <v>198</v>
      </c>
      <c r="F75" s="401"/>
      <c r="G75" s="401"/>
      <c r="H75" s="403"/>
      <c r="I75" s="401" t="s">
        <v>198</v>
      </c>
      <c r="J75" s="401"/>
      <c r="K75" s="401"/>
      <c r="L75" s="403"/>
      <c r="M75" s="405"/>
      <c r="N75" s="401"/>
      <c r="O75" s="401"/>
      <c r="P75" s="406" t="s">
        <v>199</v>
      </c>
      <c r="Q75" s="407"/>
      <c r="R75" s="407"/>
      <c r="S75" s="408"/>
      <c r="T75" s="401"/>
      <c r="U75" s="406" t="s">
        <v>199</v>
      </c>
      <c r="V75" s="407"/>
      <c r="W75" s="407"/>
      <c r="X75" s="408"/>
      <c r="Y75" s="401"/>
      <c r="Z75" s="406" t="s">
        <v>199</v>
      </c>
      <c r="AA75" s="407"/>
      <c r="AB75" s="407"/>
      <c r="AC75" s="408"/>
      <c r="AD75" s="401"/>
      <c r="AE75" s="406" t="s">
        <v>199</v>
      </c>
      <c r="AF75" s="407"/>
      <c r="AG75" s="407"/>
      <c r="AH75" s="408"/>
      <c r="AI75" s="401"/>
      <c r="AJ75" s="406" t="s">
        <v>199</v>
      </c>
      <c r="AK75" s="407"/>
      <c r="AL75" s="407"/>
      <c r="AM75" s="408"/>
      <c r="AN75" s="401"/>
      <c r="AO75" s="406" t="s">
        <v>199</v>
      </c>
      <c r="AP75" s="407"/>
      <c r="AQ75" s="407"/>
      <c r="AR75" s="408"/>
      <c r="AS75" s="401"/>
      <c r="AT75" s="406" t="s">
        <v>199</v>
      </c>
      <c r="AU75" s="407"/>
      <c r="AV75" s="407"/>
      <c r="AW75" s="408"/>
      <c r="AX75" s="401"/>
    </row>
    <row r="76" spans="2:50">
      <c r="B76" s="401"/>
      <c r="C76" s="401"/>
      <c r="D76" s="401"/>
      <c r="E76" s="234" t="s">
        <v>200</v>
      </c>
      <c r="F76" s="234" t="s">
        <v>201</v>
      </c>
      <c r="G76" s="234" t="s">
        <v>202</v>
      </c>
      <c r="H76" s="404"/>
      <c r="I76" s="234" t="s">
        <v>200</v>
      </c>
      <c r="J76" s="234" t="s">
        <v>201</v>
      </c>
      <c r="K76" s="234" t="s">
        <v>202</v>
      </c>
      <c r="L76" s="404"/>
      <c r="M76" s="398"/>
      <c r="N76" s="401"/>
      <c r="O76" s="401"/>
      <c r="P76" s="234" t="s">
        <v>200</v>
      </c>
      <c r="Q76" s="234" t="s">
        <v>201</v>
      </c>
      <c r="R76" s="234" t="s">
        <v>202</v>
      </c>
      <c r="S76" s="234" t="s">
        <v>195</v>
      </c>
      <c r="T76" s="401"/>
      <c r="U76" s="234" t="s">
        <v>200</v>
      </c>
      <c r="V76" s="234" t="s">
        <v>201</v>
      </c>
      <c r="W76" s="234" t="s">
        <v>202</v>
      </c>
      <c r="X76" s="234" t="s">
        <v>195</v>
      </c>
      <c r="Y76" s="401"/>
      <c r="Z76" s="234" t="s">
        <v>200</v>
      </c>
      <c r="AA76" s="234" t="s">
        <v>201</v>
      </c>
      <c r="AB76" s="234" t="s">
        <v>202</v>
      </c>
      <c r="AC76" s="234" t="s">
        <v>195</v>
      </c>
      <c r="AD76" s="401"/>
      <c r="AE76" s="234" t="s">
        <v>200</v>
      </c>
      <c r="AF76" s="234" t="s">
        <v>201</v>
      </c>
      <c r="AG76" s="234" t="s">
        <v>202</v>
      </c>
      <c r="AH76" s="234" t="s">
        <v>195</v>
      </c>
      <c r="AI76" s="401"/>
      <c r="AJ76" s="234" t="s">
        <v>200</v>
      </c>
      <c r="AK76" s="234" t="s">
        <v>201</v>
      </c>
      <c r="AL76" s="234" t="s">
        <v>202</v>
      </c>
      <c r="AM76" s="234" t="s">
        <v>195</v>
      </c>
      <c r="AN76" s="401"/>
      <c r="AO76" s="234" t="s">
        <v>200</v>
      </c>
      <c r="AP76" s="234" t="s">
        <v>201</v>
      </c>
      <c r="AQ76" s="234" t="s">
        <v>202</v>
      </c>
      <c r="AR76" s="234" t="s">
        <v>195</v>
      </c>
      <c r="AS76" s="401"/>
      <c r="AT76" s="234" t="s">
        <v>200</v>
      </c>
      <c r="AU76" s="234" t="s">
        <v>201</v>
      </c>
      <c r="AV76" s="234" t="s">
        <v>202</v>
      </c>
      <c r="AW76" s="234" t="s">
        <v>195</v>
      </c>
      <c r="AX76" s="401"/>
    </row>
    <row r="77" spans="2:50">
      <c r="B77" s="401" t="s">
        <v>172</v>
      </c>
      <c r="C77" s="181">
        <v>1</v>
      </c>
      <c r="D77" s="196" t="s">
        <v>261</v>
      </c>
      <c r="E77" s="165">
        <v>5</v>
      </c>
      <c r="F77" s="181">
        <v>1600</v>
      </c>
      <c r="G77" s="179">
        <v>320</v>
      </c>
      <c r="H77" s="412">
        <f>AVERAGE(G77:G106)</f>
        <v>106.45300348911491</v>
      </c>
      <c r="I77" s="165">
        <f>AVERAGE(P77,U77,Z77,AE77,AJ77,AO77,AT77)</f>
        <v>5</v>
      </c>
      <c r="J77" s="165">
        <f>AVERAGE(Q77,V77,AA77,AF77,AK77,AP77,AU77)</f>
        <v>1091.4285714285754</v>
      </c>
      <c r="K77" s="179">
        <f>AVERAGE(R77,W77,AB77,AG77,AL77,AQ77,AV77)</f>
        <v>218.28571428571507</v>
      </c>
      <c r="L77" s="412">
        <f>IFERROR(AVERAGE(K77:K106),"-")</f>
        <v>91.678334083827465</v>
      </c>
      <c r="M77" s="180">
        <f>RANK(K77, K$77:$K$106)</f>
        <v>2</v>
      </c>
      <c r="N77" s="401"/>
      <c r="O77" s="401"/>
      <c r="P77" s="165">
        <v>5</v>
      </c>
      <c r="Q77" s="165">
        <v>840.00000000000296</v>
      </c>
      <c r="R77" s="165">
        <v>168.0000000000006</v>
      </c>
      <c r="S77" s="181">
        <f>RANK(R77, R$77:R$106)</f>
        <v>3</v>
      </c>
      <c r="T77" s="430">
        <f>AVERAGE(R77:R106)</f>
        <v>88.53964797900737</v>
      </c>
      <c r="U77" s="165">
        <v>5</v>
      </c>
      <c r="V77" s="165">
        <v>1000.0000000000035</v>
      </c>
      <c r="W77" s="165">
        <v>200.00000000000071</v>
      </c>
      <c r="X77" s="181">
        <f>RANK(W77, W$77:W$106)</f>
        <v>3</v>
      </c>
      <c r="Y77" s="430">
        <f>AVERAGE(W77:W106)</f>
        <v>90.970548046678346</v>
      </c>
      <c r="Z77" s="165">
        <v>5</v>
      </c>
      <c r="AA77" s="165">
        <v>1170.0000000000043</v>
      </c>
      <c r="AB77" s="165">
        <v>234.00000000000085</v>
      </c>
      <c r="AC77" s="181">
        <f>RANK(AB77, AB$77:AB$106)</f>
        <v>2</v>
      </c>
      <c r="AD77" s="430">
        <f>AVERAGE(AB77:AB106)</f>
        <v>92.585197139963796</v>
      </c>
      <c r="AE77" s="165">
        <v>5</v>
      </c>
      <c r="AF77" s="165">
        <v>880.00000000000318</v>
      </c>
      <c r="AG77" s="165">
        <v>176.00000000000063</v>
      </c>
      <c r="AH77" s="181">
        <f>RANK(AG77, AG$77:AG$106)</f>
        <v>3</v>
      </c>
      <c r="AI77" s="430">
        <f>AVERAGE(AG77:AG106)</f>
        <v>90.261024603833633</v>
      </c>
      <c r="AJ77" s="165">
        <v>5</v>
      </c>
      <c r="AK77" s="165">
        <v>1260.0000000000045</v>
      </c>
      <c r="AL77" s="165">
        <v>252.00000000000091</v>
      </c>
      <c r="AM77" s="181">
        <f>RANK(AL77, AL$77:AL$106)</f>
        <v>1</v>
      </c>
      <c r="AN77" s="430">
        <f>AVERAGE(AL77:AL106)</f>
        <v>93.251300273859655</v>
      </c>
      <c r="AO77" s="165">
        <v>5</v>
      </c>
      <c r="AP77" s="165">
        <v>1230.0000000000043</v>
      </c>
      <c r="AQ77" s="165">
        <v>246.00000000000085</v>
      </c>
      <c r="AR77" s="181">
        <f>RANK(AQ77, AQ$77:AQ$106)</f>
        <v>2</v>
      </c>
      <c r="AS77" s="430">
        <f>AVERAGE(AQ77:AQ106)</f>
        <v>95.166217509843335</v>
      </c>
      <c r="AT77" s="165">
        <v>5</v>
      </c>
      <c r="AU77" s="165">
        <v>1260.0000000000045</v>
      </c>
      <c r="AV77" s="165">
        <v>252.00000000000091</v>
      </c>
      <c r="AW77" s="181">
        <f>RANK(AV77, AV$77:AV$106)</f>
        <v>1</v>
      </c>
      <c r="AX77" s="430">
        <f>AVERAGE(AV77:AV106)</f>
        <v>95.436975191820736</v>
      </c>
    </row>
    <row r="78" spans="2:50">
      <c r="B78" s="400"/>
      <c r="C78" s="181">
        <v>2</v>
      </c>
      <c r="D78" s="196" t="s">
        <v>262</v>
      </c>
      <c r="E78" s="165">
        <v>6</v>
      </c>
      <c r="F78" s="181">
        <v>1500</v>
      </c>
      <c r="G78" s="179">
        <v>250</v>
      </c>
      <c r="H78" s="413"/>
      <c r="I78" s="165">
        <f t="shared" ref="I78:I100" si="12">AVERAGE(P78,U78,Z78,AE78,AJ78,AO78,AT78)</f>
        <v>6</v>
      </c>
      <c r="J78" s="165">
        <f t="shared" ref="J78:J100" si="13">AVERAGE(Q78,V78,AA78,AF78,AK78,AP78,AU78)</f>
        <v>1462.1158334992174</v>
      </c>
      <c r="K78" s="179">
        <f t="shared" ref="K78:K100" si="14">AVERAGE(R78,W78,AB78,AG78,AL78,AQ78,AV78)</f>
        <v>243.68597224986954</v>
      </c>
      <c r="L78" s="413"/>
      <c r="M78" s="180">
        <f>RANK(K78, K$77:$K$106)</f>
        <v>1</v>
      </c>
      <c r="N78" s="401"/>
      <c r="O78" s="401"/>
      <c r="P78" s="165">
        <v>6</v>
      </c>
      <c r="Q78" s="165">
        <v>1467.4615384615383</v>
      </c>
      <c r="R78" s="165">
        <v>244.57692307692307</v>
      </c>
      <c r="S78" s="181">
        <f t="shared" ref="S78:S106" si="15">RANK(R78, R$77:R$106)</f>
        <v>1</v>
      </c>
      <c r="T78" s="430"/>
      <c r="U78" s="165">
        <v>6</v>
      </c>
      <c r="V78" s="165">
        <v>1442.7391304347825</v>
      </c>
      <c r="W78" s="165">
        <v>240.45652173913041</v>
      </c>
      <c r="X78" s="181">
        <f t="shared" ref="X78:X106" si="16">RANK(W78, W$77:W$106)</f>
        <v>1</v>
      </c>
      <c r="Y78" s="430"/>
      <c r="Z78" s="165">
        <v>6</v>
      </c>
      <c r="AA78" s="165">
        <v>1439.5000000000002</v>
      </c>
      <c r="AB78" s="165">
        <v>239.91666666666671</v>
      </c>
      <c r="AC78" s="181">
        <f t="shared" ref="AC78:AC106" si="17">RANK(AB78, AB$77:AB$106)</f>
        <v>1</v>
      </c>
      <c r="AD78" s="430"/>
      <c r="AE78" s="165">
        <v>6</v>
      </c>
      <c r="AF78" s="165">
        <v>1477.5600000000002</v>
      </c>
      <c r="AG78" s="165">
        <v>246.26000000000002</v>
      </c>
      <c r="AH78" s="181">
        <f t="shared" ref="AH78:AH106" si="18">RANK(AG78, AG$77:AG$106)</f>
        <v>1</v>
      </c>
      <c r="AI78" s="430"/>
      <c r="AJ78" s="165">
        <v>6</v>
      </c>
      <c r="AK78" s="165">
        <v>1440.0381355932202</v>
      </c>
      <c r="AL78" s="165">
        <v>240.00635593220338</v>
      </c>
      <c r="AM78" s="181">
        <f t="shared" ref="AM78:AM106" si="19">RANK(AL78, AL$77:AL$106)</f>
        <v>2</v>
      </c>
      <c r="AN78" s="430"/>
      <c r="AO78" s="165">
        <v>6</v>
      </c>
      <c r="AP78" s="165">
        <v>1498.01593625498</v>
      </c>
      <c r="AQ78" s="165">
        <v>249.66932270916334</v>
      </c>
      <c r="AR78" s="181">
        <f t="shared" ref="AR78:AR106" si="20">RANK(AQ78, AQ$77:AQ$106)</f>
        <v>1</v>
      </c>
      <c r="AS78" s="430"/>
      <c r="AT78" s="165">
        <v>6</v>
      </c>
      <c r="AU78" s="165">
        <v>1469.49609375</v>
      </c>
      <c r="AV78" s="165">
        <v>244.916015625</v>
      </c>
      <c r="AW78" s="181">
        <f t="shared" ref="AW78:AW106" si="21">RANK(AV78, AV$77:AV$106)</f>
        <v>2</v>
      </c>
      <c r="AX78" s="430"/>
    </row>
    <row r="79" spans="2:50">
      <c r="B79" s="400"/>
      <c r="C79" s="181">
        <v>3</v>
      </c>
      <c r="D79" s="196" t="s">
        <v>263</v>
      </c>
      <c r="E79" s="165">
        <v>7</v>
      </c>
      <c r="F79" s="181">
        <v>1500</v>
      </c>
      <c r="G79" s="179">
        <v>214.28571428571428</v>
      </c>
      <c r="H79" s="413"/>
      <c r="I79" s="165">
        <f t="shared" si="12"/>
        <v>7</v>
      </c>
      <c r="J79" s="165">
        <f t="shared" si="13"/>
        <v>1500.6881481991545</v>
      </c>
      <c r="K79" s="179">
        <f t="shared" si="14"/>
        <v>214.38402117130775</v>
      </c>
      <c r="L79" s="413"/>
      <c r="M79" s="180">
        <f>RANK(K79, K$77:$K$106)</f>
        <v>3</v>
      </c>
      <c r="N79" s="401"/>
      <c r="O79" s="401"/>
      <c r="P79" s="165">
        <v>7</v>
      </c>
      <c r="Q79" s="165">
        <v>1522.7368421052627</v>
      </c>
      <c r="R79" s="165">
        <v>217.5338345864661</v>
      </c>
      <c r="S79" s="181">
        <f t="shared" si="15"/>
        <v>2</v>
      </c>
      <c r="T79" s="430"/>
      <c r="U79" s="165">
        <v>7</v>
      </c>
      <c r="V79" s="165">
        <v>1497.391304347826</v>
      </c>
      <c r="W79" s="165">
        <v>213.91304347826085</v>
      </c>
      <c r="X79" s="181">
        <f t="shared" si="16"/>
        <v>2</v>
      </c>
      <c r="Y79" s="430"/>
      <c r="Z79" s="165">
        <v>7</v>
      </c>
      <c r="AA79" s="165">
        <v>1517.8021978021977</v>
      </c>
      <c r="AB79" s="165">
        <v>216.82888540031396</v>
      </c>
      <c r="AC79" s="181">
        <f t="shared" si="17"/>
        <v>3</v>
      </c>
      <c r="AD79" s="430"/>
      <c r="AE79" s="165">
        <v>7</v>
      </c>
      <c r="AF79" s="165">
        <v>1506.3529411764709</v>
      </c>
      <c r="AG79" s="165">
        <v>215.19327731092443</v>
      </c>
      <c r="AH79" s="181">
        <f t="shared" si="18"/>
        <v>2</v>
      </c>
      <c r="AI79" s="430"/>
      <c r="AJ79" s="165">
        <v>7</v>
      </c>
      <c r="AK79" s="165">
        <v>1496.0439560439561</v>
      </c>
      <c r="AL79" s="165">
        <v>213.72056514913658</v>
      </c>
      <c r="AM79" s="181">
        <f t="shared" si="19"/>
        <v>3</v>
      </c>
      <c r="AN79" s="430"/>
      <c r="AO79" s="165">
        <v>7</v>
      </c>
      <c r="AP79" s="165">
        <v>1448.5714285714287</v>
      </c>
      <c r="AQ79" s="165">
        <v>206.9387755102041</v>
      </c>
      <c r="AR79" s="181">
        <f t="shared" si="20"/>
        <v>3</v>
      </c>
      <c r="AS79" s="430"/>
      <c r="AT79" s="165">
        <v>7</v>
      </c>
      <c r="AU79" s="165">
        <v>1515.9183673469386</v>
      </c>
      <c r="AV79" s="165">
        <v>216.55976676384836</v>
      </c>
      <c r="AW79" s="181">
        <f t="shared" si="21"/>
        <v>3</v>
      </c>
      <c r="AX79" s="430"/>
    </row>
    <row r="80" spans="2:50">
      <c r="B80" s="400"/>
      <c r="C80" s="181">
        <v>4</v>
      </c>
      <c r="D80" s="196" t="s">
        <v>264</v>
      </c>
      <c r="E80" s="165">
        <v>18</v>
      </c>
      <c r="F80" s="181">
        <v>1500</v>
      </c>
      <c r="G80" s="179">
        <v>83.333333333333329</v>
      </c>
      <c r="H80" s="413"/>
      <c r="I80" s="165">
        <f t="shared" si="12"/>
        <v>18</v>
      </c>
      <c r="J80" s="165">
        <f t="shared" si="13"/>
        <v>1291.2816240714797</v>
      </c>
      <c r="K80" s="179">
        <f t="shared" si="14"/>
        <v>71.737868003971087</v>
      </c>
      <c r="L80" s="413"/>
      <c r="M80" s="180">
        <f>RANK(K80, K$77:$K$106)</f>
        <v>15</v>
      </c>
      <c r="N80" s="401"/>
      <c r="O80" s="401"/>
      <c r="P80" s="165">
        <v>18</v>
      </c>
      <c r="Q80" s="165">
        <v>1313.2075471698108</v>
      </c>
      <c r="R80" s="165">
        <v>72.955974842767262</v>
      </c>
      <c r="S80" s="181">
        <f t="shared" si="15"/>
        <v>14</v>
      </c>
      <c r="T80" s="430"/>
      <c r="U80" s="165">
        <v>18</v>
      </c>
      <c r="V80" s="165">
        <v>1298.4466019417473</v>
      </c>
      <c r="W80" s="165">
        <v>72.135922330097074</v>
      </c>
      <c r="X80" s="181">
        <f t="shared" si="16"/>
        <v>16</v>
      </c>
      <c r="Y80" s="430"/>
      <c r="Z80" s="165">
        <v>18</v>
      </c>
      <c r="AA80" s="165">
        <v>1294.4680851063831</v>
      </c>
      <c r="AB80" s="165">
        <v>71.914893617021278</v>
      </c>
      <c r="AC80" s="181">
        <f t="shared" si="17"/>
        <v>17</v>
      </c>
      <c r="AD80" s="430"/>
      <c r="AE80" s="165">
        <v>18</v>
      </c>
      <c r="AF80" s="165">
        <v>1321.5000000000007</v>
      </c>
      <c r="AG80" s="165">
        <v>73.4166666666667</v>
      </c>
      <c r="AH80" s="181">
        <f t="shared" si="18"/>
        <v>16</v>
      </c>
      <c r="AI80" s="430"/>
      <c r="AJ80" s="165">
        <v>18</v>
      </c>
      <c r="AK80" s="165">
        <v>1251.5999999999995</v>
      </c>
      <c r="AL80" s="165">
        <v>69.533333333333303</v>
      </c>
      <c r="AM80" s="181">
        <f t="shared" si="19"/>
        <v>19</v>
      </c>
      <c r="AN80" s="430"/>
      <c r="AO80" s="165">
        <v>18</v>
      </c>
      <c r="AP80" s="165">
        <v>1264.1739130434785</v>
      </c>
      <c r="AQ80" s="165">
        <v>70.23188405797103</v>
      </c>
      <c r="AR80" s="181">
        <f t="shared" si="20"/>
        <v>19</v>
      </c>
      <c r="AS80" s="430"/>
      <c r="AT80" s="165">
        <v>18</v>
      </c>
      <c r="AU80" s="165">
        <v>1295.575221238938</v>
      </c>
      <c r="AV80" s="165">
        <v>71.976401179940993</v>
      </c>
      <c r="AW80" s="181">
        <f t="shared" si="21"/>
        <v>17</v>
      </c>
      <c r="AX80" s="430"/>
    </row>
    <row r="81" spans="2:50">
      <c r="B81" s="400"/>
      <c r="C81" s="181">
        <v>5</v>
      </c>
      <c r="D81" s="196" t="s">
        <v>265</v>
      </c>
      <c r="E81" s="165">
        <v>21</v>
      </c>
      <c r="F81" s="181">
        <v>1500</v>
      </c>
      <c r="G81" s="179">
        <v>71.428571428571431</v>
      </c>
      <c r="H81" s="413"/>
      <c r="I81" s="165">
        <f t="shared" si="12"/>
        <v>20.285714285714285</v>
      </c>
      <c r="J81" s="165">
        <f t="shared" si="13"/>
        <v>1298.9301828527628</v>
      </c>
      <c r="K81" s="179">
        <f t="shared" si="14"/>
        <v>64.065192800900263</v>
      </c>
      <c r="L81" s="413"/>
      <c r="M81" s="180">
        <f>RANK(K81, K$77:$K$106)</f>
        <v>25</v>
      </c>
      <c r="N81" s="401"/>
      <c r="O81" s="401"/>
      <c r="P81" s="165">
        <v>20</v>
      </c>
      <c r="Q81" s="165">
        <v>1312.7272727272743</v>
      </c>
      <c r="R81" s="165">
        <v>65.636363636363711</v>
      </c>
      <c r="S81" s="181">
        <f t="shared" si="15"/>
        <v>22</v>
      </c>
      <c r="T81" s="430"/>
      <c r="U81" s="165">
        <v>20</v>
      </c>
      <c r="V81" s="165">
        <v>1305.4838709677433</v>
      </c>
      <c r="W81" s="165">
        <v>65.27419354838716</v>
      </c>
      <c r="X81" s="181">
        <f t="shared" si="16"/>
        <v>24</v>
      </c>
      <c r="Y81" s="430"/>
      <c r="Z81" s="165">
        <v>21</v>
      </c>
      <c r="AA81" s="165">
        <v>1288.5245901639357</v>
      </c>
      <c r="AB81" s="165">
        <v>61.35831381733027</v>
      </c>
      <c r="AC81" s="181">
        <f t="shared" si="17"/>
        <v>25</v>
      </c>
      <c r="AD81" s="430"/>
      <c r="AE81" s="165">
        <v>20</v>
      </c>
      <c r="AF81" s="165">
        <v>1296.2264150943402</v>
      </c>
      <c r="AG81" s="165">
        <v>64.811320754717002</v>
      </c>
      <c r="AH81" s="181">
        <f t="shared" si="18"/>
        <v>25</v>
      </c>
      <c r="AI81" s="430"/>
      <c r="AJ81" s="165">
        <v>21</v>
      </c>
      <c r="AK81" s="165">
        <v>1302.5454545454552</v>
      </c>
      <c r="AL81" s="165">
        <v>62.025974025974058</v>
      </c>
      <c r="AM81" s="181">
        <f t="shared" si="19"/>
        <v>25</v>
      </c>
      <c r="AN81" s="430"/>
      <c r="AO81" s="165">
        <v>20</v>
      </c>
      <c r="AP81" s="165">
        <v>1304.0625000000016</v>
      </c>
      <c r="AQ81" s="165">
        <v>65.203125000000085</v>
      </c>
      <c r="AR81" s="181">
        <f t="shared" si="20"/>
        <v>23</v>
      </c>
      <c r="AS81" s="430"/>
      <c r="AT81" s="165">
        <v>20</v>
      </c>
      <c r="AU81" s="165">
        <v>1282.9411764705897</v>
      </c>
      <c r="AV81" s="165">
        <v>64.147058823529477</v>
      </c>
      <c r="AW81" s="181">
        <f t="shared" si="21"/>
        <v>23</v>
      </c>
      <c r="AX81" s="430"/>
    </row>
    <row r="82" spans="2:50">
      <c r="B82" s="400"/>
      <c r="C82" s="181">
        <v>6</v>
      </c>
      <c r="D82" s="196" t="s">
        <v>266</v>
      </c>
      <c r="E82" s="165">
        <v>19</v>
      </c>
      <c r="F82" s="181">
        <v>1500</v>
      </c>
      <c r="G82" s="179">
        <v>78.94736842105263</v>
      </c>
      <c r="H82" s="413"/>
      <c r="I82" s="165">
        <f t="shared" si="12"/>
        <v>19</v>
      </c>
      <c r="J82" s="165">
        <f t="shared" si="13"/>
        <v>1287.1413800217301</v>
      </c>
      <c r="K82" s="179">
        <f t="shared" si="14"/>
        <v>67.744283159038417</v>
      </c>
      <c r="L82" s="413"/>
      <c r="M82" s="180">
        <f>RANK(K82, K$77:$K$106)</f>
        <v>21</v>
      </c>
      <c r="N82" s="401"/>
      <c r="O82" s="401"/>
      <c r="P82" s="165">
        <v>19</v>
      </c>
      <c r="Q82" s="165">
        <v>1314.1176470588239</v>
      </c>
      <c r="R82" s="165">
        <v>69.164086687306522</v>
      </c>
      <c r="S82" s="181">
        <f t="shared" si="15"/>
        <v>18</v>
      </c>
      <c r="T82" s="430"/>
      <c r="U82" s="165">
        <v>19</v>
      </c>
      <c r="V82" s="165">
        <v>1279.1489361702129</v>
      </c>
      <c r="W82" s="165">
        <v>67.323628219484888</v>
      </c>
      <c r="X82" s="181">
        <f t="shared" si="16"/>
        <v>23</v>
      </c>
      <c r="Y82" s="430"/>
      <c r="Z82" s="165">
        <v>19</v>
      </c>
      <c r="AA82" s="165">
        <v>1300.9756097560971</v>
      </c>
      <c r="AB82" s="165">
        <v>68.472400513478803</v>
      </c>
      <c r="AC82" s="181">
        <f t="shared" si="17"/>
        <v>21</v>
      </c>
      <c r="AD82" s="430"/>
      <c r="AE82" s="165">
        <v>19</v>
      </c>
      <c r="AF82" s="165">
        <v>1279.024390243902</v>
      </c>
      <c r="AG82" s="165">
        <v>67.317073170731689</v>
      </c>
      <c r="AH82" s="181">
        <f t="shared" si="18"/>
        <v>20</v>
      </c>
      <c r="AI82" s="430"/>
      <c r="AJ82" s="165">
        <v>19</v>
      </c>
      <c r="AK82" s="165">
        <v>1260.0000000000002</v>
      </c>
      <c r="AL82" s="165">
        <v>66.31578947368422</v>
      </c>
      <c r="AM82" s="181">
        <f t="shared" si="19"/>
        <v>24</v>
      </c>
      <c r="AN82" s="430"/>
      <c r="AO82" s="165">
        <v>19</v>
      </c>
      <c r="AP82" s="165">
        <v>1294.7999999999984</v>
      </c>
      <c r="AQ82" s="165">
        <v>68.147368421052548</v>
      </c>
      <c r="AR82" s="181">
        <f t="shared" si="20"/>
        <v>20</v>
      </c>
      <c r="AS82" s="430"/>
      <c r="AT82" s="165">
        <v>19</v>
      </c>
      <c r="AU82" s="165">
        <v>1281.9230769230755</v>
      </c>
      <c r="AV82" s="165">
        <v>67.469635627530295</v>
      </c>
      <c r="AW82" s="181">
        <f t="shared" si="21"/>
        <v>21</v>
      </c>
      <c r="AX82" s="430"/>
    </row>
    <row r="83" spans="2:50">
      <c r="B83" s="400"/>
      <c r="C83" s="181">
        <v>7</v>
      </c>
      <c r="D83" s="196" t="s">
        <v>267</v>
      </c>
      <c r="E83" s="165">
        <v>17</v>
      </c>
      <c r="F83" s="181">
        <v>1500</v>
      </c>
      <c r="G83" s="179">
        <v>88.235294117647058</v>
      </c>
      <c r="H83" s="413"/>
      <c r="I83" s="165">
        <f t="shared" si="12"/>
        <v>17</v>
      </c>
      <c r="J83" s="165">
        <f t="shared" si="13"/>
        <v>1321.0586116166901</v>
      </c>
      <c r="K83" s="179">
        <f t="shared" si="14"/>
        <v>77.709330095099418</v>
      </c>
      <c r="L83" s="413"/>
      <c r="M83" s="180">
        <f>RANK(K83, K$77:$K$106)</f>
        <v>10</v>
      </c>
      <c r="N83" s="401"/>
      <c r="O83" s="401"/>
      <c r="P83" s="165">
        <v>17</v>
      </c>
      <c r="Q83" s="165">
        <v>1304.7619047619044</v>
      </c>
      <c r="R83" s="165">
        <v>76.750700280112028</v>
      </c>
      <c r="S83" s="181">
        <f t="shared" si="15"/>
        <v>8</v>
      </c>
      <c r="T83" s="430"/>
      <c r="U83" s="165">
        <v>17</v>
      </c>
      <c r="V83" s="165">
        <v>1319.9999999999991</v>
      </c>
      <c r="W83" s="165">
        <v>77.647058823529363</v>
      </c>
      <c r="X83" s="181">
        <f t="shared" si="16"/>
        <v>10</v>
      </c>
      <c r="Y83" s="430"/>
      <c r="Z83" s="165">
        <v>17</v>
      </c>
      <c r="AA83" s="165">
        <v>1328.2352941176478</v>
      </c>
      <c r="AB83" s="165">
        <v>78.131487889273401</v>
      </c>
      <c r="AC83" s="181">
        <f t="shared" si="17"/>
        <v>8</v>
      </c>
      <c r="AD83" s="430"/>
      <c r="AE83" s="165">
        <v>17</v>
      </c>
      <c r="AF83" s="165">
        <v>1328.7500000000005</v>
      </c>
      <c r="AG83" s="165">
        <v>78.161764705882376</v>
      </c>
      <c r="AH83" s="181">
        <f t="shared" si="18"/>
        <v>9</v>
      </c>
      <c r="AI83" s="430"/>
      <c r="AJ83" s="165">
        <v>17</v>
      </c>
      <c r="AK83" s="165">
        <v>1318.8888888888896</v>
      </c>
      <c r="AL83" s="165">
        <v>77.581699346405273</v>
      </c>
      <c r="AM83" s="181">
        <f t="shared" si="19"/>
        <v>9</v>
      </c>
      <c r="AN83" s="430"/>
      <c r="AO83" s="165">
        <v>17</v>
      </c>
      <c r="AP83" s="165">
        <v>1321.9354838709689</v>
      </c>
      <c r="AQ83" s="165">
        <v>77.760910815939354</v>
      </c>
      <c r="AR83" s="181">
        <f t="shared" si="20"/>
        <v>9</v>
      </c>
      <c r="AS83" s="430"/>
      <c r="AT83" s="165">
        <v>17</v>
      </c>
      <c r="AU83" s="165">
        <v>1324.8387096774204</v>
      </c>
      <c r="AV83" s="165">
        <v>77.931688804554142</v>
      </c>
      <c r="AW83" s="181">
        <f t="shared" si="21"/>
        <v>9</v>
      </c>
      <c r="AX83" s="430"/>
    </row>
    <row r="84" spans="2:50">
      <c r="B84" s="400"/>
      <c r="C84" s="181">
        <v>8</v>
      </c>
      <c r="D84" s="196" t="s">
        <v>268</v>
      </c>
      <c r="E84" s="165">
        <v>17</v>
      </c>
      <c r="F84" s="181">
        <v>1565</v>
      </c>
      <c r="G84" s="179">
        <v>92.058823529411768</v>
      </c>
      <c r="H84" s="413"/>
      <c r="I84" s="165">
        <f t="shared" si="12"/>
        <v>17</v>
      </c>
      <c r="J84" s="165">
        <f t="shared" si="13"/>
        <v>1385.2785122035232</v>
      </c>
      <c r="K84" s="179">
        <f t="shared" si="14"/>
        <v>81.486971306089586</v>
      </c>
      <c r="L84" s="413"/>
      <c r="M84" s="180">
        <f>RANK(K84, K$77:$K$106)</f>
        <v>5</v>
      </c>
      <c r="N84" s="401"/>
      <c r="O84" s="401"/>
      <c r="P84" s="165">
        <v>17</v>
      </c>
      <c r="Q84" s="165">
        <v>1376.3571428571424</v>
      </c>
      <c r="R84" s="165">
        <v>80.962184873949553</v>
      </c>
      <c r="S84" s="181">
        <f t="shared" si="15"/>
        <v>5</v>
      </c>
      <c r="T84" s="430"/>
      <c r="U84" s="165">
        <v>17</v>
      </c>
      <c r="V84" s="165">
        <v>1349.9999999999993</v>
      </c>
      <c r="W84" s="165">
        <v>79.41176470588232</v>
      </c>
      <c r="X84" s="181">
        <f t="shared" si="16"/>
        <v>7</v>
      </c>
      <c r="Y84" s="430"/>
      <c r="Z84" s="165">
        <v>17</v>
      </c>
      <c r="AA84" s="165">
        <v>1393.4210526315778</v>
      </c>
      <c r="AB84" s="165">
        <v>81.965944272445753</v>
      </c>
      <c r="AC84" s="181">
        <f t="shared" si="17"/>
        <v>7</v>
      </c>
      <c r="AD84" s="430"/>
      <c r="AE84" s="165">
        <v>17</v>
      </c>
      <c r="AF84" s="165">
        <v>1370.4347826086944</v>
      </c>
      <c r="AG84" s="165">
        <v>80.6138107416879</v>
      </c>
      <c r="AH84" s="181">
        <f t="shared" si="18"/>
        <v>5</v>
      </c>
      <c r="AI84" s="430"/>
      <c r="AJ84" s="165">
        <v>17</v>
      </c>
      <c r="AK84" s="165">
        <v>1385.9154929577451</v>
      </c>
      <c r="AL84" s="165">
        <v>81.524440762220294</v>
      </c>
      <c r="AM84" s="181">
        <f t="shared" si="19"/>
        <v>5</v>
      </c>
      <c r="AN84" s="430"/>
      <c r="AO84" s="165">
        <v>17</v>
      </c>
      <c r="AP84" s="165">
        <v>1407.2727272727273</v>
      </c>
      <c r="AQ84" s="165">
        <v>82.780748663101605</v>
      </c>
      <c r="AR84" s="181">
        <f t="shared" si="20"/>
        <v>4</v>
      </c>
      <c r="AS84" s="430"/>
      <c r="AT84" s="165">
        <v>17</v>
      </c>
      <c r="AU84" s="165">
        <v>1413.5483870967744</v>
      </c>
      <c r="AV84" s="165">
        <v>83.149905123339664</v>
      </c>
      <c r="AW84" s="181">
        <f t="shared" si="21"/>
        <v>4</v>
      </c>
      <c r="AX84" s="430"/>
    </row>
    <row r="85" spans="2:50">
      <c r="B85" s="400"/>
      <c r="C85" s="181">
        <v>9</v>
      </c>
      <c r="D85" s="196" t="s">
        <v>269</v>
      </c>
      <c r="E85" s="165">
        <v>16</v>
      </c>
      <c r="F85" s="181">
        <v>1440</v>
      </c>
      <c r="G85" s="179">
        <v>90</v>
      </c>
      <c r="H85" s="413"/>
      <c r="I85" s="165">
        <f t="shared" si="12"/>
        <v>16.142857142857142</v>
      </c>
      <c r="J85" s="165">
        <f t="shared" si="13"/>
        <v>1256.827921684184</v>
      </c>
      <c r="K85" s="179">
        <f t="shared" si="14"/>
        <v>77.882777518226689</v>
      </c>
      <c r="L85" s="413"/>
      <c r="M85" s="180">
        <f>RANK(K85, K$77:$K$106)</f>
        <v>9</v>
      </c>
      <c r="N85" s="401"/>
      <c r="O85" s="401"/>
      <c r="P85" s="165">
        <v>17</v>
      </c>
      <c r="Q85" s="165">
        <v>1273.7142857142844</v>
      </c>
      <c r="R85" s="165">
        <v>74.924369747899078</v>
      </c>
      <c r="S85" s="181">
        <f t="shared" si="15"/>
        <v>9</v>
      </c>
      <c r="T85" s="430"/>
      <c r="U85" s="165">
        <v>16</v>
      </c>
      <c r="V85" s="165">
        <v>1294.5454545454529</v>
      </c>
      <c r="W85" s="165">
        <v>80.909090909090807</v>
      </c>
      <c r="X85" s="181">
        <f t="shared" si="16"/>
        <v>6</v>
      </c>
      <c r="Y85" s="430"/>
      <c r="Z85" s="165">
        <v>16</v>
      </c>
      <c r="AA85" s="165">
        <v>1120.6451612903209</v>
      </c>
      <c r="AB85" s="165">
        <v>70.040322580645054</v>
      </c>
      <c r="AC85" s="181">
        <f t="shared" si="17"/>
        <v>19</v>
      </c>
      <c r="AD85" s="430"/>
      <c r="AE85" s="165">
        <v>16</v>
      </c>
      <c r="AF85" s="165">
        <v>1258.1249999999982</v>
      </c>
      <c r="AG85" s="165">
        <v>78.632812499999886</v>
      </c>
      <c r="AH85" s="181">
        <f t="shared" si="18"/>
        <v>8</v>
      </c>
      <c r="AI85" s="430"/>
      <c r="AJ85" s="165">
        <v>16</v>
      </c>
      <c r="AK85" s="165">
        <v>1281.8181818181802</v>
      </c>
      <c r="AL85" s="165">
        <v>80.11363636363626</v>
      </c>
      <c r="AM85" s="181">
        <f t="shared" si="19"/>
        <v>7</v>
      </c>
      <c r="AN85" s="430"/>
      <c r="AO85" s="165">
        <v>16</v>
      </c>
      <c r="AP85" s="165">
        <v>1288.421052631578</v>
      </c>
      <c r="AQ85" s="165">
        <v>80.526315789473628</v>
      </c>
      <c r="AR85" s="181">
        <f t="shared" si="20"/>
        <v>7</v>
      </c>
      <c r="AS85" s="430"/>
      <c r="AT85" s="165">
        <v>16</v>
      </c>
      <c r="AU85" s="165">
        <v>1280.5263157894728</v>
      </c>
      <c r="AV85" s="165">
        <v>80.032894736842053</v>
      </c>
      <c r="AW85" s="181">
        <f t="shared" si="21"/>
        <v>6</v>
      </c>
      <c r="AX85" s="430"/>
    </row>
    <row r="86" spans="2:50">
      <c r="B86" s="400"/>
      <c r="C86" s="181">
        <v>10</v>
      </c>
      <c r="D86" s="196" t="s">
        <v>270</v>
      </c>
      <c r="E86" s="165">
        <v>17</v>
      </c>
      <c r="F86" s="181">
        <v>1440</v>
      </c>
      <c r="G86" s="179">
        <v>84.705882352941174</v>
      </c>
      <c r="H86" s="413"/>
      <c r="I86" s="165">
        <f t="shared" si="12"/>
        <v>17</v>
      </c>
      <c r="J86" s="165">
        <f t="shared" si="13"/>
        <v>1272.234462075518</v>
      </c>
      <c r="K86" s="179">
        <f t="shared" si="14"/>
        <v>74.837321298559871</v>
      </c>
      <c r="L86" s="413"/>
      <c r="M86" s="180">
        <f>RANK(K86, K$77:$K$106)</f>
        <v>12</v>
      </c>
      <c r="N86" s="401"/>
      <c r="O86" s="401"/>
      <c r="P86" s="165">
        <v>17</v>
      </c>
      <c r="Q86" s="165">
        <v>1265.5555555555561</v>
      </c>
      <c r="R86" s="165">
        <v>74.444444444444471</v>
      </c>
      <c r="S86" s="181">
        <f t="shared" si="15"/>
        <v>10</v>
      </c>
      <c r="T86" s="430"/>
      <c r="U86" s="165">
        <v>17</v>
      </c>
      <c r="V86" s="165">
        <v>1268.4000000000005</v>
      </c>
      <c r="W86" s="165">
        <v>74.611764705882379</v>
      </c>
      <c r="X86" s="181">
        <f t="shared" si="16"/>
        <v>12</v>
      </c>
      <c r="Y86" s="430"/>
      <c r="Z86" s="165">
        <v>17</v>
      </c>
      <c r="AA86" s="165">
        <v>1253.4782608695652</v>
      </c>
      <c r="AB86" s="165">
        <v>73.734015345268546</v>
      </c>
      <c r="AC86" s="181">
        <f t="shared" si="17"/>
        <v>15</v>
      </c>
      <c r="AD86" s="430"/>
      <c r="AE86" s="165">
        <v>17</v>
      </c>
      <c r="AF86" s="165">
        <v>1286.0869565217392</v>
      </c>
      <c r="AG86" s="165">
        <v>75.652173913043484</v>
      </c>
      <c r="AH86" s="181">
        <f t="shared" si="18"/>
        <v>12</v>
      </c>
      <c r="AI86" s="430"/>
      <c r="AJ86" s="165">
        <v>17</v>
      </c>
      <c r="AK86" s="165">
        <v>1288.2352941176475</v>
      </c>
      <c r="AL86" s="165">
        <v>75.778546712802793</v>
      </c>
      <c r="AM86" s="181">
        <f t="shared" si="19"/>
        <v>11</v>
      </c>
      <c r="AN86" s="430"/>
      <c r="AO86" s="165">
        <v>17</v>
      </c>
      <c r="AP86" s="165">
        <v>1280.7272727272734</v>
      </c>
      <c r="AQ86" s="165">
        <v>75.33689839572196</v>
      </c>
      <c r="AR86" s="181">
        <f t="shared" si="20"/>
        <v>11</v>
      </c>
      <c r="AS86" s="430"/>
      <c r="AT86" s="165">
        <v>17</v>
      </c>
      <c r="AU86" s="165">
        <v>1263.157894736843</v>
      </c>
      <c r="AV86" s="165">
        <v>74.303405572755466</v>
      </c>
      <c r="AW86" s="181">
        <f t="shared" si="21"/>
        <v>12</v>
      </c>
      <c r="AX86" s="430"/>
    </row>
    <row r="87" spans="2:50">
      <c r="B87" s="400"/>
      <c r="C87" s="181">
        <v>11</v>
      </c>
      <c r="D87" s="196" t="s">
        <v>271</v>
      </c>
      <c r="E87" s="165">
        <v>15</v>
      </c>
      <c r="F87" s="181">
        <v>1500</v>
      </c>
      <c r="G87" s="179">
        <v>100</v>
      </c>
      <c r="H87" s="413"/>
      <c r="I87" s="165">
        <f t="shared" si="12"/>
        <v>16</v>
      </c>
      <c r="J87" s="165">
        <f t="shared" si="13"/>
        <v>1082.087912087916</v>
      </c>
      <c r="K87" s="179">
        <f t="shared" si="14"/>
        <v>67.630494505494752</v>
      </c>
      <c r="L87" s="413"/>
      <c r="M87" s="180">
        <f>RANK(K87, K$77:$K$106)</f>
        <v>22</v>
      </c>
      <c r="N87" s="401"/>
      <c r="O87" s="401"/>
      <c r="P87" s="165">
        <v>16</v>
      </c>
      <c r="Q87" s="165">
        <v>1058.5714285714323</v>
      </c>
      <c r="R87" s="165">
        <v>66.160714285714519</v>
      </c>
      <c r="S87" s="181">
        <f t="shared" si="15"/>
        <v>21</v>
      </c>
      <c r="T87" s="430"/>
      <c r="U87" s="165">
        <v>16</v>
      </c>
      <c r="V87" s="165">
        <v>1100.0000000000041</v>
      </c>
      <c r="W87" s="165">
        <v>68.750000000000256</v>
      </c>
      <c r="X87" s="181">
        <f t="shared" si="16"/>
        <v>20</v>
      </c>
      <c r="Y87" s="430"/>
      <c r="Z87" s="165">
        <v>16</v>
      </c>
      <c r="AA87" s="165">
        <v>1080.0000000000039</v>
      </c>
      <c r="AB87" s="165">
        <v>67.500000000000242</v>
      </c>
      <c r="AC87" s="181">
        <f t="shared" si="17"/>
        <v>22</v>
      </c>
      <c r="AD87" s="430"/>
      <c r="AE87" s="165">
        <v>16</v>
      </c>
      <c r="AF87" s="165">
        <v>1066.1538461538501</v>
      </c>
      <c r="AG87" s="165">
        <v>66.634615384615628</v>
      </c>
      <c r="AH87" s="181">
        <f t="shared" si="18"/>
        <v>21</v>
      </c>
      <c r="AI87" s="430"/>
      <c r="AJ87" s="165">
        <v>16</v>
      </c>
      <c r="AK87" s="165">
        <v>1105.7142857142896</v>
      </c>
      <c r="AL87" s="165">
        <v>69.107142857143103</v>
      </c>
      <c r="AM87" s="181">
        <f t="shared" si="19"/>
        <v>20</v>
      </c>
      <c r="AN87" s="430"/>
      <c r="AO87" s="165"/>
      <c r="AP87" s="165"/>
      <c r="AQ87" s="165"/>
      <c r="AR87" s="181" t="e">
        <f t="shared" si="20"/>
        <v>#N/A</v>
      </c>
      <c r="AS87" s="430"/>
      <c r="AT87" s="165"/>
      <c r="AU87" s="165"/>
      <c r="AV87" s="165"/>
      <c r="AW87" s="181" t="e">
        <f t="shared" si="21"/>
        <v>#N/A</v>
      </c>
      <c r="AX87" s="430"/>
    </row>
    <row r="88" spans="2:50">
      <c r="B88" s="400"/>
      <c r="C88" s="181">
        <v>12</v>
      </c>
      <c r="D88" s="196" t="s">
        <v>272</v>
      </c>
      <c r="E88" s="165">
        <v>18</v>
      </c>
      <c r="F88" s="181">
        <v>1440</v>
      </c>
      <c r="G88" s="179">
        <v>80</v>
      </c>
      <c r="H88" s="413"/>
      <c r="I88" s="165">
        <f t="shared" si="12"/>
        <v>16.714285714285715</v>
      </c>
      <c r="J88" s="165">
        <f t="shared" si="13"/>
        <v>1187.449637529541</v>
      </c>
      <c r="K88" s="179">
        <f t="shared" si="14"/>
        <v>71.186724827717057</v>
      </c>
      <c r="L88" s="413"/>
      <c r="M88" s="180">
        <f>RANK(K88, K$77:$K$106)</f>
        <v>18</v>
      </c>
      <c r="N88" s="401"/>
      <c r="O88" s="401"/>
      <c r="P88" s="165">
        <v>18</v>
      </c>
      <c r="Q88" s="165">
        <v>1166.1818181818189</v>
      </c>
      <c r="R88" s="165">
        <v>64.787878787878824</v>
      </c>
      <c r="S88" s="181">
        <f t="shared" si="15"/>
        <v>24</v>
      </c>
      <c r="T88" s="430"/>
      <c r="U88" s="165">
        <v>17</v>
      </c>
      <c r="V88" s="165">
        <v>1211.2500000000005</v>
      </c>
      <c r="W88" s="165">
        <v>71.250000000000028</v>
      </c>
      <c r="X88" s="181">
        <f t="shared" si="16"/>
        <v>17</v>
      </c>
      <c r="Y88" s="430"/>
      <c r="Z88" s="165">
        <v>16</v>
      </c>
      <c r="AA88" s="165">
        <v>1209.5454545454545</v>
      </c>
      <c r="AB88" s="165">
        <v>75.596590909090907</v>
      </c>
      <c r="AC88" s="181">
        <f t="shared" si="17"/>
        <v>11</v>
      </c>
      <c r="AD88" s="430"/>
      <c r="AE88" s="165">
        <v>17</v>
      </c>
      <c r="AF88" s="165">
        <v>1171.2500000000005</v>
      </c>
      <c r="AG88" s="165">
        <v>68.897058823529434</v>
      </c>
      <c r="AH88" s="181">
        <f t="shared" si="18"/>
        <v>19</v>
      </c>
      <c r="AI88" s="430"/>
      <c r="AJ88" s="165">
        <v>16</v>
      </c>
      <c r="AK88" s="165">
        <v>1201.1538461538469</v>
      </c>
      <c r="AL88" s="165">
        <v>75.072115384615429</v>
      </c>
      <c r="AM88" s="181">
        <f t="shared" si="19"/>
        <v>12</v>
      </c>
      <c r="AN88" s="430"/>
      <c r="AO88" s="165">
        <v>16</v>
      </c>
      <c r="AP88" s="165">
        <v>1171.0714285714294</v>
      </c>
      <c r="AQ88" s="165">
        <v>73.191964285714334</v>
      </c>
      <c r="AR88" s="181">
        <f t="shared" si="20"/>
        <v>16</v>
      </c>
      <c r="AS88" s="430"/>
      <c r="AT88" s="165">
        <v>17</v>
      </c>
      <c r="AU88" s="165">
        <v>1181.6949152542384</v>
      </c>
      <c r="AV88" s="165">
        <v>69.511465603190487</v>
      </c>
      <c r="AW88" s="181">
        <f t="shared" si="21"/>
        <v>19</v>
      </c>
      <c r="AX88" s="430"/>
    </row>
    <row r="89" spans="2:50">
      <c r="B89" s="400"/>
      <c r="C89" s="181">
        <v>13</v>
      </c>
      <c r="D89" s="196" t="s">
        <v>273</v>
      </c>
      <c r="E89" s="165">
        <v>20</v>
      </c>
      <c r="F89" s="181">
        <v>1636</v>
      </c>
      <c r="G89" s="179">
        <v>81.8</v>
      </c>
      <c r="H89" s="413"/>
      <c r="I89" s="165">
        <f t="shared" si="12"/>
        <v>19</v>
      </c>
      <c r="J89" s="165">
        <f t="shared" si="13"/>
        <v>1276.7539099304502</v>
      </c>
      <c r="K89" s="179">
        <f t="shared" si="14"/>
        <v>67.197574206865795</v>
      </c>
      <c r="L89" s="413"/>
      <c r="M89" s="180">
        <f>RANK(K89, K$77:$K$106)</f>
        <v>23</v>
      </c>
      <c r="N89" s="401"/>
      <c r="O89" s="401"/>
      <c r="P89" s="165">
        <v>19</v>
      </c>
      <c r="Q89" s="165">
        <v>1286.0869565217392</v>
      </c>
      <c r="R89" s="165">
        <v>67.688787185354698</v>
      </c>
      <c r="S89" s="181">
        <f t="shared" si="15"/>
        <v>20</v>
      </c>
      <c r="T89" s="430"/>
      <c r="U89" s="165">
        <v>19</v>
      </c>
      <c r="V89" s="165">
        <v>1284.5783132530116</v>
      </c>
      <c r="W89" s="165">
        <v>67.609384908053244</v>
      </c>
      <c r="X89" s="181">
        <f t="shared" si="16"/>
        <v>22</v>
      </c>
      <c r="Y89" s="430"/>
      <c r="Z89" s="165">
        <v>19</v>
      </c>
      <c r="AA89" s="165">
        <v>1258.4615384615379</v>
      </c>
      <c r="AB89" s="165">
        <v>66.234817813765147</v>
      </c>
      <c r="AC89" s="181">
        <f t="shared" si="17"/>
        <v>24</v>
      </c>
      <c r="AD89" s="430"/>
      <c r="AE89" s="165">
        <v>19</v>
      </c>
      <c r="AF89" s="165">
        <v>1251.1999999999991</v>
      </c>
      <c r="AG89" s="165">
        <v>65.852631578947324</v>
      </c>
      <c r="AH89" s="181">
        <f t="shared" si="18"/>
        <v>24</v>
      </c>
      <c r="AI89" s="430"/>
      <c r="AJ89" s="165">
        <v>19</v>
      </c>
      <c r="AK89" s="165">
        <v>1308.4615384615377</v>
      </c>
      <c r="AL89" s="165">
        <v>68.866396761133558</v>
      </c>
      <c r="AM89" s="181">
        <f t="shared" si="19"/>
        <v>22</v>
      </c>
      <c r="AN89" s="430"/>
      <c r="AO89" s="165">
        <v>19</v>
      </c>
      <c r="AP89" s="165">
        <v>1273.0434782608695</v>
      </c>
      <c r="AQ89" s="165">
        <v>67.002288329519445</v>
      </c>
      <c r="AR89" s="181">
        <f t="shared" si="20"/>
        <v>22</v>
      </c>
      <c r="AS89" s="430"/>
      <c r="AT89" s="165">
        <v>19</v>
      </c>
      <c r="AU89" s="165">
        <v>1275.4455445544561</v>
      </c>
      <c r="AV89" s="165">
        <v>67.128712871287163</v>
      </c>
      <c r="AW89" s="181">
        <f t="shared" si="21"/>
        <v>22</v>
      </c>
      <c r="AX89" s="430"/>
    </row>
    <row r="90" spans="2:50">
      <c r="B90" s="400"/>
      <c r="C90" s="181">
        <v>14</v>
      </c>
      <c r="D90" s="196" t="s">
        <v>274</v>
      </c>
      <c r="E90" s="165">
        <v>19</v>
      </c>
      <c r="F90" s="181">
        <v>1636</v>
      </c>
      <c r="G90" s="179">
        <v>86.10526315789474</v>
      </c>
      <c r="H90" s="413"/>
      <c r="I90" s="165">
        <f t="shared" si="12"/>
        <v>19</v>
      </c>
      <c r="J90" s="165">
        <f t="shared" si="13"/>
        <v>1289.5064310477846</v>
      </c>
      <c r="K90" s="179">
        <f t="shared" si="14"/>
        <v>67.868759528830779</v>
      </c>
      <c r="L90" s="413"/>
      <c r="M90" s="180">
        <f>RANK(K90, K$77:$K$106)</f>
        <v>20</v>
      </c>
      <c r="N90" s="401"/>
      <c r="O90" s="401"/>
      <c r="P90" s="165">
        <v>19</v>
      </c>
      <c r="Q90" s="165">
        <v>1294.2857142857129</v>
      </c>
      <c r="R90" s="165">
        <v>68.120300751879626</v>
      </c>
      <c r="S90" s="181">
        <f t="shared" si="15"/>
        <v>19</v>
      </c>
      <c r="T90" s="430"/>
      <c r="U90" s="165">
        <v>19</v>
      </c>
      <c r="V90" s="165">
        <v>1295.2380952380965</v>
      </c>
      <c r="W90" s="165">
        <v>68.170426065162971</v>
      </c>
      <c r="X90" s="181">
        <f t="shared" si="16"/>
        <v>21</v>
      </c>
      <c r="Y90" s="430"/>
      <c r="Z90" s="165">
        <v>19</v>
      </c>
      <c r="AA90" s="165">
        <v>1271.578947368422</v>
      </c>
      <c r="AB90" s="165">
        <v>66.925207756232737</v>
      </c>
      <c r="AC90" s="181">
        <f t="shared" si="17"/>
        <v>23</v>
      </c>
      <c r="AD90" s="430"/>
      <c r="AE90" s="165">
        <v>19</v>
      </c>
      <c r="AF90" s="165">
        <v>1265.0000000000011</v>
      </c>
      <c r="AG90" s="165">
        <v>66.578947368421112</v>
      </c>
      <c r="AH90" s="181">
        <f t="shared" si="18"/>
        <v>22</v>
      </c>
      <c r="AI90" s="430"/>
      <c r="AJ90" s="165">
        <v>19</v>
      </c>
      <c r="AK90" s="165">
        <v>1309.0909090909104</v>
      </c>
      <c r="AL90" s="165">
        <v>68.899521531100547</v>
      </c>
      <c r="AM90" s="181">
        <f t="shared" si="19"/>
        <v>21</v>
      </c>
      <c r="AN90" s="430"/>
      <c r="AO90" s="165">
        <v>19</v>
      </c>
      <c r="AP90" s="165">
        <v>1286.7567567567557</v>
      </c>
      <c r="AQ90" s="165">
        <v>67.724039829302939</v>
      </c>
      <c r="AR90" s="181">
        <f t="shared" si="20"/>
        <v>21</v>
      </c>
      <c r="AS90" s="430"/>
      <c r="AT90" s="165">
        <v>19</v>
      </c>
      <c r="AU90" s="165">
        <v>1304.5945945945937</v>
      </c>
      <c r="AV90" s="165">
        <v>68.662873399715451</v>
      </c>
      <c r="AW90" s="181">
        <f t="shared" si="21"/>
        <v>20</v>
      </c>
      <c r="AX90" s="430"/>
    </row>
    <row r="91" spans="2:50">
      <c r="B91" s="400"/>
      <c r="C91" s="181">
        <v>15</v>
      </c>
      <c r="D91" s="196" t="s">
        <v>275</v>
      </c>
      <c r="E91" s="165">
        <v>20</v>
      </c>
      <c r="F91" s="181">
        <v>1500</v>
      </c>
      <c r="G91" s="179">
        <v>75</v>
      </c>
      <c r="H91" s="413"/>
      <c r="I91" s="165">
        <f t="shared" si="12"/>
        <v>17.857142857142858</v>
      </c>
      <c r="J91" s="165">
        <f t="shared" si="13"/>
        <v>1266.7744334172901</v>
      </c>
      <c r="K91" s="179">
        <f t="shared" si="14"/>
        <v>71.356269192613695</v>
      </c>
      <c r="L91" s="413"/>
      <c r="M91" s="180">
        <f>RANK(K91, K$77:$K$106)</f>
        <v>17</v>
      </c>
      <c r="N91" s="401"/>
      <c r="O91" s="401"/>
      <c r="P91" s="165">
        <v>20</v>
      </c>
      <c r="Q91" s="165">
        <v>1257.3333333333333</v>
      </c>
      <c r="R91" s="165">
        <v>62.86666666666666</v>
      </c>
      <c r="S91" s="181">
        <f t="shared" si="15"/>
        <v>25</v>
      </c>
      <c r="T91" s="430"/>
      <c r="U91" s="165">
        <v>20</v>
      </c>
      <c r="V91" s="165">
        <v>1249.4999999999995</v>
      </c>
      <c r="W91" s="165">
        <v>62.47499999999998</v>
      </c>
      <c r="X91" s="181">
        <f t="shared" si="16"/>
        <v>25</v>
      </c>
      <c r="Y91" s="430"/>
      <c r="Z91" s="165">
        <v>17</v>
      </c>
      <c r="AA91" s="165">
        <v>1290.8108108108099</v>
      </c>
      <c r="AB91" s="165">
        <v>75.930047694753526</v>
      </c>
      <c r="AC91" s="181">
        <f t="shared" si="17"/>
        <v>10</v>
      </c>
      <c r="AD91" s="430"/>
      <c r="AE91" s="165">
        <v>17</v>
      </c>
      <c r="AF91" s="165">
        <v>1288.3333333333321</v>
      </c>
      <c r="AG91" s="165">
        <v>75.784313725490122</v>
      </c>
      <c r="AH91" s="181">
        <f t="shared" si="18"/>
        <v>10</v>
      </c>
      <c r="AI91" s="430"/>
      <c r="AJ91" s="165">
        <v>17</v>
      </c>
      <c r="AK91" s="165">
        <v>1273.8461538461531</v>
      </c>
      <c r="AL91" s="165">
        <v>74.93212669683254</v>
      </c>
      <c r="AM91" s="181">
        <f t="shared" si="19"/>
        <v>13</v>
      </c>
      <c r="AN91" s="430"/>
      <c r="AO91" s="165">
        <v>17</v>
      </c>
      <c r="AP91" s="165">
        <v>1250.4545454545455</v>
      </c>
      <c r="AQ91" s="165">
        <v>73.556149732620327</v>
      </c>
      <c r="AR91" s="181">
        <f t="shared" si="20"/>
        <v>14</v>
      </c>
      <c r="AS91" s="430"/>
      <c r="AT91" s="165">
        <v>17</v>
      </c>
      <c r="AU91" s="165">
        <v>1257.1428571428567</v>
      </c>
      <c r="AV91" s="165">
        <v>73.949579831932738</v>
      </c>
      <c r="AW91" s="181">
        <f t="shared" si="21"/>
        <v>14</v>
      </c>
      <c r="AX91" s="430"/>
    </row>
    <row r="92" spans="2:50">
      <c r="B92" s="400"/>
      <c r="C92" s="181">
        <v>16</v>
      </c>
      <c r="D92" s="196" t="s">
        <v>276</v>
      </c>
      <c r="E92" s="165">
        <v>18</v>
      </c>
      <c r="F92" s="181">
        <v>1500</v>
      </c>
      <c r="G92" s="179">
        <v>83.333333333333329</v>
      </c>
      <c r="H92" s="413"/>
      <c r="I92" s="165">
        <f t="shared" si="12"/>
        <v>17</v>
      </c>
      <c r="J92" s="165">
        <f t="shared" si="13"/>
        <v>1269.0304449634275</v>
      </c>
      <c r="K92" s="179">
        <f t="shared" si="14"/>
        <v>74.648849703731017</v>
      </c>
      <c r="L92" s="413"/>
      <c r="M92" s="180">
        <f>RANK(K92, K$77:$K$106)</f>
        <v>13</v>
      </c>
      <c r="N92" s="401"/>
      <c r="O92" s="401"/>
      <c r="P92" s="165">
        <v>17</v>
      </c>
      <c r="Q92" s="165">
        <v>1263.1578947368412</v>
      </c>
      <c r="R92" s="165">
        <v>74.303405572755366</v>
      </c>
      <c r="S92" s="181">
        <f t="shared" si="15"/>
        <v>11</v>
      </c>
      <c r="T92" s="430"/>
      <c r="U92" s="165">
        <v>17</v>
      </c>
      <c r="V92" s="165">
        <v>1254.7058823529396</v>
      </c>
      <c r="W92" s="165">
        <v>73.806228373702325</v>
      </c>
      <c r="X92" s="181">
        <f t="shared" si="16"/>
        <v>13</v>
      </c>
      <c r="Y92" s="430"/>
      <c r="Z92" s="165">
        <v>17</v>
      </c>
      <c r="AA92" s="165">
        <v>1267.2727272727257</v>
      </c>
      <c r="AB92" s="165">
        <v>74.545454545454447</v>
      </c>
      <c r="AC92" s="181">
        <f t="shared" si="17"/>
        <v>12</v>
      </c>
      <c r="AD92" s="430"/>
      <c r="AE92" s="165">
        <v>17</v>
      </c>
      <c r="AF92" s="165">
        <v>1286.6666666666656</v>
      </c>
      <c r="AG92" s="165">
        <v>75.686274509803866</v>
      </c>
      <c r="AH92" s="181">
        <f t="shared" si="18"/>
        <v>11</v>
      </c>
      <c r="AI92" s="430"/>
      <c r="AJ92" s="165">
        <v>17</v>
      </c>
      <c r="AK92" s="165">
        <v>1255.4999999999995</v>
      </c>
      <c r="AL92" s="165">
        <v>73.852941176470566</v>
      </c>
      <c r="AM92" s="181">
        <f t="shared" si="19"/>
        <v>16</v>
      </c>
      <c r="AN92" s="430"/>
      <c r="AO92" s="165">
        <v>17</v>
      </c>
      <c r="AP92" s="165">
        <v>1249.7560975609751</v>
      </c>
      <c r="AQ92" s="165">
        <v>73.515064562410302</v>
      </c>
      <c r="AR92" s="181">
        <f t="shared" si="20"/>
        <v>15</v>
      </c>
      <c r="AS92" s="430"/>
      <c r="AT92" s="165">
        <v>17</v>
      </c>
      <c r="AU92" s="165">
        <v>1306.1538461538453</v>
      </c>
      <c r="AV92" s="165">
        <v>76.832579185520316</v>
      </c>
      <c r="AW92" s="181">
        <f t="shared" si="21"/>
        <v>10</v>
      </c>
      <c r="AX92" s="430"/>
    </row>
    <row r="93" spans="2:50">
      <c r="B93" s="400"/>
      <c r="C93" s="181">
        <v>17</v>
      </c>
      <c r="D93" s="196" t="s">
        <v>277</v>
      </c>
      <c r="E93" s="165">
        <v>18</v>
      </c>
      <c r="F93" s="181">
        <v>1500</v>
      </c>
      <c r="G93" s="179">
        <v>83.333333333333329</v>
      </c>
      <c r="H93" s="413"/>
      <c r="I93" s="165">
        <f t="shared" si="12"/>
        <v>17</v>
      </c>
      <c r="J93" s="165">
        <f t="shared" si="13"/>
        <v>1274.7597705748976</v>
      </c>
      <c r="K93" s="179">
        <f t="shared" si="14"/>
        <v>74.985868857346915</v>
      </c>
      <c r="L93" s="413"/>
      <c r="M93" s="180">
        <f>RANK(K93, K$77:$K$106)</f>
        <v>11</v>
      </c>
      <c r="N93" s="401"/>
      <c r="O93" s="401"/>
      <c r="P93" s="165">
        <v>17</v>
      </c>
      <c r="Q93" s="165">
        <v>1308.0000000000014</v>
      </c>
      <c r="R93" s="165">
        <v>76.941176470588317</v>
      </c>
      <c r="S93" s="181">
        <f t="shared" si="15"/>
        <v>6</v>
      </c>
      <c r="T93" s="430"/>
      <c r="U93" s="165">
        <v>17</v>
      </c>
      <c r="V93" s="165">
        <v>1304.444444444445</v>
      </c>
      <c r="W93" s="165">
        <v>76.73202614379089</v>
      </c>
      <c r="X93" s="181">
        <f t="shared" si="16"/>
        <v>11</v>
      </c>
      <c r="Y93" s="430"/>
      <c r="Z93" s="165">
        <v>17</v>
      </c>
      <c r="AA93" s="165">
        <v>1267.0588235294124</v>
      </c>
      <c r="AB93" s="165">
        <v>74.532871972318375</v>
      </c>
      <c r="AC93" s="181">
        <f t="shared" si="17"/>
        <v>13</v>
      </c>
      <c r="AD93" s="430"/>
      <c r="AE93" s="165">
        <v>17</v>
      </c>
      <c r="AF93" s="165">
        <v>1263.5294117647065</v>
      </c>
      <c r="AG93" s="165">
        <v>74.325259515570977</v>
      </c>
      <c r="AH93" s="181">
        <f t="shared" si="18"/>
        <v>15</v>
      </c>
      <c r="AI93" s="430"/>
      <c r="AJ93" s="165">
        <v>17</v>
      </c>
      <c r="AK93" s="165">
        <v>1266.0000000000011</v>
      </c>
      <c r="AL93" s="165">
        <v>74.470588235294187</v>
      </c>
      <c r="AM93" s="181">
        <f t="shared" si="19"/>
        <v>14</v>
      </c>
      <c r="AN93" s="430"/>
      <c r="AO93" s="165">
        <v>17</v>
      </c>
      <c r="AP93" s="165">
        <v>1257.1428571428585</v>
      </c>
      <c r="AQ93" s="165">
        <v>73.949579831932851</v>
      </c>
      <c r="AR93" s="181">
        <f t="shared" si="20"/>
        <v>13</v>
      </c>
      <c r="AS93" s="430"/>
      <c r="AT93" s="165">
        <v>17</v>
      </c>
      <c r="AU93" s="165">
        <v>1257.1428571428585</v>
      </c>
      <c r="AV93" s="165">
        <v>73.949579831932851</v>
      </c>
      <c r="AW93" s="181">
        <f t="shared" si="21"/>
        <v>13</v>
      </c>
      <c r="AX93" s="430"/>
    </row>
    <row r="94" spans="2:50">
      <c r="B94" s="400"/>
      <c r="C94" s="181">
        <v>18</v>
      </c>
      <c r="D94" s="196" t="s">
        <v>278</v>
      </c>
      <c r="E94" s="165">
        <v>17</v>
      </c>
      <c r="F94" s="181">
        <v>1440</v>
      </c>
      <c r="G94" s="179">
        <v>84.705882352941174</v>
      </c>
      <c r="H94" s="413"/>
      <c r="I94" s="165">
        <f t="shared" si="12"/>
        <v>18</v>
      </c>
      <c r="J94" s="165">
        <f t="shared" si="13"/>
        <v>1331.121963900541</v>
      </c>
      <c r="K94" s="179">
        <f t="shared" si="14"/>
        <v>73.951220216696711</v>
      </c>
      <c r="L94" s="413"/>
      <c r="M94" s="180">
        <f>RANK(K94, K$77:$K$106)</f>
        <v>14</v>
      </c>
      <c r="N94" s="401"/>
      <c r="O94" s="401"/>
      <c r="P94" s="165">
        <v>18</v>
      </c>
      <c r="Q94" s="165">
        <v>1328.906024096385</v>
      </c>
      <c r="R94" s="165">
        <v>73.828112449799164</v>
      </c>
      <c r="S94" s="181">
        <f t="shared" si="15"/>
        <v>13</v>
      </c>
      <c r="T94" s="430"/>
      <c r="U94" s="165">
        <v>18</v>
      </c>
      <c r="V94" s="165">
        <v>1311.627906976744</v>
      </c>
      <c r="W94" s="165">
        <v>72.868217054263553</v>
      </c>
      <c r="X94" s="181">
        <f t="shared" si="16"/>
        <v>14</v>
      </c>
      <c r="Y94" s="430"/>
      <c r="Z94" s="165">
        <v>18</v>
      </c>
      <c r="AA94" s="165">
        <v>1336.2162162162151</v>
      </c>
      <c r="AB94" s="165">
        <v>74.234234234234179</v>
      </c>
      <c r="AC94" s="181">
        <f t="shared" si="17"/>
        <v>14</v>
      </c>
      <c r="AD94" s="430"/>
      <c r="AE94" s="165">
        <v>18</v>
      </c>
      <c r="AF94" s="165">
        <v>1348.799999999999</v>
      </c>
      <c r="AG94" s="165">
        <v>74.93333333333328</v>
      </c>
      <c r="AH94" s="181">
        <f t="shared" si="18"/>
        <v>14</v>
      </c>
      <c r="AI94" s="430"/>
      <c r="AJ94" s="165">
        <v>18</v>
      </c>
      <c r="AK94" s="165">
        <v>1335.1807228915657</v>
      </c>
      <c r="AL94" s="165">
        <v>74.176706827309204</v>
      </c>
      <c r="AM94" s="181">
        <f t="shared" si="19"/>
        <v>15</v>
      </c>
      <c r="AN94" s="430"/>
      <c r="AO94" s="165">
        <v>18</v>
      </c>
      <c r="AP94" s="165">
        <v>1344.3956043956043</v>
      </c>
      <c r="AQ94" s="165">
        <v>74.688644688644686</v>
      </c>
      <c r="AR94" s="181">
        <f t="shared" si="20"/>
        <v>12</v>
      </c>
      <c r="AS94" s="430"/>
      <c r="AT94" s="165">
        <v>18</v>
      </c>
      <c r="AU94" s="165">
        <v>1312.7272727272732</v>
      </c>
      <c r="AV94" s="165">
        <v>72.929292929292956</v>
      </c>
      <c r="AW94" s="181">
        <f t="shared" si="21"/>
        <v>15</v>
      </c>
      <c r="AX94" s="430"/>
    </row>
    <row r="95" spans="2:50">
      <c r="B95" s="400"/>
      <c r="C95" s="181">
        <v>19</v>
      </c>
      <c r="D95" s="196" t="s">
        <v>279</v>
      </c>
      <c r="E95" s="165">
        <v>15</v>
      </c>
      <c r="F95" s="181">
        <v>1440</v>
      </c>
      <c r="G95" s="179">
        <v>96</v>
      </c>
      <c r="H95" s="413"/>
      <c r="I95" s="165">
        <f t="shared" si="12"/>
        <v>15.285714285714286</v>
      </c>
      <c r="J95" s="165">
        <f t="shared" si="13"/>
        <v>1293.8270426795132</v>
      </c>
      <c r="K95" s="179">
        <f t="shared" si="14"/>
        <v>84.712824390905425</v>
      </c>
      <c r="L95" s="413"/>
      <c r="M95" s="180">
        <f>RANK(K95, K$77:$K$106)</f>
        <v>4</v>
      </c>
      <c r="N95" s="401"/>
      <c r="O95" s="401"/>
      <c r="P95" s="165">
        <v>15</v>
      </c>
      <c r="Q95" s="165">
        <v>1266.7605633802805</v>
      </c>
      <c r="R95" s="165">
        <v>84.450704225352027</v>
      </c>
      <c r="S95" s="181">
        <f t="shared" si="15"/>
        <v>4</v>
      </c>
      <c r="T95" s="430"/>
      <c r="U95" s="165">
        <v>15</v>
      </c>
      <c r="V95" s="165">
        <v>1311.2903225806463</v>
      </c>
      <c r="W95" s="165">
        <v>87.419354838709751</v>
      </c>
      <c r="X95" s="181">
        <f t="shared" si="16"/>
        <v>4</v>
      </c>
      <c r="Y95" s="430"/>
      <c r="Z95" s="165">
        <v>15</v>
      </c>
      <c r="AA95" s="165">
        <v>1271.578947368422</v>
      </c>
      <c r="AB95" s="165">
        <v>84.771929824561468</v>
      </c>
      <c r="AC95" s="181">
        <f t="shared" si="17"/>
        <v>5</v>
      </c>
      <c r="AD95" s="430"/>
      <c r="AE95" s="165">
        <v>15</v>
      </c>
      <c r="AF95" s="165">
        <v>1306.2295081967225</v>
      </c>
      <c r="AG95" s="165">
        <v>87.081967213114837</v>
      </c>
      <c r="AH95" s="181">
        <f t="shared" si="18"/>
        <v>4</v>
      </c>
      <c r="AI95" s="430"/>
      <c r="AJ95" s="165">
        <v>15</v>
      </c>
      <c r="AK95" s="165">
        <v>1309.8461538461554</v>
      </c>
      <c r="AL95" s="165">
        <v>87.323076923077025</v>
      </c>
      <c r="AM95" s="181">
        <f t="shared" si="19"/>
        <v>4</v>
      </c>
      <c r="AN95" s="430"/>
      <c r="AO95" s="165">
        <v>16</v>
      </c>
      <c r="AP95" s="165">
        <v>1313.823529411763</v>
      </c>
      <c r="AQ95" s="165">
        <v>82.11397058823519</v>
      </c>
      <c r="AR95" s="181">
        <f t="shared" si="20"/>
        <v>5</v>
      </c>
      <c r="AS95" s="430"/>
      <c r="AT95" s="165">
        <v>16</v>
      </c>
      <c r="AU95" s="165">
        <v>1277.2602739726019</v>
      </c>
      <c r="AV95" s="165">
        <v>79.828767123287619</v>
      </c>
      <c r="AW95" s="181">
        <f t="shared" si="21"/>
        <v>8</v>
      </c>
      <c r="AX95" s="430"/>
    </row>
    <row r="96" spans="2:50">
      <c r="B96" s="400"/>
      <c r="C96" s="181">
        <v>20</v>
      </c>
      <c r="D96" s="196" t="s">
        <v>280</v>
      </c>
      <c r="E96" s="165">
        <v>17</v>
      </c>
      <c r="F96" s="181">
        <v>1440</v>
      </c>
      <c r="G96" s="179">
        <v>84.705882352941174</v>
      </c>
      <c r="H96" s="413"/>
      <c r="I96" s="165">
        <f t="shared" si="12"/>
        <v>17</v>
      </c>
      <c r="J96" s="165">
        <f t="shared" si="13"/>
        <v>1338.6896129271554</v>
      </c>
      <c r="K96" s="179">
        <f t="shared" si="14"/>
        <v>78.746447819244423</v>
      </c>
      <c r="L96" s="413"/>
      <c r="M96" s="180">
        <f>RANK(K96, K$77:$K$106)</f>
        <v>7</v>
      </c>
      <c r="N96" s="401"/>
      <c r="O96" s="401"/>
      <c r="P96" s="165">
        <v>17</v>
      </c>
      <c r="Q96" s="165">
        <v>1306.7796610169485</v>
      </c>
      <c r="R96" s="165">
        <v>76.869391824526375</v>
      </c>
      <c r="S96" s="181">
        <f t="shared" si="15"/>
        <v>7</v>
      </c>
      <c r="T96" s="430"/>
      <c r="U96" s="165">
        <v>17</v>
      </c>
      <c r="V96" s="165">
        <v>1322.8846153846162</v>
      </c>
      <c r="W96" s="165">
        <v>77.816742081448012</v>
      </c>
      <c r="X96" s="181">
        <f t="shared" si="16"/>
        <v>9</v>
      </c>
      <c r="Y96" s="430"/>
      <c r="Z96" s="165">
        <v>17</v>
      </c>
      <c r="AA96" s="165">
        <v>1325.744680851064</v>
      </c>
      <c r="AB96" s="165">
        <v>77.984981226533179</v>
      </c>
      <c r="AC96" s="181">
        <f t="shared" si="17"/>
        <v>9</v>
      </c>
      <c r="AD96" s="430"/>
      <c r="AE96" s="165">
        <v>17</v>
      </c>
      <c r="AF96" s="165">
        <v>1362.8571428571429</v>
      </c>
      <c r="AG96" s="165">
        <v>80.168067226890756</v>
      </c>
      <c r="AH96" s="181">
        <f t="shared" si="18"/>
        <v>6</v>
      </c>
      <c r="AI96" s="430"/>
      <c r="AJ96" s="165">
        <v>17</v>
      </c>
      <c r="AK96" s="165">
        <v>1341.2903225806454</v>
      </c>
      <c r="AL96" s="165">
        <v>78.899430740037957</v>
      </c>
      <c r="AM96" s="181">
        <f t="shared" si="19"/>
        <v>8</v>
      </c>
      <c r="AN96" s="430"/>
      <c r="AO96" s="165">
        <v>17</v>
      </c>
      <c r="AP96" s="165">
        <v>1351.9266055045882</v>
      </c>
      <c r="AQ96" s="165">
        <v>79.52509444144637</v>
      </c>
      <c r="AR96" s="181">
        <f t="shared" si="20"/>
        <v>8</v>
      </c>
      <c r="AS96" s="430"/>
      <c r="AT96" s="165">
        <v>17</v>
      </c>
      <c r="AU96" s="165">
        <v>1359.3442622950815</v>
      </c>
      <c r="AV96" s="165">
        <v>79.961427193828328</v>
      </c>
      <c r="AW96" s="181">
        <f t="shared" si="21"/>
        <v>7</v>
      </c>
      <c r="AX96" s="430"/>
    </row>
    <row r="97" spans="2:50">
      <c r="B97" s="400"/>
      <c r="C97" s="181">
        <v>21</v>
      </c>
      <c r="D97" s="196" t="s">
        <v>281</v>
      </c>
      <c r="E97" s="165">
        <v>18</v>
      </c>
      <c r="F97" s="181">
        <v>1636</v>
      </c>
      <c r="G97" s="179">
        <v>90.888888888888886</v>
      </c>
      <c r="H97" s="413"/>
      <c r="I97" s="165">
        <f t="shared" si="12"/>
        <v>16.142857142857142</v>
      </c>
      <c r="J97" s="165">
        <f t="shared" si="13"/>
        <v>1281.0076345942423</v>
      </c>
      <c r="K97" s="179">
        <f t="shared" si="14"/>
        <v>79.403423867137946</v>
      </c>
      <c r="L97" s="413"/>
      <c r="M97" s="180">
        <f>RANK(K97, K$77:$K$106)</f>
        <v>6</v>
      </c>
      <c r="N97" s="401"/>
      <c r="O97" s="401"/>
      <c r="P97" s="165">
        <v>17</v>
      </c>
      <c r="Q97" s="165">
        <v>1255.7894736842115</v>
      </c>
      <c r="R97" s="165">
        <v>73.869969040247739</v>
      </c>
      <c r="S97" s="181">
        <f t="shared" si="15"/>
        <v>12</v>
      </c>
      <c r="T97" s="430"/>
      <c r="U97" s="165">
        <v>16</v>
      </c>
      <c r="V97" s="165">
        <v>1248.2142857142867</v>
      </c>
      <c r="W97" s="165">
        <v>78.013392857142918</v>
      </c>
      <c r="X97" s="181">
        <f t="shared" si="16"/>
        <v>8</v>
      </c>
      <c r="Y97" s="430"/>
      <c r="Z97" s="165">
        <v>16</v>
      </c>
      <c r="AA97" s="165">
        <v>1312.8000000000004</v>
      </c>
      <c r="AB97" s="165">
        <v>82.050000000000026</v>
      </c>
      <c r="AC97" s="181">
        <f t="shared" si="17"/>
        <v>6</v>
      </c>
      <c r="AD97" s="430"/>
      <c r="AE97" s="165">
        <v>16</v>
      </c>
      <c r="AF97" s="165">
        <v>1265.882352941177</v>
      </c>
      <c r="AG97" s="165">
        <v>79.117647058823565</v>
      </c>
      <c r="AH97" s="181">
        <f t="shared" si="18"/>
        <v>7</v>
      </c>
      <c r="AI97" s="430"/>
      <c r="AJ97" s="165">
        <v>16</v>
      </c>
      <c r="AK97" s="165">
        <v>1293.103448275863</v>
      </c>
      <c r="AL97" s="165">
        <v>80.818965517241438</v>
      </c>
      <c r="AM97" s="181">
        <f t="shared" si="19"/>
        <v>6</v>
      </c>
      <c r="AN97" s="430"/>
      <c r="AO97" s="165">
        <v>16</v>
      </c>
      <c r="AP97" s="165">
        <v>1292.9032258064528</v>
      </c>
      <c r="AQ97" s="165">
        <v>80.806451612903302</v>
      </c>
      <c r="AR97" s="181">
        <f t="shared" si="20"/>
        <v>6</v>
      </c>
      <c r="AS97" s="430"/>
      <c r="AT97" s="165">
        <v>16</v>
      </c>
      <c r="AU97" s="165">
        <v>1298.3606557377061</v>
      </c>
      <c r="AV97" s="165">
        <v>81.147540983606632</v>
      </c>
      <c r="AW97" s="181">
        <f t="shared" si="21"/>
        <v>5</v>
      </c>
      <c r="AX97" s="430"/>
    </row>
    <row r="98" spans="2:50">
      <c r="B98" s="400"/>
      <c r="C98" s="181">
        <v>22</v>
      </c>
      <c r="D98" s="196" t="s">
        <v>282</v>
      </c>
      <c r="E98" s="165">
        <v>18</v>
      </c>
      <c r="F98" s="181">
        <v>1440</v>
      </c>
      <c r="G98" s="179">
        <v>80</v>
      </c>
      <c r="H98" s="413"/>
      <c r="I98" s="165">
        <f t="shared" si="12"/>
        <v>18</v>
      </c>
      <c r="J98" s="165">
        <f t="shared" si="13"/>
        <v>1280.1077747882953</v>
      </c>
      <c r="K98" s="179">
        <f t="shared" si="14"/>
        <v>71.117098599349731</v>
      </c>
      <c r="L98" s="413"/>
      <c r="M98" s="180">
        <f>RANK(K98, K$77:$K$106)</f>
        <v>19</v>
      </c>
      <c r="N98" s="401"/>
      <c r="O98" s="401"/>
      <c r="P98" s="165">
        <v>18</v>
      </c>
      <c r="Q98" s="165">
        <v>1277.8021978021977</v>
      </c>
      <c r="R98" s="165">
        <v>70.989010989010978</v>
      </c>
      <c r="S98" s="181">
        <f t="shared" si="15"/>
        <v>16</v>
      </c>
      <c r="T98" s="430"/>
      <c r="U98" s="165">
        <v>18</v>
      </c>
      <c r="V98" s="165">
        <v>1252.1428571428569</v>
      </c>
      <c r="W98" s="165">
        <v>69.563492063492049</v>
      </c>
      <c r="X98" s="181">
        <f t="shared" si="16"/>
        <v>18</v>
      </c>
      <c r="Y98" s="430"/>
      <c r="Z98" s="165">
        <v>18</v>
      </c>
      <c r="AA98" s="165">
        <v>1263.2432432432422</v>
      </c>
      <c r="AB98" s="165">
        <v>70.180180180180116</v>
      </c>
      <c r="AC98" s="181">
        <f t="shared" si="17"/>
        <v>18</v>
      </c>
      <c r="AD98" s="430"/>
      <c r="AE98" s="165">
        <v>18</v>
      </c>
      <c r="AF98" s="165">
        <v>1315.8333333333323</v>
      </c>
      <c r="AG98" s="165">
        <v>73.101851851851791</v>
      </c>
      <c r="AH98" s="181">
        <f t="shared" si="18"/>
        <v>17</v>
      </c>
      <c r="AI98" s="430"/>
      <c r="AJ98" s="165">
        <v>18</v>
      </c>
      <c r="AK98" s="165">
        <v>1288.1481481481478</v>
      </c>
      <c r="AL98" s="165">
        <v>71.563786008230437</v>
      </c>
      <c r="AM98" s="181">
        <f t="shared" si="19"/>
        <v>18</v>
      </c>
      <c r="AN98" s="430"/>
      <c r="AO98" s="165">
        <v>18</v>
      </c>
      <c r="AP98" s="165">
        <v>1265.1063829787236</v>
      </c>
      <c r="AQ98" s="165">
        <v>70.283687943262422</v>
      </c>
      <c r="AR98" s="181">
        <f t="shared" si="20"/>
        <v>18</v>
      </c>
      <c r="AS98" s="430"/>
      <c r="AT98" s="165">
        <v>18</v>
      </c>
      <c r="AU98" s="165">
        <v>1298.4782608695652</v>
      </c>
      <c r="AV98" s="165">
        <v>72.137681159420296</v>
      </c>
      <c r="AW98" s="181">
        <f t="shared" si="21"/>
        <v>16</v>
      </c>
      <c r="AX98" s="430"/>
    </row>
    <row r="99" spans="2:50">
      <c r="B99" s="400"/>
      <c r="C99" s="181">
        <v>23</v>
      </c>
      <c r="D99" s="196" t="s">
        <v>283</v>
      </c>
      <c r="E99" s="165">
        <v>17</v>
      </c>
      <c r="F99" s="181">
        <v>1500</v>
      </c>
      <c r="G99" s="179">
        <v>88.235294117647058</v>
      </c>
      <c r="H99" s="413"/>
      <c r="I99" s="165">
        <f t="shared" si="12"/>
        <v>16</v>
      </c>
      <c r="J99" s="165">
        <f t="shared" si="13"/>
        <v>1075.0487394958022</v>
      </c>
      <c r="K99" s="179">
        <f t="shared" si="14"/>
        <v>67.19054621848764</v>
      </c>
      <c r="L99" s="413"/>
      <c r="M99" s="180">
        <f>RANK(K99, K$77:$K$106)</f>
        <v>24</v>
      </c>
      <c r="N99" s="401"/>
      <c r="O99" s="401"/>
      <c r="P99" s="165">
        <v>16</v>
      </c>
      <c r="Q99" s="165">
        <v>1045.7142857142894</v>
      </c>
      <c r="R99" s="165">
        <v>65.357142857143089</v>
      </c>
      <c r="S99" s="181">
        <f t="shared" si="15"/>
        <v>23</v>
      </c>
      <c r="T99" s="430"/>
      <c r="U99" s="165">
        <v>16</v>
      </c>
      <c r="V99" s="165">
        <v>1101.1764705882392</v>
      </c>
      <c r="W99" s="165">
        <v>68.823529411764952</v>
      </c>
      <c r="X99" s="181">
        <f t="shared" si="16"/>
        <v>19</v>
      </c>
      <c r="Y99" s="430"/>
      <c r="Z99" s="165">
        <v>16</v>
      </c>
      <c r="AA99" s="165">
        <v>1096.0000000000041</v>
      </c>
      <c r="AB99" s="165">
        <v>68.500000000000256</v>
      </c>
      <c r="AC99" s="181">
        <f t="shared" si="17"/>
        <v>20</v>
      </c>
      <c r="AD99" s="430"/>
      <c r="AE99" s="165">
        <v>16</v>
      </c>
      <c r="AF99" s="165">
        <v>1062.3529411764744</v>
      </c>
      <c r="AG99" s="165">
        <v>66.397058823529647</v>
      </c>
      <c r="AH99" s="181">
        <f t="shared" si="18"/>
        <v>23</v>
      </c>
      <c r="AI99" s="430"/>
      <c r="AJ99" s="165">
        <v>16</v>
      </c>
      <c r="AK99" s="165">
        <v>1070.0000000000039</v>
      </c>
      <c r="AL99" s="165">
        <v>66.875000000000242</v>
      </c>
      <c r="AM99" s="181">
        <f t="shared" si="19"/>
        <v>23</v>
      </c>
      <c r="AN99" s="430"/>
      <c r="AO99" s="165"/>
      <c r="AP99" s="165"/>
      <c r="AQ99" s="165"/>
      <c r="AR99" s="181" t="e">
        <f t="shared" si="20"/>
        <v>#N/A</v>
      </c>
      <c r="AS99" s="430"/>
      <c r="AT99" s="165"/>
      <c r="AU99" s="165"/>
      <c r="AV99" s="165"/>
      <c r="AW99" s="181" t="e">
        <f t="shared" si="21"/>
        <v>#N/A</v>
      </c>
      <c r="AX99" s="430"/>
    </row>
    <row r="100" spans="2:50">
      <c r="B100" s="400"/>
      <c r="C100" s="181">
        <v>24</v>
      </c>
      <c r="D100" s="196" t="s">
        <v>284</v>
      </c>
      <c r="E100" s="165">
        <v>18</v>
      </c>
      <c r="F100" s="181">
        <v>1500</v>
      </c>
      <c r="G100" s="179">
        <v>83.333333333333329</v>
      </c>
      <c r="H100" s="413"/>
      <c r="I100" s="165">
        <f t="shared" si="12"/>
        <v>18</v>
      </c>
      <c r="J100" s="165">
        <f t="shared" si="13"/>
        <v>1288.8983105030159</v>
      </c>
      <c r="K100" s="179">
        <f t="shared" si="14"/>
        <v>71.605461694611989</v>
      </c>
      <c r="L100" s="413"/>
      <c r="M100" s="180">
        <f>RANK(K100, K$77:$K$106)</f>
        <v>16</v>
      </c>
      <c r="N100" s="401"/>
      <c r="O100" s="401"/>
      <c r="P100" s="165">
        <v>18</v>
      </c>
      <c r="Q100" s="165">
        <v>1277.3076923076931</v>
      </c>
      <c r="R100" s="165">
        <v>70.96153846153851</v>
      </c>
      <c r="S100" s="181">
        <f t="shared" si="15"/>
        <v>17</v>
      </c>
      <c r="T100" s="430"/>
      <c r="U100" s="165">
        <v>18</v>
      </c>
      <c r="V100" s="165">
        <v>1299.5744680851067</v>
      </c>
      <c r="W100" s="165">
        <v>72.198581560283699</v>
      </c>
      <c r="X100" s="181">
        <f t="shared" si="16"/>
        <v>15</v>
      </c>
      <c r="Y100" s="430"/>
      <c r="Z100" s="165">
        <v>18</v>
      </c>
      <c r="AA100" s="165">
        <v>1299.3103448275861</v>
      </c>
      <c r="AB100" s="165">
        <v>72.183908045977006</v>
      </c>
      <c r="AC100" s="181">
        <f t="shared" si="17"/>
        <v>16</v>
      </c>
      <c r="AD100" s="430"/>
      <c r="AE100" s="165">
        <v>18</v>
      </c>
      <c r="AF100" s="165">
        <v>1272.8089887640449</v>
      </c>
      <c r="AG100" s="165">
        <v>70.711610486891388</v>
      </c>
      <c r="AH100" s="181">
        <f t="shared" si="18"/>
        <v>18</v>
      </c>
      <c r="AI100" s="430"/>
      <c r="AJ100" s="165">
        <v>18</v>
      </c>
      <c r="AK100" s="165">
        <v>1293.7500000000005</v>
      </c>
      <c r="AL100" s="165">
        <v>71.875000000000028</v>
      </c>
      <c r="AM100" s="181">
        <f t="shared" si="19"/>
        <v>17</v>
      </c>
      <c r="AN100" s="430"/>
      <c r="AO100" s="165">
        <v>18</v>
      </c>
      <c r="AP100" s="165">
        <v>1311.428571428572</v>
      </c>
      <c r="AQ100" s="165">
        <v>72.85714285714289</v>
      </c>
      <c r="AR100" s="181">
        <f t="shared" si="20"/>
        <v>17</v>
      </c>
      <c r="AS100" s="430"/>
      <c r="AT100" s="165">
        <v>18</v>
      </c>
      <c r="AU100" s="165">
        <v>1268.1081081081072</v>
      </c>
      <c r="AV100" s="165">
        <v>70.450450450450404</v>
      </c>
      <c r="AW100" s="181">
        <f t="shared" si="21"/>
        <v>18</v>
      </c>
      <c r="AX100" s="430"/>
    </row>
    <row r="101" spans="2:50">
      <c r="B101" s="400"/>
      <c r="C101" s="181">
        <v>25</v>
      </c>
      <c r="D101" s="196" t="s">
        <v>285</v>
      </c>
      <c r="E101" s="165">
        <v>18</v>
      </c>
      <c r="F101" s="181">
        <v>1636</v>
      </c>
      <c r="G101" s="179">
        <v>90.888888888888886</v>
      </c>
      <c r="H101" s="413"/>
      <c r="I101" s="165">
        <f>AVERAGE(P101,U101,Z101,AE101,AJ101,AO101,AT101)</f>
        <v>16.571428571428573</v>
      </c>
      <c r="J101" s="165">
        <f>AVERAGE(Q101,V101,AA101,AF101,AK101,AP101,AU101)</f>
        <v>1295.5611924873926</v>
      </c>
      <c r="K101" s="179">
        <f>AVERAGE(R101,W101,AB101,AG101,AL101,AQ101,AV101)</f>
        <v>78.537336577875166</v>
      </c>
      <c r="L101" s="413"/>
      <c r="M101" s="180">
        <f>RANK(K101, K$77:$K$106)</f>
        <v>8</v>
      </c>
      <c r="N101" s="401"/>
      <c r="O101" s="401"/>
      <c r="P101" s="165">
        <v>18</v>
      </c>
      <c r="Q101" s="165">
        <v>1284.2553191489365</v>
      </c>
      <c r="R101" s="165">
        <v>71.347517730496463</v>
      </c>
      <c r="S101" s="181">
        <f t="shared" si="15"/>
        <v>15</v>
      </c>
      <c r="T101" s="430"/>
      <c r="U101" s="165">
        <v>15</v>
      </c>
      <c r="V101" s="165">
        <v>1306.2650602409633</v>
      </c>
      <c r="W101" s="165">
        <v>87.084337349397558</v>
      </c>
      <c r="X101" s="181">
        <f t="shared" si="16"/>
        <v>5</v>
      </c>
      <c r="Y101" s="430"/>
      <c r="Z101" s="165">
        <v>15</v>
      </c>
      <c r="AA101" s="165">
        <v>1306.451612903227</v>
      </c>
      <c r="AB101" s="165">
        <v>87.09677419354847</v>
      </c>
      <c r="AC101" s="181">
        <f t="shared" si="17"/>
        <v>4</v>
      </c>
      <c r="AD101" s="430"/>
      <c r="AE101" s="165">
        <v>17</v>
      </c>
      <c r="AF101" s="165">
        <v>1278.3333333333323</v>
      </c>
      <c r="AG101" s="165">
        <v>75.196078431372484</v>
      </c>
      <c r="AH101" s="181">
        <f t="shared" si="18"/>
        <v>13</v>
      </c>
      <c r="AI101" s="430"/>
      <c r="AJ101" s="165">
        <v>17</v>
      </c>
      <c r="AK101" s="165">
        <v>1291.1392405063284</v>
      </c>
      <c r="AL101" s="165">
        <v>75.949367088607559</v>
      </c>
      <c r="AM101" s="181">
        <f t="shared" si="19"/>
        <v>10</v>
      </c>
      <c r="AN101" s="430"/>
      <c r="AO101" s="165">
        <v>17</v>
      </c>
      <c r="AP101" s="165">
        <v>1309.2307692307684</v>
      </c>
      <c r="AQ101" s="165">
        <v>77.013574660633438</v>
      </c>
      <c r="AR101" s="181">
        <f t="shared" si="20"/>
        <v>10</v>
      </c>
      <c r="AS101" s="430"/>
      <c r="AT101" s="165">
        <v>17</v>
      </c>
      <c r="AU101" s="165">
        <v>1293.2530120481924</v>
      </c>
      <c r="AV101" s="165">
        <v>76.073706591070149</v>
      </c>
      <c r="AW101" s="181">
        <f t="shared" si="21"/>
        <v>11</v>
      </c>
      <c r="AX101" s="430"/>
    </row>
    <row r="102" spans="2:50">
      <c r="B102" s="400"/>
      <c r="C102" s="181">
        <v>26</v>
      </c>
      <c r="D102" s="196"/>
      <c r="E102" s="165"/>
      <c r="F102" s="181"/>
      <c r="G102" s="179"/>
      <c r="H102" s="413"/>
      <c r="I102" s="165"/>
      <c r="J102" s="165"/>
      <c r="K102" s="179"/>
      <c r="L102" s="413"/>
      <c r="M102" s="180" t="e">
        <f>RANK(K102, K$77:$K$106)</f>
        <v>#N/A</v>
      </c>
      <c r="N102" s="401"/>
      <c r="O102" s="401"/>
      <c r="P102" s="181"/>
      <c r="Q102" s="179"/>
      <c r="R102" s="179"/>
      <c r="S102" s="181" t="e">
        <f t="shared" si="15"/>
        <v>#N/A</v>
      </c>
      <c r="T102" s="430"/>
      <c r="U102" s="181"/>
      <c r="V102" s="179"/>
      <c r="W102" s="179"/>
      <c r="X102" s="181" t="e">
        <f t="shared" si="16"/>
        <v>#N/A</v>
      </c>
      <c r="Y102" s="430"/>
      <c r="Z102" s="181"/>
      <c r="AA102" s="179"/>
      <c r="AB102" s="179"/>
      <c r="AC102" s="181" t="e">
        <f t="shared" si="17"/>
        <v>#N/A</v>
      </c>
      <c r="AD102" s="430"/>
      <c r="AE102" s="181"/>
      <c r="AF102" s="179"/>
      <c r="AG102" s="179"/>
      <c r="AH102" s="181" t="e">
        <f t="shared" si="18"/>
        <v>#N/A</v>
      </c>
      <c r="AI102" s="430"/>
      <c r="AJ102" s="181"/>
      <c r="AK102" s="179"/>
      <c r="AL102" s="179"/>
      <c r="AM102" s="181" t="e">
        <f t="shared" si="19"/>
        <v>#N/A</v>
      </c>
      <c r="AN102" s="430"/>
      <c r="AO102" s="181"/>
      <c r="AP102" s="179"/>
      <c r="AQ102" s="179"/>
      <c r="AR102" s="181" t="e">
        <f t="shared" si="20"/>
        <v>#N/A</v>
      </c>
      <c r="AS102" s="430"/>
      <c r="AT102" s="181"/>
      <c r="AU102" s="179"/>
      <c r="AV102" s="179"/>
      <c r="AW102" s="181" t="e">
        <f t="shared" si="21"/>
        <v>#N/A</v>
      </c>
      <c r="AX102" s="430"/>
    </row>
    <row r="103" spans="2:50">
      <c r="B103" s="400"/>
      <c r="C103" s="181">
        <v>27</v>
      </c>
      <c r="D103" s="196"/>
      <c r="E103" s="165"/>
      <c r="F103" s="181"/>
      <c r="G103" s="179"/>
      <c r="H103" s="413"/>
      <c r="I103" s="165"/>
      <c r="J103" s="165"/>
      <c r="K103" s="179"/>
      <c r="L103" s="413"/>
      <c r="M103" s="180" t="e">
        <f>RANK(K103, K$77:$K$106)</f>
        <v>#N/A</v>
      </c>
      <c r="N103" s="401"/>
      <c r="O103" s="401"/>
      <c r="P103" s="181"/>
      <c r="Q103" s="179"/>
      <c r="R103" s="179"/>
      <c r="S103" s="181" t="e">
        <f t="shared" si="15"/>
        <v>#N/A</v>
      </c>
      <c r="T103" s="430"/>
      <c r="U103" s="181"/>
      <c r="V103" s="179"/>
      <c r="W103" s="179"/>
      <c r="X103" s="181" t="e">
        <f t="shared" si="16"/>
        <v>#N/A</v>
      </c>
      <c r="Y103" s="430"/>
      <c r="Z103" s="181"/>
      <c r="AA103" s="179"/>
      <c r="AB103" s="179"/>
      <c r="AC103" s="181" t="e">
        <f t="shared" si="17"/>
        <v>#N/A</v>
      </c>
      <c r="AD103" s="430"/>
      <c r="AE103" s="181"/>
      <c r="AF103" s="179"/>
      <c r="AG103" s="179"/>
      <c r="AH103" s="181" t="e">
        <f t="shared" si="18"/>
        <v>#N/A</v>
      </c>
      <c r="AI103" s="430"/>
      <c r="AJ103" s="181"/>
      <c r="AK103" s="179"/>
      <c r="AL103" s="179"/>
      <c r="AM103" s="181" t="e">
        <f t="shared" si="19"/>
        <v>#N/A</v>
      </c>
      <c r="AN103" s="430"/>
      <c r="AO103" s="181"/>
      <c r="AP103" s="179"/>
      <c r="AQ103" s="179"/>
      <c r="AR103" s="181" t="e">
        <f t="shared" si="20"/>
        <v>#N/A</v>
      </c>
      <c r="AS103" s="430"/>
      <c r="AT103" s="181"/>
      <c r="AU103" s="179"/>
      <c r="AV103" s="179"/>
      <c r="AW103" s="181" t="e">
        <f t="shared" si="21"/>
        <v>#N/A</v>
      </c>
      <c r="AX103" s="430"/>
    </row>
    <row r="104" spans="2:50">
      <c r="B104" s="400"/>
      <c r="C104" s="181">
        <v>28</v>
      </c>
      <c r="D104" s="196"/>
      <c r="E104" s="165"/>
      <c r="F104" s="181"/>
      <c r="G104" s="179"/>
      <c r="H104" s="413"/>
      <c r="I104" s="165"/>
      <c r="J104" s="165"/>
      <c r="K104" s="179"/>
      <c r="L104" s="413"/>
      <c r="M104" s="180" t="e">
        <f>RANK(K104, K$77:$K$106)</f>
        <v>#N/A</v>
      </c>
      <c r="N104" s="401"/>
      <c r="O104" s="401"/>
      <c r="P104" s="181"/>
      <c r="Q104" s="179"/>
      <c r="R104" s="179"/>
      <c r="S104" s="181" t="e">
        <f t="shared" si="15"/>
        <v>#N/A</v>
      </c>
      <c r="T104" s="430"/>
      <c r="U104" s="181"/>
      <c r="V104" s="179"/>
      <c r="W104" s="179"/>
      <c r="X104" s="181" t="e">
        <f t="shared" si="16"/>
        <v>#N/A</v>
      </c>
      <c r="Y104" s="430"/>
      <c r="Z104" s="181"/>
      <c r="AA104" s="179"/>
      <c r="AB104" s="179"/>
      <c r="AC104" s="181" t="e">
        <f t="shared" si="17"/>
        <v>#N/A</v>
      </c>
      <c r="AD104" s="430"/>
      <c r="AE104" s="181"/>
      <c r="AF104" s="179"/>
      <c r="AG104" s="179"/>
      <c r="AH104" s="181" t="e">
        <f t="shared" si="18"/>
        <v>#N/A</v>
      </c>
      <c r="AI104" s="430"/>
      <c r="AJ104" s="181"/>
      <c r="AK104" s="179"/>
      <c r="AL104" s="179"/>
      <c r="AM104" s="181" t="e">
        <f t="shared" si="19"/>
        <v>#N/A</v>
      </c>
      <c r="AN104" s="430"/>
      <c r="AO104" s="181"/>
      <c r="AP104" s="179"/>
      <c r="AQ104" s="179"/>
      <c r="AR104" s="181" t="e">
        <f t="shared" si="20"/>
        <v>#N/A</v>
      </c>
      <c r="AS104" s="430"/>
      <c r="AT104" s="181"/>
      <c r="AU104" s="179"/>
      <c r="AV104" s="179"/>
      <c r="AW104" s="181" t="e">
        <f t="shared" si="21"/>
        <v>#N/A</v>
      </c>
      <c r="AX104" s="430"/>
    </row>
    <row r="105" spans="2:50">
      <c r="B105" s="400"/>
      <c r="C105" s="181">
        <v>29</v>
      </c>
      <c r="D105" s="196"/>
      <c r="E105" s="165"/>
      <c r="F105" s="181"/>
      <c r="G105" s="179"/>
      <c r="H105" s="413"/>
      <c r="I105" s="181"/>
      <c r="J105" s="181"/>
      <c r="K105" s="181"/>
      <c r="L105" s="413"/>
      <c r="M105" s="180" t="e">
        <f>RANK(K105, K$77:$K$106)</f>
        <v>#N/A</v>
      </c>
      <c r="N105" s="401"/>
      <c r="O105" s="401"/>
      <c r="P105" s="181"/>
      <c r="Q105" s="181"/>
      <c r="R105" s="181"/>
      <c r="S105" s="181" t="e">
        <f t="shared" si="15"/>
        <v>#N/A</v>
      </c>
      <c r="T105" s="430"/>
      <c r="U105" s="181"/>
      <c r="V105" s="181"/>
      <c r="W105" s="181"/>
      <c r="X105" s="181" t="e">
        <f t="shared" si="16"/>
        <v>#N/A</v>
      </c>
      <c r="Y105" s="430"/>
      <c r="Z105" s="181"/>
      <c r="AA105" s="181"/>
      <c r="AB105" s="181"/>
      <c r="AC105" s="181" t="e">
        <f t="shared" si="17"/>
        <v>#N/A</v>
      </c>
      <c r="AD105" s="430"/>
      <c r="AE105" s="181"/>
      <c r="AF105" s="181"/>
      <c r="AG105" s="181"/>
      <c r="AH105" s="181" t="e">
        <f t="shared" si="18"/>
        <v>#N/A</v>
      </c>
      <c r="AI105" s="430"/>
      <c r="AJ105" s="181"/>
      <c r="AK105" s="181"/>
      <c r="AL105" s="181"/>
      <c r="AM105" s="181" t="e">
        <f t="shared" si="19"/>
        <v>#N/A</v>
      </c>
      <c r="AN105" s="430"/>
      <c r="AO105" s="181"/>
      <c r="AP105" s="181"/>
      <c r="AQ105" s="181"/>
      <c r="AR105" s="181" t="e">
        <f t="shared" si="20"/>
        <v>#N/A</v>
      </c>
      <c r="AS105" s="430"/>
      <c r="AT105" s="181"/>
      <c r="AU105" s="181"/>
      <c r="AV105" s="181"/>
      <c r="AW105" s="181" t="e">
        <f t="shared" si="21"/>
        <v>#N/A</v>
      </c>
      <c r="AX105" s="430"/>
    </row>
    <row r="106" spans="2:50">
      <c r="B106" s="400"/>
      <c r="C106" s="181">
        <v>30</v>
      </c>
      <c r="D106" s="196"/>
      <c r="E106" s="165"/>
      <c r="F106" s="181"/>
      <c r="G106" s="179"/>
      <c r="H106" s="414"/>
      <c r="I106" s="181"/>
      <c r="J106" s="181"/>
      <c r="K106" s="181"/>
      <c r="L106" s="414"/>
      <c r="M106" s="180" t="e">
        <f>RANK(K106, K$77:$K$106)</f>
        <v>#N/A</v>
      </c>
      <c r="N106" s="401"/>
      <c r="O106" s="401"/>
      <c r="P106" s="181"/>
      <c r="Q106" s="181"/>
      <c r="R106" s="181"/>
      <c r="S106" s="181" t="e">
        <f t="shared" si="15"/>
        <v>#N/A</v>
      </c>
      <c r="T106" s="430"/>
      <c r="U106" s="181"/>
      <c r="V106" s="181"/>
      <c r="W106" s="181"/>
      <c r="X106" s="181" t="e">
        <f t="shared" si="16"/>
        <v>#N/A</v>
      </c>
      <c r="Y106" s="430"/>
      <c r="Z106" s="181"/>
      <c r="AA106" s="181"/>
      <c r="AB106" s="181"/>
      <c r="AC106" s="181" t="e">
        <f t="shared" si="17"/>
        <v>#N/A</v>
      </c>
      <c r="AD106" s="430"/>
      <c r="AE106" s="181"/>
      <c r="AF106" s="181"/>
      <c r="AG106" s="181"/>
      <c r="AH106" s="181" t="e">
        <f t="shared" si="18"/>
        <v>#N/A</v>
      </c>
      <c r="AI106" s="430"/>
      <c r="AJ106" s="181"/>
      <c r="AK106" s="181"/>
      <c r="AL106" s="181"/>
      <c r="AM106" s="181" t="e">
        <f t="shared" si="19"/>
        <v>#N/A</v>
      </c>
      <c r="AN106" s="430"/>
      <c r="AO106" s="181"/>
      <c r="AP106" s="181"/>
      <c r="AQ106" s="181"/>
      <c r="AR106" s="181" t="e">
        <f t="shared" si="20"/>
        <v>#N/A</v>
      </c>
      <c r="AS106" s="430"/>
      <c r="AT106" s="181"/>
      <c r="AU106" s="181"/>
      <c r="AV106" s="181"/>
      <c r="AW106" s="181" t="e">
        <f t="shared" si="21"/>
        <v>#N/A</v>
      </c>
      <c r="AX106" s="430"/>
    </row>
    <row r="107" spans="2:50" ht="15.75">
      <c r="B107" s="394" t="s">
        <v>187</v>
      </c>
      <c r="C107" s="395"/>
      <c r="D107" s="395"/>
      <c r="E107" s="395"/>
      <c r="F107" s="395"/>
      <c r="G107" s="395"/>
      <c r="H107" s="395"/>
      <c r="I107" s="185"/>
      <c r="J107" s="185"/>
      <c r="K107" s="185"/>
      <c r="L107" s="185"/>
      <c r="M107" s="184"/>
      <c r="N107" s="397" t="s">
        <v>188</v>
      </c>
      <c r="O107" s="397" t="s">
        <v>135</v>
      </c>
      <c r="P107" s="399">
        <f>P72+7</f>
        <v>45916</v>
      </c>
      <c r="Q107" s="400"/>
      <c r="R107" s="400"/>
      <c r="S107" s="400"/>
      <c r="T107" s="400"/>
      <c r="U107" s="426">
        <f>P107+1</f>
        <v>45917</v>
      </c>
      <c r="V107" s="427"/>
      <c r="W107" s="427"/>
      <c r="X107" s="427"/>
      <c r="Y107" s="428"/>
      <c r="Z107" s="426">
        <f>U107+1</f>
        <v>45918</v>
      </c>
      <c r="AA107" s="427"/>
      <c r="AB107" s="427"/>
      <c r="AC107" s="427"/>
      <c r="AD107" s="428"/>
      <c r="AE107" s="426">
        <f>Z107+1</f>
        <v>45919</v>
      </c>
      <c r="AF107" s="427"/>
      <c r="AG107" s="427"/>
      <c r="AH107" s="427"/>
      <c r="AI107" s="428"/>
      <c r="AJ107" s="426">
        <f>AE107+1</f>
        <v>45920</v>
      </c>
      <c r="AK107" s="427"/>
      <c r="AL107" s="427"/>
      <c r="AM107" s="427"/>
      <c r="AN107" s="428"/>
      <c r="AO107" s="426">
        <f>AJ107+1</f>
        <v>45921</v>
      </c>
      <c r="AP107" s="427"/>
      <c r="AQ107" s="427"/>
      <c r="AR107" s="427"/>
      <c r="AS107" s="428"/>
      <c r="AT107" s="426">
        <f>AO107+1</f>
        <v>45922</v>
      </c>
      <c r="AU107" s="427"/>
      <c r="AV107" s="427"/>
      <c r="AW107" s="427"/>
      <c r="AX107" s="428"/>
    </row>
    <row r="108" spans="2:50" ht="15.75">
      <c r="B108" s="396"/>
      <c r="C108" s="396"/>
      <c r="D108" s="396"/>
      <c r="E108" s="396"/>
      <c r="F108" s="396"/>
      <c r="G108" s="396"/>
      <c r="H108" s="396"/>
      <c r="I108" s="183"/>
      <c r="J108" s="183"/>
      <c r="K108" s="183"/>
      <c r="L108" s="183"/>
      <c r="M108" s="178"/>
      <c r="N108" s="398"/>
      <c r="O108" s="398"/>
      <c r="P108" s="399" t="s">
        <v>223</v>
      </c>
      <c r="Q108" s="400"/>
      <c r="R108" s="400"/>
      <c r="S108" s="400"/>
      <c r="T108" s="400"/>
      <c r="U108" s="399" t="s">
        <v>224</v>
      </c>
      <c r="V108" s="400"/>
      <c r="W108" s="400"/>
      <c r="X108" s="400"/>
      <c r="Y108" s="400"/>
      <c r="Z108" s="399" t="s">
        <v>225</v>
      </c>
      <c r="AA108" s="400"/>
      <c r="AB108" s="400"/>
      <c r="AC108" s="400"/>
      <c r="AD108" s="400"/>
      <c r="AE108" s="399" t="s">
        <v>226</v>
      </c>
      <c r="AF108" s="400"/>
      <c r="AG108" s="400"/>
      <c r="AH108" s="400"/>
      <c r="AI108" s="400"/>
      <c r="AJ108" s="399" t="s">
        <v>227</v>
      </c>
      <c r="AK108" s="400"/>
      <c r="AL108" s="400"/>
      <c r="AM108" s="400"/>
      <c r="AN108" s="400"/>
      <c r="AO108" s="399" t="s">
        <v>142</v>
      </c>
      <c r="AP108" s="400"/>
      <c r="AQ108" s="400"/>
      <c r="AR108" s="400"/>
      <c r="AS108" s="400"/>
      <c r="AT108" s="399" t="s">
        <v>189</v>
      </c>
      <c r="AU108" s="400"/>
      <c r="AV108" s="400"/>
      <c r="AW108" s="400"/>
      <c r="AX108" s="400"/>
    </row>
    <row r="109" spans="2:50">
      <c r="B109" s="401" t="s">
        <v>190</v>
      </c>
      <c r="C109" s="401" t="s">
        <v>191</v>
      </c>
      <c r="D109" s="401"/>
      <c r="E109" s="401" t="s">
        <v>192</v>
      </c>
      <c r="F109" s="401"/>
      <c r="G109" s="401"/>
      <c r="H109" s="402" t="s">
        <v>193</v>
      </c>
      <c r="I109" s="401" t="s">
        <v>194</v>
      </c>
      <c r="J109" s="401"/>
      <c r="K109" s="401"/>
      <c r="L109" s="402" t="s">
        <v>193</v>
      </c>
      <c r="M109" s="397" t="s">
        <v>195</v>
      </c>
      <c r="N109" s="401"/>
      <c r="O109" s="401" t="s">
        <v>196</v>
      </c>
      <c r="P109" s="406" t="s">
        <v>197</v>
      </c>
      <c r="Q109" s="407"/>
      <c r="R109" s="407"/>
      <c r="S109" s="408"/>
      <c r="T109" s="401" t="s">
        <v>193</v>
      </c>
      <c r="U109" s="406" t="s">
        <v>197</v>
      </c>
      <c r="V109" s="407"/>
      <c r="W109" s="407"/>
      <c r="X109" s="408"/>
      <c r="Y109" s="401" t="s">
        <v>193</v>
      </c>
      <c r="Z109" s="406" t="s">
        <v>197</v>
      </c>
      <c r="AA109" s="407"/>
      <c r="AB109" s="407"/>
      <c r="AC109" s="408"/>
      <c r="AD109" s="401" t="s">
        <v>193</v>
      </c>
      <c r="AE109" s="406" t="s">
        <v>197</v>
      </c>
      <c r="AF109" s="407"/>
      <c r="AG109" s="407"/>
      <c r="AH109" s="408"/>
      <c r="AI109" s="401" t="s">
        <v>193</v>
      </c>
      <c r="AJ109" s="406" t="s">
        <v>197</v>
      </c>
      <c r="AK109" s="407"/>
      <c r="AL109" s="407"/>
      <c r="AM109" s="408"/>
      <c r="AN109" s="401" t="s">
        <v>193</v>
      </c>
      <c r="AO109" s="406" t="s">
        <v>197</v>
      </c>
      <c r="AP109" s="407"/>
      <c r="AQ109" s="407"/>
      <c r="AR109" s="408"/>
      <c r="AS109" s="401" t="s">
        <v>193</v>
      </c>
      <c r="AT109" s="406" t="s">
        <v>197</v>
      </c>
      <c r="AU109" s="407"/>
      <c r="AV109" s="407"/>
      <c r="AW109" s="408"/>
      <c r="AX109" s="401" t="s">
        <v>193</v>
      </c>
    </row>
    <row r="110" spans="2:50">
      <c r="B110" s="401"/>
      <c r="C110" s="401"/>
      <c r="D110" s="401"/>
      <c r="E110" s="401" t="s">
        <v>198</v>
      </c>
      <c r="F110" s="401"/>
      <c r="G110" s="401"/>
      <c r="H110" s="403"/>
      <c r="I110" s="401" t="s">
        <v>198</v>
      </c>
      <c r="J110" s="401"/>
      <c r="K110" s="401"/>
      <c r="L110" s="403"/>
      <c r="M110" s="405"/>
      <c r="N110" s="401"/>
      <c r="O110" s="401"/>
      <c r="P110" s="406" t="s">
        <v>199</v>
      </c>
      <c r="Q110" s="407"/>
      <c r="R110" s="407"/>
      <c r="S110" s="408"/>
      <c r="T110" s="401"/>
      <c r="U110" s="406" t="s">
        <v>199</v>
      </c>
      <c r="V110" s="407"/>
      <c r="W110" s="407"/>
      <c r="X110" s="408"/>
      <c r="Y110" s="401"/>
      <c r="Z110" s="406" t="s">
        <v>199</v>
      </c>
      <c r="AA110" s="407"/>
      <c r="AB110" s="407"/>
      <c r="AC110" s="408"/>
      <c r="AD110" s="401"/>
      <c r="AE110" s="406" t="s">
        <v>199</v>
      </c>
      <c r="AF110" s="407"/>
      <c r="AG110" s="407"/>
      <c r="AH110" s="408"/>
      <c r="AI110" s="401"/>
      <c r="AJ110" s="406" t="s">
        <v>199</v>
      </c>
      <c r="AK110" s="407"/>
      <c r="AL110" s="407"/>
      <c r="AM110" s="408"/>
      <c r="AN110" s="401"/>
      <c r="AO110" s="406" t="s">
        <v>199</v>
      </c>
      <c r="AP110" s="407"/>
      <c r="AQ110" s="407"/>
      <c r="AR110" s="408"/>
      <c r="AS110" s="401"/>
      <c r="AT110" s="406" t="s">
        <v>199</v>
      </c>
      <c r="AU110" s="407"/>
      <c r="AV110" s="407"/>
      <c r="AW110" s="408"/>
      <c r="AX110" s="401"/>
    </row>
    <row r="111" spans="2:50">
      <c r="B111" s="401"/>
      <c r="C111" s="401"/>
      <c r="D111" s="401"/>
      <c r="E111" s="234" t="s">
        <v>200</v>
      </c>
      <c r="F111" s="234" t="s">
        <v>201</v>
      </c>
      <c r="G111" s="234" t="s">
        <v>202</v>
      </c>
      <c r="H111" s="404"/>
      <c r="I111" s="234" t="s">
        <v>200</v>
      </c>
      <c r="J111" s="234" t="s">
        <v>201</v>
      </c>
      <c r="K111" s="234" t="s">
        <v>202</v>
      </c>
      <c r="L111" s="404"/>
      <c r="M111" s="398"/>
      <c r="N111" s="401"/>
      <c r="O111" s="401"/>
      <c r="P111" s="234" t="s">
        <v>200</v>
      </c>
      <c r="Q111" s="234" t="s">
        <v>201</v>
      </c>
      <c r="R111" s="234" t="s">
        <v>202</v>
      </c>
      <c r="S111" s="234" t="s">
        <v>195</v>
      </c>
      <c r="T111" s="401"/>
      <c r="U111" s="234" t="s">
        <v>200</v>
      </c>
      <c r="V111" s="234" t="s">
        <v>201</v>
      </c>
      <c r="W111" s="234" t="s">
        <v>202</v>
      </c>
      <c r="X111" s="234" t="s">
        <v>195</v>
      </c>
      <c r="Y111" s="401"/>
      <c r="Z111" s="234" t="s">
        <v>200</v>
      </c>
      <c r="AA111" s="234" t="s">
        <v>201</v>
      </c>
      <c r="AB111" s="234" t="s">
        <v>202</v>
      </c>
      <c r="AC111" s="234" t="s">
        <v>195</v>
      </c>
      <c r="AD111" s="401"/>
      <c r="AE111" s="234" t="s">
        <v>200</v>
      </c>
      <c r="AF111" s="234" t="s">
        <v>201</v>
      </c>
      <c r="AG111" s="234" t="s">
        <v>202</v>
      </c>
      <c r="AH111" s="234" t="s">
        <v>195</v>
      </c>
      <c r="AI111" s="401"/>
      <c r="AJ111" s="234" t="s">
        <v>200</v>
      </c>
      <c r="AK111" s="234" t="s">
        <v>201</v>
      </c>
      <c r="AL111" s="234" t="s">
        <v>202</v>
      </c>
      <c r="AM111" s="234" t="s">
        <v>195</v>
      </c>
      <c r="AN111" s="401"/>
      <c r="AO111" s="234" t="s">
        <v>200</v>
      </c>
      <c r="AP111" s="234" t="s">
        <v>201</v>
      </c>
      <c r="AQ111" s="234" t="s">
        <v>202</v>
      </c>
      <c r="AR111" s="234" t="s">
        <v>195</v>
      </c>
      <c r="AS111" s="401"/>
      <c r="AT111" s="234" t="s">
        <v>200</v>
      </c>
      <c r="AU111" s="234" t="s">
        <v>201</v>
      </c>
      <c r="AV111" s="234" t="s">
        <v>202</v>
      </c>
      <c r="AW111" s="234" t="s">
        <v>195</v>
      </c>
      <c r="AX111" s="401"/>
    </row>
    <row r="112" spans="2:50">
      <c r="B112" s="401" t="s">
        <v>172</v>
      </c>
      <c r="C112" s="181">
        <v>1</v>
      </c>
      <c r="D112" s="196" t="s">
        <v>262</v>
      </c>
      <c r="E112" s="165">
        <v>6</v>
      </c>
      <c r="F112" s="181">
        <v>1500</v>
      </c>
      <c r="G112" s="179">
        <v>250</v>
      </c>
      <c r="H112" s="412">
        <f>AVERAGE(G112:G141)</f>
        <v>96.860767523383629</v>
      </c>
      <c r="I112" s="165">
        <f>AVERAGE(P112,U112,Z112,AE112,AJ112,AO112,AT112)</f>
        <v>6</v>
      </c>
      <c r="J112" s="165">
        <f>AVERAGE(Q112,V112,AA112,AF112,AK112,AP112,AU112)</f>
        <v>1492.5893793929797</v>
      </c>
      <c r="K112" s="179">
        <f>AVERAGE(R112,W112,AB112,AG112,AL112,AQ112,AV112)</f>
        <v>248.76489656549663</v>
      </c>
      <c r="L112" s="412">
        <f>IFERROR(AVERAGE(K112:K141),"-")</f>
        <v>86.535986254098418</v>
      </c>
      <c r="M112" s="180">
        <f>RANK(K112, K$112:$K$141)</f>
        <v>1</v>
      </c>
      <c r="N112" s="401"/>
      <c r="O112" s="401"/>
      <c r="P112" s="165">
        <v>6</v>
      </c>
      <c r="Q112" s="165">
        <v>1468.1250000000002</v>
      </c>
      <c r="R112" s="165">
        <v>244.68750000000003</v>
      </c>
      <c r="S112" s="181">
        <f>RANK(R112, R$112:R$141)</f>
        <v>1</v>
      </c>
      <c r="T112" s="430">
        <f>AVERAGE(R112:R141)</f>
        <v>86.245404906618774</v>
      </c>
      <c r="U112" s="165">
        <v>6</v>
      </c>
      <c r="V112" s="165">
        <v>1515.323741007194</v>
      </c>
      <c r="W112" s="165">
        <v>252.55395683453233</v>
      </c>
      <c r="X112" s="181">
        <f>RANK(W112, W$112:W$141)</f>
        <v>1</v>
      </c>
      <c r="Y112" s="430">
        <f>AVERAGE(W112:W141)</f>
        <v>87.526843061080513</v>
      </c>
      <c r="Z112" s="165">
        <v>6</v>
      </c>
      <c r="AA112" s="165">
        <v>1481.3602941176466</v>
      </c>
      <c r="AB112" s="165">
        <v>246.8933823529411</v>
      </c>
      <c r="AC112" s="181">
        <f>RANK(AB112, AB$112:AB$141)</f>
        <v>1</v>
      </c>
      <c r="AD112" s="430">
        <f>AVERAGE(AB112:AB141)</f>
        <v>85.790380125121132</v>
      </c>
      <c r="AE112" s="165">
        <v>6</v>
      </c>
      <c r="AF112" s="165">
        <v>1452.3664122137404</v>
      </c>
      <c r="AG112" s="165">
        <v>242.06106870229007</v>
      </c>
      <c r="AH112" s="181">
        <f>RANK(AG112, AG$112:AG$141)</f>
        <v>1</v>
      </c>
      <c r="AI112" s="430">
        <f>AVERAGE(AG112:AG141)</f>
        <v>86.195177289391268</v>
      </c>
      <c r="AJ112" s="165">
        <v>6</v>
      </c>
      <c r="AK112" s="165">
        <v>1513.5999999999997</v>
      </c>
      <c r="AL112" s="165">
        <v>252.26666666666662</v>
      </c>
      <c r="AM112" s="181">
        <f>RANK(AL112, AL$112:AL$141)</f>
        <v>1</v>
      </c>
      <c r="AN112" s="430">
        <f>AVERAGE(AL112:AL141)</f>
        <v>87.050977929772372</v>
      </c>
      <c r="AO112" s="165">
        <v>6</v>
      </c>
      <c r="AP112" s="165">
        <v>1511.2615384615385</v>
      </c>
      <c r="AQ112" s="165">
        <v>251.87692307692308</v>
      </c>
      <c r="AR112" s="181">
        <f>RANK(AQ112, AQ$112:AQ$141)</f>
        <v>1</v>
      </c>
      <c r="AS112" s="430">
        <f>AVERAGE(AQ112:AQ141)</f>
        <v>85.311183292796386</v>
      </c>
      <c r="AT112" s="165">
        <v>6</v>
      </c>
      <c r="AU112" s="165">
        <v>1506.0886699507389</v>
      </c>
      <c r="AV112" s="165">
        <v>251.01477832512316</v>
      </c>
      <c r="AW112" s="181">
        <f>RANK(AV112, AV$112:AV$141)</f>
        <v>1</v>
      </c>
      <c r="AX112" s="430">
        <f>AVERAGE(AV112:AV141)</f>
        <v>87.631937173908469</v>
      </c>
    </row>
    <row r="113" spans="2:50">
      <c r="B113" s="400"/>
      <c r="C113" s="181">
        <v>2</v>
      </c>
      <c r="D113" s="196" t="s">
        <v>263</v>
      </c>
      <c r="E113" s="165">
        <v>7</v>
      </c>
      <c r="F113" s="181">
        <v>1500</v>
      </c>
      <c r="G113" s="179">
        <v>214.28571428571428</v>
      </c>
      <c r="H113" s="413"/>
      <c r="I113" s="165">
        <f t="shared" ref="I113:I135" si="22">AVERAGE(P113,U113,Z113,AE113,AJ113,AO113,AT113)</f>
        <v>7.5714285714285712</v>
      </c>
      <c r="J113" s="165">
        <f t="shared" ref="J113:J135" si="23">AVERAGE(Q113,V113,AA113,AF113,AK113,AP113,AU113)</f>
        <v>1469.1004704509562</v>
      </c>
      <c r="K113" s="179">
        <f t="shared" ref="K113:K135" si="24">AVERAGE(R113,W113,AB113,AG113,AL113,AQ113,AV113)</f>
        <v>194.91595993330381</v>
      </c>
      <c r="L113" s="413"/>
      <c r="M113" s="180">
        <f>RANK(K113, K$112:$K$141)</f>
        <v>2</v>
      </c>
      <c r="N113" s="401"/>
      <c r="O113" s="401"/>
      <c r="P113" s="165">
        <v>8</v>
      </c>
      <c r="Q113" s="165">
        <v>1493.4</v>
      </c>
      <c r="R113" s="165">
        <v>186.67500000000001</v>
      </c>
      <c r="S113" s="181">
        <f t="shared" ref="S113:S141" si="25">RANK(R113, R$112:R$141)</f>
        <v>2</v>
      </c>
      <c r="T113" s="430"/>
      <c r="U113" s="165">
        <v>7</v>
      </c>
      <c r="V113" s="165">
        <v>1474.3749999999998</v>
      </c>
      <c r="W113" s="165">
        <v>210.62499999999997</v>
      </c>
      <c r="X113" s="181">
        <f t="shared" ref="X113:X141" si="26">RANK(W113, W$112:W$141)</f>
        <v>2</v>
      </c>
      <c r="Y113" s="430"/>
      <c r="Z113" s="165">
        <v>8</v>
      </c>
      <c r="AA113" s="165">
        <v>1446.947368421052</v>
      </c>
      <c r="AB113" s="165">
        <v>180.8684210526315</v>
      </c>
      <c r="AC113" s="181">
        <f t="shared" ref="AC113:AC141" si="27">RANK(AB113, AB$112:AB$141)</f>
        <v>2</v>
      </c>
      <c r="AD113" s="430"/>
      <c r="AE113" s="165">
        <v>8</v>
      </c>
      <c r="AF113" s="165">
        <v>1466.3736263736264</v>
      </c>
      <c r="AG113" s="165">
        <v>183.2967032967033</v>
      </c>
      <c r="AH113" s="181">
        <f t="shared" ref="AH113:AH141" si="28">RANK(AG113, AG$112:AG$141)</f>
        <v>2</v>
      </c>
      <c r="AI113" s="430"/>
      <c r="AJ113" s="165">
        <v>7</v>
      </c>
      <c r="AK113" s="165">
        <v>1484.835164835165</v>
      </c>
      <c r="AL113" s="165">
        <v>212.11930926216641</v>
      </c>
      <c r="AM113" s="181">
        <f t="shared" ref="AM113:AM141" si="29">RANK(AL113, AL$112:AL$141)</f>
        <v>2</v>
      </c>
      <c r="AN113" s="430"/>
      <c r="AO113" s="165">
        <v>8</v>
      </c>
      <c r="AP113" s="165">
        <v>1455.849056603774</v>
      </c>
      <c r="AQ113" s="165">
        <v>181.98113207547175</v>
      </c>
      <c r="AR113" s="181">
        <f t="shared" ref="AR113:AR141" si="30">RANK(AQ113, AQ$112:AQ$141)</f>
        <v>2</v>
      </c>
      <c r="AS113" s="430"/>
      <c r="AT113" s="165">
        <v>7</v>
      </c>
      <c r="AU113" s="165">
        <v>1461.9230769230771</v>
      </c>
      <c r="AV113" s="165">
        <v>208.84615384615387</v>
      </c>
      <c r="AW113" s="181">
        <f t="shared" ref="AW113:AW141" si="31">RANK(AV113, AV$112:AV$141)</f>
        <v>2</v>
      </c>
      <c r="AX113" s="430"/>
    </row>
    <row r="114" spans="2:50">
      <c r="B114" s="400"/>
      <c r="C114" s="181">
        <v>3</v>
      </c>
      <c r="D114" s="196" t="s">
        <v>264</v>
      </c>
      <c r="E114" s="165">
        <v>18</v>
      </c>
      <c r="F114" s="181">
        <v>1500</v>
      </c>
      <c r="G114" s="179">
        <v>83.333333333333329</v>
      </c>
      <c r="H114" s="413"/>
      <c r="I114" s="165">
        <f t="shared" si="22"/>
        <v>18</v>
      </c>
      <c r="J114" s="165">
        <f t="shared" si="23"/>
        <v>1282.5502342269258</v>
      </c>
      <c r="K114" s="179">
        <f t="shared" si="24"/>
        <v>71.252790790384765</v>
      </c>
      <c r="L114" s="413"/>
      <c r="M114" s="180">
        <f>RANK(K114, K$112:$K$141)</f>
        <v>19</v>
      </c>
      <c r="N114" s="401"/>
      <c r="O114" s="401"/>
      <c r="P114" s="165">
        <v>18</v>
      </c>
      <c r="Q114" s="165">
        <v>1265.1923076923074</v>
      </c>
      <c r="R114" s="165">
        <v>70.288461538461519</v>
      </c>
      <c r="S114" s="181">
        <f t="shared" si="25"/>
        <v>19</v>
      </c>
      <c r="T114" s="430"/>
      <c r="U114" s="165">
        <v>18</v>
      </c>
      <c r="V114" s="165">
        <v>1297.5757575757571</v>
      </c>
      <c r="W114" s="165">
        <v>72.087542087542062</v>
      </c>
      <c r="X114" s="181">
        <f t="shared" si="26"/>
        <v>17</v>
      </c>
      <c r="Y114" s="430"/>
      <c r="Z114" s="165">
        <v>18</v>
      </c>
      <c r="AA114" s="165">
        <v>1257.4736842105265</v>
      </c>
      <c r="AB114" s="165">
        <v>69.859649122807028</v>
      </c>
      <c r="AC114" s="181">
        <f t="shared" si="27"/>
        <v>19</v>
      </c>
      <c r="AD114" s="430"/>
      <c r="AE114" s="165">
        <v>18</v>
      </c>
      <c r="AF114" s="165">
        <v>1280.0000000000005</v>
      </c>
      <c r="AG114" s="165">
        <v>71.111111111111143</v>
      </c>
      <c r="AH114" s="181">
        <f t="shared" si="28"/>
        <v>18</v>
      </c>
      <c r="AI114" s="430"/>
      <c r="AJ114" s="165">
        <v>18</v>
      </c>
      <c r="AK114" s="165">
        <v>1289.2857142857138</v>
      </c>
      <c r="AL114" s="165">
        <v>71.626984126984098</v>
      </c>
      <c r="AM114" s="181">
        <f t="shared" si="29"/>
        <v>17</v>
      </c>
      <c r="AN114" s="430"/>
      <c r="AO114" s="165">
        <v>18</v>
      </c>
      <c r="AP114" s="165">
        <v>1312.4999999999995</v>
      </c>
      <c r="AQ114" s="165">
        <v>72.916666666666643</v>
      </c>
      <c r="AR114" s="181">
        <f t="shared" si="30"/>
        <v>13</v>
      </c>
      <c r="AS114" s="430"/>
      <c r="AT114" s="165">
        <v>18</v>
      </c>
      <c r="AU114" s="165">
        <v>1275.8241758241757</v>
      </c>
      <c r="AV114" s="165">
        <v>70.879120879120876</v>
      </c>
      <c r="AW114" s="181">
        <f t="shared" si="31"/>
        <v>19</v>
      </c>
      <c r="AX114" s="430"/>
    </row>
    <row r="115" spans="2:50">
      <c r="B115" s="400"/>
      <c r="C115" s="181">
        <v>4</v>
      </c>
      <c r="D115" s="196" t="s">
        <v>265</v>
      </c>
      <c r="E115" s="165">
        <v>21</v>
      </c>
      <c r="F115" s="181">
        <v>1500</v>
      </c>
      <c r="G115" s="179">
        <v>71.428571428571431</v>
      </c>
      <c r="H115" s="413"/>
      <c r="I115" s="165">
        <f t="shared" si="22"/>
        <v>20.428571428571427</v>
      </c>
      <c r="J115" s="165">
        <f t="shared" si="23"/>
        <v>1286.8643474736382</v>
      </c>
      <c r="K115" s="179">
        <f t="shared" si="24"/>
        <v>63.034116219932784</v>
      </c>
      <c r="L115" s="413"/>
      <c r="M115" s="180">
        <f>RANK(K115, K$112:$K$141)</f>
        <v>24</v>
      </c>
      <c r="N115" s="401"/>
      <c r="O115" s="401"/>
      <c r="P115" s="165">
        <v>21</v>
      </c>
      <c r="Q115" s="165">
        <v>1276.6038461538467</v>
      </c>
      <c r="R115" s="165">
        <v>60.790659340659367</v>
      </c>
      <c r="S115" s="181">
        <f t="shared" si="25"/>
        <v>24</v>
      </c>
      <c r="T115" s="430"/>
      <c r="U115" s="165">
        <v>21</v>
      </c>
      <c r="V115" s="165">
        <v>1295.1724137931044</v>
      </c>
      <c r="W115" s="165">
        <v>61.674876847290683</v>
      </c>
      <c r="X115" s="181">
        <f t="shared" si="26"/>
        <v>24</v>
      </c>
      <c r="Y115" s="430"/>
      <c r="Z115" s="165">
        <v>20</v>
      </c>
      <c r="AA115" s="165">
        <v>1295.7692307692314</v>
      </c>
      <c r="AB115" s="165">
        <v>64.788461538461576</v>
      </c>
      <c r="AC115" s="181">
        <f t="shared" si="27"/>
        <v>23</v>
      </c>
      <c r="AD115" s="430"/>
      <c r="AE115" s="165">
        <v>20</v>
      </c>
      <c r="AF115" s="165">
        <v>1305.3333333333335</v>
      </c>
      <c r="AG115" s="165">
        <v>65.26666666666668</v>
      </c>
      <c r="AH115" s="181">
        <f t="shared" si="28"/>
        <v>23</v>
      </c>
      <c r="AI115" s="430"/>
      <c r="AJ115" s="165">
        <v>21</v>
      </c>
      <c r="AK115" s="165">
        <v>1276.9811320754725</v>
      </c>
      <c r="AL115" s="165">
        <v>60.808625336927264</v>
      </c>
      <c r="AM115" s="181">
        <f t="shared" si="29"/>
        <v>24</v>
      </c>
      <c r="AN115" s="430"/>
      <c r="AO115" s="165">
        <v>20</v>
      </c>
      <c r="AP115" s="165">
        <v>1302.0000000000011</v>
      </c>
      <c r="AQ115" s="165">
        <v>65.100000000000051</v>
      </c>
      <c r="AR115" s="181">
        <f t="shared" si="30"/>
        <v>23</v>
      </c>
      <c r="AS115" s="430"/>
      <c r="AT115" s="165">
        <v>20</v>
      </c>
      <c r="AU115" s="165">
        <v>1256.1904761904775</v>
      </c>
      <c r="AV115" s="165">
        <v>62.809523809523874</v>
      </c>
      <c r="AW115" s="181">
        <f t="shared" si="31"/>
        <v>24</v>
      </c>
      <c r="AX115" s="430"/>
    </row>
    <row r="116" spans="2:50">
      <c r="B116" s="400"/>
      <c r="C116" s="181">
        <v>5</v>
      </c>
      <c r="D116" s="196" t="s">
        <v>266</v>
      </c>
      <c r="E116" s="165">
        <v>19</v>
      </c>
      <c r="F116" s="181">
        <v>1500</v>
      </c>
      <c r="G116" s="179">
        <v>78.94736842105263</v>
      </c>
      <c r="H116" s="413"/>
      <c r="I116" s="165">
        <f t="shared" si="22"/>
        <v>19</v>
      </c>
      <c r="J116" s="165">
        <f t="shared" si="23"/>
        <v>1277.7965995127186</v>
      </c>
      <c r="K116" s="179">
        <f t="shared" si="24"/>
        <v>67.252452605932561</v>
      </c>
      <c r="L116" s="413"/>
      <c r="M116" s="180">
        <f>RANK(K116, K$112:$K$141)</f>
        <v>21</v>
      </c>
      <c r="N116" s="401"/>
      <c r="O116" s="401"/>
      <c r="P116" s="165">
        <v>19</v>
      </c>
      <c r="Q116" s="165">
        <v>1259.9999999999998</v>
      </c>
      <c r="R116" s="165">
        <v>66.315789473684205</v>
      </c>
      <c r="S116" s="181">
        <f t="shared" si="25"/>
        <v>21</v>
      </c>
      <c r="T116" s="430"/>
      <c r="U116" s="165">
        <v>19</v>
      </c>
      <c r="V116" s="165">
        <v>1290.7317073170727</v>
      </c>
      <c r="W116" s="165">
        <v>67.933247753530139</v>
      </c>
      <c r="X116" s="181">
        <f t="shared" si="26"/>
        <v>20</v>
      </c>
      <c r="Y116" s="430"/>
      <c r="Z116" s="165">
        <v>19</v>
      </c>
      <c r="AA116" s="165">
        <v>1283.6842105263147</v>
      </c>
      <c r="AB116" s="165">
        <v>67.562326869806043</v>
      </c>
      <c r="AC116" s="181">
        <f t="shared" si="27"/>
        <v>20</v>
      </c>
      <c r="AD116" s="430"/>
      <c r="AE116" s="165">
        <v>19</v>
      </c>
      <c r="AF116" s="165">
        <v>1282.2857142857129</v>
      </c>
      <c r="AG116" s="165">
        <v>67.488721804511201</v>
      </c>
      <c r="AH116" s="181">
        <f t="shared" si="28"/>
        <v>22</v>
      </c>
      <c r="AI116" s="430"/>
      <c r="AJ116" s="165">
        <v>19</v>
      </c>
      <c r="AK116" s="165">
        <v>1277.1428571428567</v>
      </c>
      <c r="AL116" s="165">
        <v>67.218045112781923</v>
      </c>
      <c r="AM116" s="181">
        <f t="shared" si="29"/>
        <v>20</v>
      </c>
      <c r="AN116" s="430"/>
      <c r="AO116" s="165">
        <v>19</v>
      </c>
      <c r="AP116" s="165">
        <v>1260</v>
      </c>
      <c r="AQ116" s="165">
        <v>66.315789473684205</v>
      </c>
      <c r="AR116" s="181">
        <f t="shared" si="30"/>
        <v>22</v>
      </c>
      <c r="AS116" s="430"/>
      <c r="AT116" s="165">
        <v>19</v>
      </c>
      <c r="AU116" s="165">
        <v>1290.7317073170727</v>
      </c>
      <c r="AV116" s="165">
        <v>67.933247753530139</v>
      </c>
      <c r="AW116" s="181">
        <f t="shared" si="31"/>
        <v>21</v>
      </c>
      <c r="AX116" s="430"/>
    </row>
    <row r="117" spans="2:50">
      <c r="B117" s="400"/>
      <c r="C117" s="181">
        <v>6</v>
      </c>
      <c r="D117" s="196" t="s">
        <v>267</v>
      </c>
      <c r="E117" s="165">
        <v>17</v>
      </c>
      <c r="F117" s="181">
        <v>1500</v>
      </c>
      <c r="G117" s="179">
        <v>88.235294117647058</v>
      </c>
      <c r="H117" s="413"/>
      <c r="I117" s="165">
        <f t="shared" si="22"/>
        <v>17</v>
      </c>
      <c r="J117" s="165">
        <f t="shared" si="23"/>
        <v>1332.9374534315687</v>
      </c>
      <c r="K117" s="179">
        <f t="shared" si="24"/>
        <v>78.408085495974618</v>
      </c>
      <c r="L117" s="413"/>
      <c r="M117" s="180">
        <f>RANK(K117, K$112:$K$141)</f>
        <v>9</v>
      </c>
      <c r="N117" s="401"/>
      <c r="O117" s="401"/>
      <c r="P117" s="165">
        <v>17</v>
      </c>
      <c r="Q117" s="165">
        <v>1300.3278688524604</v>
      </c>
      <c r="R117" s="165">
        <v>76.489874638380016</v>
      </c>
      <c r="S117" s="181">
        <f t="shared" si="25"/>
        <v>11</v>
      </c>
      <c r="T117" s="430"/>
      <c r="U117" s="165">
        <v>17</v>
      </c>
      <c r="V117" s="165">
        <v>1322.1818181818189</v>
      </c>
      <c r="W117" s="165">
        <v>77.775401069518765</v>
      </c>
      <c r="X117" s="181">
        <f t="shared" si="26"/>
        <v>8</v>
      </c>
      <c r="Y117" s="430"/>
      <c r="Z117" s="165">
        <v>17</v>
      </c>
      <c r="AA117" s="165">
        <v>1371.2500000000005</v>
      </c>
      <c r="AB117" s="165">
        <v>80.661764705882376</v>
      </c>
      <c r="AC117" s="181">
        <f t="shared" si="27"/>
        <v>6</v>
      </c>
      <c r="AD117" s="430"/>
      <c r="AE117" s="165">
        <v>17</v>
      </c>
      <c r="AF117" s="165">
        <v>1336</v>
      </c>
      <c r="AG117" s="165">
        <v>78.588235294117652</v>
      </c>
      <c r="AH117" s="181">
        <f t="shared" si="28"/>
        <v>10</v>
      </c>
      <c r="AI117" s="430"/>
      <c r="AJ117" s="165">
        <v>17</v>
      </c>
      <c r="AK117" s="165">
        <v>1298.0769230769238</v>
      </c>
      <c r="AL117" s="165">
        <v>76.357466063348454</v>
      </c>
      <c r="AM117" s="181">
        <f t="shared" si="29"/>
        <v>11</v>
      </c>
      <c r="AN117" s="430"/>
      <c r="AO117" s="165">
        <v>17</v>
      </c>
      <c r="AP117" s="165">
        <v>1355.357142857144</v>
      </c>
      <c r="AQ117" s="165">
        <v>79.726890756302595</v>
      </c>
      <c r="AR117" s="181">
        <f t="shared" si="30"/>
        <v>5</v>
      </c>
      <c r="AS117" s="430"/>
      <c r="AT117" s="165">
        <v>17</v>
      </c>
      <c r="AU117" s="165">
        <v>1347.3684210526326</v>
      </c>
      <c r="AV117" s="165">
        <v>79.256965944272508</v>
      </c>
      <c r="AW117" s="181">
        <f t="shared" si="31"/>
        <v>8</v>
      </c>
      <c r="AX117" s="430"/>
    </row>
    <row r="118" spans="2:50">
      <c r="B118" s="400"/>
      <c r="C118" s="181">
        <v>7</v>
      </c>
      <c r="D118" s="196" t="s">
        <v>268</v>
      </c>
      <c r="E118" s="165">
        <v>17</v>
      </c>
      <c r="F118" s="181">
        <v>1565</v>
      </c>
      <c r="G118" s="179">
        <v>92.058823529411768</v>
      </c>
      <c r="H118" s="413"/>
      <c r="I118" s="165">
        <f t="shared" si="22"/>
        <v>17</v>
      </c>
      <c r="J118" s="165">
        <f t="shared" si="23"/>
        <v>1386.4259741231251</v>
      </c>
      <c r="K118" s="179">
        <f t="shared" si="24"/>
        <v>81.55446906606619</v>
      </c>
      <c r="L118" s="413"/>
      <c r="M118" s="180">
        <f>RANK(K118, K$112:$K$141)</f>
        <v>5</v>
      </c>
      <c r="N118" s="401"/>
      <c r="O118" s="401"/>
      <c r="P118" s="165">
        <v>17</v>
      </c>
      <c r="Q118" s="165">
        <v>1388.2758620689654</v>
      </c>
      <c r="R118" s="165">
        <v>81.663286004056786</v>
      </c>
      <c r="S118" s="181">
        <f t="shared" si="25"/>
        <v>6</v>
      </c>
      <c r="T118" s="430"/>
      <c r="U118" s="165">
        <v>17</v>
      </c>
      <c r="V118" s="165">
        <v>1394.9999999999995</v>
      </c>
      <c r="W118" s="165">
        <v>82.05882352941174</v>
      </c>
      <c r="X118" s="181">
        <f t="shared" si="26"/>
        <v>5</v>
      </c>
      <c r="Y118" s="430"/>
      <c r="Z118" s="165">
        <v>17</v>
      </c>
      <c r="AA118" s="165">
        <v>1367.027027027026</v>
      </c>
      <c r="AB118" s="165">
        <v>80.413354531001531</v>
      </c>
      <c r="AC118" s="181">
        <f t="shared" si="27"/>
        <v>7</v>
      </c>
      <c r="AD118" s="430"/>
      <c r="AE118" s="165">
        <v>17</v>
      </c>
      <c r="AF118" s="165">
        <v>1374.4615384615399</v>
      </c>
      <c r="AG118" s="165">
        <v>80.850678733031756</v>
      </c>
      <c r="AH118" s="181">
        <f t="shared" si="28"/>
        <v>5</v>
      </c>
      <c r="AI118" s="430"/>
      <c r="AJ118" s="165">
        <v>17</v>
      </c>
      <c r="AK118" s="165">
        <v>1385.2173913043464</v>
      </c>
      <c r="AL118" s="165">
        <v>81.483375959079197</v>
      </c>
      <c r="AM118" s="181">
        <f t="shared" si="29"/>
        <v>4</v>
      </c>
      <c r="AN118" s="430"/>
      <c r="AO118" s="165">
        <v>17</v>
      </c>
      <c r="AP118" s="165">
        <v>1384.9999999999995</v>
      </c>
      <c r="AQ118" s="165">
        <v>81.470588235294088</v>
      </c>
      <c r="AR118" s="181">
        <f t="shared" si="30"/>
        <v>4</v>
      </c>
      <c r="AS118" s="430"/>
      <c r="AT118" s="165">
        <v>17</v>
      </c>
      <c r="AU118" s="165">
        <v>1409.9999999999998</v>
      </c>
      <c r="AV118" s="165">
        <v>82.941176470588218</v>
      </c>
      <c r="AW118" s="181">
        <f t="shared" si="31"/>
        <v>5</v>
      </c>
      <c r="AX118" s="430"/>
    </row>
    <row r="119" spans="2:50">
      <c r="B119" s="400"/>
      <c r="C119" s="181">
        <v>8</v>
      </c>
      <c r="D119" s="196" t="s">
        <v>269</v>
      </c>
      <c r="E119" s="165">
        <v>16</v>
      </c>
      <c r="F119" s="181">
        <v>1440</v>
      </c>
      <c r="G119" s="179">
        <v>90</v>
      </c>
      <c r="H119" s="413"/>
      <c r="I119" s="165">
        <f t="shared" si="22"/>
        <v>16</v>
      </c>
      <c r="J119" s="165">
        <f t="shared" si="23"/>
        <v>1270.3320280160876</v>
      </c>
      <c r="K119" s="179">
        <f t="shared" si="24"/>
        <v>79.395751751005477</v>
      </c>
      <c r="L119" s="413"/>
      <c r="M119" s="180">
        <f>RANK(K119, K$112:$K$141)</f>
        <v>7</v>
      </c>
      <c r="N119" s="401"/>
      <c r="O119" s="401"/>
      <c r="P119" s="165">
        <v>16</v>
      </c>
      <c r="Q119" s="165">
        <v>1259.9999999999995</v>
      </c>
      <c r="R119" s="165">
        <v>78.749999999999972</v>
      </c>
      <c r="S119" s="181">
        <f t="shared" si="25"/>
        <v>9</v>
      </c>
      <c r="T119" s="430"/>
      <c r="U119" s="165">
        <v>16</v>
      </c>
      <c r="V119" s="165">
        <v>1264.9999999999991</v>
      </c>
      <c r="W119" s="165">
        <v>79.062499999999943</v>
      </c>
      <c r="X119" s="181">
        <f t="shared" si="26"/>
        <v>7</v>
      </c>
      <c r="Y119" s="430"/>
      <c r="Z119" s="165">
        <v>16</v>
      </c>
      <c r="AA119" s="165">
        <v>1279.9999999999977</v>
      </c>
      <c r="AB119" s="165">
        <v>79.999999999999858</v>
      </c>
      <c r="AC119" s="181">
        <f t="shared" si="27"/>
        <v>8</v>
      </c>
      <c r="AD119" s="430"/>
      <c r="AE119" s="165">
        <v>16</v>
      </c>
      <c r="AF119" s="165">
        <v>1261.9354838709658</v>
      </c>
      <c r="AG119" s="165">
        <v>78.87096774193536</v>
      </c>
      <c r="AH119" s="181">
        <f t="shared" si="28"/>
        <v>8</v>
      </c>
      <c r="AI119" s="430"/>
      <c r="AJ119" s="165">
        <v>16</v>
      </c>
      <c r="AK119" s="165">
        <v>1295.2941176470572</v>
      </c>
      <c r="AL119" s="165">
        <v>80.955882352941074</v>
      </c>
      <c r="AM119" s="181">
        <f t="shared" si="29"/>
        <v>5</v>
      </c>
      <c r="AN119" s="430"/>
      <c r="AO119" s="165">
        <v>16</v>
      </c>
      <c r="AP119" s="165">
        <v>1255.4999999999995</v>
      </c>
      <c r="AQ119" s="165">
        <v>78.468749999999972</v>
      </c>
      <c r="AR119" s="181">
        <f t="shared" si="30"/>
        <v>7</v>
      </c>
      <c r="AS119" s="430"/>
      <c r="AT119" s="165">
        <v>16</v>
      </c>
      <c r="AU119" s="165">
        <v>1274.5945945945937</v>
      </c>
      <c r="AV119" s="165">
        <v>79.662162162162105</v>
      </c>
      <c r="AW119" s="181">
        <f t="shared" si="31"/>
        <v>7</v>
      </c>
      <c r="AX119" s="430"/>
    </row>
    <row r="120" spans="2:50">
      <c r="B120" s="400"/>
      <c r="C120" s="181">
        <v>9</v>
      </c>
      <c r="D120" s="196" t="s">
        <v>270</v>
      </c>
      <c r="E120" s="165">
        <v>17</v>
      </c>
      <c r="F120" s="181">
        <v>1440</v>
      </c>
      <c r="G120" s="179">
        <v>84.705882352941174</v>
      </c>
      <c r="H120" s="413"/>
      <c r="I120" s="165">
        <f t="shared" si="22"/>
        <v>17</v>
      </c>
      <c r="J120" s="165">
        <f t="shared" si="23"/>
        <v>1284.249296242735</v>
      </c>
      <c r="K120" s="179">
        <f t="shared" si="24"/>
        <v>75.54407624957264</v>
      </c>
      <c r="L120" s="413"/>
      <c r="M120" s="180">
        <f>RANK(K120, K$112:$K$141)</f>
        <v>12</v>
      </c>
      <c r="N120" s="401"/>
      <c r="O120" s="401"/>
      <c r="P120" s="165">
        <v>17</v>
      </c>
      <c r="Q120" s="165">
        <v>1247.5862068965528</v>
      </c>
      <c r="R120" s="165">
        <v>73.387423935091334</v>
      </c>
      <c r="S120" s="181">
        <f t="shared" si="25"/>
        <v>15</v>
      </c>
      <c r="T120" s="430"/>
      <c r="U120" s="165">
        <v>17</v>
      </c>
      <c r="V120" s="165">
        <v>1307.3076923076931</v>
      </c>
      <c r="W120" s="165">
        <v>76.900452488687833</v>
      </c>
      <c r="X120" s="181">
        <f t="shared" si="26"/>
        <v>10</v>
      </c>
      <c r="Y120" s="430"/>
      <c r="Z120" s="165">
        <v>17</v>
      </c>
      <c r="AA120" s="165">
        <v>1248.2608695652175</v>
      </c>
      <c r="AB120" s="165">
        <v>73.427109974424553</v>
      </c>
      <c r="AC120" s="181">
        <f t="shared" si="27"/>
        <v>14</v>
      </c>
      <c r="AD120" s="430"/>
      <c r="AE120" s="165">
        <v>17</v>
      </c>
      <c r="AF120" s="165">
        <v>1313.617021276596</v>
      </c>
      <c r="AG120" s="165">
        <v>77.271589486858588</v>
      </c>
      <c r="AH120" s="181">
        <f t="shared" si="28"/>
        <v>11</v>
      </c>
      <c r="AI120" s="430"/>
      <c r="AJ120" s="165">
        <v>17</v>
      </c>
      <c r="AK120" s="165">
        <v>1274.7169811320762</v>
      </c>
      <c r="AL120" s="165">
        <v>74.983351831298592</v>
      </c>
      <c r="AM120" s="181">
        <f t="shared" si="29"/>
        <v>13</v>
      </c>
      <c r="AN120" s="430"/>
      <c r="AO120" s="165">
        <v>17</v>
      </c>
      <c r="AP120" s="165">
        <v>1301.7857142857151</v>
      </c>
      <c r="AQ120" s="165">
        <v>76.575630252100893</v>
      </c>
      <c r="AR120" s="181">
        <f t="shared" si="30"/>
        <v>9</v>
      </c>
      <c r="AS120" s="430"/>
      <c r="AT120" s="165">
        <v>17</v>
      </c>
      <c r="AU120" s="165">
        <v>1296.4705882352946</v>
      </c>
      <c r="AV120" s="165">
        <v>76.262975778546746</v>
      </c>
      <c r="AW120" s="181">
        <f t="shared" si="31"/>
        <v>11</v>
      </c>
      <c r="AX120" s="430"/>
    </row>
    <row r="121" spans="2:50">
      <c r="B121" s="400"/>
      <c r="C121" s="181">
        <v>10</v>
      </c>
      <c r="D121" s="196" t="s">
        <v>286</v>
      </c>
      <c r="E121" s="165">
        <v>17</v>
      </c>
      <c r="F121" s="181">
        <v>1500</v>
      </c>
      <c r="G121" s="179">
        <v>88.235294117647058</v>
      </c>
      <c r="H121" s="413"/>
      <c r="I121" s="165">
        <f t="shared" si="22"/>
        <v>16.571428571428573</v>
      </c>
      <c r="J121" s="165">
        <f t="shared" si="23"/>
        <v>1325.9585308725495</v>
      </c>
      <c r="K121" s="179">
        <f t="shared" si="24"/>
        <v>80.082100270922297</v>
      </c>
      <c r="L121" s="413"/>
      <c r="M121" s="180">
        <f>RANK(K121, K$112:$K$141)</f>
        <v>6</v>
      </c>
      <c r="N121" s="401"/>
      <c r="O121" s="401"/>
      <c r="P121" s="165">
        <v>17</v>
      </c>
      <c r="Q121" s="165">
        <v>1335.9574468085109</v>
      </c>
      <c r="R121" s="165">
        <v>78.585732165206522</v>
      </c>
      <c r="S121" s="181">
        <f t="shared" si="25"/>
        <v>10</v>
      </c>
      <c r="T121" s="430"/>
      <c r="U121" s="165">
        <v>16</v>
      </c>
      <c r="V121" s="165">
        <v>1312.6666666666665</v>
      </c>
      <c r="W121" s="165">
        <v>82.041666666666657</v>
      </c>
      <c r="X121" s="181">
        <f t="shared" si="26"/>
        <v>6</v>
      </c>
      <c r="Y121" s="430"/>
      <c r="Z121" s="165">
        <v>16</v>
      </c>
      <c r="AA121" s="165">
        <v>1324.7058823529419</v>
      </c>
      <c r="AB121" s="165">
        <v>82.794117647058869</v>
      </c>
      <c r="AC121" s="181">
        <f t="shared" si="27"/>
        <v>4</v>
      </c>
      <c r="AD121" s="430"/>
      <c r="AE121" s="165">
        <v>16</v>
      </c>
      <c r="AF121" s="165">
        <v>1331.590909090909</v>
      </c>
      <c r="AG121" s="165">
        <v>83.224431818181813</v>
      </c>
      <c r="AH121" s="181">
        <f t="shared" si="28"/>
        <v>4</v>
      </c>
      <c r="AI121" s="430"/>
      <c r="AJ121" s="165">
        <v>17</v>
      </c>
      <c r="AK121" s="165">
        <v>1330.0000000000014</v>
      </c>
      <c r="AL121" s="165">
        <v>78.235294117647143</v>
      </c>
      <c r="AM121" s="181">
        <f t="shared" si="29"/>
        <v>7</v>
      </c>
      <c r="AN121" s="430"/>
      <c r="AO121" s="165">
        <v>17</v>
      </c>
      <c r="AP121" s="165">
        <v>1282.0615384615433</v>
      </c>
      <c r="AQ121" s="165">
        <v>75.415384615384895</v>
      </c>
      <c r="AR121" s="181">
        <f t="shared" si="30"/>
        <v>10</v>
      </c>
      <c r="AS121" s="430"/>
      <c r="AT121" s="165">
        <v>17</v>
      </c>
      <c r="AU121" s="165">
        <v>1364.7272727272737</v>
      </c>
      <c r="AV121" s="165">
        <v>80.27807486631022</v>
      </c>
      <c r="AW121" s="181">
        <f t="shared" si="31"/>
        <v>6</v>
      </c>
      <c r="AX121" s="430"/>
    </row>
    <row r="122" spans="2:50">
      <c r="B122" s="400"/>
      <c r="C122" s="181">
        <v>11</v>
      </c>
      <c r="D122" s="196" t="s">
        <v>272</v>
      </c>
      <c r="E122" s="165">
        <v>18</v>
      </c>
      <c r="F122" s="181">
        <v>1440</v>
      </c>
      <c r="G122" s="179">
        <v>80</v>
      </c>
      <c r="H122" s="413"/>
      <c r="I122" s="165">
        <f t="shared" si="22"/>
        <v>16.571428571428573</v>
      </c>
      <c r="J122" s="165">
        <f t="shared" si="23"/>
        <v>1196.7659579186256</v>
      </c>
      <c r="K122" s="179">
        <f t="shared" si="24"/>
        <v>72.275059326556075</v>
      </c>
      <c r="L122" s="413"/>
      <c r="M122" s="180">
        <f>RANK(K122, K$112:$K$141)</f>
        <v>16</v>
      </c>
      <c r="N122" s="401"/>
      <c r="O122" s="401"/>
      <c r="P122" s="165">
        <v>16</v>
      </c>
      <c r="Q122" s="165">
        <v>1194.2307692307697</v>
      </c>
      <c r="R122" s="165">
        <v>74.639423076923109</v>
      </c>
      <c r="S122" s="181">
        <f t="shared" si="25"/>
        <v>13</v>
      </c>
      <c r="T122" s="430"/>
      <c r="U122" s="165">
        <v>17</v>
      </c>
      <c r="V122" s="165">
        <v>1211.7647058823536</v>
      </c>
      <c r="W122" s="165">
        <v>71.280276816609032</v>
      </c>
      <c r="X122" s="181">
        <f t="shared" si="26"/>
        <v>18</v>
      </c>
      <c r="Y122" s="430"/>
      <c r="Z122" s="165">
        <v>16</v>
      </c>
      <c r="AA122" s="165">
        <v>1170.6382978723407</v>
      </c>
      <c r="AB122" s="165">
        <v>73.164893617021292</v>
      </c>
      <c r="AC122" s="181">
        <f t="shared" si="27"/>
        <v>15</v>
      </c>
      <c r="AD122" s="430"/>
      <c r="AE122" s="165">
        <v>17</v>
      </c>
      <c r="AF122" s="165">
        <v>1216.3636363636365</v>
      </c>
      <c r="AG122" s="165">
        <v>71.550802139037444</v>
      </c>
      <c r="AH122" s="181">
        <f t="shared" si="28"/>
        <v>17</v>
      </c>
      <c r="AI122" s="430"/>
      <c r="AJ122" s="165">
        <v>17</v>
      </c>
      <c r="AK122" s="165">
        <v>1187.3076923076931</v>
      </c>
      <c r="AL122" s="165">
        <v>69.841628959276065</v>
      </c>
      <c r="AM122" s="181">
        <f t="shared" si="29"/>
        <v>19</v>
      </c>
      <c r="AN122" s="430"/>
      <c r="AO122" s="165">
        <v>17</v>
      </c>
      <c r="AP122" s="165">
        <v>1188.0000000000007</v>
      </c>
      <c r="AQ122" s="165">
        <v>69.882352941176507</v>
      </c>
      <c r="AR122" s="181">
        <f t="shared" si="30"/>
        <v>19</v>
      </c>
      <c r="AS122" s="430"/>
      <c r="AT122" s="165">
        <v>16</v>
      </c>
      <c r="AU122" s="165">
        <v>1209.0566037735857</v>
      </c>
      <c r="AV122" s="165">
        <v>75.566037735849108</v>
      </c>
      <c r="AW122" s="181">
        <f t="shared" si="31"/>
        <v>13</v>
      </c>
      <c r="AX122" s="430"/>
    </row>
    <row r="123" spans="2:50">
      <c r="B123" s="400"/>
      <c r="C123" s="181">
        <v>12</v>
      </c>
      <c r="D123" s="196" t="s">
        <v>273</v>
      </c>
      <c r="E123" s="165">
        <v>20</v>
      </c>
      <c r="F123" s="181">
        <v>1636</v>
      </c>
      <c r="G123" s="179">
        <v>81.8</v>
      </c>
      <c r="H123" s="413"/>
      <c r="I123" s="165">
        <f t="shared" si="22"/>
        <v>19</v>
      </c>
      <c r="J123" s="165">
        <f t="shared" si="23"/>
        <v>1276.2641824558289</v>
      </c>
      <c r="K123" s="179">
        <f t="shared" si="24"/>
        <v>67.171799076622577</v>
      </c>
      <c r="L123" s="413"/>
      <c r="M123" s="180">
        <f>RANK(K123, K$112:$K$141)</f>
        <v>22</v>
      </c>
      <c r="N123" s="401"/>
      <c r="O123" s="401"/>
      <c r="P123" s="165">
        <v>19</v>
      </c>
      <c r="Q123" s="165">
        <v>1257.391304347826</v>
      </c>
      <c r="R123" s="165">
        <v>66.178489702517155</v>
      </c>
      <c r="S123" s="181">
        <f t="shared" si="25"/>
        <v>22</v>
      </c>
      <c r="T123" s="430"/>
      <c r="U123" s="165">
        <v>19</v>
      </c>
      <c r="V123" s="165">
        <v>1259.2682926829264</v>
      </c>
      <c r="W123" s="165">
        <v>66.277278562259283</v>
      </c>
      <c r="X123" s="181">
        <f t="shared" si="26"/>
        <v>22</v>
      </c>
      <c r="Y123" s="430"/>
      <c r="Z123" s="165">
        <v>19</v>
      </c>
      <c r="AA123" s="165">
        <v>1254.2465753424649</v>
      </c>
      <c r="AB123" s="165">
        <v>66.012977649603414</v>
      </c>
      <c r="AC123" s="181">
        <f t="shared" si="27"/>
        <v>21</v>
      </c>
      <c r="AD123" s="430"/>
      <c r="AE123" s="165">
        <v>19</v>
      </c>
      <c r="AF123" s="165">
        <v>1306.9565217391291</v>
      </c>
      <c r="AG123" s="165">
        <v>68.787185354691005</v>
      </c>
      <c r="AH123" s="181">
        <f t="shared" si="28"/>
        <v>20</v>
      </c>
      <c r="AI123" s="430"/>
      <c r="AJ123" s="165">
        <v>19</v>
      </c>
      <c r="AK123" s="165">
        <v>1274.4578313253007</v>
      </c>
      <c r="AL123" s="165">
        <v>67.076727964489507</v>
      </c>
      <c r="AM123" s="181">
        <f t="shared" si="29"/>
        <v>21</v>
      </c>
      <c r="AN123" s="430"/>
      <c r="AO123" s="165">
        <v>19</v>
      </c>
      <c r="AP123" s="165">
        <v>1299.3548387096776</v>
      </c>
      <c r="AQ123" s="165">
        <v>68.387096774193552</v>
      </c>
      <c r="AR123" s="181">
        <f t="shared" si="30"/>
        <v>20</v>
      </c>
      <c r="AS123" s="430"/>
      <c r="AT123" s="165">
        <v>19</v>
      </c>
      <c r="AU123" s="165">
        <v>1282.1739130434783</v>
      </c>
      <c r="AV123" s="165">
        <v>67.482837528604122</v>
      </c>
      <c r="AW123" s="181">
        <f t="shared" si="31"/>
        <v>22</v>
      </c>
      <c r="AX123" s="430"/>
    </row>
    <row r="124" spans="2:50">
      <c r="B124" s="400"/>
      <c r="C124" s="181">
        <v>13</v>
      </c>
      <c r="D124" s="196" t="s">
        <v>274</v>
      </c>
      <c r="E124" s="165">
        <v>19</v>
      </c>
      <c r="F124" s="181">
        <v>1636</v>
      </c>
      <c r="G124" s="179">
        <v>86.10526315789474</v>
      </c>
      <c r="H124" s="413"/>
      <c r="I124" s="165">
        <f t="shared" si="22"/>
        <v>19</v>
      </c>
      <c r="J124" s="165">
        <f t="shared" si="23"/>
        <v>1282.5247086578363</v>
      </c>
      <c r="K124" s="179">
        <f t="shared" si="24"/>
        <v>67.50130045567559</v>
      </c>
      <c r="L124" s="413"/>
      <c r="M124" s="180">
        <f>RANK(K124, K$112:$K$141)</f>
        <v>20</v>
      </c>
      <c r="N124" s="401"/>
      <c r="O124" s="401"/>
      <c r="P124" s="165">
        <v>19</v>
      </c>
      <c r="Q124" s="165">
        <v>1287.3529411764721</v>
      </c>
      <c r="R124" s="165">
        <v>67.75541795665643</v>
      </c>
      <c r="S124" s="181">
        <f t="shared" si="25"/>
        <v>20</v>
      </c>
      <c r="T124" s="430"/>
      <c r="U124" s="165">
        <v>19</v>
      </c>
      <c r="V124" s="165">
        <v>1289.5081967213125</v>
      </c>
      <c r="W124" s="165">
        <v>67.868852459016452</v>
      </c>
      <c r="X124" s="181">
        <f t="shared" si="26"/>
        <v>21</v>
      </c>
      <c r="Y124" s="430"/>
      <c r="Z124" s="165">
        <v>19</v>
      </c>
      <c r="AA124" s="165">
        <v>1246.3157894736851</v>
      </c>
      <c r="AB124" s="165">
        <v>65.595567867036053</v>
      </c>
      <c r="AC124" s="181">
        <f t="shared" si="27"/>
        <v>22</v>
      </c>
      <c r="AD124" s="430"/>
      <c r="AE124" s="165">
        <v>19</v>
      </c>
      <c r="AF124" s="165">
        <v>1299.3103448275872</v>
      </c>
      <c r="AG124" s="165">
        <v>68.384754990925643</v>
      </c>
      <c r="AH124" s="181">
        <f t="shared" si="28"/>
        <v>21</v>
      </c>
      <c r="AI124" s="430"/>
      <c r="AJ124" s="165">
        <v>19</v>
      </c>
      <c r="AK124" s="165">
        <v>1259.0625000000016</v>
      </c>
      <c r="AL124" s="165">
        <v>66.26644736842114</v>
      </c>
      <c r="AM124" s="181">
        <f t="shared" si="29"/>
        <v>22</v>
      </c>
      <c r="AN124" s="430"/>
      <c r="AO124" s="165">
        <v>19</v>
      </c>
      <c r="AP124" s="165">
        <v>1286.9565217391291</v>
      </c>
      <c r="AQ124" s="165">
        <v>67.734553775743635</v>
      </c>
      <c r="AR124" s="181">
        <f t="shared" si="30"/>
        <v>21</v>
      </c>
      <c r="AS124" s="430"/>
      <c r="AT124" s="165">
        <v>19</v>
      </c>
      <c r="AU124" s="165">
        <v>1309.1666666666656</v>
      </c>
      <c r="AV124" s="165">
        <v>68.903508771929765</v>
      </c>
      <c r="AW124" s="181">
        <f t="shared" si="31"/>
        <v>20</v>
      </c>
      <c r="AX124" s="430"/>
    </row>
    <row r="125" spans="2:50">
      <c r="B125" s="400"/>
      <c r="C125" s="181">
        <v>14</v>
      </c>
      <c r="D125" s="196" t="s">
        <v>275</v>
      </c>
      <c r="E125" s="165">
        <v>20</v>
      </c>
      <c r="F125" s="181">
        <v>1500</v>
      </c>
      <c r="G125" s="179">
        <v>75</v>
      </c>
      <c r="H125" s="413"/>
      <c r="I125" s="165">
        <f t="shared" si="22"/>
        <v>20</v>
      </c>
      <c r="J125" s="165">
        <f t="shared" si="23"/>
        <v>1270.156002941718</v>
      </c>
      <c r="K125" s="179">
        <f t="shared" si="24"/>
        <v>63.507800147085909</v>
      </c>
      <c r="L125" s="413"/>
      <c r="M125" s="180">
        <f>RANK(K125, K$112:$K$141)</f>
        <v>23</v>
      </c>
      <c r="N125" s="401"/>
      <c r="O125" s="401"/>
      <c r="P125" s="165">
        <v>20</v>
      </c>
      <c r="Q125" s="165">
        <v>1241.6666666666683</v>
      </c>
      <c r="R125" s="165">
        <v>62.083333333333414</v>
      </c>
      <c r="S125" s="181">
        <f t="shared" si="25"/>
        <v>23</v>
      </c>
      <c r="T125" s="430"/>
      <c r="U125" s="165">
        <v>20</v>
      </c>
      <c r="V125" s="165">
        <v>1282.2857142857129</v>
      </c>
      <c r="W125" s="165">
        <v>64.114285714285643</v>
      </c>
      <c r="X125" s="181">
        <f t="shared" si="26"/>
        <v>23</v>
      </c>
      <c r="Y125" s="430"/>
      <c r="Z125" s="165">
        <v>20</v>
      </c>
      <c r="AA125" s="165">
        <v>1261.6666666666656</v>
      </c>
      <c r="AB125" s="165">
        <v>63.083333333333279</v>
      </c>
      <c r="AC125" s="181">
        <f t="shared" si="27"/>
        <v>24</v>
      </c>
      <c r="AD125" s="430"/>
      <c r="AE125" s="165">
        <v>20</v>
      </c>
      <c r="AF125" s="165">
        <v>1252.5000000000016</v>
      </c>
      <c r="AG125" s="165">
        <v>62.625000000000078</v>
      </c>
      <c r="AH125" s="181">
        <f t="shared" si="28"/>
        <v>24</v>
      </c>
      <c r="AI125" s="430"/>
      <c r="AJ125" s="165">
        <v>20</v>
      </c>
      <c r="AK125" s="165">
        <v>1290.0000000000018</v>
      </c>
      <c r="AL125" s="165">
        <v>64.500000000000085</v>
      </c>
      <c r="AM125" s="181">
        <f t="shared" si="29"/>
        <v>23</v>
      </c>
      <c r="AN125" s="430"/>
      <c r="AO125" s="165">
        <v>20</v>
      </c>
      <c r="AP125" s="165">
        <v>1290.0000000000018</v>
      </c>
      <c r="AQ125" s="165">
        <v>64.500000000000085</v>
      </c>
      <c r="AR125" s="181">
        <f t="shared" si="30"/>
        <v>24</v>
      </c>
      <c r="AS125" s="430"/>
      <c r="AT125" s="165">
        <v>20</v>
      </c>
      <c r="AU125" s="165">
        <v>1272.9729729729747</v>
      </c>
      <c r="AV125" s="165">
        <v>63.648648648648738</v>
      </c>
      <c r="AW125" s="181">
        <f t="shared" si="31"/>
        <v>23</v>
      </c>
      <c r="AX125" s="430"/>
    </row>
    <row r="126" spans="2:50">
      <c r="B126" s="400"/>
      <c r="C126" s="181">
        <v>15</v>
      </c>
      <c r="D126" s="196" t="s">
        <v>276</v>
      </c>
      <c r="E126" s="165">
        <v>18</v>
      </c>
      <c r="F126" s="181">
        <v>1500</v>
      </c>
      <c r="G126" s="179">
        <v>83.333333333333329</v>
      </c>
      <c r="H126" s="413"/>
      <c r="I126" s="165">
        <f t="shared" si="22"/>
        <v>17</v>
      </c>
      <c r="J126" s="165">
        <f t="shared" si="23"/>
        <v>1285.6911820458449</v>
      </c>
      <c r="K126" s="179">
        <f t="shared" si="24"/>
        <v>75.628893061520301</v>
      </c>
      <c r="L126" s="413"/>
      <c r="M126" s="180">
        <f>RANK(K126, K$112:$K$141)</f>
        <v>11</v>
      </c>
      <c r="N126" s="401"/>
      <c r="O126" s="401"/>
      <c r="P126" s="165">
        <v>17</v>
      </c>
      <c r="Q126" s="165">
        <v>1254.7826086956522</v>
      </c>
      <c r="R126" s="165">
        <v>73.810741687979544</v>
      </c>
      <c r="S126" s="181">
        <f t="shared" si="25"/>
        <v>14</v>
      </c>
      <c r="T126" s="430"/>
      <c r="U126" s="165">
        <v>17</v>
      </c>
      <c r="V126" s="165">
        <v>1297.8947368421043</v>
      </c>
      <c r="W126" s="165">
        <v>76.346749226006139</v>
      </c>
      <c r="X126" s="181">
        <f t="shared" si="26"/>
        <v>11</v>
      </c>
      <c r="Y126" s="430"/>
      <c r="Z126" s="165">
        <v>17</v>
      </c>
      <c r="AA126" s="165">
        <v>1289.0909090909074</v>
      </c>
      <c r="AB126" s="165">
        <v>75.828877005347493</v>
      </c>
      <c r="AC126" s="181">
        <f t="shared" si="27"/>
        <v>13</v>
      </c>
      <c r="AD126" s="430"/>
      <c r="AE126" s="165">
        <v>17</v>
      </c>
      <c r="AF126" s="165">
        <v>1285.4545454545439</v>
      </c>
      <c r="AG126" s="165">
        <v>75.614973262031995</v>
      </c>
      <c r="AH126" s="181">
        <f t="shared" si="28"/>
        <v>13</v>
      </c>
      <c r="AI126" s="430"/>
      <c r="AJ126" s="165">
        <v>17</v>
      </c>
      <c r="AK126" s="165">
        <v>1318.3783783783774</v>
      </c>
      <c r="AL126" s="165">
        <v>77.55166931637514</v>
      </c>
      <c r="AM126" s="181">
        <f t="shared" si="29"/>
        <v>9</v>
      </c>
      <c r="AN126" s="430"/>
      <c r="AO126" s="165">
        <v>17</v>
      </c>
      <c r="AP126" s="165">
        <v>1278.1395348837207</v>
      </c>
      <c r="AQ126" s="165">
        <v>75.184678522571801</v>
      </c>
      <c r="AR126" s="181">
        <f t="shared" si="30"/>
        <v>11</v>
      </c>
      <c r="AS126" s="430"/>
      <c r="AT126" s="165">
        <v>17</v>
      </c>
      <c r="AU126" s="165">
        <v>1276.0975609756094</v>
      </c>
      <c r="AV126" s="165">
        <v>75.06456241032997</v>
      </c>
      <c r="AW126" s="181">
        <f t="shared" si="31"/>
        <v>14</v>
      </c>
      <c r="AX126" s="430"/>
    </row>
    <row r="127" spans="2:50">
      <c r="B127" s="400"/>
      <c r="C127" s="181">
        <v>16</v>
      </c>
      <c r="D127" s="196" t="s">
        <v>277</v>
      </c>
      <c r="E127" s="165">
        <v>18</v>
      </c>
      <c r="F127" s="181">
        <v>1500</v>
      </c>
      <c r="G127" s="179">
        <v>83.333333333333329</v>
      </c>
      <c r="H127" s="413"/>
      <c r="I127" s="165">
        <f t="shared" si="22"/>
        <v>17.285714285714285</v>
      </c>
      <c r="J127" s="165">
        <f t="shared" si="23"/>
        <v>1277.3252457415317</v>
      </c>
      <c r="K127" s="179">
        <f t="shared" si="24"/>
        <v>73.949369771281084</v>
      </c>
      <c r="L127" s="413"/>
      <c r="M127" s="180">
        <f>RANK(K127, K$112:$K$141)</f>
        <v>14</v>
      </c>
      <c r="N127" s="401"/>
      <c r="O127" s="401"/>
      <c r="P127" s="165">
        <v>17</v>
      </c>
      <c r="Q127" s="165">
        <v>1281.3559322033909</v>
      </c>
      <c r="R127" s="165">
        <v>75.373878364905352</v>
      </c>
      <c r="S127" s="181">
        <f t="shared" si="25"/>
        <v>12</v>
      </c>
      <c r="T127" s="430"/>
      <c r="U127" s="165">
        <v>17</v>
      </c>
      <c r="V127" s="165">
        <v>1285.7142857142867</v>
      </c>
      <c r="W127" s="165">
        <v>75.630252100840394</v>
      </c>
      <c r="X127" s="181">
        <f t="shared" si="26"/>
        <v>12</v>
      </c>
      <c r="Y127" s="430"/>
      <c r="Z127" s="165">
        <v>17</v>
      </c>
      <c r="AA127" s="165">
        <v>1294.2857142857147</v>
      </c>
      <c r="AB127" s="165">
        <v>76.134453781512633</v>
      </c>
      <c r="AC127" s="181">
        <f t="shared" si="27"/>
        <v>11</v>
      </c>
      <c r="AD127" s="430"/>
      <c r="AE127" s="165">
        <v>17</v>
      </c>
      <c r="AF127" s="165">
        <v>1270.5882352941182</v>
      </c>
      <c r="AG127" s="165">
        <v>74.740484429065773</v>
      </c>
      <c r="AH127" s="181">
        <f t="shared" si="28"/>
        <v>14</v>
      </c>
      <c r="AI127" s="430"/>
      <c r="AJ127" s="165">
        <v>18</v>
      </c>
      <c r="AK127" s="165">
        <v>1257.8571428571438</v>
      </c>
      <c r="AL127" s="165">
        <v>69.880952380952436</v>
      </c>
      <c r="AM127" s="181">
        <f t="shared" si="29"/>
        <v>18</v>
      </c>
      <c r="AN127" s="430"/>
      <c r="AO127" s="165">
        <v>18</v>
      </c>
      <c r="AP127" s="165">
        <v>1285.5737704918045</v>
      </c>
      <c r="AQ127" s="165">
        <v>71.420765027322474</v>
      </c>
      <c r="AR127" s="181">
        <f t="shared" si="30"/>
        <v>14</v>
      </c>
      <c r="AS127" s="430"/>
      <c r="AT127" s="165">
        <v>17</v>
      </c>
      <c r="AU127" s="165">
        <v>1265.9016393442635</v>
      </c>
      <c r="AV127" s="165">
        <v>74.464802314368441</v>
      </c>
      <c r="AW127" s="181">
        <f t="shared" si="31"/>
        <v>15</v>
      </c>
      <c r="AX127" s="430"/>
    </row>
    <row r="128" spans="2:50">
      <c r="B128" s="400"/>
      <c r="C128" s="181">
        <v>17</v>
      </c>
      <c r="D128" s="196" t="s">
        <v>278</v>
      </c>
      <c r="E128" s="165">
        <v>17</v>
      </c>
      <c r="F128" s="181">
        <v>1440</v>
      </c>
      <c r="G128" s="179">
        <v>84.705882352941174</v>
      </c>
      <c r="H128" s="413"/>
      <c r="I128" s="165">
        <f t="shared" si="22"/>
        <v>17.857142857142858</v>
      </c>
      <c r="J128" s="165">
        <f t="shared" si="23"/>
        <v>1348.4295351808246</v>
      </c>
      <c r="K128" s="179">
        <f t="shared" si="24"/>
        <v>75.542246995749991</v>
      </c>
      <c r="L128" s="413"/>
      <c r="M128" s="180">
        <f>RANK(K128, K$112:$K$141)</f>
        <v>13</v>
      </c>
      <c r="N128" s="401"/>
      <c r="O128" s="401"/>
      <c r="P128" s="165">
        <v>18</v>
      </c>
      <c r="Q128" s="165">
        <v>1309.7872340425533</v>
      </c>
      <c r="R128" s="165">
        <v>72.765957446808514</v>
      </c>
      <c r="S128" s="181">
        <f t="shared" si="25"/>
        <v>17</v>
      </c>
      <c r="T128" s="430"/>
      <c r="U128" s="165">
        <v>18</v>
      </c>
      <c r="V128" s="165">
        <v>1354.5882352941176</v>
      </c>
      <c r="W128" s="165">
        <v>75.254901960784309</v>
      </c>
      <c r="X128" s="181">
        <f t="shared" si="26"/>
        <v>13</v>
      </c>
      <c r="Y128" s="430"/>
      <c r="Z128" s="165">
        <v>18</v>
      </c>
      <c r="AA128" s="165">
        <v>1368.7999999999988</v>
      </c>
      <c r="AB128" s="165">
        <v>76.04444444444438</v>
      </c>
      <c r="AC128" s="181">
        <f t="shared" si="27"/>
        <v>12</v>
      </c>
      <c r="AD128" s="430"/>
      <c r="AE128" s="165">
        <v>17</v>
      </c>
      <c r="AF128" s="165">
        <v>1348.3783783783772</v>
      </c>
      <c r="AG128" s="165">
        <v>79.316375198728068</v>
      </c>
      <c r="AH128" s="181">
        <f t="shared" si="28"/>
        <v>7</v>
      </c>
      <c r="AI128" s="430"/>
      <c r="AJ128" s="165">
        <v>18</v>
      </c>
      <c r="AK128" s="165">
        <v>1349.2499999999995</v>
      </c>
      <c r="AL128" s="165">
        <v>74.958333333333314</v>
      </c>
      <c r="AM128" s="181">
        <f t="shared" si="29"/>
        <v>14</v>
      </c>
      <c r="AN128" s="430"/>
      <c r="AO128" s="165">
        <v>18</v>
      </c>
      <c r="AP128" s="165">
        <v>1340.8695652173915</v>
      </c>
      <c r="AQ128" s="165">
        <v>74.49275362318842</v>
      </c>
      <c r="AR128" s="181">
        <f t="shared" si="30"/>
        <v>12</v>
      </c>
      <c r="AS128" s="430"/>
      <c r="AT128" s="165">
        <v>18</v>
      </c>
      <c r="AU128" s="165">
        <v>1367.3333333333333</v>
      </c>
      <c r="AV128" s="165">
        <v>75.962962962962962</v>
      </c>
      <c r="AW128" s="181">
        <f t="shared" si="31"/>
        <v>12</v>
      </c>
      <c r="AX128" s="430"/>
    </row>
    <row r="129" spans="2:50">
      <c r="B129" s="400"/>
      <c r="C129" s="181">
        <v>18</v>
      </c>
      <c r="D129" s="196" t="s">
        <v>279</v>
      </c>
      <c r="E129" s="165">
        <v>15</v>
      </c>
      <c r="F129" s="181">
        <v>1440</v>
      </c>
      <c r="G129" s="179">
        <v>96</v>
      </c>
      <c r="H129" s="413"/>
      <c r="I129" s="165">
        <f t="shared" si="22"/>
        <v>15.142857142857142</v>
      </c>
      <c r="J129" s="165">
        <f t="shared" si="23"/>
        <v>1290.7417630136008</v>
      </c>
      <c r="K129" s="179">
        <f t="shared" si="24"/>
        <v>85.305144449353946</v>
      </c>
      <c r="L129" s="413"/>
      <c r="M129" s="180">
        <f>RANK(K129, K$112:$K$141)</f>
        <v>3</v>
      </c>
      <c r="N129" s="401"/>
      <c r="O129" s="401"/>
      <c r="P129" s="165">
        <v>15</v>
      </c>
      <c r="Q129" s="165">
        <v>1312.3943661971816</v>
      </c>
      <c r="R129" s="165">
        <v>87.49295774647878</v>
      </c>
      <c r="S129" s="181">
        <f t="shared" si="25"/>
        <v>3</v>
      </c>
      <c r="T129" s="430"/>
      <c r="U129" s="165">
        <v>15</v>
      </c>
      <c r="V129" s="165">
        <v>1304.0625000000016</v>
      </c>
      <c r="W129" s="165">
        <v>86.937500000000099</v>
      </c>
      <c r="X129" s="181">
        <f t="shared" si="26"/>
        <v>4</v>
      </c>
      <c r="Y129" s="430"/>
      <c r="Z129" s="165">
        <v>15</v>
      </c>
      <c r="AA129" s="165">
        <v>1290.0000000000009</v>
      </c>
      <c r="AB129" s="165">
        <v>86.000000000000057</v>
      </c>
      <c r="AC129" s="181">
        <f t="shared" si="27"/>
        <v>3</v>
      </c>
      <c r="AD129" s="430"/>
      <c r="AE129" s="165">
        <v>15</v>
      </c>
      <c r="AF129" s="165">
        <v>1304.7457627118656</v>
      </c>
      <c r="AG129" s="165">
        <v>86.983050847457704</v>
      </c>
      <c r="AH129" s="181">
        <f t="shared" si="28"/>
        <v>3</v>
      </c>
      <c r="AI129" s="430"/>
      <c r="AJ129" s="165">
        <v>16</v>
      </c>
      <c r="AK129" s="165">
        <v>1250.4347826086944</v>
      </c>
      <c r="AL129" s="165">
        <v>78.152173913043399</v>
      </c>
      <c r="AM129" s="181">
        <f t="shared" si="29"/>
        <v>8</v>
      </c>
      <c r="AN129" s="430"/>
      <c r="AO129" s="165">
        <v>15</v>
      </c>
      <c r="AP129" s="165">
        <v>1314.399999999999</v>
      </c>
      <c r="AQ129" s="165">
        <v>87.626666666666594</v>
      </c>
      <c r="AR129" s="181">
        <f t="shared" si="30"/>
        <v>3</v>
      </c>
      <c r="AS129" s="430"/>
      <c r="AT129" s="165">
        <v>15</v>
      </c>
      <c r="AU129" s="165">
        <v>1259.1549295774637</v>
      </c>
      <c r="AV129" s="165">
        <v>83.943661971830906</v>
      </c>
      <c r="AW129" s="181">
        <f t="shared" si="31"/>
        <v>4</v>
      </c>
      <c r="AX129" s="430"/>
    </row>
    <row r="130" spans="2:50">
      <c r="B130" s="400"/>
      <c r="C130" s="181">
        <v>19</v>
      </c>
      <c r="D130" s="196" t="s">
        <v>280</v>
      </c>
      <c r="E130" s="165">
        <v>17</v>
      </c>
      <c r="F130" s="181">
        <v>1440</v>
      </c>
      <c r="G130" s="179">
        <v>84.705882352941174</v>
      </c>
      <c r="H130" s="413"/>
      <c r="I130" s="165">
        <f t="shared" si="22"/>
        <v>17</v>
      </c>
      <c r="J130" s="165">
        <f t="shared" si="23"/>
        <v>1333.2144671050678</v>
      </c>
      <c r="K130" s="179">
        <f t="shared" si="24"/>
        <v>78.424380417945159</v>
      </c>
      <c r="L130" s="413"/>
      <c r="M130" s="180">
        <f>RANK(K130, K$112:$K$141)</f>
        <v>8</v>
      </c>
      <c r="N130" s="401"/>
      <c r="O130" s="401"/>
      <c r="P130" s="165">
        <v>17</v>
      </c>
      <c r="Q130" s="165">
        <v>1371.5789473684201</v>
      </c>
      <c r="R130" s="165">
        <v>80.681114551083539</v>
      </c>
      <c r="S130" s="181">
        <f t="shared" si="25"/>
        <v>8</v>
      </c>
      <c r="T130" s="430"/>
      <c r="U130" s="165">
        <v>17</v>
      </c>
      <c r="V130" s="165">
        <v>1312.7102803738326</v>
      </c>
      <c r="W130" s="165">
        <v>77.21825178669603</v>
      </c>
      <c r="X130" s="181">
        <f t="shared" si="26"/>
        <v>9</v>
      </c>
      <c r="Y130" s="430"/>
      <c r="Z130" s="165">
        <v>17</v>
      </c>
      <c r="AA130" s="165">
        <v>1339.7872340425533</v>
      </c>
      <c r="AB130" s="165">
        <v>78.811013767209019</v>
      </c>
      <c r="AC130" s="181">
        <f t="shared" si="27"/>
        <v>9</v>
      </c>
      <c r="AD130" s="430"/>
      <c r="AE130" s="165">
        <v>17</v>
      </c>
      <c r="AF130" s="165">
        <v>1306.8131868131868</v>
      </c>
      <c r="AG130" s="165">
        <v>76.871363930187457</v>
      </c>
      <c r="AH130" s="181">
        <f t="shared" si="28"/>
        <v>12</v>
      </c>
      <c r="AI130" s="430"/>
      <c r="AJ130" s="165">
        <v>17</v>
      </c>
      <c r="AK130" s="165">
        <v>1318.1818181818185</v>
      </c>
      <c r="AL130" s="165">
        <v>77.540106951871678</v>
      </c>
      <c r="AM130" s="181">
        <f t="shared" si="29"/>
        <v>10</v>
      </c>
      <c r="AN130" s="430"/>
      <c r="AO130" s="165">
        <v>17</v>
      </c>
      <c r="AP130" s="165">
        <v>1349.4642857142849</v>
      </c>
      <c r="AQ130" s="165">
        <v>79.380252100840281</v>
      </c>
      <c r="AR130" s="181">
        <f t="shared" si="30"/>
        <v>6</v>
      </c>
      <c r="AS130" s="430"/>
      <c r="AT130" s="165">
        <v>17</v>
      </c>
      <c r="AU130" s="165">
        <v>1333.9655172413784</v>
      </c>
      <c r="AV130" s="165">
        <v>78.468559837728137</v>
      </c>
      <c r="AW130" s="181">
        <f t="shared" si="31"/>
        <v>9</v>
      </c>
      <c r="AX130" s="430"/>
    </row>
    <row r="131" spans="2:50">
      <c r="B131" s="400"/>
      <c r="C131" s="181">
        <v>20</v>
      </c>
      <c r="D131" s="196" t="s">
        <v>281</v>
      </c>
      <c r="E131" s="165">
        <v>18</v>
      </c>
      <c r="F131" s="181">
        <v>1636</v>
      </c>
      <c r="G131" s="179">
        <v>90.888888888888886</v>
      </c>
      <c r="H131" s="413"/>
      <c r="I131" s="165">
        <f t="shared" si="22"/>
        <v>16.571428571428573</v>
      </c>
      <c r="J131" s="165">
        <f t="shared" si="23"/>
        <v>1292.0050233628233</v>
      </c>
      <c r="K131" s="179">
        <f t="shared" si="24"/>
        <v>78.028160416970564</v>
      </c>
      <c r="L131" s="413"/>
      <c r="M131" s="180">
        <f>RANK(K131, K$112:$K$141)</f>
        <v>10</v>
      </c>
      <c r="N131" s="401"/>
      <c r="O131" s="401"/>
      <c r="P131" s="165">
        <v>16</v>
      </c>
      <c r="Q131" s="165">
        <v>1310.3571428571438</v>
      </c>
      <c r="R131" s="165">
        <v>81.897321428571487</v>
      </c>
      <c r="S131" s="181">
        <f t="shared" si="25"/>
        <v>5</v>
      </c>
      <c r="T131" s="430"/>
      <c r="U131" s="165">
        <v>17</v>
      </c>
      <c r="V131" s="165">
        <v>1278.5454545454515</v>
      </c>
      <c r="W131" s="165">
        <v>75.208556149732445</v>
      </c>
      <c r="X131" s="181">
        <f t="shared" si="26"/>
        <v>14</v>
      </c>
      <c r="Y131" s="430"/>
      <c r="Z131" s="165">
        <v>16</v>
      </c>
      <c r="AA131" s="165">
        <v>1290.6976744186045</v>
      </c>
      <c r="AB131" s="165">
        <v>80.668604651162781</v>
      </c>
      <c r="AC131" s="181">
        <f t="shared" si="27"/>
        <v>5</v>
      </c>
      <c r="AD131" s="430"/>
      <c r="AE131" s="165">
        <v>16</v>
      </c>
      <c r="AF131" s="165">
        <v>1260</v>
      </c>
      <c r="AG131" s="165">
        <v>78.75</v>
      </c>
      <c r="AH131" s="181">
        <f t="shared" si="28"/>
        <v>9</v>
      </c>
      <c r="AI131" s="430"/>
      <c r="AJ131" s="165">
        <v>17</v>
      </c>
      <c r="AK131" s="165">
        <v>1288.3018867924536</v>
      </c>
      <c r="AL131" s="165">
        <v>75.782463928967857</v>
      </c>
      <c r="AM131" s="181">
        <f t="shared" si="29"/>
        <v>12</v>
      </c>
      <c r="AN131" s="430"/>
      <c r="AO131" s="165">
        <v>17</v>
      </c>
      <c r="AP131" s="165">
        <v>1317.8571428571438</v>
      </c>
      <c r="AQ131" s="165">
        <v>77.521008403361407</v>
      </c>
      <c r="AR131" s="181">
        <f t="shared" si="30"/>
        <v>8</v>
      </c>
      <c r="AS131" s="430"/>
      <c r="AT131" s="165">
        <v>17</v>
      </c>
      <c r="AU131" s="165">
        <v>1298.2758620689665</v>
      </c>
      <c r="AV131" s="165">
        <v>76.369168356998031</v>
      </c>
      <c r="AW131" s="181">
        <f t="shared" si="31"/>
        <v>10</v>
      </c>
      <c r="AX131" s="430"/>
    </row>
    <row r="132" spans="2:50">
      <c r="B132" s="400"/>
      <c r="C132" s="181">
        <v>21</v>
      </c>
      <c r="D132" s="196" t="s">
        <v>282</v>
      </c>
      <c r="E132" s="165">
        <v>18</v>
      </c>
      <c r="F132" s="181">
        <v>1440</v>
      </c>
      <c r="G132" s="179">
        <v>80</v>
      </c>
      <c r="H132" s="413"/>
      <c r="I132" s="165">
        <f t="shared" si="22"/>
        <v>18</v>
      </c>
      <c r="J132" s="165">
        <f t="shared" si="23"/>
        <v>1293.7003944959026</v>
      </c>
      <c r="K132" s="179">
        <f t="shared" si="24"/>
        <v>71.872244138661259</v>
      </c>
      <c r="L132" s="413"/>
      <c r="M132" s="180">
        <f>RANK(K132, K$112:$K$141)</f>
        <v>18</v>
      </c>
      <c r="N132" s="401"/>
      <c r="O132" s="401"/>
      <c r="P132" s="165">
        <v>18</v>
      </c>
      <c r="Q132" s="165">
        <v>1314.4186046511625</v>
      </c>
      <c r="R132" s="165">
        <v>73.023255813953469</v>
      </c>
      <c r="S132" s="181">
        <f t="shared" si="25"/>
        <v>16</v>
      </c>
      <c r="T132" s="430"/>
      <c r="U132" s="165">
        <v>18</v>
      </c>
      <c r="V132" s="165">
        <v>1251.6455696202527</v>
      </c>
      <c r="W132" s="165">
        <v>69.535864978902922</v>
      </c>
      <c r="X132" s="181">
        <f t="shared" si="26"/>
        <v>19</v>
      </c>
      <c r="Y132" s="430"/>
      <c r="Z132" s="165">
        <v>18</v>
      </c>
      <c r="AA132" s="165">
        <v>1292.1739130434769</v>
      </c>
      <c r="AB132" s="165">
        <v>71.787439613526487</v>
      </c>
      <c r="AC132" s="181">
        <f t="shared" si="27"/>
        <v>16</v>
      </c>
      <c r="AD132" s="430"/>
      <c r="AE132" s="165">
        <v>18</v>
      </c>
      <c r="AF132" s="165">
        <v>1322.6086956521724</v>
      </c>
      <c r="AG132" s="165">
        <v>73.478260869565133</v>
      </c>
      <c r="AH132" s="181">
        <f t="shared" si="28"/>
        <v>15</v>
      </c>
      <c r="AI132" s="430"/>
      <c r="AJ132" s="165">
        <v>18</v>
      </c>
      <c r="AK132" s="165">
        <v>1312.9870129870121</v>
      </c>
      <c r="AL132" s="165">
        <v>72.943722943722889</v>
      </c>
      <c r="AM132" s="181">
        <f t="shared" si="29"/>
        <v>15</v>
      </c>
      <c r="AN132" s="430"/>
      <c r="AO132" s="165">
        <v>18</v>
      </c>
      <c r="AP132" s="165">
        <v>1260.0000000000005</v>
      </c>
      <c r="AQ132" s="165">
        <v>70.000000000000028</v>
      </c>
      <c r="AR132" s="181">
        <f t="shared" si="30"/>
        <v>18</v>
      </c>
      <c r="AS132" s="430"/>
      <c r="AT132" s="165">
        <v>18</v>
      </c>
      <c r="AU132" s="165">
        <v>1302.0689655172412</v>
      </c>
      <c r="AV132" s="165">
        <v>72.337164750957839</v>
      </c>
      <c r="AW132" s="181">
        <f t="shared" si="31"/>
        <v>16</v>
      </c>
      <c r="AX132" s="430"/>
    </row>
    <row r="133" spans="2:50">
      <c r="B133" s="400"/>
      <c r="C133" s="181">
        <v>22</v>
      </c>
      <c r="D133" s="196" t="s">
        <v>287</v>
      </c>
      <c r="E133" s="165">
        <v>18</v>
      </c>
      <c r="F133" s="181">
        <v>1500</v>
      </c>
      <c r="G133" s="179">
        <v>83.333333333333329</v>
      </c>
      <c r="H133" s="413"/>
      <c r="I133" s="165">
        <f t="shared" si="22"/>
        <v>17.428571428571427</v>
      </c>
      <c r="J133" s="165">
        <f t="shared" si="23"/>
        <v>1279.7355046333414</v>
      </c>
      <c r="K133" s="179">
        <f t="shared" si="24"/>
        <v>73.644035971693583</v>
      </c>
      <c r="L133" s="413"/>
      <c r="M133" s="180">
        <f>RANK(K133, K$112:$K$141)</f>
        <v>15</v>
      </c>
      <c r="N133" s="401"/>
      <c r="O133" s="401"/>
      <c r="P133" s="165">
        <v>16</v>
      </c>
      <c r="Q133" s="165">
        <v>1296.0000000000007</v>
      </c>
      <c r="R133" s="165">
        <v>81.000000000000043</v>
      </c>
      <c r="S133" s="181">
        <f t="shared" si="25"/>
        <v>7</v>
      </c>
      <c r="T133" s="430"/>
      <c r="U133" s="165">
        <v>18</v>
      </c>
      <c r="V133" s="165">
        <v>1309.2452830188688</v>
      </c>
      <c r="W133" s="165">
        <v>72.735849056603826</v>
      </c>
      <c r="X133" s="181">
        <f t="shared" si="26"/>
        <v>15</v>
      </c>
      <c r="Y133" s="430"/>
      <c r="Z133" s="165">
        <v>18</v>
      </c>
      <c r="AA133" s="165">
        <v>1270.8571428571436</v>
      </c>
      <c r="AB133" s="165">
        <v>70.603174603174637</v>
      </c>
      <c r="AC133" s="181">
        <f t="shared" si="27"/>
        <v>18</v>
      </c>
      <c r="AD133" s="430"/>
      <c r="AE133" s="165">
        <v>18</v>
      </c>
      <c r="AF133" s="165">
        <v>1259.9999999999986</v>
      </c>
      <c r="AG133" s="165">
        <v>69.999999999999929</v>
      </c>
      <c r="AH133" s="181">
        <f t="shared" si="28"/>
        <v>19</v>
      </c>
      <c r="AI133" s="430"/>
      <c r="AJ133" s="165">
        <v>16</v>
      </c>
      <c r="AK133" s="165">
        <v>1271.9999999999991</v>
      </c>
      <c r="AL133" s="165">
        <v>79.499999999999943</v>
      </c>
      <c r="AM133" s="181">
        <f t="shared" si="29"/>
        <v>6</v>
      </c>
      <c r="AN133" s="430"/>
      <c r="AO133" s="165">
        <v>18</v>
      </c>
      <c r="AP133" s="165">
        <v>1260.9836065573782</v>
      </c>
      <c r="AQ133" s="165">
        <v>70.054644808743234</v>
      </c>
      <c r="AR133" s="181">
        <f t="shared" si="30"/>
        <v>16</v>
      </c>
      <c r="AS133" s="430"/>
      <c r="AT133" s="165">
        <v>18</v>
      </c>
      <c r="AU133" s="165">
        <v>1289.0625000000016</v>
      </c>
      <c r="AV133" s="165">
        <v>71.614583333333428</v>
      </c>
      <c r="AW133" s="181">
        <f t="shared" si="31"/>
        <v>18</v>
      </c>
      <c r="AX133" s="430"/>
    </row>
    <row r="134" spans="2:50">
      <c r="B134" s="400"/>
      <c r="C134" s="181">
        <v>23</v>
      </c>
      <c r="D134" s="196" t="s">
        <v>284</v>
      </c>
      <c r="E134" s="165">
        <v>18</v>
      </c>
      <c r="F134" s="181">
        <v>1500</v>
      </c>
      <c r="G134" s="179">
        <v>83.333333333333329</v>
      </c>
      <c r="H134" s="413"/>
      <c r="I134" s="165">
        <f t="shared" si="22"/>
        <v>18</v>
      </c>
      <c r="J134" s="165">
        <f t="shared" si="23"/>
        <v>1295.6703268082415</v>
      </c>
      <c r="K134" s="179">
        <f t="shared" si="24"/>
        <v>71.981684822680094</v>
      </c>
      <c r="L134" s="413"/>
      <c r="M134" s="180">
        <f>RANK(K134, K$112:$K$141)</f>
        <v>17</v>
      </c>
      <c r="N134" s="401"/>
      <c r="O134" s="401"/>
      <c r="P134" s="165">
        <v>18</v>
      </c>
      <c r="Q134" s="165">
        <v>1295.7575757575762</v>
      </c>
      <c r="R134" s="165">
        <v>71.986531986532015</v>
      </c>
      <c r="S134" s="181">
        <f t="shared" si="25"/>
        <v>18</v>
      </c>
      <c r="T134" s="430"/>
      <c r="U134" s="165">
        <v>18</v>
      </c>
      <c r="V134" s="165">
        <v>1305.6521739130435</v>
      </c>
      <c r="W134" s="165">
        <v>72.536231884057969</v>
      </c>
      <c r="X134" s="181">
        <f t="shared" si="26"/>
        <v>16</v>
      </c>
      <c r="Y134" s="430"/>
      <c r="Z134" s="165">
        <v>18</v>
      </c>
      <c r="AA134" s="165">
        <v>1290.7317073170727</v>
      </c>
      <c r="AB134" s="165">
        <v>71.707317073170714</v>
      </c>
      <c r="AC134" s="181">
        <f t="shared" si="27"/>
        <v>17</v>
      </c>
      <c r="AD134" s="430"/>
      <c r="AE134" s="165">
        <v>18</v>
      </c>
      <c r="AF134" s="165">
        <v>1312.6829268292679</v>
      </c>
      <c r="AG134" s="165">
        <v>72.926829268292664</v>
      </c>
      <c r="AH134" s="181">
        <f t="shared" si="28"/>
        <v>16</v>
      </c>
      <c r="AI134" s="430"/>
      <c r="AJ134" s="165">
        <v>18</v>
      </c>
      <c r="AK134" s="165">
        <v>1308.409090909091</v>
      </c>
      <c r="AL134" s="165">
        <v>72.689393939393938</v>
      </c>
      <c r="AM134" s="181">
        <f t="shared" si="29"/>
        <v>16</v>
      </c>
      <c r="AN134" s="430"/>
      <c r="AO134" s="165">
        <v>18</v>
      </c>
      <c r="AP134" s="165">
        <v>1260.5825242718452</v>
      </c>
      <c r="AQ134" s="165">
        <v>70.03236245954696</v>
      </c>
      <c r="AR134" s="181">
        <f t="shared" si="30"/>
        <v>17</v>
      </c>
      <c r="AS134" s="430"/>
      <c r="AT134" s="165">
        <v>18</v>
      </c>
      <c r="AU134" s="165">
        <v>1295.8762886597942</v>
      </c>
      <c r="AV134" s="165">
        <v>71.993127147766344</v>
      </c>
      <c r="AW134" s="181">
        <f t="shared" si="31"/>
        <v>17</v>
      </c>
      <c r="AX134" s="430"/>
    </row>
    <row r="135" spans="2:50">
      <c r="B135" s="400"/>
      <c r="C135" s="181">
        <v>24</v>
      </c>
      <c r="D135" s="196" t="s">
        <v>285</v>
      </c>
      <c r="E135" s="165">
        <v>18</v>
      </c>
      <c r="F135" s="181">
        <v>1636</v>
      </c>
      <c r="G135" s="179">
        <v>90.888888888888886</v>
      </c>
      <c r="H135" s="413"/>
      <c r="I135" s="165">
        <f t="shared" si="22"/>
        <v>15.857142857142858</v>
      </c>
      <c r="J135" s="165">
        <f t="shared" si="23"/>
        <v>1291.3102674579657</v>
      </c>
      <c r="K135" s="179">
        <f t="shared" si="24"/>
        <v>81.826852097973998</v>
      </c>
      <c r="L135" s="413"/>
      <c r="M135" s="180">
        <f>RANK(K135, K$112:$K$141)</f>
        <v>4</v>
      </c>
      <c r="N135" s="401"/>
      <c r="O135" s="401"/>
      <c r="P135" s="165">
        <v>15</v>
      </c>
      <c r="Q135" s="165">
        <v>1253.5135135135126</v>
      </c>
      <c r="R135" s="165">
        <v>83.567567567567508</v>
      </c>
      <c r="S135" s="181">
        <f t="shared" si="25"/>
        <v>4</v>
      </c>
      <c r="T135" s="430"/>
      <c r="U135" s="165">
        <v>15</v>
      </c>
      <c r="V135" s="165">
        <v>1304.7887323943648</v>
      </c>
      <c r="W135" s="165">
        <v>86.985915492957659</v>
      </c>
      <c r="X135" s="181">
        <f t="shared" si="26"/>
        <v>3</v>
      </c>
      <c r="Y135" s="430"/>
      <c r="Z135" s="165">
        <v>17</v>
      </c>
      <c r="AA135" s="165">
        <v>1296.3934426229521</v>
      </c>
      <c r="AB135" s="165">
        <v>76.258437801350127</v>
      </c>
      <c r="AC135" s="181">
        <f t="shared" si="27"/>
        <v>10</v>
      </c>
      <c r="AD135" s="430"/>
      <c r="AE135" s="165">
        <v>16</v>
      </c>
      <c r="AF135" s="165">
        <v>1290.0000000000014</v>
      </c>
      <c r="AG135" s="165">
        <v>80.625000000000085</v>
      </c>
      <c r="AH135" s="181">
        <f t="shared" si="28"/>
        <v>6</v>
      </c>
      <c r="AI135" s="430"/>
      <c r="AJ135" s="165">
        <v>15</v>
      </c>
      <c r="AK135" s="165">
        <v>1297.2727272727288</v>
      </c>
      <c r="AL135" s="165">
        <v>86.484848484848584</v>
      </c>
      <c r="AM135" s="181">
        <f t="shared" si="29"/>
        <v>3</v>
      </c>
      <c r="AN135" s="430"/>
      <c r="AO135" s="165">
        <v>18</v>
      </c>
      <c r="AP135" s="165">
        <v>1285.2631578947357</v>
      </c>
      <c r="AQ135" s="165">
        <v>71.403508771929765</v>
      </c>
      <c r="AR135" s="181">
        <f t="shared" si="30"/>
        <v>15</v>
      </c>
      <c r="AS135" s="430"/>
      <c r="AT135" s="165">
        <v>15</v>
      </c>
      <c r="AU135" s="165">
        <v>1311.9402985074644</v>
      </c>
      <c r="AV135" s="165">
        <v>87.462686567164297</v>
      </c>
      <c r="AW135" s="181">
        <f t="shared" si="31"/>
        <v>3</v>
      </c>
      <c r="AX135" s="430"/>
    </row>
    <row r="136" spans="2:50">
      <c r="B136" s="400"/>
      <c r="C136" s="181">
        <v>25</v>
      </c>
      <c r="D136" s="196"/>
      <c r="E136" s="165"/>
      <c r="F136" s="181"/>
      <c r="G136" s="179"/>
      <c r="H136" s="413"/>
      <c r="I136" s="165"/>
      <c r="J136" s="165"/>
      <c r="K136" s="179"/>
      <c r="L136" s="413"/>
      <c r="M136" s="180" t="e">
        <f>RANK(K136, K$112:$K$141)</f>
        <v>#N/A</v>
      </c>
      <c r="N136" s="401"/>
      <c r="O136" s="401"/>
      <c r="P136" s="181"/>
      <c r="Q136" s="179"/>
      <c r="R136" s="179"/>
      <c r="S136" s="181" t="e">
        <f t="shared" si="25"/>
        <v>#N/A</v>
      </c>
      <c r="T136" s="430"/>
      <c r="U136" s="181"/>
      <c r="V136" s="179"/>
      <c r="W136" s="179"/>
      <c r="X136" s="181" t="e">
        <f t="shared" si="26"/>
        <v>#N/A</v>
      </c>
      <c r="Y136" s="430"/>
      <c r="Z136" s="181"/>
      <c r="AA136" s="179"/>
      <c r="AB136" s="179"/>
      <c r="AC136" s="181" t="e">
        <f t="shared" si="27"/>
        <v>#N/A</v>
      </c>
      <c r="AD136" s="430"/>
      <c r="AE136" s="181"/>
      <c r="AF136" s="179"/>
      <c r="AG136" s="179"/>
      <c r="AH136" s="181" t="e">
        <f t="shared" si="28"/>
        <v>#N/A</v>
      </c>
      <c r="AI136" s="430"/>
      <c r="AJ136" s="181"/>
      <c r="AK136" s="179"/>
      <c r="AL136" s="179"/>
      <c r="AM136" s="181" t="e">
        <f t="shared" si="29"/>
        <v>#N/A</v>
      </c>
      <c r="AN136" s="430"/>
      <c r="AO136" s="181"/>
      <c r="AP136" s="179"/>
      <c r="AQ136" s="179"/>
      <c r="AR136" s="181" t="e">
        <f t="shared" si="30"/>
        <v>#N/A</v>
      </c>
      <c r="AS136" s="430"/>
      <c r="AT136" s="181"/>
      <c r="AU136" s="179"/>
      <c r="AV136" s="179"/>
      <c r="AW136" s="181" t="e">
        <f t="shared" si="31"/>
        <v>#N/A</v>
      </c>
      <c r="AX136" s="430"/>
    </row>
    <row r="137" spans="2:50">
      <c r="B137" s="400"/>
      <c r="C137" s="181">
        <v>26</v>
      </c>
      <c r="D137" s="196"/>
      <c r="E137" s="165"/>
      <c r="F137" s="181"/>
      <c r="G137" s="179"/>
      <c r="H137" s="413"/>
      <c r="I137" s="165"/>
      <c r="J137" s="165"/>
      <c r="K137" s="179"/>
      <c r="L137" s="413"/>
      <c r="M137" s="180" t="e">
        <f>RANK(K137, K$112:$K$141)</f>
        <v>#N/A</v>
      </c>
      <c r="N137" s="401"/>
      <c r="O137" s="401"/>
      <c r="P137" s="181"/>
      <c r="Q137" s="179"/>
      <c r="R137" s="179"/>
      <c r="S137" s="181" t="e">
        <f t="shared" si="25"/>
        <v>#N/A</v>
      </c>
      <c r="T137" s="430"/>
      <c r="U137" s="181"/>
      <c r="V137" s="179"/>
      <c r="W137" s="179"/>
      <c r="X137" s="181" t="e">
        <f t="shared" si="26"/>
        <v>#N/A</v>
      </c>
      <c r="Y137" s="430"/>
      <c r="Z137" s="181"/>
      <c r="AA137" s="179"/>
      <c r="AB137" s="179"/>
      <c r="AC137" s="181" t="e">
        <f t="shared" si="27"/>
        <v>#N/A</v>
      </c>
      <c r="AD137" s="430"/>
      <c r="AE137" s="181"/>
      <c r="AF137" s="179"/>
      <c r="AG137" s="179"/>
      <c r="AH137" s="181" t="e">
        <f t="shared" si="28"/>
        <v>#N/A</v>
      </c>
      <c r="AI137" s="430"/>
      <c r="AJ137" s="181"/>
      <c r="AK137" s="179"/>
      <c r="AL137" s="179"/>
      <c r="AM137" s="181" t="e">
        <f t="shared" si="29"/>
        <v>#N/A</v>
      </c>
      <c r="AN137" s="430"/>
      <c r="AO137" s="181"/>
      <c r="AP137" s="179"/>
      <c r="AQ137" s="179"/>
      <c r="AR137" s="181" t="e">
        <f t="shared" si="30"/>
        <v>#N/A</v>
      </c>
      <c r="AS137" s="430"/>
      <c r="AT137" s="181"/>
      <c r="AU137" s="179"/>
      <c r="AV137" s="179"/>
      <c r="AW137" s="181" t="e">
        <f t="shared" si="31"/>
        <v>#N/A</v>
      </c>
      <c r="AX137" s="430"/>
    </row>
    <row r="138" spans="2:50">
      <c r="B138" s="400"/>
      <c r="C138" s="181">
        <v>27</v>
      </c>
      <c r="D138" s="196"/>
      <c r="E138" s="165"/>
      <c r="F138" s="181"/>
      <c r="G138" s="179"/>
      <c r="H138" s="413"/>
      <c r="I138" s="165"/>
      <c r="J138" s="165"/>
      <c r="K138" s="179"/>
      <c r="L138" s="413"/>
      <c r="M138" s="180" t="e">
        <f>RANK(K138, K$112:$K$141)</f>
        <v>#N/A</v>
      </c>
      <c r="N138" s="401"/>
      <c r="O138" s="401"/>
      <c r="P138" s="181"/>
      <c r="Q138" s="179"/>
      <c r="R138" s="179"/>
      <c r="S138" s="181" t="e">
        <f t="shared" si="25"/>
        <v>#N/A</v>
      </c>
      <c r="T138" s="430"/>
      <c r="U138" s="181"/>
      <c r="V138" s="179"/>
      <c r="W138" s="179"/>
      <c r="X138" s="181" t="e">
        <f t="shared" si="26"/>
        <v>#N/A</v>
      </c>
      <c r="Y138" s="430"/>
      <c r="Z138" s="181"/>
      <c r="AA138" s="179"/>
      <c r="AB138" s="179"/>
      <c r="AC138" s="181" t="e">
        <f t="shared" si="27"/>
        <v>#N/A</v>
      </c>
      <c r="AD138" s="430"/>
      <c r="AE138" s="181"/>
      <c r="AF138" s="179"/>
      <c r="AG138" s="179"/>
      <c r="AH138" s="181" t="e">
        <f t="shared" si="28"/>
        <v>#N/A</v>
      </c>
      <c r="AI138" s="430"/>
      <c r="AJ138" s="181"/>
      <c r="AK138" s="179"/>
      <c r="AL138" s="179"/>
      <c r="AM138" s="181" t="e">
        <f t="shared" si="29"/>
        <v>#N/A</v>
      </c>
      <c r="AN138" s="430"/>
      <c r="AO138" s="181"/>
      <c r="AP138" s="179"/>
      <c r="AQ138" s="179"/>
      <c r="AR138" s="181" t="e">
        <f t="shared" si="30"/>
        <v>#N/A</v>
      </c>
      <c r="AS138" s="430"/>
      <c r="AT138" s="181"/>
      <c r="AU138" s="179"/>
      <c r="AV138" s="179"/>
      <c r="AW138" s="181" t="e">
        <f t="shared" si="31"/>
        <v>#N/A</v>
      </c>
      <c r="AX138" s="430"/>
    </row>
    <row r="139" spans="2:50">
      <c r="B139" s="400"/>
      <c r="C139" s="181">
        <v>28</v>
      </c>
      <c r="D139" s="196"/>
      <c r="E139" s="165"/>
      <c r="F139" s="181"/>
      <c r="G139" s="179"/>
      <c r="H139" s="413"/>
      <c r="I139" s="165"/>
      <c r="J139" s="165"/>
      <c r="K139" s="179"/>
      <c r="L139" s="413"/>
      <c r="M139" s="180" t="e">
        <f>RANK(K139, K$112:$K$141)</f>
        <v>#N/A</v>
      </c>
      <c r="N139" s="401"/>
      <c r="O139" s="401"/>
      <c r="P139" s="181"/>
      <c r="Q139" s="179"/>
      <c r="R139" s="179"/>
      <c r="S139" s="181" t="e">
        <f t="shared" si="25"/>
        <v>#N/A</v>
      </c>
      <c r="T139" s="430"/>
      <c r="U139" s="181"/>
      <c r="V139" s="179"/>
      <c r="W139" s="179"/>
      <c r="X139" s="181" t="e">
        <f t="shared" si="26"/>
        <v>#N/A</v>
      </c>
      <c r="Y139" s="430"/>
      <c r="Z139" s="181"/>
      <c r="AA139" s="179"/>
      <c r="AB139" s="179"/>
      <c r="AC139" s="181" t="e">
        <f t="shared" si="27"/>
        <v>#N/A</v>
      </c>
      <c r="AD139" s="430"/>
      <c r="AE139" s="181"/>
      <c r="AF139" s="179"/>
      <c r="AG139" s="179"/>
      <c r="AH139" s="181" t="e">
        <f t="shared" si="28"/>
        <v>#N/A</v>
      </c>
      <c r="AI139" s="430"/>
      <c r="AJ139" s="181"/>
      <c r="AK139" s="179"/>
      <c r="AL139" s="179"/>
      <c r="AM139" s="181" t="e">
        <f t="shared" si="29"/>
        <v>#N/A</v>
      </c>
      <c r="AN139" s="430"/>
      <c r="AO139" s="181"/>
      <c r="AP139" s="179"/>
      <c r="AQ139" s="179"/>
      <c r="AR139" s="181" t="e">
        <f t="shared" si="30"/>
        <v>#N/A</v>
      </c>
      <c r="AS139" s="430"/>
      <c r="AT139" s="181"/>
      <c r="AU139" s="179"/>
      <c r="AV139" s="179"/>
      <c r="AW139" s="181" t="e">
        <f t="shared" si="31"/>
        <v>#N/A</v>
      </c>
      <c r="AX139" s="430"/>
    </row>
    <row r="140" spans="2:50">
      <c r="B140" s="400"/>
      <c r="C140" s="181">
        <v>29</v>
      </c>
      <c r="D140" s="196"/>
      <c r="E140" s="165"/>
      <c r="F140" s="181"/>
      <c r="G140" s="179"/>
      <c r="H140" s="413"/>
      <c r="I140" s="181"/>
      <c r="J140" s="181"/>
      <c r="K140" s="181"/>
      <c r="L140" s="413"/>
      <c r="M140" s="180" t="e">
        <f>RANK(K140, K$112:$K$141)</f>
        <v>#N/A</v>
      </c>
      <c r="N140" s="401"/>
      <c r="O140" s="401"/>
      <c r="P140" s="181"/>
      <c r="Q140" s="181"/>
      <c r="R140" s="181"/>
      <c r="S140" s="181" t="e">
        <f t="shared" si="25"/>
        <v>#N/A</v>
      </c>
      <c r="T140" s="430"/>
      <c r="U140" s="181"/>
      <c r="V140" s="181"/>
      <c r="W140" s="181"/>
      <c r="X140" s="181" t="e">
        <f t="shared" si="26"/>
        <v>#N/A</v>
      </c>
      <c r="Y140" s="430"/>
      <c r="Z140" s="181"/>
      <c r="AA140" s="181"/>
      <c r="AB140" s="181"/>
      <c r="AC140" s="181" t="e">
        <f t="shared" si="27"/>
        <v>#N/A</v>
      </c>
      <c r="AD140" s="430"/>
      <c r="AE140" s="181"/>
      <c r="AF140" s="181"/>
      <c r="AG140" s="181"/>
      <c r="AH140" s="181" t="e">
        <f t="shared" si="28"/>
        <v>#N/A</v>
      </c>
      <c r="AI140" s="430"/>
      <c r="AJ140" s="181"/>
      <c r="AK140" s="181"/>
      <c r="AL140" s="181"/>
      <c r="AM140" s="181" t="e">
        <f t="shared" si="29"/>
        <v>#N/A</v>
      </c>
      <c r="AN140" s="430"/>
      <c r="AO140" s="181"/>
      <c r="AP140" s="181"/>
      <c r="AQ140" s="181"/>
      <c r="AR140" s="181" t="e">
        <f t="shared" si="30"/>
        <v>#N/A</v>
      </c>
      <c r="AS140" s="430"/>
      <c r="AT140" s="181"/>
      <c r="AU140" s="181"/>
      <c r="AV140" s="181"/>
      <c r="AW140" s="181" t="e">
        <f t="shared" si="31"/>
        <v>#N/A</v>
      </c>
      <c r="AX140" s="430"/>
    </row>
    <row r="141" spans="2:50">
      <c r="B141" s="400"/>
      <c r="C141" s="181">
        <v>30</v>
      </c>
      <c r="D141" s="196"/>
      <c r="E141" s="165"/>
      <c r="F141" s="181"/>
      <c r="G141" s="179"/>
      <c r="H141" s="414"/>
      <c r="I141" s="181"/>
      <c r="J141" s="181"/>
      <c r="K141" s="181"/>
      <c r="L141" s="414"/>
      <c r="M141" s="180" t="e">
        <f>RANK(K141, K$112:$K$141)</f>
        <v>#N/A</v>
      </c>
      <c r="N141" s="401"/>
      <c r="O141" s="401"/>
      <c r="P141" s="181"/>
      <c r="Q141" s="181"/>
      <c r="R141" s="181"/>
      <c r="S141" s="181" t="e">
        <f t="shared" si="25"/>
        <v>#N/A</v>
      </c>
      <c r="T141" s="430"/>
      <c r="U141" s="181"/>
      <c r="V141" s="181"/>
      <c r="W141" s="181"/>
      <c r="X141" s="181" t="e">
        <f t="shared" si="26"/>
        <v>#N/A</v>
      </c>
      <c r="Y141" s="430"/>
      <c r="Z141" s="181"/>
      <c r="AA141" s="181"/>
      <c r="AB141" s="181"/>
      <c r="AC141" s="181" t="e">
        <f t="shared" si="27"/>
        <v>#N/A</v>
      </c>
      <c r="AD141" s="430"/>
      <c r="AE141" s="181"/>
      <c r="AF141" s="181"/>
      <c r="AG141" s="181"/>
      <c r="AH141" s="181" t="e">
        <f t="shared" si="28"/>
        <v>#N/A</v>
      </c>
      <c r="AI141" s="430"/>
      <c r="AJ141" s="181"/>
      <c r="AK141" s="181"/>
      <c r="AL141" s="181"/>
      <c r="AM141" s="181" t="e">
        <f t="shared" si="29"/>
        <v>#N/A</v>
      </c>
      <c r="AN141" s="430"/>
      <c r="AO141" s="181"/>
      <c r="AP141" s="181"/>
      <c r="AQ141" s="181"/>
      <c r="AR141" s="181" t="e">
        <f t="shared" si="30"/>
        <v>#N/A</v>
      </c>
      <c r="AS141" s="430"/>
      <c r="AT141" s="181"/>
      <c r="AU141" s="181"/>
      <c r="AV141" s="181"/>
      <c r="AW141" s="181" t="e">
        <f t="shared" si="31"/>
        <v>#N/A</v>
      </c>
      <c r="AX141" s="430"/>
    </row>
    <row r="142" spans="2:50" ht="15.75">
      <c r="B142" s="394" t="s">
        <v>187</v>
      </c>
      <c r="C142" s="395"/>
      <c r="D142" s="395"/>
      <c r="E142" s="395"/>
      <c r="F142" s="395"/>
      <c r="G142" s="395"/>
      <c r="H142" s="395"/>
      <c r="I142" s="185"/>
      <c r="J142" s="185"/>
      <c r="K142" s="185"/>
      <c r="L142" s="185"/>
      <c r="M142" s="184"/>
      <c r="N142" s="397" t="s">
        <v>188</v>
      </c>
      <c r="O142" s="397" t="s">
        <v>135</v>
      </c>
      <c r="P142" s="399">
        <f>P107+7</f>
        <v>45923</v>
      </c>
      <c r="Q142" s="400"/>
      <c r="R142" s="400"/>
      <c r="S142" s="400"/>
      <c r="T142" s="400"/>
      <c r="U142" s="426">
        <f>P142+1</f>
        <v>45924</v>
      </c>
      <c r="V142" s="427"/>
      <c r="W142" s="427"/>
      <c r="X142" s="427"/>
      <c r="Y142" s="428"/>
      <c r="Z142" s="426">
        <f>U142+1</f>
        <v>45925</v>
      </c>
      <c r="AA142" s="427"/>
      <c r="AB142" s="427"/>
      <c r="AC142" s="427"/>
      <c r="AD142" s="428"/>
      <c r="AE142" s="426">
        <f>Z142+1</f>
        <v>45926</v>
      </c>
      <c r="AF142" s="427"/>
      <c r="AG142" s="427"/>
      <c r="AH142" s="427"/>
      <c r="AI142" s="428"/>
      <c r="AJ142" s="426">
        <f>AE142+1</f>
        <v>45927</v>
      </c>
      <c r="AK142" s="427"/>
      <c r="AL142" s="427"/>
      <c r="AM142" s="427"/>
      <c r="AN142" s="428"/>
      <c r="AO142" s="426">
        <f>AJ142+1</f>
        <v>45928</v>
      </c>
      <c r="AP142" s="427"/>
      <c r="AQ142" s="427"/>
      <c r="AR142" s="427"/>
      <c r="AS142" s="428"/>
      <c r="AT142" s="426">
        <f>AO142+1</f>
        <v>45929</v>
      </c>
      <c r="AU142" s="427"/>
      <c r="AV142" s="427"/>
      <c r="AW142" s="427"/>
      <c r="AX142" s="428"/>
    </row>
    <row r="143" spans="2:50" ht="15.75">
      <c r="B143" s="396"/>
      <c r="C143" s="396"/>
      <c r="D143" s="396"/>
      <c r="E143" s="396"/>
      <c r="F143" s="396"/>
      <c r="G143" s="396"/>
      <c r="H143" s="396"/>
      <c r="I143" s="183"/>
      <c r="J143" s="183"/>
      <c r="K143" s="183"/>
      <c r="L143" s="183"/>
      <c r="M143" s="178"/>
      <c r="N143" s="398"/>
      <c r="O143" s="398"/>
      <c r="P143" s="399" t="s">
        <v>223</v>
      </c>
      <c r="Q143" s="400"/>
      <c r="R143" s="400"/>
      <c r="S143" s="400"/>
      <c r="T143" s="400"/>
      <c r="U143" s="399" t="s">
        <v>224</v>
      </c>
      <c r="V143" s="400"/>
      <c r="W143" s="400"/>
      <c r="X143" s="400"/>
      <c r="Y143" s="400"/>
      <c r="Z143" s="399" t="s">
        <v>225</v>
      </c>
      <c r="AA143" s="400"/>
      <c r="AB143" s="400"/>
      <c r="AC143" s="400"/>
      <c r="AD143" s="400"/>
      <c r="AE143" s="399" t="s">
        <v>226</v>
      </c>
      <c r="AF143" s="400"/>
      <c r="AG143" s="400"/>
      <c r="AH143" s="400"/>
      <c r="AI143" s="400"/>
      <c r="AJ143" s="399" t="s">
        <v>227</v>
      </c>
      <c r="AK143" s="400"/>
      <c r="AL143" s="400"/>
      <c r="AM143" s="400"/>
      <c r="AN143" s="400"/>
      <c r="AO143" s="399" t="s">
        <v>142</v>
      </c>
      <c r="AP143" s="400"/>
      <c r="AQ143" s="400"/>
      <c r="AR143" s="400"/>
      <c r="AS143" s="400"/>
      <c r="AT143" s="399" t="s">
        <v>189</v>
      </c>
      <c r="AU143" s="400"/>
      <c r="AV143" s="400"/>
      <c r="AW143" s="400"/>
      <c r="AX143" s="400"/>
    </row>
    <row r="144" spans="2:50">
      <c r="B144" s="401" t="s">
        <v>190</v>
      </c>
      <c r="C144" s="401" t="s">
        <v>191</v>
      </c>
      <c r="D144" s="401"/>
      <c r="E144" s="401" t="s">
        <v>192</v>
      </c>
      <c r="F144" s="401"/>
      <c r="G144" s="401"/>
      <c r="H144" s="402" t="s">
        <v>193</v>
      </c>
      <c r="I144" s="401" t="s">
        <v>194</v>
      </c>
      <c r="J144" s="401"/>
      <c r="K144" s="401"/>
      <c r="L144" s="402" t="s">
        <v>193</v>
      </c>
      <c r="M144" s="397" t="s">
        <v>195</v>
      </c>
      <c r="N144" s="401"/>
      <c r="O144" s="401" t="s">
        <v>196</v>
      </c>
      <c r="P144" s="406" t="s">
        <v>197</v>
      </c>
      <c r="Q144" s="407"/>
      <c r="R144" s="407"/>
      <c r="S144" s="408"/>
      <c r="T144" s="401" t="s">
        <v>193</v>
      </c>
      <c r="U144" s="406" t="s">
        <v>197</v>
      </c>
      <c r="V144" s="407"/>
      <c r="W144" s="407"/>
      <c r="X144" s="408"/>
      <c r="Y144" s="401" t="s">
        <v>193</v>
      </c>
      <c r="Z144" s="406" t="s">
        <v>197</v>
      </c>
      <c r="AA144" s="407"/>
      <c r="AB144" s="407"/>
      <c r="AC144" s="408"/>
      <c r="AD144" s="401" t="s">
        <v>193</v>
      </c>
      <c r="AE144" s="406" t="s">
        <v>197</v>
      </c>
      <c r="AF144" s="407"/>
      <c r="AG144" s="407"/>
      <c r="AH144" s="408"/>
      <c r="AI144" s="401" t="s">
        <v>193</v>
      </c>
      <c r="AJ144" s="406" t="s">
        <v>197</v>
      </c>
      <c r="AK144" s="407"/>
      <c r="AL144" s="407"/>
      <c r="AM144" s="408"/>
      <c r="AN144" s="401" t="s">
        <v>193</v>
      </c>
      <c r="AO144" s="406" t="s">
        <v>197</v>
      </c>
      <c r="AP144" s="407"/>
      <c r="AQ144" s="407"/>
      <c r="AR144" s="408"/>
      <c r="AS144" s="401" t="s">
        <v>193</v>
      </c>
      <c r="AT144" s="406" t="s">
        <v>197</v>
      </c>
      <c r="AU144" s="407"/>
      <c r="AV144" s="407"/>
      <c r="AW144" s="408"/>
      <c r="AX144" s="401" t="s">
        <v>193</v>
      </c>
    </row>
    <row r="145" spans="2:50">
      <c r="B145" s="401"/>
      <c r="C145" s="401"/>
      <c r="D145" s="401"/>
      <c r="E145" s="401" t="s">
        <v>198</v>
      </c>
      <c r="F145" s="401"/>
      <c r="G145" s="401"/>
      <c r="H145" s="403"/>
      <c r="I145" s="401" t="s">
        <v>198</v>
      </c>
      <c r="J145" s="401"/>
      <c r="K145" s="401"/>
      <c r="L145" s="403"/>
      <c r="M145" s="405"/>
      <c r="N145" s="401"/>
      <c r="O145" s="401"/>
      <c r="P145" s="406" t="s">
        <v>199</v>
      </c>
      <c r="Q145" s="407"/>
      <c r="R145" s="407"/>
      <c r="S145" s="408"/>
      <c r="T145" s="401"/>
      <c r="U145" s="406" t="s">
        <v>199</v>
      </c>
      <c r="V145" s="407"/>
      <c r="W145" s="407"/>
      <c r="X145" s="408"/>
      <c r="Y145" s="401"/>
      <c r="Z145" s="406" t="s">
        <v>199</v>
      </c>
      <c r="AA145" s="407"/>
      <c r="AB145" s="407"/>
      <c r="AC145" s="408"/>
      <c r="AD145" s="401"/>
      <c r="AE145" s="406" t="s">
        <v>199</v>
      </c>
      <c r="AF145" s="407"/>
      <c r="AG145" s="407"/>
      <c r="AH145" s="408"/>
      <c r="AI145" s="401"/>
      <c r="AJ145" s="406" t="s">
        <v>199</v>
      </c>
      <c r="AK145" s="407"/>
      <c r="AL145" s="407"/>
      <c r="AM145" s="408"/>
      <c r="AN145" s="401"/>
      <c r="AO145" s="406" t="s">
        <v>199</v>
      </c>
      <c r="AP145" s="407"/>
      <c r="AQ145" s="407"/>
      <c r="AR145" s="408"/>
      <c r="AS145" s="401"/>
      <c r="AT145" s="406" t="s">
        <v>199</v>
      </c>
      <c r="AU145" s="407"/>
      <c r="AV145" s="407"/>
      <c r="AW145" s="408"/>
      <c r="AX145" s="401"/>
    </row>
    <row r="146" spans="2:50">
      <c r="B146" s="401"/>
      <c r="C146" s="401"/>
      <c r="D146" s="401"/>
      <c r="E146" s="234" t="s">
        <v>200</v>
      </c>
      <c r="F146" s="234" t="s">
        <v>201</v>
      </c>
      <c r="G146" s="234" t="s">
        <v>202</v>
      </c>
      <c r="H146" s="404"/>
      <c r="I146" s="234" t="s">
        <v>200</v>
      </c>
      <c r="J146" s="234" t="s">
        <v>201</v>
      </c>
      <c r="K146" s="234" t="s">
        <v>202</v>
      </c>
      <c r="L146" s="404"/>
      <c r="M146" s="398"/>
      <c r="N146" s="401"/>
      <c r="O146" s="401"/>
      <c r="P146" s="234" t="s">
        <v>200</v>
      </c>
      <c r="Q146" s="234" t="s">
        <v>201</v>
      </c>
      <c r="R146" s="234" t="s">
        <v>202</v>
      </c>
      <c r="S146" s="234" t="s">
        <v>195</v>
      </c>
      <c r="T146" s="401"/>
      <c r="U146" s="234" t="s">
        <v>200</v>
      </c>
      <c r="V146" s="234" t="s">
        <v>201</v>
      </c>
      <c r="W146" s="234" t="s">
        <v>202</v>
      </c>
      <c r="X146" s="234" t="s">
        <v>195</v>
      </c>
      <c r="Y146" s="401"/>
      <c r="Z146" s="234" t="s">
        <v>200</v>
      </c>
      <c r="AA146" s="234" t="s">
        <v>201</v>
      </c>
      <c r="AB146" s="234" t="s">
        <v>202</v>
      </c>
      <c r="AC146" s="234" t="s">
        <v>195</v>
      </c>
      <c r="AD146" s="401"/>
      <c r="AE146" s="234" t="s">
        <v>200</v>
      </c>
      <c r="AF146" s="234" t="s">
        <v>201</v>
      </c>
      <c r="AG146" s="234" t="s">
        <v>202</v>
      </c>
      <c r="AH146" s="234" t="s">
        <v>195</v>
      </c>
      <c r="AI146" s="401"/>
      <c r="AJ146" s="234" t="s">
        <v>200</v>
      </c>
      <c r="AK146" s="234" t="s">
        <v>201</v>
      </c>
      <c r="AL146" s="234" t="s">
        <v>202</v>
      </c>
      <c r="AM146" s="234" t="s">
        <v>195</v>
      </c>
      <c r="AN146" s="401"/>
      <c r="AO146" s="234" t="s">
        <v>200</v>
      </c>
      <c r="AP146" s="234" t="s">
        <v>201</v>
      </c>
      <c r="AQ146" s="234" t="s">
        <v>202</v>
      </c>
      <c r="AR146" s="234" t="s">
        <v>195</v>
      </c>
      <c r="AS146" s="401"/>
      <c r="AT146" s="234" t="s">
        <v>200</v>
      </c>
      <c r="AU146" s="234" t="s">
        <v>201</v>
      </c>
      <c r="AV146" s="234" t="s">
        <v>202</v>
      </c>
      <c r="AW146" s="234" t="s">
        <v>195</v>
      </c>
      <c r="AX146" s="401"/>
    </row>
    <row r="147" spans="2:50">
      <c r="B147" s="401" t="s">
        <v>172</v>
      </c>
      <c r="C147" s="181">
        <v>1</v>
      </c>
      <c r="D147" s="196" t="s">
        <v>262</v>
      </c>
      <c r="E147" s="165">
        <v>6</v>
      </c>
      <c r="F147" s="181">
        <v>1500</v>
      </c>
      <c r="G147" s="179">
        <v>250</v>
      </c>
      <c r="H147" s="412">
        <f>AVERAGE(G147:G176)</f>
        <v>96.860767523383629</v>
      </c>
      <c r="I147" s="165">
        <f>AVERAGE(P147,U147,Z147,AE147,AJ147,AO147,AT147)</f>
        <v>6</v>
      </c>
      <c r="J147" s="165">
        <f>AVERAGE(Q147,V147,AA147,AF147,AK147,AP147,AU147)</f>
        <v>1449.5058350750428</v>
      </c>
      <c r="K147" s="179">
        <f>AVERAGE(R147,W147,AB147,AG147,AL147,AQ147,AV147)</f>
        <v>241.58430584584048</v>
      </c>
      <c r="L147" s="412">
        <f>IFERROR(AVERAGE(K147:K176),"-")</f>
        <v>85.538150236760416</v>
      </c>
      <c r="M147" s="180">
        <f>RANK(K147, K$147:$K$176)</f>
        <v>1</v>
      </c>
      <c r="N147" s="401"/>
      <c r="O147" s="401"/>
      <c r="P147" s="165">
        <v>6</v>
      </c>
      <c r="Q147" s="165">
        <v>1493.6538461538466</v>
      </c>
      <c r="R147" s="165">
        <v>248.94230769230776</v>
      </c>
      <c r="S147" s="181">
        <f>RANK(R147, R$147:R$176)</f>
        <v>1</v>
      </c>
      <c r="T147" s="430">
        <f>AVERAGE(R147:R176)</f>
        <v>85.157549004871385</v>
      </c>
      <c r="U147" s="165">
        <v>6</v>
      </c>
      <c r="V147" s="165">
        <v>1464.6889952153113</v>
      </c>
      <c r="W147" s="165">
        <v>244.1148325358852</v>
      </c>
      <c r="X147" s="181">
        <f>RANK(W147, W$147:W$176)</f>
        <v>1</v>
      </c>
      <c r="Y147" s="430">
        <f>AVERAGE(W147:W176)</f>
        <v>85.373142656897542</v>
      </c>
      <c r="Z147" s="165">
        <v>6</v>
      </c>
      <c r="AA147" s="165">
        <v>1437.333333333333</v>
      </c>
      <c r="AB147" s="165">
        <v>239.55555555555551</v>
      </c>
      <c r="AC147" s="181">
        <f>RANK(AB147, AB$147:AB$176)</f>
        <v>1</v>
      </c>
      <c r="AD147" s="430">
        <f>AVERAGE(AB147:AB176)</f>
        <v>85.347741275074327</v>
      </c>
      <c r="AE147" s="165">
        <v>6</v>
      </c>
      <c r="AF147" s="165">
        <v>1434.1978021978025</v>
      </c>
      <c r="AG147" s="165">
        <v>239.03296703296709</v>
      </c>
      <c r="AH147" s="181">
        <f>RANK(AG147, AG$147:AG$176)</f>
        <v>1</v>
      </c>
      <c r="AI147" s="430">
        <f>AVERAGE(AG147:AG176)</f>
        <v>84.709964934672186</v>
      </c>
      <c r="AJ147" s="165">
        <v>6</v>
      </c>
      <c r="AK147" s="165">
        <v>1450.7755102040815</v>
      </c>
      <c r="AL147" s="165">
        <v>241.7959183673469</v>
      </c>
      <c r="AM147" s="181">
        <f>RANK(AL147, AL$147:AL$176)</f>
        <v>1</v>
      </c>
      <c r="AN147" s="430">
        <f>AVERAGE(AL147:AL176)</f>
        <v>86.181063423141211</v>
      </c>
      <c r="AO147" s="165">
        <v>6</v>
      </c>
      <c r="AP147" s="165">
        <v>1445.8252427184466</v>
      </c>
      <c r="AQ147" s="165">
        <v>240.97087378640776</v>
      </c>
      <c r="AR147" s="181">
        <f>RANK(AQ147, AQ$147:AQ$176)</f>
        <v>1</v>
      </c>
      <c r="AS147" s="430">
        <f>AVERAGE(AQ147:AQ176)</f>
        <v>85.912317515790335</v>
      </c>
      <c r="AT147" s="165">
        <v>6</v>
      </c>
      <c r="AU147" s="165">
        <v>1420.0661157024795</v>
      </c>
      <c r="AV147" s="165">
        <v>236.67768595041323</v>
      </c>
      <c r="AW147" s="181">
        <f>RANK(AV147, AV$147:AV$176)</f>
        <v>1</v>
      </c>
      <c r="AX147" s="430">
        <f>AVERAGE(AV147:AV176)</f>
        <v>86.085272846875853</v>
      </c>
    </row>
    <row r="148" spans="2:50">
      <c r="B148" s="400"/>
      <c r="C148" s="181">
        <v>2</v>
      </c>
      <c r="D148" s="196" t="s">
        <v>263</v>
      </c>
      <c r="E148" s="165">
        <v>7</v>
      </c>
      <c r="F148" s="181">
        <v>1500</v>
      </c>
      <c r="G148" s="179">
        <v>214.28571428571428</v>
      </c>
      <c r="H148" s="413"/>
      <c r="I148" s="165">
        <f t="shared" ref="I148:I170" si="32">AVERAGE(P148,U148,Z148,AE148,AJ148,AO148,AT148)</f>
        <v>7.5714285714285712</v>
      </c>
      <c r="J148" s="165">
        <f t="shared" ref="J148:J170" si="33">AVERAGE(Q148,V148,AA148,AF148,AK148,AP148,AU148)</f>
        <v>1491.5014294039579</v>
      </c>
      <c r="K148" s="179">
        <f t="shared" ref="K148:K170" si="34">AVERAGE(R148,W148,AB148,AG148,AL148,AQ148,AV148)</f>
        <v>197.8617679724801</v>
      </c>
      <c r="L148" s="413"/>
      <c r="M148" s="180">
        <f>RANK(K148, K$147:$K$176)</f>
        <v>2</v>
      </c>
      <c r="N148" s="401"/>
      <c r="O148" s="401"/>
      <c r="P148" s="165">
        <v>8</v>
      </c>
      <c r="Q148" s="165">
        <v>1458.1249999999998</v>
      </c>
      <c r="R148" s="165">
        <v>182.26562499999997</v>
      </c>
      <c r="S148" s="181">
        <f t="shared" ref="S148:S176" si="35">RANK(R148, R$147:R$176)</f>
        <v>2</v>
      </c>
      <c r="T148" s="430"/>
      <c r="U148" s="165">
        <v>8</v>
      </c>
      <c r="V148" s="165">
        <v>1503.3333333333335</v>
      </c>
      <c r="W148" s="165">
        <v>187.91666666666669</v>
      </c>
      <c r="X148" s="181">
        <f t="shared" ref="X148:X176" si="36">RANK(W148, W$147:W$176)</f>
        <v>2</v>
      </c>
      <c r="Y148" s="430"/>
      <c r="Z148" s="165">
        <v>8</v>
      </c>
      <c r="AA148" s="165">
        <v>1505.5813953488371</v>
      </c>
      <c r="AB148" s="165">
        <v>188.19767441860463</v>
      </c>
      <c r="AC148" s="181">
        <f t="shared" ref="AC148:AC176" si="37">RANK(AB148, AB$147:AB$176)</f>
        <v>2</v>
      </c>
      <c r="AD148" s="430"/>
      <c r="AE148" s="165">
        <v>8</v>
      </c>
      <c r="AF148" s="165">
        <v>1495.2272727272727</v>
      </c>
      <c r="AG148" s="165">
        <v>186.90340909090909</v>
      </c>
      <c r="AH148" s="181">
        <f t="shared" ref="AH148:AH176" si="38">RANK(AG148, AG$147:AG$176)</f>
        <v>2</v>
      </c>
      <c r="AI148" s="430"/>
      <c r="AJ148" s="165">
        <v>7</v>
      </c>
      <c r="AK148" s="165">
        <v>1468</v>
      </c>
      <c r="AL148" s="165">
        <v>209.71428571428572</v>
      </c>
      <c r="AM148" s="181">
        <f t="shared" ref="AM148:AM176" si="39">RANK(AL148, AL$147:AL$176)</f>
        <v>2</v>
      </c>
      <c r="AN148" s="430"/>
      <c r="AO148" s="165">
        <v>7</v>
      </c>
      <c r="AP148" s="165">
        <v>1516.4285714285718</v>
      </c>
      <c r="AQ148" s="165">
        <v>216.63265306122454</v>
      </c>
      <c r="AR148" s="181">
        <f t="shared" ref="AR148:AR176" si="40">RANK(AQ148, AQ$147:AQ$176)</f>
        <v>2</v>
      </c>
      <c r="AS148" s="430"/>
      <c r="AT148" s="165">
        <v>7</v>
      </c>
      <c r="AU148" s="165">
        <v>1493.8144329896904</v>
      </c>
      <c r="AV148" s="165">
        <v>213.40206185567007</v>
      </c>
      <c r="AW148" s="181">
        <f t="shared" ref="AW148:AW176" si="41">RANK(AV148, AV$147:AV$176)</f>
        <v>2</v>
      </c>
      <c r="AX148" s="430"/>
    </row>
    <row r="149" spans="2:50">
      <c r="B149" s="400"/>
      <c r="C149" s="181">
        <v>3</v>
      </c>
      <c r="D149" s="196" t="s">
        <v>264</v>
      </c>
      <c r="E149" s="165">
        <v>18</v>
      </c>
      <c r="F149" s="181">
        <v>1500</v>
      </c>
      <c r="G149" s="179">
        <v>83.333333333333329</v>
      </c>
      <c r="H149" s="413"/>
      <c r="I149" s="165">
        <f t="shared" si="32"/>
        <v>18</v>
      </c>
      <c r="J149" s="165">
        <f t="shared" si="33"/>
        <v>1285.1202889714107</v>
      </c>
      <c r="K149" s="179">
        <f t="shared" si="34"/>
        <v>71.395571609522804</v>
      </c>
      <c r="L149" s="413"/>
      <c r="M149" s="180">
        <f>RANK(K149, K$147:$K$176)</f>
        <v>17</v>
      </c>
      <c r="N149" s="401"/>
      <c r="O149" s="401"/>
      <c r="P149" s="165">
        <v>18</v>
      </c>
      <c r="Q149" s="165">
        <v>1312.1212121212116</v>
      </c>
      <c r="R149" s="165">
        <v>72.895622895622864</v>
      </c>
      <c r="S149" s="181">
        <f t="shared" si="35"/>
        <v>15</v>
      </c>
      <c r="T149" s="430"/>
      <c r="U149" s="165">
        <v>18</v>
      </c>
      <c r="V149" s="165">
        <v>1301.4697674418603</v>
      </c>
      <c r="W149" s="165">
        <v>72.303875968992244</v>
      </c>
      <c r="X149" s="181">
        <f t="shared" si="36"/>
        <v>16</v>
      </c>
      <c r="Y149" s="430"/>
      <c r="Z149" s="165">
        <v>18</v>
      </c>
      <c r="AA149" s="165">
        <v>1290.3157894736844</v>
      </c>
      <c r="AB149" s="165">
        <v>71.684210526315795</v>
      </c>
      <c r="AC149" s="181">
        <f t="shared" si="37"/>
        <v>17</v>
      </c>
      <c r="AD149" s="430"/>
      <c r="AE149" s="165">
        <v>18</v>
      </c>
      <c r="AF149" s="165">
        <v>1257.9069767441858</v>
      </c>
      <c r="AG149" s="165">
        <v>69.883720930232542</v>
      </c>
      <c r="AH149" s="181">
        <f t="shared" si="38"/>
        <v>19</v>
      </c>
      <c r="AI149" s="430"/>
      <c r="AJ149" s="165">
        <v>18</v>
      </c>
      <c r="AK149" s="165">
        <v>1269.2307692307693</v>
      </c>
      <c r="AL149" s="165">
        <v>70.512820512820511</v>
      </c>
      <c r="AM149" s="181">
        <f t="shared" si="39"/>
        <v>17</v>
      </c>
      <c r="AN149" s="430"/>
      <c r="AO149" s="165">
        <v>18</v>
      </c>
      <c r="AP149" s="165">
        <v>1266.6666666666667</v>
      </c>
      <c r="AQ149" s="165">
        <v>70.370370370370381</v>
      </c>
      <c r="AR149" s="181">
        <f t="shared" si="40"/>
        <v>19</v>
      </c>
      <c r="AS149" s="430"/>
      <c r="AT149" s="165">
        <v>18</v>
      </c>
      <c r="AU149" s="165">
        <v>1298.1308411214952</v>
      </c>
      <c r="AV149" s="165">
        <v>72.118380062305292</v>
      </c>
      <c r="AW149" s="181">
        <f t="shared" si="41"/>
        <v>15</v>
      </c>
      <c r="AX149" s="430"/>
    </row>
    <row r="150" spans="2:50">
      <c r="B150" s="400"/>
      <c r="C150" s="181">
        <v>4</v>
      </c>
      <c r="D150" s="196" t="s">
        <v>265</v>
      </c>
      <c r="E150" s="165">
        <v>21</v>
      </c>
      <c r="F150" s="181">
        <v>1500</v>
      </c>
      <c r="G150" s="179">
        <v>71.428571428571431</v>
      </c>
      <c r="H150" s="413"/>
      <c r="I150" s="165">
        <f t="shared" si="32"/>
        <v>20.857142857142858</v>
      </c>
      <c r="J150" s="165">
        <f t="shared" si="33"/>
        <v>1273.5910739318031</v>
      </c>
      <c r="K150" s="179">
        <f t="shared" si="34"/>
        <v>61.074691311467895</v>
      </c>
      <c r="L150" s="413"/>
      <c r="M150" s="180">
        <f>RANK(K150, K$147:$K$176)</f>
        <v>24</v>
      </c>
      <c r="N150" s="401"/>
      <c r="O150" s="401"/>
      <c r="P150" s="165">
        <v>21</v>
      </c>
      <c r="Q150" s="165">
        <v>1293.5593220338994</v>
      </c>
      <c r="R150" s="165">
        <v>61.59806295399521</v>
      </c>
      <c r="S150" s="181">
        <f t="shared" si="35"/>
        <v>24</v>
      </c>
      <c r="T150" s="430"/>
      <c r="U150" s="165">
        <v>21</v>
      </c>
      <c r="V150" s="165">
        <v>1291.578947368422</v>
      </c>
      <c r="W150" s="165">
        <v>61.503759398496285</v>
      </c>
      <c r="X150" s="181">
        <f t="shared" si="36"/>
        <v>24</v>
      </c>
      <c r="Y150" s="430"/>
      <c r="Z150" s="165">
        <v>21</v>
      </c>
      <c r="AA150" s="165">
        <v>1260.0000000000009</v>
      </c>
      <c r="AB150" s="165">
        <v>60.000000000000043</v>
      </c>
      <c r="AC150" s="181">
        <f t="shared" si="37"/>
        <v>24</v>
      </c>
      <c r="AD150" s="430"/>
      <c r="AE150" s="165">
        <v>21</v>
      </c>
      <c r="AF150" s="165">
        <v>1265.3571428571418</v>
      </c>
      <c r="AG150" s="165">
        <v>60.255102040816276</v>
      </c>
      <c r="AH150" s="181">
        <f t="shared" si="38"/>
        <v>24</v>
      </c>
      <c r="AI150" s="430"/>
      <c r="AJ150" s="165">
        <v>20</v>
      </c>
      <c r="AK150" s="165">
        <v>1256.8421052631588</v>
      </c>
      <c r="AL150" s="165">
        <v>62.84210526315794</v>
      </c>
      <c r="AM150" s="181">
        <f t="shared" si="39"/>
        <v>24</v>
      </c>
      <c r="AN150" s="430"/>
      <c r="AO150" s="165">
        <v>21</v>
      </c>
      <c r="AP150" s="165">
        <v>1252.9999999999993</v>
      </c>
      <c r="AQ150" s="165">
        <v>59.666666666666636</v>
      </c>
      <c r="AR150" s="181">
        <f t="shared" si="40"/>
        <v>24</v>
      </c>
      <c r="AS150" s="430"/>
      <c r="AT150" s="165">
        <v>21</v>
      </c>
      <c r="AU150" s="165">
        <v>1294.8000000000006</v>
      </c>
      <c r="AV150" s="165">
        <v>61.657142857142887</v>
      </c>
      <c r="AW150" s="181">
        <f t="shared" si="41"/>
        <v>24</v>
      </c>
      <c r="AX150" s="430"/>
    </row>
    <row r="151" spans="2:50">
      <c r="B151" s="400"/>
      <c r="C151" s="181">
        <v>5</v>
      </c>
      <c r="D151" s="196" t="s">
        <v>266</v>
      </c>
      <c r="E151" s="165">
        <v>19</v>
      </c>
      <c r="F151" s="181">
        <v>1500</v>
      </c>
      <c r="G151" s="179">
        <v>78.94736842105263</v>
      </c>
      <c r="H151" s="413"/>
      <c r="I151" s="165">
        <f t="shared" si="32"/>
        <v>19</v>
      </c>
      <c r="J151" s="165">
        <f t="shared" si="33"/>
        <v>1263.4846134536529</v>
      </c>
      <c r="K151" s="179">
        <f t="shared" si="34"/>
        <v>66.499190181771198</v>
      </c>
      <c r="L151" s="413"/>
      <c r="M151" s="180">
        <f>RANK(K151, K$147:$K$176)</f>
        <v>22</v>
      </c>
      <c r="N151" s="401"/>
      <c r="O151" s="401"/>
      <c r="P151" s="165">
        <v>19</v>
      </c>
      <c r="Q151" s="165">
        <v>1264.7368421052622</v>
      </c>
      <c r="R151" s="165">
        <v>66.565096952908533</v>
      </c>
      <c r="S151" s="181">
        <f t="shared" si="35"/>
        <v>22</v>
      </c>
      <c r="T151" s="430"/>
      <c r="U151" s="165">
        <v>19</v>
      </c>
      <c r="V151" s="165">
        <v>1264.9999999999991</v>
      </c>
      <c r="W151" s="165">
        <v>66.578947368420998</v>
      </c>
      <c r="X151" s="181">
        <f t="shared" si="36"/>
        <v>22</v>
      </c>
      <c r="Y151" s="430"/>
      <c r="Z151" s="165">
        <v>19</v>
      </c>
      <c r="AA151" s="165">
        <v>1304.1176470588221</v>
      </c>
      <c r="AB151" s="165">
        <v>68.637770897832738</v>
      </c>
      <c r="AC151" s="181">
        <f t="shared" si="37"/>
        <v>19</v>
      </c>
      <c r="AD151" s="430"/>
      <c r="AE151" s="165">
        <v>19</v>
      </c>
      <c r="AF151" s="165">
        <v>1264.9999999999991</v>
      </c>
      <c r="AG151" s="165">
        <v>66.578947368420998</v>
      </c>
      <c r="AH151" s="181">
        <f t="shared" si="38"/>
        <v>21</v>
      </c>
      <c r="AI151" s="430"/>
      <c r="AJ151" s="165">
        <v>19</v>
      </c>
      <c r="AK151" s="165">
        <v>1253.5135135135126</v>
      </c>
      <c r="AL151" s="165">
        <v>65.974395448079619</v>
      </c>
      <c r="AM151" s="181">
        <f t="shared" si="39"/>
        <v>22</v>
      </c>
      <c r="AN151" s="430"/>
      <c r="AO151" s="165">
        <v>19</v>
      </c>
      <c r="AP151" s="165">
        <v>1248.9473684210516</v>
      </c>
      <c r="AQ151" s="165">
        <v>65.734072022160603</v>
      </c>
      <c r="AR151" s="181">
        <f t="shared" si="40"/>
        <v>22</v>
      </c>
      <c r="AS151" s="430"/>
      <c r="AT151" s="165">
        <v>19</v>
      </c>
      <c r="AU151" s="165">
        <v>1243.0769230769224</v>
      </c>
      <c r="AV151" s="165">
        <v>65.425101214574866</v>
      </c>
      <c r="AW151" s="181">
        <f t="shared" si="41"/>
        <v>22</v>
      </c>
      <c r="AX151" s="430"/>
    </row>
    <row r="152" spans="2:50">
      <c r="B152" s="400"/>
      <c r="C152" s="181">
        <v>6</v>
      </c>
      <c r="D152" s="196" t="s">
        <v>267</v>
      </c>
      <c r="E152" s="165">
        <v>17</v>
      </c>
      <c r="F152" s="181">
        <v>1500</v>
      </c>
      <c r="G152" s="179">
        <v>88.235294117647058</v>
      </c>
      <c r="H152" s="413"/>
      <c r="I152" s="165">
        <f t="shared" si="32"/>
        <v>17</v>
      </c>
      <c r="J152" s="165">
        <f t="shared" si="33"/>
        <v>1333.0560621697896</v>
      </c>
      <c r="K152" s="179">
        <f t="shared" si="34"/>
        <v>78.415062480575855</v>
      </c>
      <c r="L152" s="413"/>
      <c r="M152" s="180">
        <f>RANK(K152, K$147:$K$176)</f>
        <v>7</v>
      </c>
      <c r="N152" s="401"/>
      <c r="O152" s="401"/>
      <c r="P152" s="165">
        <v>17</v>
      </c>
      <c r="Q152" s="165">
        <v>1338.2142857142867</v>
      </c>
      <c r="R152" s="165">
        <v>78.718487394958046</v>
      </c>
      <c r="S152" s="181">
        <f t="shared" si="35"/>
        <v>6</v>
      </c>
      <c r="T152" s="430"/>
      <c r="U152" s="165">
        <v>17</v>
      </c>
      <c r="V152" s="165">
        <v>1337.7777777777785</v>
      </c>
      <c r="W152" s="165">
        <v>78.692810457516387</v>
      </c>
      <c r="X152" s="181">
        <f t="shared" si="36"/>
        <v>6</v>
      </c>
      <c r="Y152" s="430"/>
      <c r="Z152" s="165">
        <v>17</v>
      </c>
      <c r="AA152" s="165">
        <v>1336.6666666666674</v>
      </c>
      <c r="AB152" s="165">
        <v>78.627450980392197</v>
      </c>
      <c r="AC152" s="181">
        <f t="shared" si="37"/>
        <v>7</v>
      </c>
      <c r="AD152" s="430"/>
      <c r="AE152" s="165">
        <v>17</v>
      </c>
      <c r="AF152" s="165">
        <v>1372.3404255319151</v>
      </c>
      <c r="AG152" s="165">
        <v>80.725907384230297</v>
      </c>
      <c r="AH152" s="181">
        <f t="shared" si="38"/>
        <v>4</v>
      </c>
      <c r="AI152" s="430"/>
      <c r="AJ152" s="165">
        <v>17</v>
      </c>
      <c r="AK152" s="165">
        <v>1302.3529411764712</v>
      </c>
      <c r="AL152" s="165">
        <v>76.608996539792429</v>
      </c>
      <c r="AM152" s="181">
        <f t="shared" si="39"/>
        <v>9</v>
      </c>
      <c r="AN152" s="430"/>
      <c r="AO152" s="165">
        <v>17</v>
      </c>
      <c r="AP152" s="165">
        <v>1318.8679245283026</v>
      </c>
      <c r="AQ152" s="165">
        <v>77.580466148723687</v>
      </c>
      <c r="AR152" s="181">
        <f t="shared" si="40"/>
        <v>7</v>
      </c>
      <c r="AS152" s="430"/>
      <c r="AT152" s="165">
        <v>17</v>
      </c>
      <c r="AU152" s="165">
        <v>1325.1724137931044</v>
      </c>
      <c r="AV152" s="165">
        <v>77.951318458417902</v>
      </c>
      <c r="AW152" s="181">
        <f t="shared" si="41"/>
        <v>8</v>
      </c>
      <c r="AX152" s="430"/>
    </row>
    <row r="153" spans="2:50">
      <c r="B153" s="400"/>
      <c r="C153" s="181">
        <v>7</v>
      </c>
      <c r="D153" s="196" t="s">
        <v>268</v>
      </c>
      <c r="E153" s="165">
        <v>17</v>
      </c>
      <c r="F153" s="181">
        <v>1565</v>
      </c>
      <c r="G153" s="179">
        <v>92.058823529411768</v>
      </c>
      <c r="H153" s="413"/>
      <c r="I153" s="165">
        <f t="shared" si="32"/>
        <v>17</v>
      </c>
      <c r="J153" s="165">
        <f t="shared" si="33"/>
        <v>1388.8246650450269</v>
      </c>
      <c r="K153" s="179">
        <f t="shared" si="34"/>
        <v>81.695568532060406</v>
      </c>
      <c r="L153" s="413"/>
      <c r="M153" s="180">
        <f>RANK(K153, K$147:$K$176)</f>
        <v>4</v>
      </c>
      <c r="N153" s="401"/>
      <c r="O153" s="401"/>
      <c r="P153" s="165">
        <v>17</v>
      </c>
      <c r="Q153" s="165">
        <v>1403.8554216867465</v>
      </c>
      <c r="R153" s="165">
        <v>82.57973068745568</v>
      </c>
      <c r="S153" s="181">
        <f t="shared" si="35"/>
        <v>4</v>
      </c>
      <c r="T153" s="430"/>
      <c r="U153" s="165">
        <v>17</v>
      </c>
      <c r="V153" s="165">
        <v>1394.9999999999995</v>
      </c>
      <c r="W153" s="165">
        <v>82.05882352941174</v>
      </c>
      <c r="X153" s="181">
        <f t="shared" si="36"/>
        <v>4</v>
      </c>
      <c r="Y153" s="430"/>
      <c r="Z153" s="165">
        <v>17</v>
      </c>
      <c r="AA153" s="165">
        <v>1389.2307692307686</v>
      </c>
      <c r="AB153" s="165">
        <v>81.719457013574626</v>
      </c>
      <c r="AC153" s="181">
        <f t="shared" si="37"/>
        <v>4</v>
      </c>
      <c r="AD153" s="430"/>
      <c r="AE153" s="165">
        <v>17</v>
      </c>
      <c r="AF153" s="165">
        <v>1361.8181818181831</v>
      </c>
      <c r="AG153" s="165">
        <v>80.106951871657827</v>
      </c>
      <c r="AH153" s="181">
        <f t="shared" si="38"/>
        <v>5</v>
      </c>
      <c r="AI153" s="430"/>
      <c r="AJ153" s="165">
        <v>17</v>
      </c>
      <c r="AK153" s="165">
        <v>1396.8750000000016</v>
      </c>
      <c r="AL153" s="165">
        <v>82.169117647058911</v>
      </c>
      <c r="AM153" s="181">
        <f t="shared" si="39"/>
        <v>4</v>
      </c>
      <c r="AN153" s="430"/>
      <c r="AO153" s="165">
        <v>17</v>
      </c>
      <c r="AP153" s="165">
        <v>1378.4415584415576</v>
      </c>
      <c r="AQ153" s="165">
        <v>81.084797555385748</v>
      </c>
      <c r="AR153" s="181">
        <f t="shared" si="40"/>
        <v>4</v>
      </c>
      <c r="AS153" s="430"/>
      <c r="AT153" s="165">
        <v>17</v>
      </c>
      <c r="AU153" s="165">
        <v>1396.5517241379307</v>
      </c>
      <c r="AV153" s="165">
        <v>82.150101419878283</v>
      </c>
      <c r="AW153" s="181">
        <f t="shared" si="41"/>
        <v>4</v>
      </c>
      <c r="AX153" s="430"/>
    </row>
    <row r="154" spans="2:50">
      <c r="B154" s="400"/>
      <c r="C154" s="181">
        <v>8</v>
      </c>
      <c r="D154" s="196" t="s">
        <v>269</v>
      </c>
      <c r="E154" s="165">
        <v>16</v>
      </c>
      <c r="F154" s="181">
        <v>1440</v>
      </c>
      <c r="G154" s="179">
        <v>90</v>
      </c>
      <c r="H154" s="413"/>
      <c r="I154" s="165">
        <f t="shared" si="32"/>
        <v>16.142857142857142</v>
      </c>
      <c r="J154" s="165">
        <f t="shared" si="33"/>
        <v>1271.3146758703465</v>
      </c>
      <c r="K154" s="179">
        <f t="shared" si="34"/>
        <v>78.807219762905063</v>
      </c>
      <c r="L154" s="413"/>
      <c r="M154" s="180">
        <f>RANK(K154, K$147:$K$176)</f>
        <v>5</v>
      </c>
      <c r="N154" s="401"/>
      <c r="O154" s="401"/>
      <c r="P154" s="165">
        <v>16</v>
      </c>
      <c r="Q154" s="165">
        <v>1274.9999999999989</v>
      </c>
      <c r="R154" s="165">
        <v>79.687499999999929</v>
      </c>
      <c r="S154" s="181">
        <f t="shared" si="35"/>
        <v>5</v>
      </c>
      <c r="T154" s="430"/>
      <c r="U154" s="165">
        <v>16</v>
      </c>
      <c r="V154" s="165">
        <v>1266.8571428571415</v>
      </c>
      <c r="W154" s="165">
        <v>79.178571428571345</v>
      </c>
      <c r="X154" s="181">
        <f t="shared" si="36"/>
        <v>5</v>
      </c>
      <c r="Y154" s="430"/>
      <c r="Z154" s="165">
        <v>16</v>
      </c>
      <c r="AA154" s="165">
        <v>1297.9999999999977</v>
      </c>
      <c r="AB154" s="165">
        <v>81.124999999999858</v>
      </c>
      <c r="AC154" s="181">
        <f t="shared" si="37"/>
        <v>5</v>
      </c>
      <c r="AD154" s="430"/>
      <c r="AE154" s="165">
        <v>16</v>
      </c>
      <c r="AF154" s="165">
        <v>1265.9999999999977</v>
      </c>
      <c r="AG154" s="165">
        <v>79.124999999999858</v>
      </c>
      <c r="AH154" s="181">
        <f t="shared" si="38"/>
        <v>6</v>
      </c>
      <c r="AI154" s="430"/>
      <c r="AJ154" s="165">
        <v>16</v>
      </c>
      <c r="AK154" s="165">
        <v>1269.3749999999982</v>
      </c>
      <c r="AL154" s="165">
        <v>79.335937499999886</v>
      </c>
      <c r="AM154" s="181">
        <f t="shared" si="39"/>
        <v>6</v>
      </c>
      <c r="AN154" s="430"/>
      <c r="AO154" s="165">
        <v>16</v>
      </c>
      <c r="AP154" s="165">
        <v>1286.4705882352923</v>
      </c>
      <c r="AQ154" s="165">
        <v>80.40441176470577</v>
      </c>
      <c r="AR154" s="181">
        <f t="shared" si="40"/>
        <v>5</v>
      </c>
      <c r="AS154" s="430"/>
      <c r="AT154" s="165">
        <v>17</v>
      </c>
      <c r="AU154" s="165">
        <v>1237.4999999999995</v>
      </c>
      <c r="AV154" s="165">
        <v>72.794117647058798</v>
      </c>
      <c r="AW154" s="181">
        <f t="shared" si="41"/>
        <v>14</v>
      </c>
      <c r="AX154" s="430"/>
    </row>
    <row r="155" spans="2:50">
      <c r="B155" s="400"/>
      <c r="C155" s="181">
        <v>9</v>
      </c>
      <c r="D155" s="196" t="s">
        <v>270</v>
      </c>
      <c r="E155" s="165">
        <v>17</v>
      </c>
      <c r="F155" s="181">
        <v>1440</v>
      </c>
      <c r="G155" s="179">
        <v>84.705882352941174</v>
      </c>
      <c r="H155" s="413"/>
      <c r="I155" s="165">
        <f t="shared" si="32"/>
        <v>16.857142857142858</v>
      </c>
      <c r="J155" s="165">
        <f t="shared" si="33"/>
        <v>1285.3913335698512</v>
      </c>
      <c r="K155" s="179">
        <f t="shared" si="34"/>
        <v>76.29847211044374</v>
      </c>
      <c r="L155" s="413"/>
      <c r="M155" s="180">
        <f>RANK(K155, K$147:$K$176)</f>
        <v>9</v>
      </c>
      <c r="N155" s="401"/>
      <c r="O155" s="401"/>
      <c r="P155" s="165">
        <v>17</v>
      </c>
      <c r="Q155" s="165">
        <v>1284.7058823529417</v>
      </c>
      <c r="R155" s="165">
        <v>75.570934256055395</v>
      </c>
      <c r="S155" s="181">
        <f t="shared" si="35"/>
        <v>11</v>
      </c>
      <c r="T155" s="430"/>
      <c r="U155" s="165">
        <v>17</v>
      </c>
      <c r="V155" s="165">
        <v>1308.7500000000005</v>
      </c>
      <c r="W155" s="165">
        <v>76.985294117647086</v>
      </c>
      <c r="X155" s="181">
        <f t="shared" si="36"/>
        <v>9</v>
      </c>
      <c r="Y155" s="430"/>
      <c r="Z155" s="165">
        <v>17</v>
      </c>
      <c r="AA155" s="165">
        <v>1267.2000000000003</v>
      </c>
      <c r="AB155" s="165">
        <v>74.541176470588255</v>
      </c>
      <c r="AC155" s="181">
        <f t="shared" si="37"/>
        <v>13</v>
      </c>
      <c r="AD155" s="430"/>
      <c r="AE155" s="165">
        <v>17</v>
      </c>
      <c r="AF155" s="165">
        <v>1256.6037735849063</v>
      </c>
      <c r="AG155" s="165">
        <v>73.917869034406252</v>
      </c>
      <c r="AH155" s="181">
        <f t="shared" si="38"/>
        <v>12</v>
      </c>
      <c r="AI155" s="430"/>
      <c r="AJ155" s="165">
        <v>17</v>
      </c>
      <c r="AK155" s="165">
        <v>1302.2222222222231</v>
      </c>
      <c r="AL155" s="165">
        <v>76.601307189542538</v>
      </c>
      <c r="AM155" s="181">
        <f t="shared" si="39"/>
        <v>10</v>
      </c>
      <c r="AN155" s="430"/>
      <c r="AO155" s="165">
        <v>17</v>
      </c>
      <c r="AP155" s="165">
        <v>1269.7959183673472</v>
      </c>
      <c r="AQ155" s="165">
        <v>74.693877551020421</v>
      </c>
      <c r="AR155" s="181">
        <f t="shared" si="40"/>
        <v>10</v>
      </c>
      <c r="AS155" s="430"/>
      <c r="AT155" s="165">
        <v>16</v>
      </c>
      <c r="AU155" s="165">
        <v>1308.4615384615392</v>
      </c>
      <c r="AV155" s="165">
        <v>81.778846153846203</v>
      </c>
      <c r="AW155" s="181">
        <f t="shared" si="41"/>
        <v>5</v>
      </c>
      <c r="AX155" s="430"/>
    </row>
    <row r="156" spans="2:50">
      <c r="B156" s="400"/>
      <c r="C156" s="181">
        <v>10</v>
      </c>
      <c r="D156" s="196" t="s">
        <v>286</v>
      </c>
      <c r="E156" s="165">
        <v>17</v>
      </c>
      <c r="F156" s="181">
        <v>1500</v>
      </c>
      <c r="G156" s="179">
        <v>88.235294117647058</v>
      </c>
      <c r="H156" s="413"/>
      <c r="I156" s="165">
        <f t="shared" si="32"/>
        <v>17</v>
      </c>
      <c r="J156" s="165">
        <f t="shared" si="33"/>
        <v>1334.8092886036686</v>
      </c>
      <c r="K156" s="179">
        <f t="shared" si="34"/>
        <v>78.518193447274612</v>
      </c>
      <c r="L156" s="413"/>
      <c r="M156" s="180">
        <f>RANK(K156, K$147:$K$176)</f>
        <v>6</v>
      </c>
      <c r="N156" s="401"/>
      <c r="O156" s="401"/>
      <c r="P156" s="165">
        <v>17</v>
      </c>
      <c r="Q156" s="165">
        <v>1332.3809523809539</v>
      </c>
      <c r="R156" s="165">
        <v>78.375350140056113</v>
      </c>
      <c r="S156" s="181">
        <f t="shared" si="35"/>
        <v>7</v>
      </c>
      <c r="T156" s="430"/>
      <c r="U156" s="165">
        <v>17</v>
      </c>
      <c r="V156" s="165">
        <v>1304.799999999999</v>
      </c>
      <c r="W156" s="165">
        <v>76.752941176470529</v>
      </c>
      <c r="X156" s="181">
        <f t="shared" si="36"/>
        <v>11</v>
      </c>
      <c r="Y156" s="430"/>
      <c r="Z156" s="165">
        <v>17</v>
      </c>
      <c r="AA156" s="165">
        <v>1367.9999999999986</v>
      </c>
      <c r="AB156" s="165">
        <v>80.470588235294031</v>
      </c>
      <c r="AC156" s="181">
        <f t="shared" si="37"/>
        <v>6</v>
      </c>
      <c r="AD156" s="430"/>
      <c r="AE156" s="165">
        <v>17</v>
      </c>
      <c r="AF156" s="165">
        <v>1333.3333333333348</v>
      </c>
      <c r="AG156" s="165">
        <v>78.431372549019699</v>
      </c>
      <c r="AH156" s="181">
        <f t="shared" si="38"/>
        <v>7</v>
      </c>
      <c r="AI156" s="430"/>
      <c r="AJ156" s="165">
        <v>17</v>
      </c>
      <c r="AK156" s="165">
        <v>1365.8181818181829</v>
      </c>
      <c r="AL156" s="165">
        <v>80.342245989304871</v>
      </c>
      <c r="AM156" s="181">
        <f t="shared" si="39"/>
        <v>5</v>
      </c>
      <c r="AN156" s="430"/>
      <c r="AO156" s="165">
        <v>17</v>
      </c>
      <c r="AP156" s="165">
        <v>1287.8571428571438</v>
      </c>
      <c r="AQ156" s="165">
        <v>75.756302521008465</v>
      </c>
      <c r="AR156" s="181">
        <f t="shared" si="40"/>
        <v>9</v>
      </c>
      <c r="AS156" s="430"/>
      <c r="AT156" s="165">
        <v>17</v>
      </c>
      <c r="AU156" s="165">
        <v>1351.4754098360668</v>
      </c>
      <c r="AV156" s="165">
        <v>79.498553519768635</v>
      </c>
      <c r="AW156" s="181">
        <f t="shared" si="41"/>
        <v>6</v>
      </c>
      <c r="AX156" s="430"/>
    </row>
    <row r="157" spans="2:50">
      <c r="B157" s="400"/>
      <c r="C157" s="181">
        <v>11</v>
      </c>
      <c r="D157" s="196" t="s">
        <v>272</v>
      </c>
      <c r="E157" s="165">
        <v>18</v>
      </c>
      <c r="F157" s="181">
        <v>1440</v>
      </c>
      <c r="G157" s="179">
        <v>80</v>
      </c>
      <c r="H157" s="413"/>
      <c r="I157" s="165">
        <f t="shared" si="32"/>
        <v>16.857142857142858</v>
      </c>
      <c r="J157" s="165">
        <f t="shared" si="33"/>
        <v>1182.1789785140486</v>
      </c>
      <c r="K157" s="179">
        <f t="shared" si="34"/>
        <v>70.148565715853579</v>
      </c>
      <c r="L157" s="413"/>
      <c r="M157" s="180">
        <f>RANK(K157, K$147:$K$176)</f>
        <v>19</v>
      </c>
      <c r="N157" s="401"/>
      <c r="O157" s="401"/>
      <c r="P157" s="165">
        <v>17</v>
      </c>
      <c r="Q157" s="165">
        <v>1164.0000000000005</v>
      </c>
      <c r="R157" s="165">
        <v>68.470588235294144</v>
      </c>
      <c r="S157" s="181">
        <f t="shared" si="35"/>
        <v>19</v>
      </c>
      <c r="T157" s="430"/>
      <c r="U157" s="165">
        <v>17</v>
      </c>
      <c r="V157" s="165">
        <v>1198.695652173913</v>
      </c>
      <c r="W157" s="165">
        <v>70.511508951406654</v>
      </c>
      <c r="X157" s="181">
        <f t="shared" si="36"/>
        <v>19</v>
      </c>
      <c r="Y157" s="430"/>
      <c r="Z157" s="165">
        <v>17</v>
      </c>
      <c r="AA157" s="165">
        <v>1152.2448979591841</v>
      </c>
      <c r="AB157" s="165">
        <v>67.779111644657888</v>
      </c>
      <c r="AC157" s="181">
        <f t="shared" si="37"/>
        <v>21</v>
      </c>
      <c r="AD157" s="430"/>
      <c r="AE157" s="165">
        <v>17</v>
      </c>
      <c r="AF157" s="165">
        <v>1196.4705882352946</v>
      </c>
      <c r="AG157" s="165">
        <v>70.380622837370268</v>
      </c>
      <c r="AH157" s="181">
        <f t="shared" si="38"/>
        <v>17</v>
      </c>
      <c r="AI157" s="430"/>
      <c r="AJ157" s="165">
        <v>17</v>
      </c>
      <c r="AK157" s="165">
        <v>1197.8181818181824</v>
      </c>
      <c r="AL157" s="165">
        <v>70.459893048128379</v>
      </c>
      <c r="AM157" s="181">
        <f t="shared" si="39"/>
        <v>18</v>
      </c>
      <c r="AN157" s="430"/>
      <c r="AO157" s="165">
        <v>16</v>
      </c>
      <c r="AP157" s="165">
        <v>1158.8235294117653</v>
      </c>
      <c r="AQ157" s="165">
        <v>72.426470588235333</v>
      </c>
      <c r="AR157" s="181">
        <f t="shared" si="40"/>
        <v>15</v>
      </c>
      <c r="AS157" s="430"/>
      <c r="AT157" s="165">
        <v>17</v>
      </c>
      <c r="AU157" s="165">
        <v>1207.2000000000003</v>
      </c>
      <c r="AV157" s="165">
        <v>71.011764705882371</v>
      </c>
      <c r="AW157" s="181">
        <f t="shared" si="41"/>
        <v>17</v>
      </c>
      <c r="AX157" s="430"/>
    </row>
    <row r="158" spans="2:50">
      <c r="B158" s="400"/>
      <c r="C158" s="181">
        <v>12</v>
      </c>
      <c r="D158" s="196" t="s">
        <v>273</v>
      </c>
      <c r="E158" s="165">
        <v>20</v>
      </c>
      <c r="F158" s="181">
        <v>1636</v>
      </c>
      <c r="G158" s="179">
        <v>81.8</v>
      </c>
      <c r="H158" s="413"/>
      <c r="I158" s="165">
        <f t="shared" si="32"/>
        <v>19</v>
      </c>
      <c r="J158" s="165">
        <f t="shared" si="33"/>
        <v>1284.935773815228</v>
      </c>
      <c r="K158" s="179">
        <f t="shared" si="34"/>
        <v>67.628198621854096</v>
      </c>
      <c r="L158" s="413"/>
      <c r="M158" s="180">
        <f>RANK(K158, K$147:$K$176)</f>
        <v>20</v>
      </c>
      <c r="N158" s="401"/>
      <c r="O158" s="401"/>
      <c r="P158" s="165">
        <v>19</v>
      </c>
      <c r="Q158" s="165">
        <v>1283.7209302325577</v>
      </c>
      <c r="R158" s="165">
        <v>67.564259485924097</v>
      </c>
      <c r="S158" s="181">
        <f t="shared" si="35"/>
        <v>21</v>
      </c>
      <c r="T158" s="430"/>
      <c r="U158" s="165">
        <v>19</v>
      </c>
      <c r="V158" s="165">
        <v>1317.80487804878</v>
      </c>
      <c r="W158" s="165">
        <v>69.358151476251578</v>
      </c>
      <c r="X158" s="181">
        <f t="shared" si="36"/>
        <v>20</v>
      </c>
      <c r="Y158" s="430"/>
      <c r="Z158" s="165">
        <v>19</v>
      </c>
      <c r="AA158" s="165">
        <v>1276.3636363636365</v>
      </c>
      <c r="AB158" s="165">
        <v>67.177033492822972</v>
      </c>
      <c r="AC158" s="181">
        <f t="shared" si="37"/>
        <v>22</v>
      </c>
      <c r="AD158" s="430"/>
      <c r="AE158" s="165">
        <v>19</v>
      </c>
      <c r="AF158" s="165">
        <v>1260.7228915662645</v>
      </c>
      <c r="AG158" s="165">
        <v>66.353836398224445</v>
      </c>
      <c r="AH158" s="181">
        <f t="shared" si="38"/>
        <v>22</v>
      </c>
      <c r="AI158" s="430"/>
      <c r="AJ158" s="165">
        <v>19</v>
      </c>
      <c r="AK158" s="165">
        <v>1283.9999999999998</v>
      </c>
      <c r="AL158" s="165">
        <v>67.578947368421041</v>
      </c>
      <c r="AM158" s="181">
        <f t="shared" si="39"/>
        <v>20</v>
      </c>
      <c r="AN158" s="430"/>
      <c r="AO158" s="165">
        <v>19</v>
      </c>
      <c r="AP158" s="165">
        <v>1285.411764705882</v>
      </c>
      <c r="AQ158" s="165">
        <v>67.65325077399379</v>
      </c>
      <c r="AR158" s="181">
        <f t="shared" si="40"/>
        <v>20</v>
      </c>
      <c r="AS158" s="430"/>
      <c r="AT158" s="165">
        <v>19</v>
      </c>
      <c r="AU158" s="165">
        <v>1286.526315789474</v>
      </c>
      <c r="AV158" s="165">
        <v>67.711911357340739</v>
      </c>
      <c r="AW158" s="181">
        <f t="shared" si="41"/>
        <v>20</v>
      </c>
      <c r="AX158" s="430"/>
    </row>
    <row r="159" spans="2:50">
      <c r="B159" s="400"/>
      <c r="C159" s="181">
        <v>13</v>
      </c>
      <c r="D159" s="196" t="s">
        <v>274</v>
      </c>
      <c r="E159" s="165">
        <v>19</v>
      </c>
      <c r="F159" s="181">
        <v>1636</v>
      </c>
      <c r="G159" s="179">
        <v>86.10526315789474</v>
      </c>
      <c r="H159" s="413"/>
      <c r="I159" s="165">
        <f t="shared" si="32"/>
        <v>19</v>
      </c>
      <c r="J159" s="165">
        <f t="shared" si="33"/>
        <v>1282.3811936313828</v>
      </c>
      <c r="K159" s="179">
        <f t="shared" si="34"/>
        <v>67.493747033230662</v>
      </c>
      <c r="L159" s="413"/>
      <c r="M159" s="180">
        <f>RANK(K159, K$147:$K$176)</f>
        <v>21</v>
      </c>
      <c r="N159" s="401"/>
      <c r="O159" s="401"/>
      <c r="P159" s="165">
        <v>19</v>
      </c>
      <c r="Q159" s="165">
        <v>1286.8656716417895</v>
      </c>
      <c r="R159" s="165">
        <v>67.729772191673135</v>
      </c>
      <c r="S159" s="181">
        <f t="shared" si="35"/>
        <v>20</v>
      </c>
      <c r="T159" s="430"/>
      <c r="U159" s="165">
        <v>19</v>
      </c>
      <c r="V159" s="165">
        <v>1267.7419354838721</v>
      </c>
      <c r="W159" s="165">
        <v>66.723259762309056</v>
      </c>
      <c r="X159" s="181">
        <f t="shared" si="36"/>
        <v>21</v>
      </c>
      <c r="Y159" s="430"/>
      <c r="Z159" s="165">
        <v>19</v>
      </c>
      <c r="AA159" s="165">
        <v>1290.0000000000016</v>
      </c>
      <c r="AB159" s="165">
        <v>67.894736842105345</v>
      </c>
      <c r="AC159" s="181">
        <f t="shared" si="37"/>
        <v>20</v>
      </c>
      <c r="AD159" s="430"/>
      <c r="AE159" s="165">
        <v>19</v>
      </c>
      <c r="AF159" s="165">
        <v>1305.4838709677433</v>
      </c>
      <c r="AG159" s="165">
        <v>68.709677419354918</v>
      </c>
      <c r="AH159" s="181">
        <f t="shared" si="38"/>
        <v>20</v>
      </c>
      <c r="AI159" s="430"/>
      <c r="AJ159" s="165">
        <v>19</v>
      </c>
      <c r="AK159" s="165">
        <v>1274.1176470588221</v>
      </c>
      <c r="AL159" s="165">
        <v>67.058823529411683</v>
      </c>
      <c r="AM159" s="181">
        <f t="shared" si="39"/>
        <v>21</v>
      </c>
      <c r="AN159" s="430"/>
      <c r="AO159" s="165">
        <v>19</v>
      </c>
      <c r="AP159" s="165">
        <v>1280.9523809523821</v>
      </c>
      <c r="AQ159" s="165">
        <v>67.41854636591485</v>
      </c>
      <c r="AR159" s="181">
        <f t="shared" si="40"/>
        <v>21</v>
      </c>
      <c r="AS159" s="430"/>
      <c r="AT159" s="165">
        <v>19</v>
      </c>
      <c r="AU159" s="165">
        <v>1271.5068493150675</v>
      </c>
      <c r="AV159" s="165">
        <v>66.92141312184566</v>
      </c>
      <c r="AW159" s="181">
        <f t="shared" si="41"/>
        <v>21</v>
      </c>
      <c r="AX159" s="430"/>
    </row>
    <row r="160" spans="2:50">
      <c r="B160" s="400"/>
      <c r="C160" s="181">
        <v>14</v>
      </c>
      <c r="D160" s="196" t="s">
        <v>275</v>
      </c>
      <c r="E160" s="165">
        <v>20</v>
      </c>
      <c r="F160" s="181">
        <v>1500</v>
      </c>
      <c r="G160" s="179">
        <v>75</v>
      </c>
      <c r="H160" s="413"/>
      <c r="I160" s="165">
        <f t="shared" si="32"/>
        <v>20</v>
      </c>
      <c r="J160" s="165">
        <f t="shared" si="33"/>
        <v>1267.3071314191436</v>
      </c>
      <c r="K160" s="179">
        <f t="shared" si="34"/>
        <v>63.365356570957189</v>
      </c>
      <c r="L160" s="413"/>
      <c r="M160" s="180">
        <f>RANK(K160, K$147:$K$176)</f>
        <v>23</v>
      </c>
      <c r="N160" s="401"/>
      <c r="O160" s="401"/>
      <c r="P160" s="165">
        <v>20</v>
      </c>
      <c r="Q160" s="165">
        <v>1235.6756756756772</v>
      </c>
      <c r="R160" s="165">
        <v>61.783783783783861</v>
      </c>
      <c r="S160" s="181">
        <f t="shared" si="35"/>
        <v>23</v>
      </c>
      <c r="T160" s="430"/>
      <c r="U160" s="165">
        <v>20</v>
      </c>
      <c r="V160" s="165">
        <v>1280.6250000000016</v>
      </c>
      <c r="W160" s="165">
        <v>64.031250000000085</v>
      </c>
      <c r="X160" s="181">
        <f t="shared" si="36"/>
        <v>23</v>
      </c>
      <c r="Y160" s="430"/>
      <c r="Z160" s="165">
        <v>20</v>
      </c>
      <c r="AA160" s="165">
        <v>1296.7741935483882</v>
      </c>
      <c r="AB160" s="165">
        <v>64.838709677419416</v>
      </c>
      <c r="AC160" s="181">
        <f t="shared" si="37"/>
        <v>23</v>
      </c>
      <c r="AD160" s="430"/>
      <c r="AE160" s="165">
        <v>20</v>
      </c>
      <c r="AF160" s="165">
        <v>1272.0000000000011</v>
      </c>
      <c r="AG160" s="165">
        <v>63.600000000000058</v>
      </c>
      <c r="AH160" s="181">
        <f t="shared" si="38"/>
        <v>23</v>
      </c>
      <c r="AI160" s="430"/>
      <c r="AJ160" s="165">
        <v>20</v>
      </c>
      <c r="AK160" s="165">
        <v>1299.3103448275872</v>
      </c>
      <c r="AL160" s="165">
        <v>64.965517241379359</v>
      </c>
      <c r="AM160" s="181">
        <f t="shared" si="39"/>
        <v>23</v>
      </c>
      <c r="AN160" s="430"/>
      <c r="AO160" s="165">
        <v>20</v>
      </c>
      <c r="AP160" s="165">
        <v>1231.7647058823513</v>
      </c>
      <c r="AQ160" s="165">
        <v>61.588235294117567</v>
      </c>
      <c r="AR160" s="181">
        <f t="shared" si="40"/>
        <v>23</v>
      </c>
      <c r="AS160" s="430"/>
      <c r="AT160" s="165">
        <v>20</v>
      </c>
      <c r="AU160" s="165">
        <v>1254.9999999999991</v>
      </c>
      <c r="AV160" s="165">
        <v>62.749999999999957</v>
      </c>
      <c r="AW160" s="181">
        <f t="shared" si="41"/>
        <v>23</v>
      </c>
      <c r="AX160" s="430"/>
    </row>
    <row r="161" spans="2:50">
      <c r="B161" s="400"/>
      <c r="C161" s="181">
        <v>15</v>
      </c>
      <c r="D161" s="196" t="s">
        <v>276</v>
      </c>
      <c r="E161" s="165">
        <v>18</v>
      </c>
      <c r="F161" s="181">
        <v>1500</v>
      </c>
      <c r="G161" s="179">
        <v>83.333333333333329</v>
      </c>
      <c r="H161" s="413"/>
      <c r="I161" s="165">
        <f t="shared" si="32"/>
        <v>17</v>
      </c>
      <c r="J161" s="165">
        <f t="shared" si="33"/>
        <v>1282.5112483279765</v>
      </c>
      <c r="K161" s="179">
        <f t="shared" si="34"/>
        <v>75.441838136939779</v>
      </c>
      <c r="L161" s="413"/>
      <c r="M161" s="165">
        <f>RANK(K161, K$147:$K$176)</f>
        <v>11</v>
      </c>
      <c r="N161" s="401"/>
      <c r="O161" s="401"/>
      <c r="P161" s="165">
        <v>17</v>
      </c>
      <c r="Q161" s="165">
        <v>1276.2162162162151</v>
      </c>
      <c r="R161" s="165">
        <v>75.0715421303656</v>
      </c>
      <c r="S161" s="181">
        <f t="shared" ref="S161:S175" si="42">RANK(R161, R$147:R$176)</f>
        <v>12</v>
      </c>
      <c r="T161" s="430"/>
      <c r="U161" s="165">
        <v>17</v>
      </c>
      <c r="V161" s="165">
        <v>1305.4054054054045</v>
      </c>
      <c r="W161" s="165">
        <v>76.788553259141437</v>
      </c>
      <c r="X161" s="181">
        <f t="shared" ref="X161:X175" si="43">RANK(W161, W$147:W$176)</f>
        <v>10</v>
      </c>
      <c r="Y161" s="430"/>
      <c r="Z161" s="165">
        <v>17</v>
      </c>
      <c r="AA161" s="165">
        <v>1299.42857142857</v>
      </c>
      <c r="AB161" s="165">
        <v>76.43697478991588</v>
      </c>
      <c r="AC161" s="181">
        <f t="shared" ref="AC161:AC175" si="44">RANK(AB161, AB$147:AB$176)</f>
        <v>11</v>
      </c>
      <c r="AD161" s="430"/>
      <c r="AE161" s="165">
        <v>17</v>
      </c>
      <c r="AF161" s="165">
        <v>1288.1249999999982</v>
      </c>
      <c r="AG161" s="165">
        <v>75.772058823529306</v>
      </c>
      <c r="AH161" s="181">
        <f t="shared" ref="AH161:AH175" si="45">RANK(AG161, AG$147:AG$176)</f>
        <v>9</v>
      </c>
      <c r="AI161" s="430"/>
      <c r="AJ161" s="165">
        <v>17</v>
      </c>
      <c r="AK161" s="165">
        <v>1247.0270270270262</v>
      </c>
      <c r="AL161" s="165">
        <v>73.354531001589777</v>
      </c>
      <c r="AM161" s="181">
        <f t="shared" ref="AM161:AM175" si="46">RANK(AL161, AL$147:AL$176)</f>
        <v>14</v>
      </c>
      <c r="AN161" s="430"/>
      <c r="AO161" s="165">
        <v>17</v>
      </c>
      <c r="AP161" s="165">
        <v>1253.6842105263147</v>
      </c>
      <c r="AQ161" s="165">
        <v>73.746130030959691</v>
      </c>
      <c r="AR161" s="181">
        <f t="shared" ref="AR161:AR175" si="47">RANK(AQ161, AQ$147:AQ$176)</f>
        <v>13</v>
      </c>
      <c r="AS161" s="430"/>
      <c r="AT161" s="165">
        <v>17</v>
      </c>
      <c r="AU161" s="165">
        <v>1307.6923076923069</v>
      </c>
      <c r="AV161" s="165">
        <v>76.923076923076877</v>
      </c>
      <c r="AW161" s="181">
        <f t="shared" ref="AW161:AW175" si="48">RANK(AV161, AV$147:AV$176)</f>
        <v>9</v>
      </c>
      <c r="AX161" s="430"/>
    </row>
    <row r="162" spans="2:50">
      <c r="B162" s="400"/>
      <c r="C162" s="181">
        <v>16</v>
      </c>
      <c r="D162" s="196" t="s">
        <v>277</v>
      </c>
      <c r="E162" s="165">
        <v>18</v>
      </c>
      <c r="F162" s="181">
        <v>1500</v>
      </c>
      <c r="G162" s="179">
        <v>83.333333333333329</v>
      </c>
      <c r="H162" s="413"/>
      <c r="I162" s="165">
        <f t="shared" si="32"/>
        <v>17</v>
      </c>
      <c r="J162" s="165">
        <f t="shared" si="33"/>
        <v>1289.310830773238</v>
      </c>
      <c r="K162" s="179">
        <f t="shared" si="34"/>
        <v>75.841813574896335</v>
      </c>
      <c r="L162" s="413"/>
      <c r="M162" s="165">
        <f>RANK(K162, K$147:$K$176)</f>
        <v>10</v>
      </c>
      <c r="N162" s="401"/>
      <c r="O162" s="401"/>
      <c r="P162" s="165">
        <v>17</v>
      </c>
      <c r="Q162" s="165">
        <v>1298.5714285714296</v>
      </c>
      <c r="R162" s="165">
        <v>76.386554621848802</v>
      </c>
      <c r="S162" s="181">
        <f t="shared" si="42"/>
        <v>10</v>
      </c>
      <c r="T162" s="430"/>
      <c r="U162" s="165">
        <v>17</v>
      </c>
      <c r="V162" s="165">
        <v>1310.7692307692314</v>
      </c>
      <c r="W162" s="165">
        <v>77.104072398190084</v>
      </c>
      <c r="X162" s="181">
        <f t="shared" si="43"/>
        <v>8</v>
      </c>
      <c r="Y162" s="430"/>
      <c r="Z162" s="165">
        <v>17</v>
      </c>
      <c r="AA162" s="165">
        <v>1306.6666666666674</v>
      </c>
      <c r="AB162" s="165">
        <v>76.862745098039255</v>
      </c>
      <c r="AC162" s="181">
        <f t="shared" si="44"/>
        <v>9</v>
      </c>
      <c r="AD162" s="430"/>
      <c r="AE162" s="165">
        <v>17</v>
      </c>
      <c r="AF162" s="165">
        <v>1268.5714285714296</v>
      </c>
      <c r="AG162" s="165">
        <v>74.62184873949586</v>
      </c>
      <c r="AH162" s="181">
        <f t="shared" si="45"/>
        <v>11</v>
      </c>
      <c r="AI162" s="430"/>
      <c r="AJ162" s="165">
        <v>17</v>
      </c>
      <c r="AK162" s="165">
        <v>1308.2142857142867</v>
      </c>
      <c r="AL162" s="165">
        <v>76.953781512605104</v>
      </c>
      <c r="AM162" s="181">
        <f t="shared" si="46"/>
        <v>8</v>
      </c>
      <c r="AN162" s="430"/>
      <c r="AO162" s="165">
        <v>17</v>
      </c>
      <c r="AP162" s="165">
        <v>1249.4736842105274</v>
      </c>
      <c r="AQ162" s="165">
        <v>73.498452012383964</v>
      </c>
      <c r="AR162" s="181">
        <f t="shared" si="47"/>
        <v>14</v>
      </c>
      <c r="AS162" s="430"/>
      <c r="AT162" s="165">
        <v>17</v>
      </c>
      <c r="AU162" s="165">
        <v>1282.9090909090919</v>
      </c>
      <c r="AV162" s="165">
        <v>75.46524064171129</v>
      </c>
      <c r="AW162" s="181">
        <f t="shared" si="48"/>
        <v>11</v>
      </c>
      <c r="AX162" s="430"/>
    </row>
    <row r="163" spans="2:50">
      <c r="B163" s="400"/>
      <c r="C163" s="181">
        <v>17</v>
      </c>
      <c r="D163" s="196" t="s">
        <v>278</v>
      </c>
      <c r="E163" s="165">
        <v>17</v>
      </c>
      <c r="F163" s="181">
        <v>1440</v>
      </c>
      <c r="G163" s="179">
        <v>84.705882352941174</v>
      </c>
      <c r="H163" s="413"/>
      <c r="I163" s="165">
        <f t="shared" si="32"/>
        <v>18</v>
      </c>
      <c r="J163" s="165">
        <f t="shared" si="33"/>
        <v>1330.1921828719785</v>
      </c>
      <c r="K163" s="179">
        <f t="shared" si="34"/>
        <v>73.899565715109915</v>
      </c>
      <c r="L163" s="413"/>
      <c r="M163" s="165">
        <f>RANK(K163, K$147:$K$176)</f>
        <v>14</v>
      </c>
      <c r="N163" s="401"/>
      <c r="O163" s="401"/>
      <c r="P163" s="165">
        <v>18</v>
      </c>
      <c r="Q163" s="165">
        <v>1325.5813953488371</v>
      </c>
      <c r="R163" s="165">
        <v>73.643410852713174</v>
      </c>
      <c r="S163" s="181">
        <f t="shared" si="42"/>
        <v>14</v>
      </c>
      <c r="T163" s="430"/>
      <c r="U163" s="165">
        <v>18</v>
      </c>
      <c r="V163" s="165">
        <v>1323.4482758620688</v>
      </c>
      <c r="W163" s="165">
        <v>73.524904214559385</v>
      </c>
      <c r="X163" s="181">
        <f t="shared" si="43"/>
        <v>14</v>
      </c>
      <c r="Y163" s="430"/>
      <c r="Z163" s="165">
        <v>18</v>
      </c>
      <c r="AA163" s="165">
        <v>1310.8695652173915</v>
      </c>
      <c r="AB163" s="165">
        <v>72.826086956521749</v>
      </c>
      <c r="AC163" s="181">
        <f t="shared" si="44"/>
        <v>15</v>
      </c>
      <c r="AD163" s="430"/>
      <c r="AE163" s="165">
        <v>18</v>
      </c>
      <c r="AF163" s="165">
        <v>1360.2439024390237</v>
      </c>
      <c r="AG163" s="165">
        <v>75.569105691056876</v>
      </c>
      <c r="AH163" s="181">
        <f t="shared" si="45"/>
        <v>10</v>
      </c>
      <c r="AI163" s="430"/>
      <c r="AJ163" s="165">
        <v>18</v>
      </c>
      <c r="AK163" s="165">
        <v>1323.6585365853653</v>
      </c>
      <c r="AL163" s="165">
        <v>73.536585365853625</v>
      </c>
      <c r="AM163" s="181">
        <f t="shared" si="46"/>
        <v>13</v>
      </c>
      <c r="AN163" s="430"/>
      <c r="AO163" s="165">
        <v>18</v>
      </c>
      <c r="AP163" s="165">
        <v>1344.4186046511625</v>
      </c>
      <c r="AQ163" s="165">
        <v>74.68992248062014</v>
      </c>
      <c r="AR163" s="181">
        <f t="shared" si="47"/>
        <v>11</v>
      </c>
      <c r="AS163" s="430"/>
      <c r="AT163" s="165">
        <v>18</v>
      </c>
      <c r="AU163" s="165">
        <v>1323.1250000000005</v>
      </c>
      <c r="AV163" s="165">
        <v>73.506944444444471</v>
      </c>
      <c r="AW163" s="181">
        <f t="shared" si="48"/>
        <v>13</v>
      </c>
      <c r="AX163" s="430"/>
    </row>
    <row r="164" spans="2:50">
      <c r="B164" s="400"/>
      <c r="C164" s="181">
        <v>18</v>
      </c>
      <c r="D164" s="196" t="s">
        <v>279</v>
      </c>
      <c r="E164" s="165">
        <v>15</v>
      </c>
      <c r="F164" s="181">
        <v>1440</v>
      </c>
      <c r="G164" s="179">
        <v>96</v>
      </c>
      <c r="H164" s="413"/>
      <c r="I164" s="165">
        <f t="shared" si="32"/>
        <v>15</v>
      </c>
      <c r="J164" s="165">
        <f t="shared" si="33"/>
        <v>1275.6652946271267</v>
      </c>
      <c r="K164" s="179">
        <f t="shared" si="34"/>
        <v>85.044352975141791</v>
      </c>
      <c r="L164" s="413"/>
      <c r="M164" s="165">
        <f>RANK(K164, K$147:$K$176)</f>
        <v>3</v>
      </c>
      <c r="N164" s="401"/>
      <c r="O164" s="401"/>
      <c r="P164" s="165">
        <v>15</v>
      </c>
      <c r="Q164" s="165">
        <v>1278.4615384615399</v>
      </c>
      <c r="R164" s="165">
        <v>85.230769230769326</v>
      </c>
      <c r="S164" s="181">
        <f t="shared" si="42"/>
        <v>3</v>
      </c>
      <c r="T164" s="430"/>
      <c r="U164" s="165">
        <v>15</v>
      </c>
      <c r="V164" s="165">
        <v>1245.8823529411779</v>
      </c>
      <c r="W164" s="165">
        <v>83.058823529411868</v>
      </c>
      <c r="X164" s="181">
        <f t="shared" si="43"/>
        <v>3</v>
      </c>
      <c r="Y164" s="430"/>
      <c r="Z164" s="165">
        <v>15</v>
      </c>
      <c r="AA164" s="165">
        <v>1304.0000000000014</v>
      </c>
      <c r="AB164" s="165">
        <v>86.933333333333422</v>
      </c>
      <c r="AC164" s="181">
        <f t="shared" si="44"/>
        <v>3</v>
      </c>
      <c r="AD164" s="430"/>
      <c r="AE164" s="165">
        <v>15</v>
      </c>
      <c r="AF164" s="165">
        <v>1272.6315789473695</v>
      </c>
      <c r="AG164" s="165">
        <v>84.842105263157961</v>
      </c>
      <c r="AH164" s="181">
        <f t="shared" si="45"/>
        <v>3</v>
      </c>
      <c r="AI164" s="430"/>
      <c r="AJ164" s="165">
        <v>15</v>
      </c>
      <c r="AK164" s="165">
        <v>1260.0000000000014</v>
      </c>
      <c r="AL164" s="165">
        <v>84.000000000000085</v>
      </c>
      <c r="AM164" s="181">
        <f t="shared" si="46"/>
        <v>3</v>
      </c>
      <c r="AN164" s="430"/>
      <c r="AO164" s="165">
        <v>15</v>
      </c>
      <c r="AP164" s="165">
        <v>1277.0149253731327</v>
      </c>
      <c r="AQ164" s="165">
        <v>85.134328358208847</v>
      </c>
      <c r="AR164" s="181">
        <f t="shared" si="47"/>
        <v>3</v>
      </c>
      <c r="AS164" s="430"/>
      <c r="AT164" s="165">
        <v>15</v>
      </c>
      <c r="AU164" s="165">
        <v>1291.6666666666656</v>
      </c>
      <c r="AV164" s="165">
        <v>86.111111111111043</v>
      </c>
      <c r="AW164" s="181">
        <f t="shared" si="48"/>
        <v>3</v>
      </c>
      <c r="AX164" s="430"/>
    </row>
    <row r="165" spans="2:50">
      <c r="B165" s="400"/>
      <c r="C165" s="181">
        <v>19</v>
      </c>
      <c r="D165" s="196" t="s">
        <v>280</v>
      </c>
      <c r="E165" s="165">
        <v>17</v>
      </c>
      <c r="F165" s="181">
        <v>1440</v>
      </c>
      <c r="G165" s="179">
        <v>84.705882352941174</v>
      </c>
      <c r="H165" s="413"/>
      <c r="I165" s="165">
        <f t="shared" si="32"/>
        <v>17</v>
      </c>
      <c r="J165" s="165">
        <f t="shared" si="33"/>
        <v>1323.9041276202126</v>
      </c>
      <c r="K165" s="179">
        <f t="shared" si="34"/>
        <v>77.876713389424268</v>
      </c>
      <c r="L165" s="413"/>
      <c r="M165" s="165">
        <f>RANK(K165, K$147:$K$176)</f>
        <v>8</v>
      </c>
      <c r="N165" s="401"/>
      <c r="O165" s="401"/>
      <c r="P165" s="165">
        <v>17</v>
      </c>
      <c r="Q165" s="165">
        <v>1313.0357142857133</v>
      </c>
      <c r="R165" s="165">
        <v>77.237394957983142</v>
      </c>
      <c r="S165" s="181">
        <f t="shared" si="42"/>
        <v>8</v>
      </c>
      <c r="T165" s="430"/>
      <c r="U165" s="165">
        <v>17</v>
      </c>
      <c r="V165" s="165">
        <v>1333.142857142858</v>
      </c>
      <c r="W165" s="165">
        <v>78.420168067226939</v>
      </c>
      <c r="X165" s="181">
        <f t="shared" si="43"/>
        <v>7</v>
      </c>
      <c r="Y165" s="430"/>
      <c r="Z165" s="165">
        <v>17</v>
      </c>
      <c r="AA165" s="165">
        <v>1307.6635514018699</v>
      </c>
      <c r="AB165" s="165">
        <v>76.921385376580588</v>
      </c>
      <c r="AC165" s="181">
        <f t="shared" si="44"/>
        <v>8</v>
      </c>
      <c r="AD165" s="430"/>
      <c r="AE165" s="165">
        <v>17</v>
      </c>
      <c r="AF165" s="165">
        <v>1307.7669902912628</v>
      </c>
      <c r="AG165" s="165">
        <v>76.927470017133103</v>
      </c>
      <c r="AH165" s="181">
        <f t="shared" si="45"/>
        <v>8</v>
      </c>
      <c r="AI165" s="430"/>
      <c r="AJ165" s="165">
        <v>17</v>
      </c>
      <c r="AK165" s="165">
        <v>1313.7142857142865</v>
      </c>
      <c r="AL165" s="165">
        <v>77.277310924369786</v>
      </c>
      <c r="AM165" s="181">
        <f t="shared" si="46"/>
        <v>7</v>
      </c>
      <c r="AN165" s="430"/>
      <c r="AO165" s="165">
        <v>17</v>
      </c>
      <c r="AP165" s="165">
        <v>1343.0769230769238</v>
      </c>
      <c r="AQ165" s="165">
        <v>79.004524886877874</v>
      </c>
      <c r="AR165" s="181">
        <f t="shared" si="47"/>
        <v>6</v>
      </c>
      <c r="AS165" s="430"/>
      <c r="AT165" s="165">
        <v>17</v>
      </c>
      <c r="AU165" s="165">
        <v>1348.9285714285725</v>
      </c>
      <c r="AV165" s="165">
        <v>79.348739495798384</v>
      </c>
      <c r="AW165" s="181">
        <f t="shared" si="48"/>
        <v>7</v>
      </c>
      <c r="AX165" s="430"/>
    </row>
    <row r="166" spans="2:50">
      <c r="B166" s="400"/>
      <c r="C166" s="181">
        <v>20</v>
      </c>
      <c r="D166" s="196" t="s">
        <v>281</v>
      </c>
      <c r="E166" s="165">
        <v>18</v>
      </c>
      <c r="F166" s="181">
        <v>1636</v>
      </c>
      <c r="G166" s="179">
        <v>90.888888888888886</v>
      </c>
      <c r="H166" s="413"/>
      <c r="I166" s="165">
        <f t="shared" si="32"/>
        <v>17.142857142857142</v>
      </c>
      <c r="J166" s="165">
        <f t="shared" si="33"/>
        <v>1288.7405390727724</v>
      </c>
      <c r="K166" s="179">
        <f t="shared" si="34"/>
        <v>75.219471486073445</v>
      </c>
      <c r="L166" s="413"/>
      <c r="M166" s="165">
        <f>RANK(K166, K$147:$K$176)</f>
        <v>12</v>
      </c>
      <c r="N166" s="401"/>
      <c r="O166" s="401"/>
      <c r="P166" s="165">
        <v>17</v>
      </c>
      <c r="Q166" s="165">
        <v>1306.8000000000002</v>
      </c>
      <c r="R166" s="165">
        <v>76.870588235294122</v>
      </c>
      <c r="S166" s="181">
        <f t="shared" si="42"/>
        <v>9</v>
      </c>
      <c r="T166" s="430"/>
      <c r="U166" s="165">
        <v>17</v>
      </c>
      <c r="V166" s="165">
        <v>1285.714285714286</v>
      </c>
      <c r="W166" s="165">
        <v>75.630252100840352</v>
      </c>
      <c r="X166" s="181">
        <f t="shared" si="43"/>
        <v>12</v>
      </c>
      <c r="Y166" s="430"/>
      <c r="Z166" s="165">
        <v>17</v>
      </c>
      <c r="AA166" s="165">
        <v>1267.3469387755106</v>
      </c>
      <c r="AB166" s="165">
        <v>74.549819927971214</v>
      </c>
      <c r="AC166" s="181">
        <f t="shared" si="44"/>
        <v>12</v>
      </c>
      <c r="AD166" s="430"/>
      <c r="AE166" s="165">
        <v>18</v>
      </c>
      <c r="AF166" s="165">
        <v>1261.2000000000005</v>
      </c>
      <c r="AG166" s="165">
        <v>70.066666666666691</v>
      </c>
      <c r="AH166" s="181">
        <f t="shared" si="45"/>
        <v>18</v>
      </c>
      <c r="AI166" s="430"/>
      <c r="AJ166" s="165">
        <v>17</v>
      </c>
      <c r="AK166" s="165">
        <v>1284.7058823529417</v>
      </c>
      <c r="AL166" s="165">
        <v>75.570934256055395</v>
      </c>
      <c r="AM166" s="181">
        <f t="shared" si="46"/>
        <v>12</v>
      </c>
      <c r="AN166" s="430"/>
      <c r="AO166" s="165">
        <v>17</v>
      </c>
      <c r="AP166" s="165">
        <v>1308.7500000000005</v>
      </c>
      <c r="AQ166" s="165">
        <v>76.985294117647086</v>
      </c>
      <c r="AR166" s="181">
        <f t="shared" si="47"/>
        <v>8</v>
      </c>
      <c r="AS166" s="430"/>
      <c r="AT166" s="165">
        <v>17</v>
      </c>
      <c r="AU166" s="165">
        <v>1306.6666666666674</v>
      </c>
      <c r="AV166" s="165">
        <v>76.862745098039255</v>
      </c>
      <c r="AW166" s="181">
        <f t="shared" si="48"/>
        <v>10</v>
      </c>
      <c r="AX166" s="430"/>
    </row>
    <row r="167" spans="2:50">
      <c r="B167" s="400"/>
      <c r="C167" s="181">
        <v>21</v>
      </c>
      <c r="D167" s="196" t="s">
        <v>282</v>
      </c>
      <c r="E167" s="165">
        <v>18</v>
      </c>
      <c r="F167" s="181">
        <v>1440</v>
      </c>
      <c r="G167" s="179">
        <v>80</v>
      </c>
      <c r="H167" s="413"/>
      <c r="I167" s="165">
        <f t="shared" si="32"/>
        <v>18</v>
      </c>
      <c r="J167" s="165">
        <f t="shared" si="33"/>
        <v>1276.24765180298</v>
      </c>
      <c r="K167" s="179">
        <f t="shared" si="34"/>
        <v>70.902647322387779</v>
      </c>
      <c r="L167" s="413"/>
      <c r="M167" s="165">
        <f>RANK(K167, K$147:$K$176)</f>
        <v>18</v>
      </c>
      <c r="N167" s="401"/>
      <c r="O167" s="401"/>
      <c r="P167" s="165">
        <v>18</v>
      </c>
      <c r="Q167" s="165">
        <v>1255.909090909091</v>
      </c>
      <c r="R167" s="165">
        <v>69.77272727272728</v>
      </c>
      <c r="S167" s="181">
        <f t="shared" si="42"/>
        <v>18</v>
      </c>
      <c r="T167" s="430"/>
      <c r="U167" s="165">
        <v>18</v>
      </c>
      <c r="V167" s="165">
        <v>1269.6296296296291</v>
      </c>
      <c r="W167" s="165">
        <v>70.534979423868279</v>
      </c>
      <c r="X167" s="181">
        <f t="shared" si="43"/>
        <v>18</v>
      </c>
      <c r="Y167" s="430"/>
      <c r="Z167" s="165">
        <v>18</v>
      </c>
      <c r="AA167" s="165">
        <v>1261.5189873417714</v>
      </c>
      <c r="AB167" s="165">
        <v>70.084388185653964</v>
      </c>
      <c r="AC167" s="181">
        <f t="shared" si="44"/>
        <v>18</v>
      </c>
      <c r="AD167" s="430"/>
      <c r="AE167" s="165">
        <v>18</v>
      </c>
      <c r="AF167" s="165">
        <v>1317.5675675675666</v>
      </c>
      <c r="AG167" s="165">
        <v>73.198198198198142</v>
      </c>
      <c r="AH167" s="181">
        <f t="shared" si="45"/>
        <v>14</v>
      </c>
      <c r="AI167" s="430"/>
      <c r="AJ167" s="165">
        <v>18</v>
      </c>
      <c r="AK167" s="165">
        <v>1303.6363636363631</v>
      </c>
      <c r="AL167" s="165">
        <v>72.424242424242394</v>
      </c>
      <c r="AM167" s="181">
        <f t="shared" si="46"/>
        <v>16</v>
      </c>
      <c r="AN167" s="430"/>
      <c r="AO167" s="165">
        <v>18</v>
      </c>
      <c r="AP167" s="165">
        <v>1267.4074074074069</v>
      </c>
      <c r="AQ167" s="165">
        <v>70.411522633744823</v>
      </c>
      <c r="AR167" s="181">
        <f t="shared" si="47"/>
        <v>18</v>
      </c>
      <c r="AS167" s="430"/>
      <c r="AT167" s="165">
        <v>18</v>
      </c>
      <c r="AU167" s="165">
        <v>1258.0645161290324</v>
      </c>
      <c r="AV167" s="165">
        <v>69.892473118279582</v>
      </c>
      <c r="AW167" s="181">
        <f t="shared" si="48"/>
        <v>18</v>
      </c>
      <c r="AX167" s="430"/>
    </row>
    <row r="168" spans="2:50">
      <c r="B168" s="400"/>
      <c r="C168" s="181">
        <v>22</v>
      </c>
      <c r="D168" s="196" t="s">
        <v>287</v>
      </c>
      <c r="E168" s="165">
        <v>18</v>
      </c>
      <c r="F168" s="181">
        <v>1500</v>
      </c>
      <c r="G168" s="179">
        <v>83.333333333333329</v>
      </c>
      <c r="H168" s="413"/>
      <c r="I168" s="165">
        <f t="shared" si="32"/>
        <v>18</v>
      </c>
      <c r="J168" s="165">
        <f t="shared" si="33"/>
        <v>1290.1724154426245</v>
      </c>
      <c r="K168" s="179">
        <f t="shared" si="34"/>
        <v>71.676245302368031</v>
      </c>
      <c r="L168" s="413"/>
      <c r="M168" s="165">
        <f>RANK(K168, K$147:$K$176)</f>
        <v>15</v>
      </c>
      <c r="N168" s="401"/>
      <c r="O168" s="401"/>
      <c r="P168" s="165">
        <v>18</v>
      </c>
      <c r="Q168" s="165">
        <v>1273.432835820897</v>
      </c>
      <c r="R168" s="165">
        <v>70.746268656716495</v>
      </c>
      <c r="S168" s="181">
        <f t="shared" si="42"/>
        <v>17</v>
      </c>
      <c r="T168" s="430"/>
      <c r="U168" s="165">
        <v>18</v>
      </c>
      <c r="V168" s="165">
        <v>1311.4285714285727</v>
      </c>
      <c r="W168" s="165">
        <v>72.857142857142932</v>
      </c>
      <c r="X168" s="181">
        <f t="shared" si="43"/>
        <v>15</v>
      </c>
      <c r="Y168" s="430"/>
      <c r="Z168" s="165">
        <v>18</v>
      </c>
      <c r="AA168" s="165">
        <v>1314.193548387098</v>
      </c>
      <c r="AB168" s="165">
        <v>73.010752688172104</v>
      </c>
      <c r="AC168" s="181">
        <f t="shared" si="44"/>
        <v>14</v>
      </c>
      <c r="AD168" s="430"/>
      <c r="AE168" s="165">
        <v>18</v>
      </c>
      <c r="AF168" s="165">
        <v>1301.0526315789484</v>
      </c>
      <c r="AG168" s="165">
        <v>72.28070175438603</v>
      </c>
      <c r="AH168" s="181">
        <f t="shared" si="45"/>
        <v>16</v>
      </c>
      <c r="AI168" s="430"/>
      <c r="AJ168" s="165">
        <v>18</v>
      </c>
      <c r="AK168" s="165">
        <v>1267.5000000000011</v>
      </c>
      <c r="AL168" s="165">
        <v>70.416666666666728</v>
      </c>
      <c r="AM168" s="181">
        <f t="shared" si="46"/>
        <v>19</v>
      </c>
      <c r="AN168" s="430"/>
      <c r="AO168" s="165">
        <v>18</v>
      </c>
      <c r="AP168" s="165">
        <v>1272.6315789473695</v>
      </c>
      <c r="AQ168" s="165">
        <v>70.701754385964975</v>
      </c>
      <c r="AR168" s="181">
        <f t="shared" si="47"/>
        <v>17</v>
      </c>
      <c r="AS168" s="430"/>
      <c r="AT168" s="165">
        <v>18</v>
      </c>
      <c r="AU168" s="165">
        <v>1290.967741935485</v>
      </c>
      <c r="AV168" s="165">
        <v>71.720430107526951</v>
      </c>
      <c r="AW168" s="181">
        <f t="shared" si="48"/>
        <v>16</v>
      </c>
      <c r="AX168" s="430"/>
    </row>
    <row r="169" spans="2:50">
      <c r="B169" s="400"/>
      <c r="C169" s="181">
        <v>23</v>
      </c>
      <c r="D169" s="196" t="s">
        <v>284</v>
      </c>
      <c r="E169" s="165">
        <v>18</v>
      </c>
      <c r="F169" s="181">
        <v>1500</v>
      </c>
      <c r="G169" s="179">
        <v>83.333333333333329</v>
      </c>
      <c r="H169" s="413"/>
      <c r="I169" s="165">
        <f t="shared" si="32"/>
        <v>18</v>
      </c>
      <c r="J169" s="165">
        <f t="shared" si="33"/>
        <v>1288.1108498018987</v>
      </c>
      <c r="K169" s="179">
        <f t="shared" si="34"/>
        <v>71.561713877883264</v>
      </c>
      <c r="L169" s="413"/>
      <c r="M169" s="165">
        <f>RANK(K169, K$147:$K$176)</f>
        <v>16</v>
      </c>
      <c r="N169" s="401"/>
      <c r="O169" s="401"/>
      <c r="P169" s="165">
        <v>18</v>
      </c>
      <c r="Q169" s="165">
        <v>1288.3870967741937</v>
      </c>
      <c r="R169" s="165">
        <v>71.577060931899652</v>
      </c>
      <c r="S169" s="181">
        <f t="shared" si="42"/>
        <v>16</v>
      </c>
      <c r="T169" s="430"/>
      <c r="U169" s="165">
        <v>18</v>
      </c>
      <c r="V169" s="165">
        <v>1272.9545454545455</v>
      </c>
      <c r="W169" s="165">
        <v>70.719696969696969</v>
      </c>
      <c r="X169" s="181">
        <f t="shared" si="43"/>
        <v>17</v>
      </c>
      <c r="Y169" s="430"/>
      <c r="Z169" s="165">
        <v>18</v>
      </c>
      <c r="AA169" s="165">
        <v>1294.6987951807225</v>
      </c>
      <c r="AB169" s="165">
        <v>71.927710843373475</v>
      </c>
      <c r="AC169" s="181">
        <f t="shared" si="44"/>
        <v>16</v>
      </c>
      <c r="AD169" s="430"/>
      <c r="AE169" s="165">
        <v>18</v>
      </c>
      <c r="AF169" s="165">
        <v>1305.365853658536</v>
      </c>
      <c r="AG169" s="165">
        <v>72.520325203252</v>
      </c>
      <c r="AH169" s="181">
        <f t="shared" si="45"/>
        <v>15</v>
      </c>
      <c r="AI169" s="430"/>
      <c r="AJ169" s="165">
        <v>18</v>
      </c>
      <c r="AK169" s="165">
        <v>1318.6363636363635</v>
      </c>
      <c r="AL169" s="165">
        <v>73.257575757575751</v>
      </c>
      <c r="AM169" s="181">
        <f t="shared" si="46"/>
        <v>15</v>
      </c>
      <c r="AN169" s="430"/>
      <c r="AO169" s="165">
        <v>18</v>
      </c>
      <c r="AP169" s="165">
        <v>1284.9438202247193</v>
      </c>
      <c r="AQ169" s="165">
        <v>71.385767790262179</v>
      </c>
      <c r="AR169" s="181">
        <f t="shared" si="47"/>
        <v>16</v>
      </c>
      <c r="AS169" s="430"/>
      <c r="AT169" s="165">
        <v>18</v>
      </c>
      <c r="AU169" s="165">
        <v>1251.7894736842106</v>
      </c>
      <c r="AV169" s="165">
        <v>69.543859649122808</v>
      </c>
      <c r="AW169" s="181">
        <f t="shared" si="48"/>
        <v>19</v>
      </c>
      <c r="AX169" s="430"/>
    </row>
    <row r="170" spans="2:50">
      <c r="B170" s="400"/>
      <c r="C170" s="181">
        <v>24</v>
      </c>
      <c r="D170" s="196" t="s">
        <v>285</v>
      </c>
      <c r="E170" s="165">
        <v>18</v>
      </c>
      <c r="F170" s="181">
        <v>1636</v>
      </c>
      <c r="G170" s="179">
        <v>90.888888888888886</v>
      </c>
      <c r="H170" s="413"/>
      <c r="I170" s="165">
        <f t="shared" si="32"/>
        <v>17</v>
      </c>
      <c r="J170" s="165">
        <f t="shared" si="33"/>
        <v>1269.3106559983864</v>
      </c>
      <c r="K170" s="179">
        <f t="shared" si="34"/>
        <v>74.665332705787449</v>
      </c>
      <c r="L170" s="413"/>
      <c r="M170" s="165">
        <f>RANK(K170, K$147:$K$176)</f>
        <v>13</v>
      </c>
      <c r="N170" s="401"/>
      <c r="O170" s="401"/>
      <c r="P170" s="181">
        <v>17</v>
      </c>
      <c r="Q170" s="179">
        <v>1266.4615384615399</v>
      </c>
      <c r="R170" s="179">
        <v>74.497737556561177</v>
      </c>
      <c r="S170" s="181">
        <f t="shared" si="42"/>
        <v>13</v>
      </c>
      <c r="T170" s="430"/>
      <c r="U170" s="181">
        <v>17</v>
      </c>
      <c r="V170" s="179">
        <v>1251.3043478260856</v>
      </c>
      <c r="W170" s="179">
        <v>73.606138107416797</v>
      </c>
      <c r="X170" s="181">
        <f t="shared" si="43"/>
        <v>13</v>
      </c>
      <c r="Y170" s="430"/>
      <c r="Z170" s="181">
        <v>17</v>
      </c>
      <c r="AA170" s="179">
        <v>1301.2500000000005</v>
      </c>
      <c r="AB170" s="179">
        <v>76.544117647058854</v>
      </c>
      <c r="AC170" s="181">
        <f t="shared" si="44"/>
        <v>10</v>
      </c>
      <c r="AD170" s="430"/>
      <c r="AE170" s="181">
        <v>17</v>
      </c>
      <c r="AF170" s="179">
        <v>1245.0000000000007</v>
      </c>
      <c r="AG170" s="179">
        <v>73.235294117647101</v>
      </c>
      <c r="AH170" s="181">
        <f t="shared" si="45"/>
        <v>13</v>
      </c>
      <c r="AI170" s="430"/>
      <c r="AJ170" s="181">
        <v>17</v>
      </c>
      <c r="AK170" s="179">
        <v>1285.0909090909099</v>
      </c>
      <c r="AL170" s="179">
        <v>75.593582887700578</v>
      </c>
      <c r="AM170" s="181">
        <f t="shared" si="46"/>
        <v>11</v>
      </c>
      <c r="AN170" s="430"/>
      <c r="AO170" s="181">
        <v>17</v>
      </c>
      <c r="AP170" s="179">
        <v>1264.0677966101705</v>
      </c>
      <c r="AQ170" s="179">
        <v>74.356929212362971</v>
      </c>
      <c r="AR170" s="181">
        <f t="shared" si="47"/>
        <v>12</v>
      </c>
      <c r="AS170" s="430"/>
      <c r="AT170" s="181">
        <v>17</v>
      </c>
      <c r="AU170" s="179">
        <v>1271.9999999999986</v>
      </c>
      <c r="AV170" s="179">
        <v>74.823529411764625</v>
      </c>
      <c r="AW170" s="181">
        <f t="shared" si="48"/>
        <v>12</v>
      </c>
      <c r="AX170" s="430"/>
    </row>
    <row r="171" spans="2:50">
      <c r="B171" s="400"/>
      <c r="C171" s="181">
        <v>25</v>
      </c>
      <c r="D171" s="196"/>
      <c r="E171" s="165"/>
      <c r="F171" s="181"/>
      <c r="G171" s="179"/>
      <c r="H171" s="413"/>
      <c r="I171" s="165"/>
      <c r="J171" s="165"/>
      <c r="K171" s="179"/>
      <c r="L171" s="413"/>
      <c r="M171" s="165" t="e">
        <f>RANK(K171, K$147:$K$176)</f>
        <v>#N/A</v>
      </c>
      <c r="N171" s="401"/>
      <c r="O171" s="401"/>
      <c r="P171" s="181"/>
      <c r="Q171" s="179"/>
      <c r="R171" s="179"/>
      <c r="S171" s="181" t="e">
        <f t="shared" si="42"/>
        <v>#N/A</v>
      </c>
      <c r="T171" s="430"/>
      <c r="U171" s="181"/>
      <c r="V171" s="179"/>
      <c r="W171" s="179"/>
      <c r="X171" s="181" t="e">
        <f t="shared" si="43"/>
        <v>#N/A</v>
      </c>
      <c r="Y171" s="430"/>
      <c r="Z171" s="181"/>
      <c r="AA171" s="179"/>
      <c r="AB171" s="179"/>
      <c r="AC171" s="181" t="e">
        <f t="shared" si="44"/>
        <v>#N/A</v>
      </c>
      <c r="AD171" s="430"/>
      <c r="AE171" s="181"/>
      <c r="AF171" s="179"/>
      <c r="AG171" s="179"/>
      <c r="AH171" s="181" t="e">
        <f t="shared" si="45"/>
        <v>#N/A</v>
      </c>
      <c r="AI171" s="430"/>
      <c r="AJ171" s="181"/>
      <c r="AK171" s="179"/>
      <c r="AL171" s="179"/>
      <c r="AM171" s="181" t="e">
        <f t="shared" si="46"/>
        <v>#N/A</v>
      </c>
      <c r="AN171" s="430"/>
      <c r="AO171" s="181"/>
      <c r="AP171" s="179"/>
      <c r="AQ171" s="179"/>
      <c r="AR171" s="181" t="e">
        <f t="shared" si="47"/>
        <v>#N/A</v>
      </c>
      <c r="AS171" s="430"/>
      <c r="AT171" s="181"/>
      <c r="AU171" s="179"/>
      <c r="AV171" s="179"/>
      <c r="AW171" s="181" t="e">
        <f t="shared" si="48"/>
        <v>#N/A</v>
      </c>
      <c r="AX171" s="430"/>
    </row>
    <row r="172" spans="2:50">
      <c r="B172" s="400"/>
      <c r="C172" s="181">
        <v>26</v>
      </c>
      <c r="D172" s="196"/>
      <c r="E172" s="165"/>
      <c r="F172" s="181"/>
      <c r="G172" s="179"/>
      <c r="H172" s="413"/>
      <c r="I172" s="165"/>
      <c r="J172" s="165"/>
      <c r="K172" s="179"/>
      <c r="L172" s="413"/>
      <c r="M172" s="165" t="e">
        <f>RANK(K172, K$147:$K$176)</f>
        <v>#N/A</v>
      </c>
      <c r="N172" s="401"/>
      <c r="O172" s="401"/>
      <c r="P172" s="181"/>
      <c r="Q172" s="179"/>
      <c r="R172" s="179"/>
      <c r="S172" s="181" t="e">
        <f t="shared" si="42"/>
        <v>#N/A</v>
      </c>
      <c r="T172" s="430"/>
      <c r="U172" s="181"/>
      <c r="V172" s="179"/>
      <c r="W172" s="179"/>
      <c r="X172" s="181" t="e">
        <f t="shared" si="43"/>
        <v>#N/A</v>
      </c>
      <c r="Y172" s="430"/>
      <c r="Z172" s="181"/>
      <c r="AA172" s="179"/>
      <c r="AB172" s="179"/>
      <c r="AC172" s="181" t="e">
        <f t="shared" si="44"/>
        <v>#N/A</v>
      </c>
      <c r="AD172" s="430"/>
      <c r="AE172" s="181"/>
      <c r="AF172" s="179"/>
      <c r="AG172" s="179"/>
      <c r="AH172" s="181" t="e">
        <f t="shared" si="45"/>
        <v>#N/A</v>
      </c>
      <c r="AI172" s="430"/>
      <c r="AJ172" s="181"/>
      <c r="AK172" s="179"/>
      <c r="AL172" s="179"/>
      <c r="AM172" s="181" t="e">
        <f t="shared" si="46"/>
        <v>#N/A</v>
      </c>
      <c r="AN172" s="430"/>
      <c r="AO172" s="181"/>
      <c r="AP172" s="179"/>
      <c r="AQ172" s="179"/>
      <c r="AR172" s="181" t="e">
        <f t="shared" si="47"/>
        <v>#N/A</v>
      </c>
      <c r="AS172" s="430"/>
      <c r="AT172" s="181"/>
      <c r="AU172" s="179"/>
      <c r="AV172" s="179"/>
      <c r="AW172" s="181" t="e">
        <f t="shared" si="48"/>
        <v>#N/A</v>
      </c>
      <c r="AX172" s="430"/>
    </row>
    <row r="173" spans="2:50">
      <c r="B173" s="400"/>
      <c r="C173" s="181">
        <v>27</v>
      </c>
      <c r="D173" s="196"/>
      <c r="E173" s="165"/>
      <c r="F173" s="181"/>
      <c r="G173" s="179"/>
      <c r="H173" s="413"/>
      <c r="I173" s="165"/>
      <c r="J173" s="165"/>
      <c r="K173" s="179"/>
      <c r="L173" s="413"/>
      <c r="M173" s="165" t="e">
        <f>RANK(K173, K$147:$K$176)</f>
        <v>#N/A</v>
      </c>
      <c r="N173" s="401"/>
      <c r="O173" s="401"/>
      <c r="P173" s="181"/>
      <c r="Q173" s="179"/>
      <c r="R173" s="179"/>
      <c r="S173" s="181" t="e">
        <f t="shared" si="42"/>
        <v>#N/A</v>
      </c>
      <c r="T173" s="430"/>
      <c r="U173" s="181"/>
      <c r="V173" s="179"/>
      <c r="W173" s="179"/>
      <c r="X173" s="181" t="e">
        <f t="shared" si="43"/>
        <v>#N/A</v>
      </c>
      <c r="Y173" s="430"/>
      <c r="Z173" s="181"/>
      <c r="AA173" s="179"/>
      <c r="AB173" s="179"/>
      <c r="AC173" s="181" t="e">
        <f t="shared" si="44"/>
        <v>#N/A</v>
      </c>
      <c r="AD173" s="430"/>
      <c r="AE173" s="181"/>
      <c r="AF173" s="179"/>
      <c r="AG173" s="179"/>
      <c r="AH173" s="181" t="e">
        <f t="shared" si="45"/>
        <v>#N/A</v>
      </c>
      <c r="AI173" s="430"/>
      <c r="AJ173" s="181"/>
      <c r="AK173" s="179"/>
      <c r="AL173" s="179"/>
      <c r="AM173" s="181" t="e">
        <f t="shared" si="46"/>
        <v>#N/A</v>
      </c>
      <c r="AN173" s="430"/>
      <c r="AO173" s="181"/>
      <c r="AP173" s="179"/>
      <c r="AQ173" s="179"/>
      <c r="AR173" s="181" t="e">
        <f t="shared" si="47"/>
        <v>#N/A</v>
      </c>
      <c r="AS173" s="430"/>
      <c r="AT173" s="181"/>
      <c r="AU173" s="179"/>
      <c r="AV173" s="179"/>
      <c r="AW173" s="181" t="e">
        <f t="shared" si="48"/>
        <v>#N/A</v>
      </c>
      <c r="AX173" s="430"/>
    </row>
    <row r="174" spans="2:50">
      <c r="B174" s="400"/>
      <c r="C174" s="181">
        <v>28</v>
      </c>
      <c r="D174" s="196"/>
      <c r="E174" s="165"/>
      <c r="F174" s="181"/>
      <c r="G174" s="179"/>
      <c r="H174" s="413"/>
      <c r="I174" s="165"/>
      <c r="J174" s="165"/>
      <c r="K174" s="179"/>
      <c r="L174" s="413"/>
      <c r="M174" s="165" t="e">
        <f>RANK(K174, K$147:$K$176)</f>
        <v>#N/A</v>
      </c>
      <c r="N174" s="401"/>
      <c r="O174" s="401"/>
      <c r="P174" s="181"/>
      <c r="Q174" s="179"/>
      <c r="R174" s="179"/>
      <c r="S174" s="181" t="e">
        <f t="shared" si="42"/>
        <v>#N/A</v>
      </c>
      <c r="T174" s="430"/>
      <c r="U174" s="181"/>
      <c r="V174" s="179"/>
      <c r="W174" s="179"/>
      <c r="X174" s="181" t="e">
        <f t="shared" si="43"/>
        <v>#N/A</v>
      </c>
      <c r="Y174" s="430"/>
      <c r="Z174" s="181"/>
      <c r="AA174" s="179"/>
      <c r="AB174" s="179"/>
      <c r="AC174" s="181" t="e">
        <f t="shared" si="44"/>
        <v>#N/A</v>
      </c>
      <c r="AD174" s="430"/>
      <c r="AE174" s="181"/>
      <c r="AF174" s="179"/>
      <c r="AG174" s="179"/>
      <c r="AH174" s="181" t="e">
        <f t="shared" si="45"/>
        <v>#N/A</v>
      </c>
      <c r="AI174" s="430"/>
      <c r="AJ174" s="181"/>
      <c r="AK174" s="179"/>
      <c r="AL174" s="179"/>
      <c r="AM174" s="181" t="e">
        <f t="shared" si="46"/>
        <v>#N/A</v>
      </c>
      <c r="AN174" s="430"/>
      <c r="AO174" s="181"/>
      <c r="AP174" s="181"/>
      <c r="AQ174" s="181"/>
      <c r="AR174" s="181" t="e">
        <f t="shared" si="47"/>
        <v>#N/A</v>
      </c>
      <c r="AS174" s="430"/>
      <c r="AT174" s="181"/>
      <c r="AU174" s="179"/>
      <c r="AV174" s="179"/>
      <c r="AW174" s="181" t="e">
        <f t="shared" si="48"/>
        <v>#N/A</v>
      </c>
      <c r="AX174" s="430"/>
    </row>
    <row r="175" spans="2:50">
      <c r="B175" s="400"/>
      <c r="C175" s="181">
        <v>29</v>
      </c>
      <c r="D175" s="196"/>
      <c r="E175" s="165"/>
      <c r="F175" s="181"/>
      <c r="G175" s="179"/>
      <c r="H175" s="413"/>
      <c r="I175" s="181"/>
      <c r="J175" s="181"/>
      <c r="K175" s="181"/>
      <c r="L175" s="413"/>
      <c r="M175" s="165" t="e">
        <f>RANK(K175, K$147:$K$176)</f>
        <v>#N/A</v>
      </c>
      <c r="N175" s="401"/>
      <c r="O175" s="401"/>
      <c r="P175" s="181"/>
      <c r="Q175" s="181"/>
      <c r="R175" s="181"/>
      <c r="S175" s="181" t="e">
        <f t="shared" si="42"/>
        <v>#N/A</v>
      </c>
      <c r="T175" s="430"/>
      <c r="U175" s="181"/>
      <c r="V175" s="181"/>
      <c r="W175" s="181"/>
      <c r="X175" s="181" t="e">
        <f t="shared" si="43"/>
        <v>#N/A</v>
      </c>
      <c r="Y175" s="430"/>
      <c r="Z175" s="181"/>
      <c r="AA175" s="181"/>
      <c r="AB175" s="181"/>
      <c r="AC175" s="181" t="e">
        <f t="shared" si="44"/>
        <v>#N/A</v>
      </c>
      <c r="AD175" s="430"/>
      <c r="AE175" s="181"/>
      <c r="AF175" s="181"/>
      <c r="AG175" s="181"/>
      <c r="AH175" s="181" t="e">
        <f t="shared" si="45"/>
        <v>#N/A</v>
      </c>
      <c r="AI175" s="430"/>
      <c r="AJ175" s="181"/>
      <c r="AK175" s="181"/>
      <c r="AL175" s="181"/>
      <c r="AM175" s="181" t="e">
        <f t="shared" si="46"/>
        <v>#N/A</v>
      </c>
      <c r="AN175" s="430"/>
      <c r="AO175" s="181"/>
      <c r="AP175" s="181"/>
      <c r="AQ175" s="181"/>
      <c r="AR175" s="181" t="e">
        <f t="shared" si="47"/>
        <v>#N/A</v>
      </c>
      <c r="AS175" s="430"/>
      <c r="AT175" s="181"/>
      <c r="AU175" s="181"/>
      <c r="AV175" s="181"/>
      <c r="AW175" s="181" t="e">
        <f t="shared" si="48"/>
        <v>#N/A</v>
      </c>
      <c r="AX175" s="430"/>
    </row>
    <row r="176" spans="2:50">
      <c r="B176" s="400"/>
      <c r="C176" s="181">
        <v>30</v>
      </c>
      <c r="D176" s="196"/>
      <c r="E176" s="165"/>
      <c r="F176" s="181"/>
      <c r="G176" s="179"/>
      <c r="H176" s="414"/>
      <c r="I176" s="181"/>
      <c r="J176" s="181"/>
      <c r="K176" s="181"/>
      <c r="L176" s="414"/>
      <c r="M176" s="165" t="e">
        <f>RANK(K176, K$147:$K$176)</f>
        <v>#N/A</v>
      </c>
      <c r="N176" s="401"/>
      <c r="O176" s="401"/>
      <c r="P176" s="181"/>
      <c r="Q176" s="181"/>
      <c r="R176" s="181"/>
      <c r="S176" s="181" t="e">
        <f t="shared" si="35"/>
        <v>#N/A</v>
      </c>
      <c r="T176" s="430"/>
      <c r="U176" s="181"/>
      <c r="V176" s="181"/>
      <c r="W176" s="181"/>
      <c r="X176" s="181" t="e">
        <f t="shared" si="36"/>
        <v>#N/A</v>
      </c>
      <c r="Y176" s="430"/>
      <c r="Z176" s="181"/>
      <c r="AA176" s="181"/>
      <c r="AB176" s="181"/>
      <c r="AC176" s="181" t="e">
        <f t="shared" si="37"/>
        <v>#N/A</v>
      </c>
      <c r="AD176" s="430"/>
      <c r="AE176" s="181"/>
      <c r="AF176" s="181"/>
      <c r="AG176" s="181"/>
      <c r="AH176" s="181" t="e">
        <f t="shared" si="38"/>
        <v>#N/A</v>
      </c>
      <c r="AI176" s="430"/>
      <c r="AJ176" s="181"/>
      <c r="AK176" s="181"/>
      <c r="AL176" s="181"/>
      <c r="AM176" s="181" t="e">
        <f t="shared" si="39"/>
        <v>#N/A</v>
      </c>
      <c r="AN176" s="430"/>
      <c r="AO176" s="181"/>
      <c r="AP176" s="181"/>
      <c r="AQ176" s="181"/>
      <c r="AR176" s="181" t="e">
        <f t="shared" si="40"/>
        <v>#N/A</v>
      </c>
      <c r="AS176" s="430"/>
      <c r="AT176" s="181"/>
      <c r="AU176" s="181"/>
      <c r="AV176" s="181"/>
      <c r="AW176" s="181" t="e">
        <f t="shared" si="41"/>
        <v>#N/A</v>
      </c>
      <c r="AX176" s="430"/>
    </row>
    <row r="177" spans="2:39" ht="15.75">
      <c r="B177" s="394" t="s">
        <v>187</v>
      </c>
      <c r="C177" s="395"/>
      <c r="D177" s="395"/>
      <c r="E177" s="395"/>
      <c r="F177" s="395"/>
      <c r="G177" s="395"/>
      <c r="H177" s="395"/>
      <c r="I177" s="185"/>
      <c r="J177" s="185"/>
      <c r="K177" s="185"/>
      <c r="L177" s="185"/>
      <c r="M177" s="184"/>
      <c r="N177" s="397" t="s">
        <v>188</v>
      </c>
      <c r="O177" s="397" t="s">
        <v>135</v>
      </c>
      <c r="P177" s="399">
        <f>P142+7</f>
        <v>45930</v>
      </c>
      <c r="Q177" s="400"/>
      <c r="R177" s="400"/>
      <c r="S177" s="400"/>
      <c r="T177" s="400"/>
      <c r="X177" s="103"/>
      <c r="AC177" s="103"/>
      <c r="AH177" s="103"/>
      <c r="AM177" s="103"/>
    </row>
    <row r="178" spans="2:39" ht="15.75">
      <c r="B178" s="396"/>
      <c r="C178" s="396"/>
      <c r="D178" s="396"/>
      <c r="E178" s="396"/>
      <c r="F178" s="396"/>
      <c r="G178" s="396"/>
      <c r="H178" s="396"/>
      <c r="I178" s="183"/>
      <c r="J178" s="183"/>
      <c r="K178" s="183"/>
      <c r="L178" s="183"/>
      <c r="M178" s="178"/>
      <c r="N178" s="398"/>
      <c r="O178" s="398"/>
      <c r="P178" s="399" t="s">
        <v>223</v>
      </c>
      <c r="Q178" s="400"/>
      <c r="R178" s="400"/>
      <c r="S178" s="400"/>
      <c r="T178" s="400"/>
      <c r="X178" s="103"/>
      <c r="AC178" s="103"/>
      <c r="AH178" s="103"/>
      <c r="AM178" s="103"/>
    </row>
    <row r="179" spans="2:39">
      <c r="B179" s="401" t="s">
        <v>190</v>
      </c>
      <c r="C179" s="401" t="s">
        <v>191</v>
      </c>
      <c r="D179" s="401"/>
      <c r="E179" s="401" t="s">
        <v>192</v>
      </c>
      <c r="F179" s="401"/>
      <c r="G179" s="401"/>
      <c r="H179" s="402" t="s">
        <v>193</v>
      </c>
      <c r="I179" s="401" t="s">
        <v>194</v>
      </c>
      <c r="J179" s="401"/>
      <c r="K179" s="401"/>
      <c r="L179" s="402" t="s">
        <v>193</v>
      </c>
      <c r="M179" s="397" t="s">
        <v>195</v>
      </c>
      <c r="N179" s="401"/>
      <c r="O179" s="401" t="s">
        <v>196</v>
      </c>
      <c r="P179" s="406" t="s">
        <v>197</v>
      </c>
      <c r="Q179" s="407"/>
      <c r="R179" s="407"/>
      <c r="S179" s="408"/>
      <c r="T179" s="401" t="s">
        <v>193</v>
      </c>
      <c r="X179" s="103"/>
      <c r="AC179" s="103"/>
      <c r="AH179" s="103"/>
      <c r="AM179" s="103"/>
    </row>
    <row r="180" spans="2:39">
      <c r="B180" s="401"/>
      <c r="C180" s="401"/>
      <c r="D180" s="401"/>
      <c r="E180" s="401" t="s">
        <v>198</v>
      </c>
      <c r="F180" s="401"/>
      <c r="G180" s="401"/>
      <c r="H180" s="403"/>
      <c r="I180" s="401" t="s">
        <v>198</v>
      </c>
      <c r="J180" s="401"/>
      <c r="K180" s="401"/>
      <c r="L180" s="403"/>
      <c r="M180" s="405"/>
      <c r="N180" s="401"/>
      <c r="O180" s="401"/>
      <c r="P180" s="406" t="s">
        <v>199</v>
      </c>
      <c r="Q180" s="407"/>
      <c r="R180" s="407"/>
      <c r="S180" s="408"/>
      <c r="T180" s="401"/>
      <c r="X180" s="103"/>
      <c r="AC180" s="103"/>
      <c r="AH180" s="103"/>
      <c r="AM180" s="103"/>
    </row>
    <row r="181" spans="2:39">
      <c r="B181" s="401"/>
      <c r="C181" s="401"/>
      <c r="D181" s="401"/>
      <c r="E181" s="234" t="s">
        <v>200</v>
      </c>
      <c r="F181" s="234" t="s">
        <v>201</v>
      </c>
      <c r="G181" s="234" t="s">
        <v>202</v>
      </c>
      <c r="H181" s="404"/>
      <c r="I181" s="234" t="s">
        <v>200</v>
      </c>
      <c r="J181" s="234" t="s">
        <v>201</v>
      </c>
      <c r="K181" s="234" t="s">
        <v>202</v>
      </c>
      <c r="L181" s="404"/>
      <c r="M181" s="398"/>
      <c r="N181" s="401"/>
      <c r="O181" s="401"/>
      <c r="P181" s="234" t="s">
        <v>200</v>
      </c>
      <c r="Q181" s="234" t="s">
        <v>201</v>
      </c>
      <c r="R181" s="234" t="s">
        <v>202</v>
      </c>
      <c r="S181" s="234" t="s">
        <v>195</v>
      </c>
      <c r="T181" s="401"/>
      <c r="X181" s="103"/>
      <c r="AC181" s="103"/>
      <c r="AH181" s="103"/>
      <c r="AM181" s="103"/>
    </row>
    <row r="182" spans="2:39">
      <c r="B182" s="401" t="s">
        <v>172</v>
      </c>
      <c r="C182" s="181">
        <v>1</v>
      </c>
      <c r="D182" s="196" t="s">
        <v>262</v>
      </c>
      <c r="E182" s="165">
        <v>6</v>
      </c>
      <c r="F182" s="181">
        <v>1500</v>
      </c>
      <c r="G182" s="179">
        <v>250</v>
      </c>
      <c r="H182" s="412">
        <f>AVERAGE(G182:G211)</f>
        <v>96.860767523383629</v>
      </c>
      <c r="I182" s="165">
        <f>AVERAGE(P182,U182,Z182,AE182,AJ182,AO182,AT182)</f>
        <v>6</v>
      </c>
      <c r="J182" s="165">
        <f>AVERAGE(Q182,V182,AA182,AF182,AK182,AP182,AU182)</f>
        <v>1481.5804511278195</v>
      </c>
      <c r="K182" s="179">
        <f>AVERAGE(R182,W182,AB182,AG182,AL182,AQ182,AV182)</f>
        <v>246.93007518796992</v>
      </c>
      <c r="L182" s="412">
        <f>IFERROR(AVERAGE(K182:K211),"-")</f>
        <v>86.567812842383191</v>
      </c>
      <c r="M182" s="180" t="e">
        <f>RANK(K182, K$147:$K$176)</f>
        <v>#N/A</v>
      </c>
      <c r="N182" s="401"/>
      <c r="O182" s="401"/>
      <c r="P182" s="165">
        <v>6</v>
      </c>
      <c r="Q182" s="165">
        <v>1481.5804511278195</v>
      </c>
      <c r="R182" s="165">
        <v>246.93007518796992</v>
      </c>
      <c r="S182" s="181" t="e">
        <f>RANK(R182, R$147:R$176)</f>
        <v>#N/A</v>
      </c>
      <c r="T182" s="430">
        <f>AVERAGE(R182:R211)</f>
        <v>86.567812842383191</v>
      </c>
      <c r="X182" s="103"/>
      <c r="AC182" s="103"/>
      <c r="AH182" s="103"/>
      <c r="AM182" s="103"/>
    </row>
    <row r="183" spans="2:39">
      <c r="B183" s="400"/>
      <c r="C183" s="181">
        <v>2</v>
      </c>
      <c r="D183" s="196" t="s">
        <v>263</v>
      </c>
      <c r="E183" s="165">
        <v>7</v>
      </c>
      <c r="F183" s="181">
        <v>1500</v>
      </c>
      <c r="G183" s="179">
        <v>214.28571428571428</v>
      </c>
      <c r="H183" s="413"/>
      <c r="I183" s="165">
        <f t="shared" ref="I183:I205" si="49">AVERAGE(P183,U183,Z183,AE183,AJ183,AO183,AT183)</f>
        <v>7</v>
      </c>
      <c r="J183" s="165">
        <f t="shared" ref="J183:J205" si="50">AVERAGE(Q183,V183,AA183,AF183,AK183,AP183,AU183)</f>
        <v>1454.9999999999998</v>
      </c>
      <c r="K183" s="179">
        <f t="shared" ref="K183:K205" si="51">AVERAGE(R183,W183,AB183,AG183,AL183,AQ183,AV183)</f>
        <v>207.85714285714283</v>
      </c>
      <c r="L183" s="413"/>
      <c r="M183" s="180" t="e">
        <f>RANK(K183, K$147:$K$176)</f>
        <v>#N/A</v>
      </c>
      <c r="N183" s="401"/>
      <c r="O183" s="401"/>
      <c r="P183" s="165">
        <v>7</v>
      </c>
      <c r="Q183" s="165">
        <v>1454.9999999999998</v>
      </c>
      <c r="R183" s="165">
        <v>207.85714285714283</v>
      </c>
      <c r="S183" s="181" t="e">
        <f t="shared" ref="S183:S211" si="52">RANK(R183, R$147:R$176)</f>
        <v>#N/A</v>
      </c>
      <c r="T183" s="430"/>
      <c r="X183" s="103"/>
      <c r="AC183" s="103"/>
      <c r="AH183" s="103"/>
      <c r="AM183" s="103"/>
    </row>
    <row r="184" spans="2:39">
      <c r="B184" s="400"/>
      <c r="C184" s="181">
        <v>3</v>
      </c>
      <c r="D184" s="196" t="s">
        <v>264</v>
      </c>
      <c r="E184" s="165">
        <v>18</v>
      </c>
      <c r="F184" s="181">
        <v>1500</v>
      </c>
      <c r="G184" s="179">
        <v>83.333333333333329</v>
      </c>
      <c r="H184" s="413"/>
      <c r="I184" s="165">
        <f t="shared" si="49"/>
        <v>18</v>
      </c>
      <c r="J184" s="165">
        <f t="shared" si="50"/>
        <v>1316.8750000000002</v>
      </c>
      <c r="K184" s="179">
        <f t="shared" si="51"/>
        <v>73.159722222222229</v>
      </c>
      <c r="L184" s="413"/>
      <c r="M184" s="180" t="e">
        <f>RANK(K184, K$147:$K$176)</f>
        <v>#N/A</v>
      </c>
      <c r="N184" s="401"/>
      <c r="O184" s="401"/>
      <c r="P184" s="165">
        <v>18</v>
      </c>
      <c r="Q184" s="165">
        <v>1316.8750000000002</v>
      </c>
      <c r="R184" s="165">
        <v>73.159722222222229</v>
      </c>
      <c r="S184" s="181" t="e">
        <f t="shared" si="52"/>
        <v>#N/A</v>
      </c>
      <c r="T184" s="430"/>
      <c r="X184" s="103"/>
      <c r="AC184" s="103"/>
      <c r="AH184" s="103"/>
      <c r="AM184" s="103"/>
    </row>
    <row r="185" spans="2:39">
      <c r="B185" s="400"/>
      <c r="C185" s="181">
        <v>4</v>
      </c>
      <c r="D185" s="196" t="s">
        <v>265</v>
      </c>
      <c r="E185" s="165">
        <v>21</v>
      </c>
      <c r="F185" s="181">
        <v>1500</v>
      </c>
      <c r="G185" s="179">
        <v>71.428571428571431</v>
      </c>
      <c r="H185" s="413"/>
      <c r="I185" s="165">
        <f t="shared" si="49"/>
        <v>20</v>
      </c>
      <c r="J185" s="165">
        <f t="shared" si="50"/>
        <v>1282.0000000000014</v>
      </c>
      <c r="K185" s="179">
        <f t="shared" si="51"/>
        <v>64.100000000000065</v>
      </c>
      <c r="L185" s="413"/>
      <c r="M185" s="180" t="e">
        <f>RANK(K185, K$147:$K$176)</f>
        <v>#N/A</v>
      </c>
      <c r="N185" s="401"/>
      <c r="O185" s="401"/>
      <c r="P185" s="165">
        <v>20</v>
      </c>
      <c r="Q185" s="165">
        <v>1282.0000000000014</v>
      </c>
      <c r="R185" s="165">
        <v>64.100000000000065</v>
      </c>
      <c r="S185" s="181" t="e">
        <f t="shared" si="52"/>
        <v>#N/A</v>
      </c>
      <c r="T185" s="430"/>
      <c r="X185" s="103"/>
      <c r="AC185" s="103"/>
      <c r="AH185" s="103"/>
      <c r="AM185" s="103"/>
    </row>
    <row r="186" spans="2:39">
      <c r="B186" s="400"/>
      <c r="C186" s="181">
        <v>5</v>
      </c>
      <c r="D186" s="196" t="s">
        <v>266</v>
      </c>
      <c r="E186" s="165">
        <v>19</v>
      </c>
      <c r="F186" s="181">
        <v>1500</v>
      </c>
      <c r="G186" s="179">
        <v>78.94736842105263</v>
      </c>
      <c r="H186" s="413"/>
      <c r="I186" s="165">
        <f t="shared" si="49"/>
        <v>19</v>
      </c>
      <c r="J186" s="165">
        <f t="shared" si="50"/>
        <v>1298.823529411763</v>
      </c>
      <c r="K186" s="179">
        <f t="shared" si="51"/>
        <v>68.359133126934893</v>
      </c>
      <c r="L186" s="413"/>
      <c r="M186" s="180" t="e">
        <f>RANK(K186, K$147:$K$176)</f>
        <v>#N/A</v>
      </c>
      <c r="N186" s="401"/>
      <c r="O186" s="401"/>
      <c r="P186" s="165">
        <v>19</v>
      </c>
      <c r="Q186" s="165">
        <v>1298.823529411763</v>
      </c>
      <c r="R186" s="165">
        <v>68.359133126934893</v>
      </c>
      <c r="S186" s="181" t="e">
        <f t="shared" si="52"/>
        <v>#N/A</v>
      </c>
      <c r="T186" s="430"/>
      <c r="X186" s="103"/>
      <c r="AC186" s="103"/>
      <c r="AH186" s="103"/>
      <c r="AM186" s="103"/>
    </row>
    <row r="187" spans="2:39">
      <c r="B187" s="400"/>
      <c r="C187" s="181">
        <v>6</v>
      </c>
      <c r="D187" s="196" t="s">
        <v>267</v>
      </c>
      <c r="E187" s="165">
        <v>17</v>
      </c>
      <c r="F187" s="181">
        <v>1500</v>
      </c>
      <c r="G187" s="179">
        <v>88.235294117647058</v>
      </c>
      <c r="H187" s="413"/>
      <c r="I187" s="165">
        <f t="shared" si="49"/>
        <v>17</v>
      </c>
      <c r="J187" s="165">
        <f t="shared" si="50"/>
        <v>1335.0000000000011</v>
      </c>
      <c r="K187" s="179">
        <f t="shared" si="51"/>
        <v>78.529411764705955</v>
      </c>
      <c r="L187" s="413"/>
      <c r="M187" s="180" t="e">
        <f>RANK(K187, K$147:$K$176)</f>
        <v>#N/A</v>
      </c>
      <c r="N187" s="401"/>
      <c r="O187" s="401"/>
      <c r="P187" s="165">
        <v>17</v>
      </c>
      <c r="Q187" s="165">
        <v>1335.0000000000011</v>
      </c>
      <c r="R187" s="165">
        <v>78.529411764705955</v>
      </c>
      <c r="S187" s="181" t="e">
        <f t="shared" si="52"/>
        <v>#N/A</v>
      </c>
      <c r="T187" s="430"/>
      <c r="X187" s="103"/>
      <c r="AC187" s="103"/>
      <c r="AH187" s="103"/>
      <c r="AM187" s="103"/>
    </row>
    <row r="188" spans="2:39">
      <c r="B188" s="400"/>
      <c r="C188" s="181">
        <v>7</v>
      </c>
      <c r="D188" s="196" t="s">
        <v>268</v>
      </c>
      <c r="E188" s="165">
        <v>17</v>
      </c>
      <c r="F188" s="181">
        <v>1565</v>
      </c>
      <c r="G188" s="179">
        <v>92.058823529411768</v>
      </c>
      <c r="H188" s="413"/>
      <c r="I188" s="165">
        <f t="shared" si="49"/>
        <v>17</v>
      </c>
      <c r="J188" s="165">
        <f t="shared" si="50"/>
        <v>1408.2352941176468</v>
      </c>
      <c r="K188" s="179">
        <f t="shared" si="51"/>
        <v>82.837370242214519</v>
      </c>
      <c r="L188" s="413"/>
      <c r="M188" s="180" t="e">
        <f>RANK(K188, K$147:$K$176)</f>
        <v>#N/A</v>
      </c>
      <c r="N188" s="401"/>
      <c r="O188" s="401"/>
      <c r="P188" s="165">
        <v>17</v>
      </c>
      <c r="Q188" s="165">
        <v>1408.2352941176468</v>
      </c>
      <c r="R188" s="165">
        <v>82.837370242214519</v>
      </c>
      <c r="S188" s="181" t="e">
        <f t="shared" si="52"/>
        <v>#N/A</v>
      </c>
      <c r="T188" s="430"/>
      <c r="X188" s="103"/>
      <c r="AC188" s="103"/>
      <c r="AH188" s="103"/>
      <c r="AM188" s="103"/>
    </row>
    <row r="189" spans="2:39">
      <c r="B189" s="400"/>
      <c r="C189" s="181">
        <v>8</v>
      </c>
      <c r="D189" s="196" t="s">
        <v>269</v>
      </c>
      <c r="E189" s="165">
        <v>16</v>
      </c>
      <c r="F189" s="181">
        <v>1440</v>
      </c>
      <c r="G189" s="179">
        <v>90</v>
      </c>
      <c r="H189" s="413"/>
      <c r="I189" s="165">
        <f t="shared" si="49"/>
        <v>17</v>
      </c>
      <c r="J189" s="165">
        <f t="shared" si="50"/>
        <v>1304.9999999999995</v>
      </c>
      <c r="K189" s="179">
        <f t="shared" si="51"/>
        <v>76.764705882352914</v>
      </c>
      <c r="L189" s="413"/>
      <c r="M189" s="180" t="e">
        <f>RANK(K189, K$147:$K$176)</f>
        <v>#N/A</v>
      </c>
      <c r="N189" s="401"/>
      <c r="O189" s="401"/>
      <c r="P189" s="165">
        <v>17</v>
      </c>
      <c r="Q189" s="165">
        <v>1304.9999999999995</v>
      </c>
      <c r="R189" s="165">
        <v>76.764705882352914</v>
      </c>
      <c r="S189" s="181" t="e">
        <f t="shared" si="52"/>
        <v>#N/A</v>
      </c>
      <c r="T189" s="430"/>
      <c r="X189" s="103"/>
      <c r="AC189" s="103"/>
      <c r="AH189" s="103"/>
      <c r="AM189" s="103"/>
    </row>
    <row r="190" spans="2:39">
      <c r="B190" s="400"/>
      <c r="C190" s="181">
        <v>9</v>
      </c>
      <c r="D190" s="196" t="s">
        <v>270</v>
      </c>
      <c r="E190" s="165">
        <v>17</v>
      </c>
      <c r="F190" s="181">
        <v>1440</v>
      </c>
      <c r="G190" s="179">
        <v>84.705882352941174</v>
      </c>
      <c r="H190" s="413"/>
      <c r="I190" s="165">
        <f t="shared" si="49"/>
        <v>17</v>
      </c>
      <c r="J190" s="165">
        <f t="shared" si="50"/>
        <v>1304.7272727272737</v>
      </c>
      <c r="K190" s="179">
        <f t="shared" si="51"/>
        <v>76.748663101604336</v>
      </c>
      <c r="L190" s="413"/>
      <c r="M190" s="180" t="e">
        <f>RANK(K190, K$147:$K$176)</f>
        <v>#N/A</v>
      </c>
      <c r="N190" s="401"/>
      <c r="O190" s="401"/>
      <c r="P190" s="165">
        <v>17</v>
      </c>
      <c r="Q190" s="165">
        <v>1304.7272727272737</v>
      </c>
      <c r="R190" s="165">
        <v>76.748663101604336</v>
      </c>
      <c r="S190" s="181" t="e">
        <f t="shared" si="52"/>
        <v>#N/A</v>
      </c>
      <c r="T190" s="430"/>
      <c r="X190" s="103"/>
      <c r="AC190" s="103"/>
      <c r="AH190" s="103"/>
      <c r="AM190" s="103"/>
    </row>
    <row r="191" spans="2:39">
      <c r="B191" s="400"/>
      <c r="C191" s="181">
        <v>10</v>
      </c>
      <c r="D191" s="196" t="s">
        <v>286</v>
      </c>
      <c r="E191" s="165">
        <v>17</v>
      </c>
      <c r="F191" s="181">
        <v>1500</v>
      </c>
      <c r="G191" s="179">
        <v>88.235294117647058</v>
      </c>
      <c r="H191" s="413"/>
      <c r="I191" s="165">
        <f t="shared" si="49"/>
        <v>17</v>
      </c>
      <c r="J191" s="165">
        <f t="shared" si="50"/>
        <v>1306.2295081967209</v>
      </c>
      <c r="K191" s="179">
        <f t="shared" si="51"/>
        <v>76.83702989392475</v>
      </c>
      <c r="L191" s="413"/>
      <c r="M191" s="180" t="e">
        <f>RANK(K191, K$147:$K$176)</f>
        <v>#N/A</v>
      </c>
      <c r="N191" s="401"/>
      <c r="O191" s="401"/>
      <c r="P191" s="165">
        <v>17</v>
      </c>
      <c r="Q191" s="165">
        <v>1306.2295081967209</v>
      </c>
      <c r="R191" s="165">
        <v>76.83702989392475</v>
      </c>
      <c r="S191" s="181" t="e">
        <f t="shared" si="52"/>
        <v>#N/A</v>
      </c>
      <c r="T191" s="430"/>
      <c r="X191" s="103"/>
      <c r="AC191" s="103"/>
      <c r="AH191" s="103"/>
      <c r="AM191" s="103"/>
    </row>
    <row r="192" spans="2:39">
      <c r="B192" s="400"/>
      <c r="C192" s="181">
        <v>11</v>
      </c>
      <c r="D192" s="196" t="s">
        <v>272</v>
      </c>
      <c r="E192" s="165">
        <v>18</v>
      </c>
      <c r="F192" s="181">
        <v>1440</v>
      </c>
      <c r="G192" s="179">
        <v>80</v>
      </c>
      <c r="H192" s="413"/>
      <c r="I192" s="165">
        <f t="shared" si="49"/>
        <v>16</v>
      </c>
      <c r="J192" s="165">
        <f t="shared" si="50"/>
        <v>1201.2000000000005</v>
      </c>
      <c r="K192" s="179">
        <f t="shared" si="51"/>
        <v>75.075000000000031</v>
      </c>
      <c r="L192" s="413"/>
      <c r="M192" s="180" t="e">
        <f>RANK(K192, K$147:$K$176)</f>
        <v>#N/A</v>
      </c>
      <c r="N192" s="401"/>
      <c r="O192" s="401"/>
      <c r="P192" s="165">
        <v>16</v>
      </c>
      <c r="Q192" s="165">
        <v>1201.2000000000005</v>
      </c>
      <c r="R192" s="165">
        <v>75.075000000000031</v>
      </c>
      <c r="S192" s="181" t="e">
        <f t="shared" si="52"/>
        <v>#N/A</v>
      </c>
      <c r="T192" s="430"/>
      <c r="X192" s="103"/>
      <c r="AC192" s="103"/>
      <c r="AH192" s="103"/>
      <c r="AM192" s="103"/>
    </row>
    <row r="193" spans="2:39">
      <c r="B193" s="400"/>
      <c r="C193" s="181">
        <v>12</v>
      </c>
      <c r="D193" s="196" t="s">
        <v>273</v>
      </c>
      <c r="E193" s="165">
        <v>20</v>
      </c>
      <c r="F193" s="181">
        <v>1636</v>
      </c>
      <c r="G193" s="179">
        <v>81.8</v>
      </c>
      <c r="H193" s="413"/>
      <c r="I193" s="165">
        <f t="shared" si="49"/>
        <v>19</v>
      </c>
      <c r="J193" s="165">
        <f t="shared" si="50"/>
        <v>1290.9890109890111</v>
      </c>
      <c r="K193" s="179">
        <f t="shared" si="51"/>
        <v>67.946790052053217</v>
      </c>
      <c r="L193" s="413"/>
      <c r="M193" s="180" t="e">
        <f>RANK(K193, K$147:$K$176)</f>
        <v>#N/A</v>
      </c>
      <c r="N193" s="401"/>
      <c r="O193" s="401"/>
      <c r="P193" s="165">
        <v>19</v>
      </c>
      <c r="Q193" s="165">
        <v>1290.9890109890111</v>
      </c>
      <c r="R193" s="165">
        <v>67.946790052053217</v>
      </c>
      <c r="S193" s="181" t="e">
        <f t="shared" si="52"/>
        <v>#N/A</v>
      </c>
      <c r="T193" s="430"/>
      <c r="X193" s="103"/>
      <c r="AC193" s="103"/>
      <c r="AH193" s="103"/>
      <c r="AM193" s="103"/>
    </row>
    <row r="194" spans="2:39">
      <c r="B194" s="400"/>
      <c r="C194" s="181">
        <v>13</v>
      </c>
      <c r="D194" s="196" t="s">
        <v>274</v>
      </c>
      <c r="E194" s="165">
        <v>19</v>
      </c>
      <c r="F194" s="181">
        <v>1636</v>
      </c>
      <c r="G194" s="179">
        <v>86.10526315789474</v>
      </c>
      <c r="H194" s="413"/>
      <c r="I194" s="165">
        <f t="shared" si="49"/>
        <v>19</v>
      </c>
      <c r="J194" s="165">
        <f t="shared" si="50"/>
        <v>1278.0821917808209</v>
      </c>
      <c r="K194" s="179">
        <f t="shared" si="51"/>
        <v>67.26748377793794</v>
      </c>
      <c r="L194" s="413"/>
      <c r="M194" s="180" t="e">
        <f>RANK(K194, K$147:$K$176)</f>
        <v>#N/A</v>
      </c>
      <c r="N194" s="401"/>
      <c r="O194" s="401"/>
      <c r="P194" s="165">
        <v>19</v>
      </c>
      <c r="Q194" s="165">
        <v>1278.0821917808209</v>
      </c>
      <c r="R194" s="165">
        <v>67.26748377793794</v>
      </c>
      <c r="S194" s="181" t="e">
        <f t="shared" si="52"/>
        <v>#N/A</v>
      </c>
      <c r="T194" s="430"/>
      <c r="X194" s="103"/>
      <c r="AC194" s="103"/>
      <c r="AH194" s="103"/>
      <c r="AM194" s="103"/>
    </row>
    <row r="195" spans="2:39">
      <c r="B195" s="400"/>
      <c r="C195" s="181">
        <v>14</v>
      </c>
      <c r="D195" s="196" t="s">
        <v>275</v>
      </c>
      <c r="E195" s="165">
        <v>20</v>
      </c>
      <c r="F195" s="181">
        <v>1500</v>
      </c>
      <c r="G195" s="179">
        <v>75</v>
      </c>
      <c r="H195" s="413"/>
      <c r="I195" s="165">
        <f t="shared" si="49"/>
        <v>20</v>
      </c>
      <c r="J195" s="165">
        <f t="shared" si="50"/>
        <v>1237.4999999999982</v>
      </c>
      <c r="K195" s="179">
        <f t="shared" si="51"/>
        <v>61.874999999999908</v>
      </c>
      <c r="L195" s="413"/>
      <c r="M195" s="180" t="e">
        <f>RANK(K195, K$147:$K$176)</f>
        <v>#N/A</v>
      </c>
      <c r="N195" s="401"/>
      <c r="O195" s="401"/>
      <c r="P195" s="165">
        <v>20</v>
      </c>
      <c r="Q195" s="165">
        <v>1237.4999999999982</v>
      </c>
      <c r="R195" s="165">
        <v>61.874999999999908</v>
      </c>
      <c r="S195" s="181" t="e">
        <f t="shared" si="52"/>
        <v>#N/A</v>
      </c>
      <c r="T195" s="430"/>
      <c r="X195" s="103"/>
      <c r="AC195" s="103"/>
      <c r="AH195" s="103"/>
      <c r="AM195" s="103"/>
    </row>
    <row r="196" spans="2:39">
      <c r="B196" s="400"/>
      <c r="C196" s="181">
        <v>15</v>
      </c>
      <c r="D196" s="196" t="s">
        <v>276</v>
      </c>
      <c r="E196" s="165">
        <v>18</v>
      </c>
      <c r="F196" s="181">
        <v>1500</v>
      </c>
      <c r="G196" s="179">
        <v>83.333333333333329</v>
      </c>
      <c r="H196" s="413"/>
      <c r="I196" s="165">
        <f t="shared" si="49"/>
        <v>17</v>
      </c>
      <c r="J196" s="165">
        <f t="shared" si="50"/>
        <v>1281.4285714285711</v>
      </c>
      <c r="K196" s="179">
        <f t="shared" si="51"/>
        <v>75.378151260504183</v>
      </c>
      <c r="L196" s="413"/>
      <c r="M196" s="165" t="e">
        <f>RANK(K196, K$147:$K$176)</f>
        <v>#N/A</v>
      </c>
      <c r="N196" s="401"/>
      <c r="O196" s="401"/>
      <c r="P196" s="165">
        <v>17</v>
      </c>
      <c r="Q196" s="165">
        <v>1281.4285714285711</v>
      </c>
      <c r="R196" s="165">
        <v>75.378151260504183</v>
      </c>
      <c r="S196" s="181" t="e">
        <f t="shared" si="52"/>
        <v>#N/A</v>
      </c>
      <c r="T196" s="430"/>
      <c r="X196" s="103"/>
      <c r="AC196" s="103"/>
      <c r="AH196" s="103"/>
      <c r="AM196" s="103"/>
    </row>
    <row r="197" spans="2:39">
      <c r="B197" s="400"/>
      <c r="C197" s="181">
        <v>16</v>
      </c>
      <c r="D197" s="196" t="s">
        <v>277</v>
      </c>
      <c r="E197" s="165">
        <v>18</v>
      </c>
      <c r="F197" s="181">
        <v>1500</v>
      </c>
      <c r="G197" s="179">
        <v>83.333333333333329</v>
      </c>
      <c r="H197" s="413"/>
      <c r="I197" s="165">
        <f t="shared" si="49"/>
        <v>17</v>
      </c>
      <c r="J197" s="165">
        <f t="shared" si="50"/>
        <v>1265.2631578947378</v>
      </c>
      <c r="K197" s="179">
        <f t="shared" si="51"/>
        <v>74.4272445820434</v>
      </c>
      <c r="L197" s="413"/>
      <c r="M197" s="165" t="e">
        <f>RANK(K197, K$147:$K$176)</f>
        <v>#N/A</v>
      </c>
      <c r="N197" s="401"/>
      <c r="O197" s="401"/>
      <c r="P197" s="165">
        <v>17</v>
      </c>
      <c r="Q197" s="165">
        <v>1265.2631578947378</v>
      </c>
      <c r="R197" s="165">
        <v>74.4272445820434</v>
      </c>
      <c r="S197" s="181" t="e">
        <f t="shared" si="52"/>
        <v>#N/A</v>
      </c>
      <c r="T197" s="430"/>
      <c r="X197" s="103"/>
      <c r="AC197" s="103"/>
      <c r="AH197" s="103"/>
      <c r="AM197" s="103"/>
    </row>
    <row r="198" spans="2:39">
      <c r="B198" s="400"/>
      <c r="C198" s="181">
        <v>17</v>
      </c>
      <c r="D198" s="196" t="s">
        <v>278</v>
      </c>
      <c r="E198" s="165">
        <v>17</v>
      </c>
      <c r="F198" s="181">
        <v>1440</v>
      </c>
      <c r="G198" s="179">
        <v>84.705882352941174</v>
      </c>
      <c r="H198" s="413"/>
      <c r="I198" s="165">
        <f t="shared" si="49"/>
        <v>17</v>
      </c>
      <c r="J198" s="165">
        <f t="shared" si="50"/>
        <v>1311.4285714285716</v>
      </c>
      <c r="K198" s="179">
        <f t="shared" si="51"/>
        <v>77.142857142857153</v>
      </c>
      <c r="L198" s="413"/>
      <c r="M198" s="165" t="e">
        <f>RANK(K198, K$147:$K$176)</f>
        <v>#N/A</v>
      </c>
      <c r="N198" s="401"/>
      <c r="O198" s="401"/>
      <c r="P198" s="165">
        <v>17</v>
      </c>
      <c r="Q198" s="165">
        <v>1311.4285714285716</v>
      </c>
      <c r="R198" s="165">
        <v>77.142857142857153</v>
      </c>
      <c r="S198" s="181" t="e">
        <f t="shared" si="52"/>
        <v>#N/A</v>
      </c>
      <c r="T198" s="430"/>
      <c r="X198" s="103"/>
      <c r="AC198" s="103"/>
      <c r="AH198" s="103"/>
      <c r="AM198" s="103"/>
    </row>
    <row r="199" spans="2:39">
      <c r="B199" s="400"/>
      <c r="C199" s="181">
        <v>18</v>
      </c>
      <c r="D199" s="196" t="s">
        <v>279</v>
      </c>
      <c r="E199" s="165">
        <v>15</v>
      </c>
      <c r="F199" s="181">
        <v>1440</v>
      </c>
      <c r="G199" s="179">
        <v>96</v>
      </c>
      <c r="H199" s="413"/>
      <c r="I199" s="165">
        <f t="shared" si="49"/>
        <v>16</v>
      </c>
      <c r="J199" s="165">
        <f t="shared" si="50"/>
        <v>1272.6760563380269</v>
      </c>
      <c r="K199" s="179">
        <f t="shared" si="51"/>
        <v>79.542253521126682</v>
      </c>
      <c r="L199" s="413"/>
      <c r="M199" s="165" t="e">
        <f>RANK(K199, K$147:$K$176)</f>
        <v>#N/A</v>
      </c>
      <c r="N199" s="401"/>
      <c r="O199" s="401"/>
      <c r="P199" s="165">
        <v>16</v>
      </c>
      <c r="Q199" s="165">
        <v>1272.6760563380269</v>
      </c>
      <c r="R199" s="165">
        <v>79.542253521126682</v>
      </c>
      <c r="S199" s="181" t="e">
        <f t="shared" si="52"/>
        <v>#N/A</v>
      </c>
      <c r="T199" s="430"/>
      <c r="X199" s="103"/>
      <c r="AC199" s="103"/>
      <c r="AH199" s="103"/>
      <c r="AM199" s="103"/>
    </row>
    <row r="200" spans="2:39">
      <c r="B200" s="400"/>
      <c r="C200" s="181">
        <v>19</v>
      </c>
      <c r="D200" s="196" t="s">
        <v>280</v>
      </c>
      <c r="E200" s="165">
        <v>17</v>
      </c>
      <c r="F200" s="181">
        <v>1440</v>
      </c>
      <c r="G200" s="179">
        <v>84.705882352941174</v>
      </c>
      <c r="H200" s="413"/>
      <c r="I200" s="165">
        <f t="shared" si="49"/>
        <v>17</v>
      </c>
      <c r="J200" s="165">
        <f t="shared" si="50"/>
        <v>1309.9999999999993</v>
      </c>
      <c r="K200" s="179">
        <f t="shared" si="51"/>
        <v>77.058823529411725</v>
      </c>
      <c r="L200" s="413"/>
      <c r="M200" s="165" t="e">
        <f>RANK(K200, K$147:$K$176)</f>
        <v>#N/A</v>
      </c>
      <c r="N200" s="401"/>
      <c r="O200" s="401"/>
      <c r="P200" s="165">
        <v>17</v>
      </c>
      <c r="Q200" s="165">
        <v>1309.9999999999993</v>
      </c>
      <c r="R200" s="165">
        <v>77.058823529411725</v>
      </c>
      <c r="S200" s="181" t="e">
        <f t="shared" si="52"/>
        <v>#N/A</v>
      </c>
      <c r="T200" s="430"/>
      <c r="X200" s="103"/>
      <c r="AC200" s="103"/>
      <c r="AH200" s="103"/>
      <c r="AM200" s="103"/>
    </row>
    <row r="201" spans="2:39">
      <c r="B201" s="400"/>
      <c r="C201" s="181">
        <v>20</v>
      </c>
      <c r="D201" s="196" t="s">
        <v>281</v>
      </c>
      <c r="E201" s="165">
        <v>18</v>
      </c>
      <c r="F201" s="181">
        <v>1636</v>
      </c>
      <c r="G201" s="179">
        <v>90.888888888888886</v>
      </c>
      <c r="H201" s="413"/>
      <c r="I201" s="165">
        <f t="shared" si="49"/>
        <v>17</v>
      </c>
      <c r="J201" s="165">
        <f t="shared" si="50"/>
        <v>1316.5384615384623</v>
      </c>
      <c r="K201" s="179">
        <f t="shared" si="51"/>
        <v>77.443438914027197</v>
      </c>
      <c r="L201" s="413"/>
      <c r="M201" s="165" t="e">
        <f>RANK(K201, K$147:$K$176)</f>
        <v>#N/A</v>
      </c>
      <c r="N201" s="401"/>
      <c r="O201" s="401"/>
      <c r="P201" s="165">
        <v>17</v>
      </c>
      <c r="Q201" s="165">
        <v>1316.5384615384623</v>
      </c>
      <c r="R201" s="165">
        <v>77.443438914027197</v>
      </c>
      <c r="S201" s="181" t="e">
        <f t="shared" si="52"/>
        <v>#N/A</v>
      </c>
      <c r="T201" s="430"/>
      <c r="X201" s="103"/>
      <c r="AC201" s="103"/>
      <c r="AH201" s="103"/>
      <c r="AM201" s="103"/>
    </row>
    <row r="202" spans="2:39">
      <c r="B202" s="400"/>
      <c r="C202" s="181">
        <v>21</v>
      </c>
      <c r="D202" s="196" t="s">
        <v>282</v>
      </c>
      <c r="E202" s="165">
        <v>18</v>
      </c>
      <c r="F202" s="181">
        <v>1440</v>
      </c>
      <c r="G202" s="179">
        <v>80</v>
      </c>
      <c r="H202" s="413"/>
      <c r="I202" s="165">
        <f t="shared" si="49"/>
        <v>18</v>
      </c>
      <c r="J202" s="165">
        <f t="shared" si="50"/>
        <v>1275</v>
      </c>
      <c r="K202" s="179">
        <f t="shared" si="51"/>
        <v>70.833333333333329</v>
      </c>
      <c r="L202" s="413"/>
      <c r="M202" s="165" t="e">
        <f>RANK(K202, K$147:$K$176)</f>
        <v>#N/A</v>
      </c>
      <c r="N202" s="401"/>
      <c r="O202" s="401"/>
      <c r="P202" s="165">
        <v>18</v>
      </c>
      <c r="Q202" s="165">
        <v>1275</v>
      </c>
      <c r="R202" s="165">
        <v>70.833333333333329</v>
      </c>
      <c r="S202" s="181" t="e">
        <f t="shared" si="52"/>
        <v>#N/A</v>
      </c>
      <c r="T202" s="430"/>
      <c r="X202" s="103"/>
      <c r="AC202" s="103"/>
      <c r="AH202" s="103"/>
      <c r="AM202" s="103"/>
    </row>
    <row r="203" spans="2:39">
      <c r="B203" s="400"/>
      <c r="C203" s="181">
        <v>22</v>
      </c>
      <c r="D203" s="196" t="s">
        <v>287</v>
      </c>
      <c r="E203" s="165">
        <v>18</v>
      </c>
      <c r="F203" s="181">
        <v>1500</v>
      </c>
      <c r="G203" s="179">
        <v>83.333333333333329</v>
      </c>
      <c r="H203" s="413"/>
      <c r="I203" s="165">
        <f t="shared" si="49"/>
        <v>17</v>
      </c>
      <c r="J203" s="165">
        <f t="shared" si="50"/>
        <v>1295.4098360655732</v>
      </c>
      <c r="K203" s="179">
        <f t="shared" si="51"/>
        <v>76.20057859209254</v>
      </c>
      <c r="L203" s="413"/>
      <c r="M203" s="165" t="e">
        <f>RANK(K203, K$147:$K$176)</f>
        <v>#N/A</v>
      </c>
      <c r="N203" s="401"/>
      <c r="O203" s="401"/>
      <c r="P203" s="165">
        <v>17</v>
      </c>
      <c r="Q203" s="165">
        <v>1295.4098360655732</v>
      </c>
      <c r="R203" s="165">
        <v>76.20057859209254</v>
      </c>
      <c r="S203" s="181" t="e">
        <f t="shared" si="52"/>
        <v>#N/A</v>
      </c>
      <c r="T203" s="430"/>
      <c r="X203" s="103"/>
      <c r="AC203" s="103"/>
      <c r="AH203" s="103"/>
      <c r="AM203" s="103"/>
    </row>
    <row r="204" spans="2:39">
      <c r="B204" s="400"/>
      <c r="C204" s="181">
        <v>23</v>
      </c>
      <c r="D204" s="196" t="s">
        <v>284</v>
      </c>
      <c r="E204" s="165">
        <v>18</v>
      </c>
      <c r="F204" s="181">
        <v>1500</v>
      </c>
      <c r="G204" s="179">
        <v>83.333333333333329</v>
      </c>
      <c r="H204" s="413"/>
      <c r="I204" s="165">
        <f t="shared" si="49"/>
        <v>18</v>
      </c>
      <c r="J204" s="165">
        <f t="shared" si="50"/>
        <v>1297.1739130434783</v>
      </c>
      <c r="K204" s="179">
        <f t="shared" si="51"/>
        <v>72.065217391304344</v>
      </c>
      <c r="L204" s="413"/>
      <c r="M204" s="165" t="e">
        <f>RANK(K204, K$147:$K$176)</f>
        <v>#N/A</v>
      </c>
      <c r="N204" s="401"/>
      <c r="O204" s="401"/>
      <c r="P204" s="165">
        <v>18</v>
      </c>
      <c r="Q204" s="165">
        <v>1297.1739130434783</v>
      </c>
      <c r="R204" s="165">
        <v>72.065217391304344</v>
      </c>
      <c r="S204" s="181" t="e">
        <f t="shared" si="52"/>
        <v>#N/A</v>
      </c>
      <c r="T204" s="430"/>
      <c r="X204" s="103"/>
      <c r="AC204" s="103"/>
      <c r="AH204" s="103"/>
      <c r="AM204" s="103"/>
    </row>
    <row r="205" spans="2:39">
      <c r="B205" s="400"/>
      <c r="C205" s="181">
        <v>24</v>
      </c>
      <c r="D205" s="196" t="s">
        <v>285</v>
      </c>
      <c r="E205" s="165">
        <v>18</v>
      </c>
      <c r="F205" s="181">
        <v>1636</v>
      </c>
      <c r="G205" s="179">
        <v>90.888888888888886</v>
      </c>
      <c r="H205" s="413"/>
      <c r="I205" s="165">
        <f t="shared" si="49"/>
        <v>17</v>
      </c>
      <c r="J205" s="165">
        <f t="shared" si="50"/>
        <v>1245.2173913043466</v>
      </c>
      <c r="K205" s="179">
        <f t="shared" si="51"/>
        <v>73.248081841432153</v>
      </c>
      <c r="L205" s="413"/>
      <c r="M205" s="165" t="e">
        <f>RANK(K205, K$147:$K$176)</f>
        <v>#N/A</v>
      </c>
      <c r="N205" s="401"/>
      <c r="O205" s="401"/>
      <c r="P205" s="181">
        <v>17</v>
      </c>
      <c r="Q205" s="179">
        <v>1245.2173913043466</v>
      </c>
      <c r="R205" s="179">
        <v>73.248081841432153</v>
      </c>
      <c r="S205" s="181" t="e">
        <f t="shared" si="52"/>
        <v>#N/A</v>
      </c>
      <c r="T205" s="430"/>
      <c r="X205" s="103"/>
      <c r="AC205" s="103"/>
      <c r="AH205" s="103"/>
      <c r="AM205" s="103"/>
    </row>
    <row r="206" spans="2:39">
      <c r="B206" s="400"/>
      <c r="C206" s="181">
        <v>25</v>
      </c>
      <c r="D206" s="196"/>
      <c r="E206" s="165"/>
      <c r="F206" s="181"/>
      <c r="G206" s="179"/>
      <c r="H206" s="413"/>
      <c r="I206" s="165"/>
      <c r="J206" s="165"/>
      <c r="K206" s="179"/>
      <c r="L206" s="413"/>
      <c r="M206" s="165" t="e">
        <f>RANK(K206, K$147:$K$176)</f>
        <v>#N/A</v>
      </c>
      <c r="N206" s="401"/>
      <c r="O206" s="401"/>
      <c r="P206" s="181"/>
      <c r="Q206" s="179"/>
      <c r="R206" s="179"/>
      <c r="S206" s="181" t="e">
        <f t="shared" si="52"/>
        <v>#N/A</v>
      </c>
      <c r="T206" s="430"/>
      <c r="X206" s="103"/>
      <c r="AC206" s="103"/>
      <c r="AH206" s="103"/>
      <c r="AM206" s="103"/>
    </row>
    <row r="207" spans="2:39">
      <c r="B207" s="400"/>
      <c r="C207" s="181">
        <v>26</v>
      </c>
      <c r="D207" s="196"/>
      <c r="E207" s="165"/>
      <c r="F207" s="181"/>
      <c r="G207" s="179"/>
      <c r="H207" s="413"/>
      <c r="I207" s="165"/>
      <c r="J207" s="165"/>
      <c r="K207" s="179"/>
      <c r="L207" s="413"/>
      <c r="M207" s="165" t="e">
        <f>RANK(K207, K$147:$K$176)</f>
        <v>#N/A</v>
      </c>
      <c r="N207" s="401"/>
      <c r="O207" s="401"/>
      <c r="P207" s="181"/>
      <c r="Q207" s="179"/>
      <c r="R207" s="179"/>
      <c r="S207" s="181" t="e">
        <f t="shared" si="52"/>
        <v>#N/A</v>
      </c>
      <c r="T207" s="430"/>
      <c r="X207" s="103"/>
      <c r="AC207" s="103"/>
      <c r="AH207" s="103"/>
      <c r="AM207" s="103"/>
    </row>
    <row r="208" spans="2:39">
      <c r="B208" s="400"/>
      <c r="C208" s="181">
        <v>27</v>
      </c>
      <c r="D208" s="196"/>
      <c r="E208" s="165"/>
      <c r="F208" s="181"/>
      <c r="G208" s="179"/>
      <c r="H208" s="413"/>
      <c r="I208" s="165"/>
      <c r="J208" s="165"/>
      <c r="K208" s="179"/>
      <c r="L208" s="413"/>
      <c r="M208" s="165" t="e">
        <f>RANK(K208, K$147:$K$176)</f>
        <v>#N/A</v>
      </c>
      <c r="N208" s="401"/>
      <c r="O208" s="401"/>
      <c r="P208" s="181"/>
      <c r="Q208" s="179"/>
      <c r="R208" s="179"/>
      <c r="S208" s="181" t="e">
        <f t="shared" si="52"/>
        <v>#N/A</v>
      </c>
      <c r="T208" s="430"/>
      <c r="X208" s="103"/>
      <c r="AC208" s="103"/>
      <c r="AH208" s="103"/>
      <c r="AM208" s="103"/>
    </row>
    <row r="209" spans="2:39">
      <c r="B209" s="400"/>
      <c r="C209" s="181">
        <v>28</v>
      </c>
      <c r="D209" s="196"/>
      <c r="E209" s="165"/>
      <c r="F209" s="181"/>
      <c r="G209" s="179"/>
      <c r="H209" s="413"/>
      <c r="I209" s="165"/>
      <c r="J209" s="165"/>
      <c r="K209" s="179"/>
      <c r="L209" s="413"/>
      <c r="M209" s="165" t="e">
        <f>RANK(K209, K$147:$K$176)</f>
        <v>#N/A</v>
      </c>
      <c r="N209" s="401"/>
      <c r="O209" s="401"/>
      <c r="P209" s="181"/>
      <c r="Q209" s="179"/>
      <c r="R209" s="179"/>
      <c r="S209" s="181" t="e">
        <f t="shared" si="52"/>
        <v>#N/A</v>
      </c>
      <c r="T209" s="430"/>
      <c r="X209" s="103"/>
      <c r="AC209" s="103"/>
      <c r="AH209" s="103"/>
      <c r="AM209" s="103"/>
    </row>
    <row r="210" spans="2:39">
      <c r="B210" s="400"/>
      <c r="C210" s="181">
        <v>29</v>
      </c>
      <c r="D210" s="196"/>
      <c r="E210" s="165"/>
      <c r="F210" s="181"/>
      <c r="G210" s="179"/>
      <c r="H210" s="413"/>
      <c r="I210" s="181"/>
      <c r="J210" s="181"/>
      <c r="K210" s="181"/>
      <c r="L210" s="413"/>
      <c r="M210" s="165" t="e">
        <f>RANK(K210, K$147:$K$176)</f>
        <v>#N/A</v>
      </c>
      <c r="N210" s="401"/>
      <c r="O210" s="401"/>
      <c r="P210" s="181"/>
      <c r="Q210" s="181"/>
      <c r="R210" s="181"/>
      <c r="S210" s="181" t="e">
        <f t="shared" si="52"/>
        <v>#N/A</v>
      </c>
      <c r="T210" s="430"/>
      <c r="X210" s="103"/>
      <c r="AC210" s="103"/>
      <c r="AH210" s="103"/>
      <c r="AM210" s="103"/>
    </row>
    <row r="211" spans="2:39">
      <c r="B211" s="400"/>
      <c r="C211" s="181">
        <v>30</v>
      </c>
      <c r="D211" s="196"/>
      <c r="E211" s="165"/>
      <c r="F211" s="181"/>
      <c r="G211" s="179"/>
      <c r="H211" s="414"/>
      <c r="I211" s="181"/>
      <c r="J211" s="181"/>
      <c r="K211" s="181"/>
      <c r="L211" s="414"/>
      <c r="M211" s="165" t="e">
        <f>RANK(K211, K$147:$K$176)</f>
        <v>#N/A</v>
      </c>
      <c r="N211" s="401"/>
      <c r="O211" s="401"/>
      <c r="P211" s="181"/>
      <c r="Q211" s="181"/>
      <c r="R211" s="181"/>
      <c r="S211" s="181" t="e">
        <f t="shared" si="52"/>
        <v>#N/A</v>
      </c>
      <c r="T211" s="430"/>
      <c r="X211" s="103"/>
      <c r="AC211" s="103"/>
      <c r="AH211" s="103"/>
      <c r="AM211" s="103"/>
    </row>
    <row r="212" spans="2:39">
      <c r="X212" s="103"/>
      <c r="AC212" s="103"/>
      <c r="AH212" s="103"/>
      <c r="AM212" s="103"/>
    </row>
    <row r="213" spans="2:39"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X213" s="103"/>
      <c r="AC213" s="103"/>
      <c r="AH213" s="103"/>
      <c r="AM213" s="103"/>
    </row>
    <row r="214" spans="2:39"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</row>
    <row r="215" spans="2:39"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</row>
    <row r="216" spans="2:39"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</row>
    <row r="217" spans="2:39"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</row>
    <row r="218" spans="2:39"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</row>
    <row r="219" spans="2:39"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</row>
    <row r="220" spans="2:39"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</row>
    <row r="221" spans="2:39"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</row>
    <row r="222" spans="2:39"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</row>
    <row r="223" spans="2:39"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</row>
    <row r="224" spans="2:39"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</row>
    <row r="225" spans="3:13"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</row>
    <row r="226" spans="3:13"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</row>
    <row r="227" spans="3:13"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</row>
    <row r="228" spans="3:13"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</row>
    <row r="229" spans="3:13"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</row>
    <row r="230" spans="3:13"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</row>
    <row r="231" spans="3:13"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</row>
    <row r="232" spans="3:13"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</row>
    <row r="233" spans="3:13"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</row>
    <row r="234" spans="3:13"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</row>
    <row r="235" spans="3:13"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</row>
    <row r="236" spans="3:13"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</row>
    <row r="237" spans="3:13"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</row>
    <row r="238" spans="3:13"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</row>
    <row r="239" spans="3:13"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</row>
    <row r="240" spans="3:13"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</row>
    <row r="241" spans="3:13"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</row>
    <row r="242" spans="3:13"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</row>
    <row r="243" spans="3:13"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</row>
    <row r="244" spans="3:13"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</row>
    <row r="245" spans="3:13"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</row>
    <row r="246" spans="3:13"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</row>
    <row r="247" spans="3:13"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</row>
  </sheetData>
  <mergeCells count="282"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36"/>
    <mergeCell ref="O4:O36"/>
    <mergeCell ref="B7:B36"/>
    <mergeCell ref="H7:H36"/>
    <mergeCell ref="L7:L36"/>
    <mergeCell ref="B4:B6"/>
    <mergeCell ref="C4:D6"/>
    <mergeCell ref="E4:G4"/>
    <mergeCell ref="H4:H6"/>
    <mergeCell ref="I4:K4"/>
    <mergeCell ref="L4:L6"/>
    <mergeCell ref="E180:G180"/>
    <mergeCell ref="I180:K180"/>
    <mergeCell ref="P180:S180"/>
    <mergeCell ref="P178:T178"/>
    <mergeCell ref="B177:H178"/>
    <mergeCell ref="N177:N178"/>
    <mergeCell ref="O177:O178"/>
    <mergeCell ref="P177:T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B182:B211"/>
    <mergeCell ref="H182:H211"/>
    <mergeCell ref="L182:L211"/>
    <mergeCell ref="T182:T211"/>
    <mergeCell ref="P179:S179"/>
    <mergeCell ref="T179:T18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CC"/>
  </sheetPr>
  <dimension ref="A1:AX142"/>
  <sheetViews>
    <sheetView topLeftCell="A43" zoomScale="50" zoomScaleNormal="5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67.441398667040502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173</v>
      </c>
      <c r="C7" s="181">
        <v>1</v>
      </c>
      <c r="D7" s="196" t="s">
        <v>288</v>
      </c>
      <c r="E7" s="165">
        <v>19</v>
      </c>
      <c r="F7" s="181">
        <v>1440</v>
      </c>
      <c r="G7" s="179">
        <v>75.78947368421052</v>
      </c>
      <c r="H7" s="412">
        <f>AVERAGE(G7:G21)</f>
        <v>75.647832817337459</v>
      </c>
      <c r="I7" s="165">
        <f>AVERAGE(P7,U7,Z7,AE7,AJ7,AO7,AT7)</f>
        <v>19</v>
      </c>
      <c r="J7" s="165">
        <f>AVERAGE(Q7,V7,AA7,AF7,AK7,AP7,AU7)</f>
        <v>1313.0379310344829</v>
      </c>
      <c r="K7" s="179">
        <f>AVERAGE(R7,W7,AB7,AG7,AL7,AQ7,AV7)</f>
        <v>69.107259528130683</v>
      </c>
      <c r="L7" s="412">
        <f>IFERROR(AVERAGE(K7:K21),"-")</f>
        <v>65.559247998309161</v>
      </c>
      <c r="M7" s="180">
        <f>RANK(K7, K$7:$K$21)</f>
        <v>2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81">
        <v>19</v>
      </c>
      <c r="AU7" s="179">
        <v>1313.0379310344829</v>
      </c>
      <c r="AV7" s="179">
        <v>69.107259528130683</v>
      </c>
      <c r="AW7" s="181">
        <f t="shared" ref="AW7:AW21" si="0">RANK(AV7, AV$7:AV$21)</f>
        <v>2</v>
      </c>
      <c r="AX7" s="430">
        <f>AVERAGE(AV7:AV21)</f>
        <v>65.559247998309161</v>
      </c>
    </row>
    <row r="8" spans="1:50" ht="15" customHeight="1">
      <c r="A8" s="79"/>
      <c r="B8" s="400"/>
      <c r="C8" s="181">
        <v>2</v>
      </c>
      <c r="D8" s="196" t="s">
        <v>289</v>
      </c>
      <c r="E8" s="165">
        <v>20</v>
      </c>
      <c r="F8" s="181">
        <v>1440</v>
      </c>
      <c r="G8" s="179">
        <v>72</v>
      </c>
      <c r="H8" s="413"/>
      <c r="I8" s="165">
        <f t="shared" ref="I8:K14" si="1">AVERAGE(P8,U8,Z8,AE8,AJ8,AO8,AT8)</f>
        <v>19</v>
      </c>
      <c r="J8" s="165">
        <f t="shared" si="1"/>
        <v>1101.5625000000014</v>
      </c>
      <c r="K8" s="179">
        <f t="shared" si="1"/>
        <v>57.976973684210598</v>
      </c>
      <c r="L8" s="413"/>
      <c r="M8" s="180">
        <f>RANK(K8, K$7:$K$21)</f>
        <v>7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81">
        <v>19</v>
      </c>
      <c r="AU8" s="179">
        <v>1101.5625000000014</v>
      </c>
      <c r="AV8" s="179">
        <v>57.976973684210598</v>
      </c>
      <c r="AW8" s="181">
        <f t="shared" si="0"/>
        <v>7</v>
      </c>
      <c r="AX8" s="430"/>
    </row>
    <row r="9" spans="1:50">
      <c r="A9" s="79"/>
      <c r="B9" s="400"/>
      <c r="C9" s="181">
        <v>3</v>
      </c>
      <c r="D9" s="196" t="s">
        <v>290</v>
      </c>
      <c r="E9" s="165">
        <v>18</v>
      </c>
      <c r="F9" s="181">
        <v>1440</v>
      </c>
      <c r="G9" s="179">
        <v>80</v>
      </c>
      <c r="H9" s="413"/>
      <c r="I9" s="165">
        <f t="shared" si="1"/>
        <v>18</v>
      </c>
      <c r="J9" s="165">
        <f t="shared" si="1"/>
        <v>1214.6938775510207</v>
      </c>
      <c r="K9" s="179">
        <f t="shared" si="1"/>
        <v>67.48299319727893</v>
      </c>
      <c r="L9" s="413"/>
      <c r="M9" s="180">
        <f>RANK(K9, K$7:$K$21)</f>
        <v>3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81">
        <v>18</v>
      </c>
      <c r="AU9" s="179">
        <v>1214.6938775510207</v>
      </c>
      <c r="AV9" s="179">
        <v>67.48299319727893</v>
      </c>
      <c r="AW9" s="181">
        <f t="shared" si="0"/>
        <v>3</v>
      </c>
      <c r="AX9" s="430"/>
    </row>
    <row r="10" spans="1:50">
      <c r="A10" s="79"/>
      <c r="B10" s="400"/>
      <c r="C10" s="181">
        <v>4</v>
      </c>
      <c r="D10" s="196" t="s">
        <v>291</v>
      </c>
      <c r="E10" s="165">
        <v>17</v>
      </c>
      <c r="F10" s="181">
        <v>1440</v>
      </c>
      <c r="G10" s="179">
        <v>84.705882352941174</v>
      </c>
      <c r="H10" s="413"/>
      <c r="I10" s="165">
        <f t="shared" si="1"/>
        <v>18</v>
      </c>
      <c r="J10" s="165">
        <f t="shared" si="1"/>
        <v>1309.6551724137923</v>
      </c>
      <c r="K10" s="179">
        <f t="shared" si="1"/>
        <v>72.758620689655132</v>
      </c>
      <c r="L10" s="413"/>
      <c r="M10" s="180">
        <f>RANK(K10, K$7:$K$21)</f>
        <v>1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81">
        <v>18</v>
      </c>
      <c r="AU10" s="179">
        <v>1309.6551724137923</v>
      </c>
      <c r="AV10" s="179">
        <v>72.758620689655132</v>
      </c>
      <c r="AW10" s="181">
        <f t="shared" si="0"/>
        <v>1</v>
      </c>
      <c r="AX10" s="430"/>
    </row>
    <row r="11" spans="1:50">
      <c r="A11" s="79"/>
      <c r="B11" s="400"/>
      <c r="C11" s="181">
        <v>5</v>
      </c>
      <c r="D11" s="196" t="s">
        <v>292</v>
      </c>
      <c r="E11" s="165">
        <v>19</v>
      </c>
      <c r="F11" s="181">
        <v>1440</v>
      </c>
      <c r="G11" s="179">
        <v>75.78947368421052</v>
      </c>
      <c r="H11" s="413"/>
      <c r="I11" s="165">
        <f t="shared" si="1"/>
        <v>18</v>
      </c>
      <c r="J11" s="165">
        <f t="shared" si="1"/>
        <v>1204.8000000000004</v>
      </c>
      <c r="K11" s="179">
        <f t="shared" si="1"/>
        <v>66.933333333333351</v>
      </c>
      <c r="L11" s="413"/>
      <c r="M11" s="180">
        <f>RANK(K11, K$7:$K$21)</f>
        <v>4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81">
        <v>18</v>
      </c>
      <c r="AU11" s="179">
        <v>1204.8000000000004</v>
      </c>
      <c r="AV11" s="179">
        <v>66.933333333333351</v>
      </c>
      <c r="AW11" s="181">
        <f t="shared" si="0"/>
        <v>4</v>
      </c>
      <c r="AX11" s="430"/>
    </row>
    <row r="12" spans="1:50">
      <c r="A12" s="79"/>
      <c r="B12" s="400"/>
      <c r="C12" s="181">
        <v>6</v>
      </c>
      <c r="D12" s="196"/>
      <c r="E12" s="165"/>
      <c r="F12" s="181"/>
      <c r="G12" s="179"/>
      <c r="H12" s="413"/>
      <c r="I12" s="165"/>
      <c r="J12" s="165"/>
      <c r="K12" s="179"/>
      <c r="L12" s="413"/>
      <c r="M12" s="180"/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81"/>
      <c r="AU12" s="179"/>
      <c r="AV12" s="179"/>
      <c r="AW12" s="181"/>
      <c r="AX12" s="430"/>
    </row>
    <row r="13" spans="1:50">
      <c r="A13" s="79"/>
      <c r="B13" s="400"/>
      <c r="C13" s="181">
        <v>7</v>
      </c>
      <c r="D13" s="196" t="s">
        <v>293</v>
      </c>
      <c r="E13" s="165">
        <v>20</v>
      </c>
      <c r="F13" s="181">
        <v>1385</v>
      </c>
      <c r="G13" s="179">
        <v>69.25</v>
      </c>
      <c r="H13" s="413"/>
      <c r="I13" s="165">
        <f t="shared" si="1"/>
        <v>20</v>
      </c>
      <c r="J13" s="165">
        <f t="shared" si="1"/>
        <v>1181.9999999999995</v>
      </c>
      <c r="K13" s="179">
        <f t="shared" si="1"/>
        <v>59.09999999999998</v>
      </c>
      <c r="L13" s="413"/>
      <c r="M13" s="180">
        <f>RANK(K13, K$7:$K$21)</f>
        <v>6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81">
        <v>20</v>
      </c>
      <c r="AU13" s="179">
        <v>1181.9999999999995</v>
      </c>
      <c r="AV13" s="179">
        <v>59.09999999999998</v>
      </c>
      <c r="AW13" s="181">
        <f t="shared" si="0"/>
        <v>6</v>
      </c>
      <c r="AX13" s="430"/>
    </row>
    <row r="14" spans="1:50">
      <c r="A14" s="79"/>
      <c r="B14" s="400"/>
      <c r="C14" s="181">
        <v>8</v>
      </c>
      <c r="D14" s="196" t="s">
        <v>294</v>
      </c>
      <c r="E14" s="165">
        <v>20</v>
      </c>
      <c r="F14" s="181">
        <v>1440</v>
      </c>
      <c r="G14" s="179">
        <v>72</v>
      </c>
      <c r="H14" s="413"/>
      <c r="I14" s="165">
        <f t="shared" si="1"/>
        <v>18</v>
      </c>
      <c r="J14" s="165">
        <f t="shared" si="1"/>
        <v>1179.9999999999991</v>
      </c>
      <c r="K14" s="179">
        <f t="shared" si="1"/>
        <v>65.5555555555555</v>
      </c>
      <c r="L14" s="413"/>
      <c r="M14" s="180">
        <f>RANK(K14, K$7:$K$21)</f>
        <v>5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81">
        <v>18</v>
      </c>
      <c r="AU14" s="179">
        <v>1179.9999999999991</v>
      </c>
      <c r="AV14" s="179">
        <v>65.5555555555555</v>
      </c>
      <c r="AW14" s="181">
        <f t="shared" si="0"/>
        <v>5</v>
      </c>
      <c r="AX14" s="430"/>
    </row>
    <row r="15" spans="1:50">
      <c r="A15" s="79"/>
      <c r="B15" s="400"/>
      <c r="C15" s="181">
        <v>9</v>
      </c>
      <c r="D15" s="196"/>
      <c r="E15" s="165"/>
      <c r="F15" s="181"/>
      <c r="G15" s="179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81"/>
      <c r="AU15" s="179"/>
      <c r="AV15" s="179"/>
      <c r="AW15" s="181" t="e">
        <f t="shared" si="0"/>
        <v>#N/A</v>
      </c>
      <c r="AX15" s="430"/>
    </row>
    <row r="16" spans="1:50">
      <c r="A16" s="79"/>
      <c r="B16" s="400"/>
      <c r="C16" s="181">
        <v>10</v>
      </c>
      <c r="D16" s="196"/>
      <c r="E16" s="165"/>
      <c r="F16" s="181"/>
      <c r="G16" s="179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81"/>
      <c r="AU16" s="179"/>
      <c r="AV16" s="179"/>
      <c r="AW16" s="181" t="e">
        <f t="shared" si="0"/>
        <v>#N/A</v>
      </c>
      <c r="AX16" s="43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81"/>
      <c r="AU17" s="179"/>
      <c r="AV17" s="179"/>
      <c r="AW17" s="181" t="e">
        <f t="shared" si="0"/>
        <v>#N/A</v>
      </c>
      <c r="AX17" s="43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81"/>
      <c r="AU18" s="181"/>
      <c r="AV18" s="181"/>
      <c r="AW18" s="181" t="e">
        <f t="shared" si="0"/>
        <v>#N/A</v>
      </c>
      <c r="AX18" s="43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81"/>
      <c r="AU19" s="181"/>
      <c r="AV19" s="181"/>
      <c r="AW19" s="181" t="e">
        <f t="shared" si="0"/>
        <v>#N/A</v>
      </c>
      <c r="AX19" s="43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81"/>
      <c r="AU20" s="181"/>
      <c r="AV20" s="181"/>
      <c r="AW20" s="181" t="e">
        <f t="shared" si="0"/>
        <v>#N/A</v>
      </c>
      <c r="AX20" s="43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81"/>
      <c r="AU21" s="181"/>
      <c r="AV21" s="181"/>
      <c r="AW21" s="181" t="e">
        <f t="shared" si="0"/>
        <v>#N/A</v>
      </c>
      <c r="AX21" s="430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01" t="s">
        <v>173</v>
      </c>
      <c r="C27" s="181">
        <v>1</v>
      </c>
      <c r="D27" s="196" t="s">
        <v>288</v>
      </c>
      <c r="E27" s="165">
        <v>19</v>
      </c>
      <c r="F27" s="181">
        <v>1440</v>
      </c>
      <c r="G27" s="179">
        <v>75.78947368421052</v>
      </c>
      <c r="H27" s="412">
        <f>AVERAGE(G27:G41)</f>
        <v>78.50851393188853</v>
      </c>
      <c r="I27" s="165">
        <f>AVERAGE(P27,U27,Z27,AE27,AJ27,AO27,AT27)</f>
        <v>18.714285714285715</v>
      </c>
      <c r="J27" s="165">
        <f>AVERAGE(Q27,V27,AA27,AF27,AK27,AP27,AU27)</f>
        <v>1235.3982253478487</v>
      </c>
      <c r="K27" s="179">
        <f>AVERAGE(R27,W27,AB27,AG27,AL27,AQ27,AV27)</f>
        <v>66.057645169242804</v>
      </c>
      <c r="L27" s="412">
        <f>IFERROR(AVERAGE(K27:K41),"-")</f>
        <v>68.168322453709834</v>
      </c>
      <c r="M27" s="180">
        <f>RANK(K27, K$27:$K$41)</f>
        <v>3</v>
      </c>
      <c r="N27" s="401"/>
      <c r="O27" s="401"/>
      <c r="P27" s="181">
        <v>19</v>
      </c>
      <c r="Q27" s="179">
        <v>1230.0487804878055</v>
      </c>
      <c r="R27" s="179">
        <v>64.739409499358189</v>
      </c>
      <c r="S27" s="181">
        <f t="shared" ref="S27:S41" si="2">RANK(R27, R$27:R$41)</f>
        <v>3</v>
      </c>
      <c r="T27" s="412">
        <f>AVERAGE(R27:R41)</f>
        <v>67.813217779455627</v>
      </c>
      <c r="U27" s="181">
        <v>19</v>
      </c>
      <c r="V27" s="179">
        <v>1238.9317073170737</v>
      </c>
      <c r="W27" s="179">
        <v>65.206931964056508</v>
      </c>
      <c r="X27" s="181">
        <f t="shared" ref="X27:X41" si="3">RANK(W27, W$27:W$41)</f>
        <v>5</v>
      </c>
      <c r="Y27" s="412">
        <f>AVERAGE(W27:W41)</f>
        <v>68.348210582023597</v>
      </c>
      <c r="Z27" s="181">
        <v>18</v>
      </c>
      <c r="AA27" s="179">
        <v>1264.3902439024387</v>
      </c>
      <c r="AB27" s="179">
        <v>70.243902439024367</v>
      </c>
      <c r="AC27" s="181">
        <f t="shared" ref="AC27:AC41" si="4">RANK(AB27, AB$27:AB$41)</f>
        <v>3</v>
      </c>
      <c r="AD27" s="412">
        <f>AVERAGE(AB27:AB41)</f>
        <v>69.261050328176296</v>
      </c>
      <c r="AE27" s="181">
        <v>19</v>
      </c>
      <c r="AF27" s="179">
        <v>1247.64705882353</v>
      </c>
      <c r="AG27" s="179">
        <v>65.665634674922629</v>
      </c>
      <c r="AH27" s="181">
        <f t="shared" ref="AH27:AH41" si="5">RANK(AG27, AG$27:AG$41)</f>
        <v>3</v>
      </c>
      <c r="AI27" s="412">
        <f>AVERAGE(AG27:AG41)</f>
        <v>67.474238471756479</v>
      </c>
      <c r="AJ27" s="181">
        <v>18</v>
      </c>
      <c r="AK27" s="179">
        <v>1217.4358974358977</v>
      </c>
      <c r="AL27" s="179">
        <v>67.635327635327656</v>
      </c>
      <c r="AM27" s="181">
        <f t="shared" ref="AM27:AM41" si="6">RANK(AL27, AL$27:AL$41)</f>
        <v>3</v>
      </c>
      <c r="AN27" s="412">
        <f>AVERAGE(AL27:AL41)</f>
        <v>68.6300474547878</v>
      </c>
      <c r="AO27" s="181">
        <v>19</v>
      </c>
      <c r="AP27" s="179">
        <v>1234.2857142857144</v>
      </c>
      <c r="AQ27" s="179">
        <v>64.962406015037601</v>
      </c>
      <c r="AR27" s="181">
        <f t="shared" ref="AR27:AR41" si="7">RANK(AQ27, AQ$27:AQ$41)</f>
        <v>3</v>
      </c>
      <c r="AS27" s="412">
        <f>AVERAGE(AQ27:AQ41)</f>
        <v>67.948684047452801</v>
      </c>
      <c r="AT27" s="181">
        <v>19</v>
      </c>
      <c r="AU27" s="179">
        <v>1215.0481751824818</v>
      </c>
      <c r="AV27" s="179">
        <v>63.949903956972726</v>
      </c>
      <c r="AW27" s="181">
        <f t="shared" ref="AW27:AW41" si="8">RANK(AV27, AV$27:AV$41)</f>
        <v>4</v>
      </c>
      <c r="AX27" s="430">
        <f>AVERAGE(AV27:AV41)</f>
        <v>67.702808512316253</v>
      </c>
    </row>
    <row r="28" spans="2:50">
      <c r="B28" s="400"/>
      <c r="C28" s="181">
        <v>2</v>
      </c>
      <c r="D28" s="196" t="s">
        <v>289</v>
      </c>
      <c r="E28" s="165">
        <v>19</v>
      </c>
      <c r="F28" s="181">
        <v>1440</v>
      </c>
      <c r="G28" s="179">
        <v>75.78947368421052</v>
      </c>
      <c r="H28" s="413"/>
      <c r="I28" s="165">
        <f t="shared" ref="I28:I33" si="9">AVERAGE(P28,U28,Z28,AE28,AJ28,AO28,AT28)</f>
        <v>19</v>
      </c>
      <c r="J28" s="165">
        <f t="shared" ref="J28:J33" si="10">AVERAGE(Q28,V28,AA28,AF28,AK28,AP28,AU28)</f>
        <v>1235.541892832339</v>
      </c>
      <c r="K28" s="179">
        <f t="shared" ref="K28:K33" si="11">AVERAGE(R28,W28,AB28,AG28,AL28,AQ28,AV28)</f>
        <v>65.028520675386261</v>
      </c>
      <c r="L28" s="413"/>
      <c r="M28" s="180">
        <f>RANK(K28, K$27:$K$41)</f>
        <v>4</v>
      </c>
      <c r="N28" s="401"/>
      <c r="O28" s="401"/>
      <c r="P28" s="181">
        <v>19</v>
      </c>
      <c r="Q28" s="179">
        <v>1219.2857142857151</v>
      </c>
      <c r="R28" s="179">
        <v>64.172932330827109</v>
      </c>
      <c r="S28" s="181">
        <f t="shared" si="2"/>
        <v>4</v>
      </c>
      <c r="T28" s="413"/>
      <c r="U28" s="181">
        <v>19</v>
      </c>
      <c r="V28" s="179">
        <v>1256.6666666666674</v>
      </c>
      <c r="W28" s="179">
        <v>66.140350877193029</v>
      </c>
      <c r="X28" s="181">
        <f t="shared" si="3"/>
        <v>3</v>
      </c>
      <c r="Y28" s="413"/>
      <c r="Z28" s="181">
        <v>19</v>
      </c>
      <c r="AA28" s="179">
        <v>1263.5294117647065</v>
      </c>
      <c r="AB28" s="179">
        <v>66.501547987616135</v>
      </c>
      <c r="AC28" s="181">
        <f t="shared" si="4"/>
        <v>4</v>
      </c>
      <c r="AD28" s="413"/>
      <c r="AE28" s="181">
        <v>19</v>
      </c>
      <c r="AF28" s="179">
        <v>1223.7500000000005</v>
      </c>
      <c r="AG28" s="179">
        <v>64.407894736842124</v>
      </c>
      <c r="AH28" s="181">
        <f t="shared" si="5"/>
        <v>5</v>
      </c>
      <c r="AI28" s="413"/>
      <c r="AJ28" s="181">
        <v>19</v>
      </c>
      <c r="AK28" s="179">
        <v>1222.8000000000004</v>
      </c>
      <c r="AL28" s="179">
        <v>64.357894736842127</v>
      </c>
      <c r="AM28" s="181">
        <f t="shared" si="6"/>
        <v>5</v>
      </c>
      <c r="AN28" s="413"/>
      <c r="AO28" s="181">
        <v>19</v>
      </c>
      <c r="AP28" s="179">
        <v>1221.8918918918923</v>
      </c>
      <c r="AQ28" s="179">
        <v>64.310099573257489</v>
      </c>
      <c r="AR28" s="181">
        <f t="shared" si="7"/>
        <v>4</v>
      </c>
      <c r="AS28" s="413"/>
      <c r="AT28" s="181">
        <v>19</v>
      </c>
      <c r="AU28" s="179">
        <v>1240.8695652173901</v>
      </c>
      <c r="AV28" s="179">
        <v>65.3089244851258</v>
      </c>
      <c r="AW28" s="181">
        <f t="shared" si="8"/>
        <v>3</v>
      </c>
      <c r="AX28" s="430"/>
    </row>
    <row r="29" spans="2:50">
      <c r="B29" s="400"/>
      <c r="C29" s="181">
        <v>3</v>
      </c>
      <c r="D29" s="196" t="s">
        <v>290</v>
      </c>
      <c r="E29" s="165">
        <v>17</v>
      </c>
      <c r="F29" s="181">
        <v>1636</v>
      </c>
      <c r="G29" s="179">
        <v>96.235294117647058</v>
      </c>
      <c r="H29" s="413"/>
      <c r="I29" s="165">
        <f t="shared" si="9"/>
        <v>17</v>
      </c>
      <c r="J29" s="165">
        <f t="shared" si="10"/>
        <v>1382.1649717290693</v>
      </c>
      <c r="K29" s="179">
        <f t="shared" si="11"/>
        <v>81.303821866415859</v>
      </c>
      <c r="L29" s="413"/>
      <c r="M29" s="180">
        <f>RANK(K29, K$27:$K$41)</f>
        <v>1</v>
      </c>
      <c r="N29" s="401"/>
      <c r="O29" s="401"/>
      <c r="P29" s="181">
        <v>17</v>
      </c>
      <c r="Q29" s="179">
        <v>1341.8181818181818</v>
      </c>
      <c r="R29" s="179">
        <v>78.930481283422452</v>
      </c>
      <c r="S29" s="181">
        <f t="shared" si="2"/>
        <v>1</v>
      </c>
      <c r="T29" s="413"/>
      <c r="U29" s="181">
        <v>17</v>
      </c>
      <c r="V29" s="179">
        <v>1403.0769230769224</v>
      </c>
      <c r="W29" s="179">
        <v>82.533936651583673</v>
      </c>
      <c r="X29" s="181">
        <f t="shared" si="3"/>
        <v>1</v>
      </c>
      <c r="Y29" s="413"/>
      <c r="Z29" s="181">
        <v>17</v>
      </c>
      <c r="AA29" s="179">
        <v>1401.0810810810799</v>
      </c>
      <c r="AB29" s="179">
        <v>82.416534181239996</v>
      </c>
      <c r="AC29" s="181">
        <f t="shared" si="4"/>
        <v>1</v>
      </c>
      <c r="AD29" s="413"/>
      <c r="AE29" s="181">
        <v>17</v>
      </c>
      <c r="AF29" s="179">
        <v>1340.5714285714273</v>
      </c>
      <c r="AG29" s="179">
        <v>78.857142857142776</v>
      </c>
      <c r="AH29" s="181">
        <f t="shared" si="5"/>
        <v>1</v>
      </c>
      <c r="AI29" s="413"/>
      <c r="AJ29" s="181">
        <v>17</v>
      </c>
      <c r="AK29" s="179">
        <v>1415.2941176470606</v>
      </c>
      <c r="AL29" s="179">
        <v>83.252595155709443</v>
      </c>
      <c r="AM29" s="181">
        <f t="shared" si="6"/>
        <v>1</v>
      </c>
      <c r="AN29" s="413"/>
      <c r="AO29" s="181">
        <v>17</v>
      </c>
      <c r="AP29" s="179">
        <v>1397.1428571428567</v>
      </c>
      <c r="AQ29" s="179">
        <v>82.18487394957981</v>
      </c>
      <c r="AR29" s="181">
        <f t="shared" si="7"/>
        <v>1</v>
      </c>
      <c r="AS29" s="413"/>
      <c r="AT29" s="181">
        <v>17</v>
      </c>
      <c r="AU29" s="179">
        <v>1376.1702127659578</v>
      </c>
      <c r="AV29" s="179">
        <v>80.951188986232808</v>
      </c>
      <c r="AW29" s="181">
        <f t="shared" si="8"/>
        <v>1</v>
      </c>
      <c r="AX29" s="430"/>
    </row>
    <row r="30" spans="2:50">
      <c r="B30" s="400"/>
      <c r="C30" s="181">
        <v>4</v>
      </c>
      <c r="D30" s="196" t="s">
        <v>291</v>
      </c>
      <c r="E30" s="165">
        <v>17</v>
      </c>
      <c r="F30" s="181">
        <v>1440</v>
      </c>
      <c r="G30" s="179">
        <v>84.705882352941174</v>
      </c>
      <c r="H30" s="413"/>
      <c r="I30" s="165">
        <f t="shared" si="9"/>
        <v>17</v>
      </c>
      <c r="J30" s="165">
        <f t="shared" si="10"/>
        <v>1289.4014079364081</v>
      </c>
      <c r="K30" s="179">
        <f t="shared" si="11"/>
        <v>75.84714164331811</v>
      </c>
      <c r="L30" s="413"/>
      <c r="M30" s="180">
        <f>RANK(K30, K$27:$K$41)</f>
        <v>2</v>
      </c>
      <c r="N30" s="401"/>
      <c r="O30" s="401"/>
      <c r="P30" s="181">
        <v>17</v>
      </c>
      <c r="Q30" s="179">
        <v>1316.2299999999993</v>
      </c>
      <c r="R30" s="179">
        <v>77.425294117647013</v>
      </c>
      <c r="S30" s="181">
        <f t="shared" si="2"/>
        <v>2</v>
      </c>
      <c r="T30" s="413"/>
      <c r="U30" s="181">
        <v>17</v>
      </c>
      <c r="V30" s="179">
        <v>1290.5454545454538</v>
      </c>
      <c r="W30" s="179">
        <v>75.914438502673761</v>
      </c>
      <c r="X30" s="181">
        <f t="shared" si="3"/>
        <v>2</v>
      </c>
      <c r="Y30" s="413"/>
      <c r="Z30" s="181">
        <v>17</v>
      </c>
      <c r="AA30" s="179">
        <v>1283.9999999999995</v>
      </c>
      <c r="AB30" s="179">
        <v>75.529411764705856</v>
      </c>
      <c r="AC30" s="181">
        <f t="shared" si="4"/>
        <v>2</v>
      </c>
      <c r="AD30" s="413"/>
      <c r="AE30" s="181">
        <v>17</v>
      </c>
      <c r="AF30" s="179">
        <v>1261.8000000000002</v>
      </c>
      <c r="AG30" s="179">
        <v>74.223529411764716</v>
      </c>
      <c r="AH30" s="181">
        <f t="shared" si="5"/>
        <v>2</v>
      </c>
      <c r="AI30" s="413"/>
      <c r="AJ30" s="181">
        <v>17</v>
      </c>
      <c r="AK30" s="179">
        <v>1263.3027522935788</v>
      </c>
      <c r="AL30" s="179">
        <v>74.311926605504638</v>
      </c>
      <c r="AM30" s="181">
        <f t="shared" si="6"/>
        <v>2</v>
      </c>
      <c r="AN30" s="413"/>
      <c r="AO30" s="181">
        <v>17</v>
      </c>
      <c r="AP30" s="179">
        <v>1311.549295774648</v>
      </c>
      <c r="AQ30" s="179">
        <v>77.149958574979294</v>
      </c>
      <c r="AR30" s="181">
        <f t="shared" si="7"/>
        <v>2</v>
      </c>
      <c r="AS30" s="413"/>
      <c r="AT30" s="181">
        <v>17</v>
      </c>
      <c r="AU30" s="179">
        <v>1298.3823529411766</v>
      </c>
      <c r="AV30" s="179">
        <v>76.375432525951567</v>
      </c>
      <c r="AW30" s="181">
        <f t="shared" si="8"/>
        <v>2</v>
      </c>
      <c r="AX30" s="430"/>
    </row>
    <row r="31" spans="2:50">
      <c r="B31" s="400"/>
      <c r="C31" s="181">
        <v>5</v>
      </c>
      <c r="D31" s="196" t="s">
        <v>292</v>
      </c>
      <c r="E31" s="165">
        <v>19</v>
      </c>
      <c r="F31" s="181">
        <v>1440</v>
      </c>
      <c r="G31" s="179">
        <v>75.78947368421052</v>
      </c>
      <c r="H31" s="413"/>
      <c r="I31" s="165">
        <f t="shared" si="9"/>
        <v>19</v>
      </c>
      <c r="J31" s="165">
        <f t="shared" si="10"/>
        <v>1234.2624963831688</v>
      </c>
      <c r="K31" s="179">
        <f t="shared" si="11"/>
        <v>64.961184020166783</v>
      </c>
      <c r="L31" s="413"/>
      <c r="M31" s="180">
        <f>RANK(K31, K$27:$K$41)</f>
        <v>5</v>
      </c>
      <c r="N31" s="401"/>
      <c r="O31" s="401"/>
      <c r="P31" s="181">
        <v>19</v>
      </c>
      <c r="Q31" s="179">
        <v>1216.4705882352946</v>
      </c>
      <c r="R31" s="179">
        <v>64.024767801857607</v>
      </c>
      <c r="S31" s="181">
        <f t="shared" si="2"/>
        <v>5</v>
      </c>
      <c r="T31" s="413"/>
      <c r="U31" s="181">
        <v>19</v>
      </c>
      <c r="V31" s="179">
        <v>1251.6000000000004</v>
      </c>
      <c r="W31" s="179">
        <v>65.873684210526335</v>
      </c>
      <c r="X31" s="181">
        <f t="shared" si="3"/>
        <v>4</v>
      </c>
      <c r="Y31" s="413"/>
      <c r="Z31" s="181">
        <v>19</v>
      </c>
      <c r="AA31" s="179">
        <v>1262.6666666666667</v>
      </c>
      <c r="AB31" s="179">
        <v>66.456140350877192</v>
      </c>
      <c r="AC31" s="181">
        <f t="shared" si="4"/>
        <v>5</v>
      </c>
      <c r="AD31" s="413"/>
      <c r="AE31" s="181">
        <v>19</v>
      </c>
      <c r="AF31" s="179">
        <v>1243.062857142856</v>
      </c>
      <c r="AG31" s="179">
        <v>65.424360902255586</v>
      </c>
      <c r="AH31" s="181">
        <f t="shared" si="5"/>
        <v>4</v>
      </c>
      <c r="AI31" s="413"/>
      <c r="AJ31" s="181">
        <v>19</v>
      </c>
      <c r="AK31" s="179">
        <v>1241.4769230769225</v>
      </c>
      <c r="AL31" s="179">
        <v>65.34089068825908</v>
      </c>
      <c r="AM31" s="181">
        <f t="shared" si="6"/>
        <v>4</v>
      </c>
      <c r="AN31" s="413"/>
      <c r="AO31" s="181">
        <v>19</v>
      </c>
      <c r="AP31" s="179">
        <v>1210.7142857142867</v>
      </c>
      <c r="AQ31" s="179">
        <v>63.721804511278243</v>
      </c>
      <c r="AR31" s="181">
        <f t="shared" si="7"/>
        <v>5</v>
      </c>
      <c r="AS31" s="413"/>
      <c r="AT31" s="181">
        <v>19</v>
      </c>
      <c r="AU31" s="179">
        <v>1213.8461538461545</v>
      </c>
      <c r="AV31" s="179">
        <v>63.886639676113397</v>
      </c>
      <c r="AW31" s="181">
        <f t="shared" si="8"/>
        <v>5</v>
      </c>
      <c r="AX31" s="430"/>
    </row>
    <row r="32" spans="2:50">
      <c r="B32" s="400"/>
      <c r="C32" s="181">
        <v>6</v>
      </c>
      <c r="D32" s="196" t="s">
        <v>293</v>
      </c>
      <c r="E32" s="165">
        <v>20</v>
      </c>
      <c r="F32" s="181">
        <v>1385</v>
      </c>
      <c r="G32" s="179">
        <v>69.25</v>
      </c>
      <c r="H32" s="413"/>
      <c r="I32" s="165">
        <f t="shared" si="9"/>
        <v>20</v>
      </c>
      <c r="J32" s="165">
        <f t="shared" si="10"/>
        <v>1237.6887704964395</v>
      </c>
      <c r="K32" s="179">
        <f t="shared" si="11"/>
        <v>61.884438524821967</v>
      </c>
      <c r="L32" s="413"/>
      <c r="M32" s="180">
        <f>RANK(K32, K$27:$K$41)</f>
        <v>7</v>
      </c>
      <c r="N32" s="401"/>
      <c r="O32" s="401"/>
      <c r="P32" s="181">
        <v>20</v>
      </c>
      <c r="Q32" s="179">
        <v>1252.0312499999998</v>
      </c>
      <c r="R32" s="179">
        <v>62.601562499999986</v>
      </c>
      <c r="S32" s="181">
        <f t="shared" si="2"/>
        <v>7</v>
      </c>
      <c r="T32" s="413"/>
      <c r="U32" s="181">
        <v>20</v>
      </c>
      <c r="V32" s="179">
        <v>1217.0769230769229</v>
      </c>
      <c r="W32" s="179">
        <v>60.853846153846142</v>
      </c>
      <c r="X32" s="181">
        <f t="shared" si="3"/>
        <v>7</v>
      </c>
      <c r="Y32" s="413"/>
      <c r="Z32" s="181">
        <v>20</v>
      </c>
      <c r="AA32" s="179">
        <v>1216.7213114754093</v>
      </c>
      <c r="AB32" s="179">
        <v>60.836065573770462</v>
      </c>
      <c r="AC32" s="181">
        <f t="shared" si="4"/>
        <v>7</v>
      </c>
      <c r="AD32" s="413"/>
      <c r="AE32" s="181">
        <v>20</v>
      </c>
      <c r="AF32" s="179">
        <v>1263.9130434782608</v>
      </c>
      <c r="AG32" s="179">
        <v>63.195652173913039</v>
      </c>
      <c r="AH32" s="181">
        <f t="shared" si="5"/>
        <v>6</v>
      </c>
      <c r="AI32" s="413"/>
      <c r="AJ32" s="181">
        <v>20</v>
      </c>
      <c r="AK32" s="179">
        <v>1257.5510204081636</v>
      </c>
      <c r="AL32" s="179">
        <v>62.877551020408177</v>
      </c>
      <c r="AM32" s="181">
        <f t="shared" si="6"/>
        <v>6</v>
      </c>
      <c r="AN32" s="413"/>
      <c r="AO32" s="181">
        <v>20</v>
      </c>
      <c r="AP32" s="179">
        <v>1248.8135593220334</v>
      </c>
      <c r="AQ32" s="179">
        <v>62.440677966101667</v>
      </c>
      <c r="AR32" s="181">
        <f t="shared" si="7"/>
        <v>6</v>
      </c>
      <c r="AS32" s="413"/>
      <c r="AT32" s="181">
        <v>20</v>
      </c>
      <c r="AU32" s="179">
        <v>1207.714285714286</v>
      </c>
      <c r="AV32" s="179">
        <v>60.3857142857143</v>
      </c>
      <c r="AW32" s="181">
        <f t="shared" si="8"/>
        <v>7</v>
      </c>
      <c r="AX32" s="430"/>
    </row>
    <row r="33" spans="2:50">
      <c r="B33" s="400"/>
      <c r="C33" s="181">
        <v>7</v>
      </c>
      <c r="D33" s="196" t="s">
        <v>294</v>
      </c>
      <c r="E33" s="165">
        <v>20</v>
      </c>
      <c r="F33" s="181">
        <v>1440</v>
      </c>
      <c r="G33" s="179">
        <v>72</v>
      </c>
      <c r="H33" s="413"/>
      <c r="I33" s="165">
        <f t="shared" si="9"/>
        <v>20</v>
      </c>
      <c r="J33" s="165">
        <f t="shared" si="10"/>
        <v>1241.9101055323408</v>
      </c>
      <c r="K33" s="179">
        <f t="shared" si="11"/>
        <v>62.095505276617033</v>
      </c>
      <c r="L33" s="413"/>
      <c r="M33" s="180">
        <f>RANK(K33, K$27:$K$41)</f>
        <v>6</v>
      </c>
      <c r="N33" s="401"/>
      <c r="O33" s="401"/>
      <c r="P33" s="181">
        <v>20</v>
      </c>
      <c r="Q33" s="179">
        <v>1255.9615384615392</v>
      </c>
      <c r="R33" s="179">
        <v>62.798076923076962</v>
      </c>
      <c r="S33" s="181">
        <f t="shared" si="2"/>
        <v>6</v>
      </c>
      <c r="T33" s="413"/>
      <c r="U33" s="181">
        <v>20</v>
      </c>
      <c r="V33" s="179">
        <v>1238.2857142857149</v>
      </c>
      <c r="W33" s="179">
        <v>61.914285714285747</v>
      </c>
      <c r="X33" s="181">
        <f t="shared" si="3"/>
        <v>6</v>
      </c>
      <c r="Y33" s="413"/>
      <c r="Z33" s="181">
        <v>20</v>
      </c>
      <c r="AA33" s="179">
        <v>1256.8750000000002</v>
      </c>
      <c r="AB33" s="179">
        <v>62.843750000000014</v>
      </c>
      <c r="AC33" s="181">
        <f t="shared" si="4"/>
        <v>6</v>
      </c>
      <c r="AD33" s="413"/>
      <c r="AE33" s="181">
        <v>20</v>
      </c>
      <c r="AF33" s="179">
        <v>1210.9090909090901</v>
      </c>
      <c r="AG33" s="179">
        <v>60.545454545454504</v>
      </c>
      <c r="AH33" s="181">
        <f t="shared" si="5"/>
        <v>7</v>
      </c>
      <c r="AI33" s="413"/>
      <c r="AJ33" s="181">
        <v>20</v>
      </c>
      <c r="AK33" s="179">
        <v>1252.6829268292679</v>
      </c>
      <c r="AL33" s="179">
        <v>62.634146341463392</v>
      </c>
      <c r="AM33" s="181">
        <f t="shared" si="6"/>
        <v>7</v>
      </c>
      <c r="AN33" s="413"/>
      <c r="AO33" s="181">
        <v>20</v>
      </c>
      <c r="AP33" s="179">
        <v>1217.4193548387098</v>
      </c>
      <c r="AQ33" s="179">
        <v>60.870967741935488</v>
      </c>
      <c r="AR33" s="181">
        <f t="shared" si="7"/>
        <v>7</v>
      </c>
      <c r="AS33" s="413"/>
      <c r="AT33" s="181">
        <v>20</v>
      </c>
      <c r="AU33" s="179">
        <v>1261.2371134020623</v>
      </c>
      <c r="AV33" s="179">
        <v>63.061855670103114</v>
      </c>
      <c r="AW33" s="181">
        <f t="shared" si="8"/>
        <v>6</v>
      </c>
      <c r="AX33" s="430"/>
    </row>
    <row r="34" spans="2:50">
      <c r="B34" s="400"/>
      <c r="C34" s="181">
        <v>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80" t="e">
        <f>RANK(K34, K$27:$K$41)</f>
        <v>#N/A</v>
      </c>
      <c r="N34" s="401"/>
      <c r="O34" s="401"/>
      <c r="P34" s="181"/>
      <c r="Q34" s="179"/>
      <c r="R34" s="179"/>
      <c r="S34" s="181" t="e">
        <f t="shared" si="2"/>
        <v>#N/A</v>
      </c>
      <c r="T34" s="413"/>
      <c r="U34" s="181"/>
      <c r="V34" s="179"/>
      <c r="W34" s="179"/>
      <c r="X34" s="181" t="e">
        <f t="shared" si="3"/>
        <v>#N/A</v>
      </c>
      <c r="Y34" s="413"/>
      <c r="Z34" s="181"/>
      <c r="AA34" s="179"/>
      <c r="AB34" s="179"/>
      <c r="AC34" s="181" t="e">
        <f t="shared" si="4"/>
        <v>#N/A</v>
      </c>
      <c r="AD34" s="413"/>
      <c r="AE34" s="181"/>
      <c r="AF34" s="179"/>
      <c r="AG34" s="179"/>
      <c r="AH34" s="181" t="e">
        <f t="shared" si="5"/>
        <v>#N/A</v>
      </c>
      <c r="AI34" s="413"/>
      <c r="AJ34" s="181"/>
      <c r="AK34" s="179"/>
      <c r="AL34" s="179"/>
      <c r="AM34" s="181" t="e">
        <f t="shared" si="6"/>
        <v>#N/A</v>
      </c>
      <c r="AN34" s="413"/>
      <c r="AO34" s="181"/>
      <c r="AP34" s="179"/>
      <c r="AQ34" s="179"/>
      <c r="AR34" s="181" t="e">
        <f t="shared" si="7"/>
        <v>#N/A</v>
      </c>
      <c r="AS34" s="413"/>
      <c r="AT34" s="181"/>
      <c r="AU34" s="179"/>
      <c r="AV34" s="179"/>
      <c r="AW34" s="181" t="e">
        <f t="shared" si="8"/>
        <v>#N/A</v>
      </c>
      <c r="AX34" s="430"/>
    </row>
    <row r="35" spans="2:50">
      <c r="B35" s="400"/>
      <c r="C35" s="181">
        <v>9</v>
      </c>
      <c r="D35" s="196"/>
      <c r="E35" s="165"/>
      <c r="F35" s="181"/>
      <c r="G35" s="179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81"/>
      <c r="Q35" s="179"/>
      <c r="R35" s="179"/>
      <c r="S35" s="181" t="e">
        <f t="shared" si="2"/>
        <v>#N/A</v>
      </c>
      <c r="T35" s="413"/>
      <c r="U35" s="181"/>
      <c r="V35" s="179"/>
      <c r="W35" s="179"/>
      <c r="X35" s="181" t="e">
        <f t="shared" si="3"/>
        <v>#N/A</v>
      </c>
      <c r="Y35" s="413"/>
      <c r="Z35" s="181"/>
      <c r="AA35" s="179"/>
      <c r="AB35" s="179"/>
      <c r="AC35" s="181" t="e">
        <f t="shared" si="4"/>
        <v>#N/A</v>
      </c>
      <c r="AD35" s="413"/>
      <c r="AE35" s="181"/>
      <c r="AF35" s="179"/>
      <c r="AG35" s="179"/>
      <c r="AH35" s="181" t="e">
        <f t="shared" si="5"/>
        <v>#N/A</v>
      </c>
      <c r="AI35" s="413"/>
      <c r="AJ35" s="181"/>
      <c r="AK35" s="179"/>
      <c r="AL35" s="179"/>
      <c r="AM35" s="181" t="e">
        <f t="shared" si="6"/>
        <v>#N/A</v>
      </c>
      <c r="AN35" s="413"/>
      <c r="AO35" s="181"/>
      <c r="AP35" s="179"/>
      <c r="AQ35" s="179"/>
      <c r="AR35" s="181" t="e">
        <f t="shared" si="7"/>
        <v>#N/A</v>
      </c>
      <c r="AS35" s="413"/>
      <c r="AT35" s="181"/>
      <c r="AU35" s="179"/>
      <c r="AV35" s="179"/>
      <c r="AW35" s="181" t="e">
        <f t="shared" si="8"/>
        <v>#N/A</v>
      </c>
      <c r="AX35" s="430"/>
    </row>
    <row r="36" spans="2:50">
      <c r="B36" s="400"/>
      <c r="C36" s="181">
        <v>10</v>
      </c>
      <c r="D36" s="196"/>
      <c r="E36" s="165"/>
      <c r="F36" s="181"/>
      <c r="G36" s="179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81"/>
      <c r="Q36" s="179"/>
      <c r="R36" s="179"/>
      <c r="S36" s="181" t="e">
        <f t="shared" si="2"/>
        <v>#N/A</v>
      </c>
      <c r="T36" s="413"/>
      <c r="U36" s="181"/>
      <c r="V36" s="179"/>
      <c r="W36" s="179"/>
      <c r="X36" s="181" t="e">
        <f t="shared" si="3"/>
        <v>#N/A</v>
      </c>
      <c r="Y36" s="413"/>
      <c r="Z36" s="181"/>
      <c r="AA36" s="179"/>
      <c r="AB36" s="179"/>
      <c r="AC36" s="181" t="e">
        <f t="shared" si="4"/>
        <v>#N/A</v>
      </c>
      <c r="AD36" s="413"/>
      <c r="AE36" s="181"/>
      <c r="AF36" s="179"/>
      <c r="AG36" s="179"/>
      <c r="AH36" s="181" t="e">
        <f t="shared" si="5"/>
        <v>#N/A</v>
      </c>
      <c r="AI36" s="413"/>
      <c r="AJ36" s="181"/>
      <c r="AK36" s="179"/>
      <c r="AL36" s="179"/>
      <c r="AM36" s="181" t="e">
        <f t="shared" si="6"/>
        <v>#N/A</v>
      </c>
      <c r="AN36" s="413"/>
      <c r="AO36" s="181"/>
      <c r="AP36" s="179"/>
      <c r="AQ36" s="179"/>
      <c r="AR36" s="181" t="e">
        <f t="shared" si="7"/>
        <v>#N/A</v>
      </c>
      <c r="AS36" s="413"/>
      <c r="AT36" s="181"/>
      <c r="AU36" s="179"/>
      <c r="AV36" s="179"/>
      <c r="AW36" s="181" t="e">
        <f t="shared" si="8"/>
        <v>#N/A</v>
      </c>
      <c r="AX36" s="43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81"/>
      <c r="Q37" s="179"/>
      <c r="R37" s="179"/>
      <c r="S37" s="181" t="e">
        <f t="shared" si="2"/>
        <v>#N/A</v>
      </c>
      <c r="T37" s="413"/>
      <c r="U37" s="181"/>
      <c r="V37" s="179"/>
      <c r="W37" s="179"/>
      <c r="X37" s="181" t="e">
        <f t="shared" si="3"/>
        <v>#N/A</v>
      </c>
      <c r="Y37" s="413"/>
      <c r="Z37" s="181"/>
      <c r="AA37" s="179"/>
      <c r="AB37" s="179"/>
      <c r="AC37" s="181" t="e">
        <f t="shared" si="4"/>
        <v>#N/A</v>
      </c>
      <c r="AD37" s="413"/>
      <c r="AE37" s="181"/>
      <c r="AF37" s="179"/>
      <c r="AG37" s="179"/>
      <c r="AH37" s="181" t="e">
        <f t="shared" si="5"/>
        <v>#N/A</v>
      </c>
      <c r="AI37" s="413"/>
      <c r="AJ37" s="181"/>
      <c r="AK37" s="179"/>
      <c r="AL37" s="179"/>
      <c r="AM37" s="181" t="e">
        <f t="shared" si="6"/>
        <v>#N/A</v>
      </c>
      <c r="AN37" s="413"/>
      <c r="AO37" s="181"/>
      <c r="AP37" s="179"/>
      <c r="AQ37" s="179"/>
      <c r="AR37" s="181" t="e">
        <f t="shared" si="7"/>
        <v>#N/A</v>
      </c>
      <c r="AS37" s="413"/>
      <c r="AT37" s="181"/>
      <c r="AU37" s="179"/>
      <c r="AV37" s="179"/>
      <c r="AW37" s="181" t="e">
        <f t="shared" si="8"/>
        <v>#N/A</v>
      </c>
      <c r="AX37" s="43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81"/>
      <c r="Q38" s="179"/>
      <c r="R38" s="179"/>
      <c r="S38" s="181" t="e">
        <f t="shared" si="2"/>
        <v>#N/A</v>
      </c>
      <c r="T38" s="413"/>
      <c r="U38" s="181"/>
      <c r="V38" s="181"/>
      <c r="W38" s="181"/>
      <c r="X38" s="181" t="e">
        <f t="shared" si="3"/>
        <v>#N/A</v>
      </c>
      <c r="Y38" s="413"/>
      <c r="Z38" s="181"/>
      <c r="AA38" s="181"/>
      <c r="AB38" s="181"/>
      <c r="AC38" s="181" t="e">
        <f t="shared" si="4"/>
        <v>#N/A</v>
      </c>
      <c r="AD38" s="413"/>
      <c r="AE38" s="181"/>
      <c r="AF38" s="181"/>
      <c r="AG38" s="181"/>
      <c r="AH38" s="181" t="e">
        <f t="shared" si="5"/>
        <v>#N/A</v>
      </c>
      <c r="AI38" s="413"/>
      <c r="AJ38" s="181"/>
      <c r="AK38" s="181"/>
      <c r="AL38" s="181"/>
      <c r="AM38" s="181" t="e">
        <f t="shared" si="6"/>
        <v>#N/A</v>
      </c>
      <c r="AN38" s="413"/>
      <c r="AO38" s="181"/>
      <c r="AP38" s="181"/>
      <c r="AQ38" s="181"/>
      <c r="AR38" s="181" t="e">
        <f t="shared" si="7"/>
        <v>#N/A</v>
      </c>
      <c r="AS38" s="413"/>
      <c r="AT38" s="181"/>
      <c r="AU38" s="181"/>
      <c r="AV38" s="181"/>
      <c r="AW38" s="181" t="e">
        <f t="shared" si="8"/>
        <v>#N/A</v>
      </c>
      <c r="AX38" s="43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81"/>
      <c r="Q39" s="179"/>
      <c r="R39" s="179"/>
      <c r="S39" s="181" t="e">
        <f t="shared" si="2"/>
        <v>#N/A</v>
      </c>
      <c r="T39" s="413"/>
      <c r="U39" s="181"/>
      <c r="V39" s="181"/>
      <c r="W39" s="181"/>
      <c r="X39" s="181" t="e">
        <f t="shared" si="3"/>
        <v>#N/A</v>
      </c>
      <c r="Y39" s="413"/>
      <c r="Z39" s="181"/>
      <c r="AA39" s="181"/>
      <c r="AB39" s="181"/>
      <c r="AC39" s="181" t="e">
        <f t="shared" si="4"/>
        <v>#N/A</v>
      </c>
      <c r="AD39" s="413"/>
      <c r="AE39" s="181"/>
      <c r="AF39" s="181"/>
      <c r="AG39" s="181"/>
      <c r="AH39" s="181" t="e">
        <f t="shared" si="5"/>
        <v>#N/A</v>
      </c>
      <c r="AI39" s="413"/>
      <c r="AJ39" s="181"/>
      <c r="AK39" s="181"/>
      <c r="AL39" s="181"/>
      <c r="AM39" s="181" t="e">
        <f t="shared" si="6"/>
        <v>#N/A</v>
      </c>
      <c r="AN39" s="413"/>
      <c r="AO39" s="181"/>
      <c r="AP39" s="181"/>
      <c r="AQ39" s="181"/>
      <c r="AR39" s="181" t="e">
        <f t="shared" si="7"/>
        <v>#N/A</v>
      </c>
      <c r="AS39" s="413"/>
      <c r="AT39" s="181"/>
      <c r="AU39" s="181"/>
      <c r="AV39" s="181"/>
      <c r="AW39" s="181" t="e">
        <f t="shared" si="8"/>
        <v>#N/A</v>
      </c>
      <c r="AX39" s="43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81"/>
      <c r="Q40" s="179"/>
      <c r="R40" s="179"/>
      <c r="S40" s="181" t="e">
        <f t="shared" si="2"/>
        <v>#N/A</v>
      </c>
      <c r="T40" s="413"/>
      <c r="U40" s="181"/>
      <c r="V40" s="181"/>
      <c r="W40" s="181"/>
      <c r="X40" s="181" t="e">
        <f t="shared" si="3"/>
        <v>#N/A</v>
      </c>
      <c r="Y40" s="413"/>
      <c r="Z40" s="181"/>
      <c r="AA40" s="181"/>
      <c r="AB40" s="181"/>
      <c r="AC40" s="181" t="e">
        <f t="shared" si="4"/>
        <v>#N/A</v>
      </c>
      <c r="AD40" s="413"/>
      <c r="AE40" s="181"/>
      <c r="AF40" s="181"/>
      <c r="AG40" s="181"/>
      <c r="AH40" s="181" t="e">
        <f t="shared" si="5"/>
        <v>#N/A</v>
      </c>
      <c r="AI40" s="413"/>
      <c r="AJ40" s="181"/>
      <c r="AK40" s="181"/>
      <c r="AL40" s="181"/>
      <c r="AM40" s="181" t="e">
        <f t="shared" si="6"/>
        <v>#N/A</v>
      </c>
      <c r="AN40" s="413"/>
      <c r="AO40" s="181"/>
      <c r="AP40" s="181"/>
      <c r="AQ40" s="181"/>
      <c r="AR40" s="181" t="e">
        <f t="shared" si="7"/>
        <v>#N/A</v>
      </c>
      <c r="AS40" s="413"/>
      <c r="AT40" s="181"/>
      <c r="AU40" s="181"/>
      <c r="AV40" s="181"/>
      <c r="AW40" s="181" t="e">
        <f t="shared" si="8"/>
        <v>#N/A</v>
      </c>
      <c r="AX40" s="43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81"/>
      <c r="Q41" s="179"/>
      <c r="R41" s="179"/>
      <c r="S41" s="181" t="e">
        <f t="shared" si="2"/>
        <v>#N/A</v>
      </c>
      <c r="T41" s="414"/>
      <c r="U41" s="181"/>
      <c r="V41" s="181"/>
      <c r="W41" s="181"/>
      <c r="X41" s="181" t="e">
        <f t="shared" si="3"/>
        <v>#N/A</v>
      </c>
      <c r="Y41" s="414"/>
      <c r="Z41" s="181"/>
      <c r="AA41" s="181"/>
      <c r="AB41" s="181"/>
      <c r="AC41" s="181" t="e">
        <f t="shared" si="4"/>
        <v>#N/A</v>
      </c>
      <c r="AD41" s="414"/>
      <c r="AE41" s="181"/>
      <c r="AF41" s="181"/>
      <c r="AG41" s="181"/>
      <c r="AH41" s="181" t="e">
        <f t="shared" si="5"/>
        <v>#N/A</v>
      </c>
      <c r="AI41" s="414"/>
      <c r="AJ41" s="181"/>
      <c r="AK41" s="181"/>
      <c r="AL41" s="181"/>
      <c r="AM41" s="181" t="e">
        <f t="shared" si="6"/>
        <v>#N/A</v>
      </c>
      <c r="AN41" s="414"/>
      <c r="AO41" s="181"/>
      <c r="AP41" s="181"/>
      <c r="AQ41" s="181"/>
      <c r="AR41" s="181" t="e">
        <f t="shared" si="7"/>
        <v>#N/A</v>
      </c>
      <c r="AS41" s="414"/>
      <c r="AT41" s="181"/>
      <c r="AU41" s="181"/>
      <c r="AV41" s="181"/>
      <c r="AW41" s="181" t="e">
        <f t="shared" si="8"/>
        <v>#N/A</v>
      </c>
      <c r="AX41" s="430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01" t="s">
        <v>173</v>
      </c>
      <c r="C47" s="181">
        <v>1</v>
      </c>
      <c r="D47" s="196" t="s">
        <v>288</v>
      </c>
      <c r="E47" s="165">
        <v>19</v>
      </c>
      <c r="F47" s="181">
        <v>1440</v>
      </c>
      <c r="G47" s="179">
        <v>75.78947368421052</v>
      </c>
      <c r="H47" s="412">
        <f>AVERAGE(G47:G61)</f>
        <v>78.50851393188853</v>
      </c>
      <c r="I47" s="165">
        <f>AVERAGE(P47,U47,Z47,AE47,AJ47,AO47,AT47)</f>
        <v>19</v>
      </c>
      <c r="J47" s="165">
        <f>AVERAGE(Q47,V47,AA47,AF47,AK47,AP47,AU47)</f>
        <v>1246.9947197878428</v>
      </c>
      <c r="K47" s="179">
        <f>AVERAGE(R47,W47,AB47,AG47,AL47,AQ47,AV47)</f>
        <v>65.63130104146542</v>
      </c>
      <c r="L47" s="412">
        <f>IFERROR(AVERAGE(K47:K61),"-")</f>
        <v>68.06287119219094</v>
      </c>
      <c r="M47" s="180">
        <f>RANK(K47, K$47:$K$61)</f>
        <v>3</v>
      </c>
      <c r="N47" s="401"/>
      <c r="O47" s="401"/>
      <c r="P47" s="181">
        <v>19</v>
      </c>
      <c r="Q47" s="179">
        <v>1267.1541984732823</v>
      </c>
      <c r="R47" s="179">
        <v>66.692326235435914</v>
      </c>
      <c r="S47" s="181">
        <f>RANK(R47, R$47:R$61)</f>
        <v>3</v>
      </c>
      <c r="T47" s="412">
        <f>AVERAGE(R47:R61)</f>
        <v>68.889219704278489</v>
      </c>
      <c r="U47" s="181">
        <v>19</v>
      </c>
      <c r="V47" s="179">
        <v>1260.514285714286</v>
      </c>
      <c r="W47" s="179">
        <v>66.342857142857156</v>
      </c>
      <c r="X47" s="181">
        <f>RANK(W47, W$47:W$61)</f>
        <v>3</v>
      </c>
      <c r="Y47" s="412">
        <f>AVERAGE(W47:W61)</f>
        <v>68.479767435179667</v>
      </c>
      <c r="Z47" s="181">
        <v>19</v>
      </c>
      <c r="AA47" s="179">
        <v>1259.3068965517241</v>
      </c>
      <c r="AB47" s="179">
        <v>66.279310344827579</v>
      </c>
      <c r="AC47" s="181">
        <f>RANK(AB47, AB$47:AB$61)</f>
        <v>3</v>
      </c>
      <c r="AD47" s="412">
        <f>AVERAGE(AB47:AB61)</f>
        <v>68.303055403370337</v>
      </c>
      <c r="AE47" s="181">
        <v>19</v>
      </c>
      <c r="AF47" s="179">
        <v>1247.0905263157895</v>
      </c>
      <c r="AG47" s="179">
        <v>65.636343490304711</v>
      </c>
      <c r="AH47" s="181">
        <f>RANK(AG47, AG$47:AG$61)</f>
        <v>3</v>
      </c>
      <c r="AI47" s="412">
        <f>AVERAGE(AG47:AG61)</f>
        <v>68.142991098812544</v>
      </c>
      <c r="AJ47" s="181">
        <v>19</v>
      </c>
      <c r="AK47" s="179">
        <v>1220.7222222222222</v>
      </c>
      <c r="AL47" s="179">
        <v>64.248538011695899</v>
      </c>
      <c r="AM47" s="181">
        <f>RANK(AL47, AL$47:AL$61)</f>
        <v>5</v>
      </c>
      <c r="AN47" s="412">
        <f>AVERAGE(AL47:AL61)</f>
        <v>67.869466956875087</v>
      </c>
      <c r="AO47" s="181">
        <v>19</v>
      </c>
      <c r="AP47" s="179">
        <v>1251.8776119402985</v>
      </c>
      <c r="AQ47" s="179">
        <v>65.888295365278864</v>
      </c>
      <c r="AR47" s="181">
        <f>RANK(AQ47, AQ$47:AQ$61)</f>
        <v>4</v>
      </c>
      <c r="AS47" s="412">
        <f>AVERAGE(AQ47:AQ61)</f>
        <v>67.609977451565683</v>
      </c>
      <c r="AT47" s="181">
        <v>19</v>
      </c>
      <c r="AU47" s="179">
        <v>1222.2972972972971</v>
      </c>
      <c r="AV47" s="179">
        <v>64.331436699857747</v>
      </c>
      <c r="AW47" s="181">
        <f>RANK(AV47, AV$47:AV$61)</f>
        <v>5</v>
      </c>
      <c r="AX47" s="430">
        <f>AVERAGE(AV47:AV61)</f>
        <v>67.145620295254759</v>
      </c>
    </row>
    <row r="48" spans="2:50">
      <c r="B48" s="400"/>
      <c r="C48" s="181">
        <v>2</v>
      </c>
      <c r="D48" s="196" t="s">
        <v>289</v>
      </c>
      <c r="E48" s="165">
        <v>19</v>
      </c>
      <c r="F48" s="181">
        <v>1440</v>
      </c>
      <c r="G48" s="179">
        <v>75.78947368421052</v>
      </c>
      <c r="H48" s="413"/>
      <c r="I48" s="165">
        <f t="shared" ref="I48:I53" si="12">AVERAGE(P48,U48,Z48,AE48,AJ48,AO48,AT48)</f>
        <v>19</v>
      </c>
      <c r="J48" s="165">
        <f t="shared" ref="J48:J53" si="13">AVERAGE(Q48,V48,AA48,AF48,AK48,AP48,AU48)</f>
        <v>1241.4475760067476</v>
      </c>
      <c r="K48" s="179">
        <f t="shared" ref="K48:K53" si="14">AVERAGE(R48,W48,AB48,AG48,AL48,AQ48,AV48)</f>
        <v>65.339346105618304</v>
      </c>
      <c r="L48" s="413"/>
      <c r="M48" s="180">
        <f>RANK(K48, K$47:$K$61)</f>
        <v>4</v>
      </c>
      <c r="N48" s="401"/>
      <c r="O48" s="401"/>
      <c r="P48" s="181">
        <v>19</v>
      </c>
      <c r="Q48" s="179">
        <v>1260.8695652173899</v>
      </c>
      <c r="R48" s="179">
        <v>66.361556064073156</v>
      </c>
      <c r="S48" s="181">
        <f t="shared" ref="S48:S61" si="15">RANK(R48, R$47:R$61)</f>
        <v>4</v>
      </c>
      <c r="T48" s="413"/>
      <c r="U48" s="181">
        <v>19</v>
      </c>
      <c r="V48" s="179">
        <v>1239.7183098591536</v>
      </c>
      <c r="W48" s="179">
        <v>65.248332097850195</v>
      </c>
      <c r="X48" s="181">
        <f t="shared" ref="X48:X61" si="16">RANK(W48, W$47:W$61)</f>
        <v>5</v>
      </c>
      <c r="Y48" s="413"/>
      <c r="Z48" s="181">
        <v>19</v>
      </c>
      <c r="AA48" s="179">
        <v>1255.3846153846152</v>
      </c>
      <c r="AB48" s="179">
        <v>66.072874493927117</v>
      </c>
      <c r="AC48" s="181">
        <f t="shared" ref="AC48:AC61" si="17">RANK(AB48, AB$47:AB$61)</f>
        <v>4</v>
      </c>
      <c r="AD48" s="413"/>
      <c r="AE48" s="181">
        <v>19</v>
      </c>
      <c r="AF48" s="179">
        <v>1222.9787234042553</v>
      </c>
      <c r="AG48" s="179">
        <v>64.367301231802912</v>
      </c>
      <c r="AH48" s="181">
        <f t="shared" ref="AH48:AH61" si="18">RANK(AG48, AG$47:AG$61)</f>
        <v>4</v>
      </c>
      <c r="AI48" s="413"/>
      <c r="AJ48" s="181">
        <v>19</v>
      </c>
      <c r="AK48" s="179">
        <v>1247.7272727272727</v>
      </c>
      <c r="AL48" s="179">
        <v>65.669856459330148</v>
      </c>
      <c r="AM48" s="181">
        <f t="shared" ref="AM48:AM61" si="19">RANK(AL48, AL$47:AL$61)</f>
        <v>4</v>
      </c>
      <c r="AN48" s="413"/>
      <c r="AO48" s="181">
        <v>19</v>
      </c>
      <c r="AP48" s="179">
        <v>1215.4545454545455</v>
      </c>
      <c r="AQ48" s="179">
        <v>63.971291866028707</v>
      </c>
      <c r="AR48" s="181">
        <f t="shared" ref="AR48:AR61" si="20">RANK(AQ48, AQ$47:AQ$61)</f>
        <v>5</v>
      </c>
      <c r="AS48" s="413"/>
      <c r="AT48" s="181">
        <v>19</v>
      </c>
      <c r="AU48" s="179">
        <v>1248.0000000000014</v>
      </c>
      <c r="AV48" s="179">
        <v>65.684210526315866</v>
      </c>
      <c r="AW48" s="181">
        <f t="shared" ref="AW48:AW61" si="21">RANK(AV48, AV$47:AV$61)</f>
        <v>3</v>
      </c>
      <c r="AX48" s="430"/>
    </row>
    <row r="49" spans="2:50">
      <c r="B49" s="400"/>
      <c r="C49" s="181">
        <v>3</v>
      </c>
      <c r="D49" s="196" t="s">
        <v>290</v>
      </c>
      <c r="E49" s="165">
        <v>17</v>
      </c>
      <c r="F49" s="181">
        <v>1636</v>
      </c>
      <c r="G49" s="179">
        <v>96.235294117647058</v>
      </c>
      <c r="H49" s="413"/>
      <c r="I49" s="165">
        <f t="shared" si="12"/>
        <v>17</v>
      </c>
      <c r="J49" s="165">
        <f t="shared" si="13"/>
        <v>1386.0361377752677</v>
      </c>
      <c r="K49" s="179">
        <f t="shared" si="14"/>
        <v>81.531537516192216</v>
      </c>
      <c r="L49" s="413"/>
      <c r="M49" s="180">
        <f>RANK(K49, K$47:$K$61)</f>
        <v>1</v>
      </c>
      <c r="N49" s="401"/>
      <c r="O49" s="401"/>
      <c r="P49" s="181">
        <v>17</v>
      </c>
      <c r="Q49" s="179">
        <v>1390.4347826086957</v>
      </c>
      <c r="R49" s="179">
        <v>81.790281329923275</v>
      </c>
      <c r="S49" s="181">
        <f t="shared" si="15"/>
        <v>1</v>
      </c>
      <c r="T49" s="413"/>
      <c r="U49" s="181">
        <v>17</v>
      </c>
      <c r="V49" s="179">
        <v>1388.9999999999995</v>
      </c>
      <c r="W49" s="179">
        <v>81.705882352941146</v>
      </c>
      <c r="X49" s="181">
        <f t="shared" si="16"/>
        <v>1</v>
      </c>
      <c r="Y49" s="413"/>
      <c r="Z49" s="181">
        <v>17</v>
      </c>
      <c r="AA49" s="179">
        <v>1408.3333333333321</v>
      </c>
      <c r="AB49" s="179">
        <v>82.84313725490189</v>
      </c>
      <c r="AC49" s="181">
        <f t="shared" si="17"/>
        <v>1</v>
      </c>
      <c r="AD49" s="413"/>
      <c r="AE49" s="181">
        <v>17</v>
      </c>
      <c r="AF49" s="179">
        <v>1401.6666666666656</v>
      </c>
      <c r="AG49" s="179">
        <v>82.450980392156794</v>
      </c>
      <c r="AH49" s="181">
        <f t="shared" si="18"/>
        <v>1</v>
      </c>
      <c r="AI49" s="413"/>
      <c r="AJ49" s="181">
        <v>17</v>
      </c>
      <c r="AK49" s="179">
        <v>1349.9999999999995</v>
      </c>
      <c r="AL49" s="179">
        <v>79.41176470588232</v>
      </c>
      <c r="AM49" s="181">
        <f t="shared" si="19"/>
        <v>1</v>
      </c>
      <c r="AN49" s="413"/>
      <c r="AO49" s="181">
        <v>17</v>
      </c>
      <c r="AP49" s="179">
        <v>1376</v>
      </c>
      <c r="AQ49" s="179">
        <v>80.941176470588232</v>
      </c>
      <c r="AR49" s="181">
        <f t="shared" si="20"/>
        <v>1</v>
      </c>
      <c r="AS49" s="413"/>
      <c r="AT49" s="181">
        <v>17</v>
      </c>
      <c r="AU49" s="179">
        <v>1386.8181818181818</v>
      </c>
      <c r="AV49" s="179">
        <v>81.577540106951872</v>
      </c>
      <c r="AW49" s="181">
        <f t="shared" si="21"/>
        <v>1</v>
      </c>
      <c r="AX49" s="430"/>
    </row>
    <row r="50" spans="2:50">
      <c r="B50" s="400"/>
      <c r="C50" s="181">
        <v>4</v>
      </c>
      <c r="D50" s="196" t="s">
        <v>291</v>
      </c>
      <c r="E50" s="165">
        <v>17</v>
      </c>
      <c r="F50" s="181">
        <v>1440</v>
      </c>
      <c r="G50" s="179">
        <v>84.705882352941174</v>
      </c>
      <c r="H50" s="413"/>
      <c r="I50" s="165">
        <f t="shared" si="12"/>
        <v>17.142857142857142</v>
      </c>
      <c r="J50" s="165">
        <f t="shared" si="13"/>
        <v>1268.4583119340457</v>
      </c>
      <c r="K50" s="179">
        <f t="shared" si="14"/>
        <v>74.03704355914553</v>
      </c>
      <c r="L50" s="413"/>
      <c r="M50" s="180">
        <f>RANK(K50, K$47:$K$61)</f>
        <v>2</v>
      </c>
      <c r="N50" s="401"/>
      <c r="O50" s="401"/>
      <c r="P50" s="181">
        <v>17</v>
      </c>
      <c r="Q50" s="179">
        <v>1269.0000000000002</v>
      </c>
      <c r="R50" s="179">
        <v>74.64705882352942</v>
      </c>
      <c r="S50" s="181">
        <f t="shared" si="15"/>
        <v>2</v>
      </c>
      <c r="T50" s="413"/>
      <c r="U50" s="181">
        <v>17</v>
      </c>
      <c r="V50" s="179">
        <v>1280.5714285714284</v>
      </c>
      <c r="W50" s="179">
        <v>75.327731092436963</v>
      </c>
      <c r="X50" s="181">
        <f t="shared" si="16"/>
        <v>2</v>
      </c>
      <c r="Y50" s="413"/>
      <c r="Z50" s="181">
        <v>17</v>
      </c>
      <c r="AA50" s="179">
        <v>1289.2499999999991</v>
      </c>
      <c r="AB50" s="179">
        <v>75.838235294117595</v>
      </c>
      <c r="AC50" s="181">
        <f t="shared" si="17"/>
        <v>2</v>
      </c>
      <c r="AD50" s="413"/>
      <c r="AE50" s="181">
        <v>17</v>
      </c>
      <c r="AF50" s="179">
        <v>1280.0000000000009</v>
      </c>
      <c r="AG50" s="179">
        <v>75.294117647058883</v>
      </c>
      <c r="AH50" s="181">
        <f t="shared" si="18"/>
        <v>2</v>
      </c>
      <c r="AI50" s="413"/>
      <c r="AJ50" s="181">
        <v>17</v>
      </c>
      <c r="AK50" s="179">
        <v>1259.9999999999995</v>
      </c>
      <c r="AL50" s="179">
        <v>74.117647058823508</v>
      </c>
      <c r="AM50" s="181">
        <f t="shared" si="19"/>
        <v>2</v>
      </c>
      <c r="AN50" s="413"/>
      <c r="AO50" s="181">
        <v>17</v>
      </c>
      <c r="AP50" s="179">
        <v>1261.9867549668877</v>
      </c>
      <c r="AQ50" s="179">
        <v>74.234514998052219</v>
      </c>
      <c r="AR50" s="181">
        <f t="shared" si="20"/>
        <v>2</v>
      </c>
      <c r="AS50" s="413"/>
      <c r="AT50" s="181">
        <v>18</v>
      </c>
      <c r="AU50" s="179">
        <v>1238.4000000000042</v>
      </c>
      <c r="AV50" s="179">
        <v>68.800000000000239</v>
      </c>
      <c r="AW50" s="181">
        <f t="shared" si="21"/>
        <v>2</v>
      </c>
      <c r="AX50" s="430"/>
    </row>
    <row r="51" spans="2:50">
      <c r="B51" s="400"/>
      <c r="C51" s="181">
        <v>5</v>
      </c>
      <c r="D51" s="196" t="s">
        <v>292</v>
      </c>
      <c r="E51" s="165">
        <v>19</v>
      </c>
      <c r="F51" s="181">
        <v>1440</v>
      </c>
      <c r="G51" s="179">
        <v>75.78947368421052</v>
      </c>
      <c r="H51" s="413"/>
      <c r="I51" s="165">
        <f t="shared" si="12"/>
        <v>19</v>
      </c>
      <c r="J51" s="165">
        <f t="shared" si="13"/>
        <v>1240.7366540079311</v>
      </c>
      <c r="K51" s="179">
        <f t="shared" si="14"/>
        <v>65.301929158312149</v>
      </c>
      <c r="L51" s="413"/>
      <c r="M51" s="180">
        <f>RANK(K51, K$47:$K$61)</f>
        <v>5</v>
      </c>
      <c r="N51" s="401"/>
      <c r="O51" s="401"/>
      <c r="P51" s="181">
        <v>19</v>
      </c>
      <c r="Q51" s="179">
        <v>1254.4444444444453</v>
      </c>
      <c r="R51" s="179">
        <v>66.02339181286554</v>
      </c>
      <c r="S51" s="181">
        <f t="shared" si="15"/>
        <v>5</v>
      </c>
      <c r="T51" s="413"/>
      <c r="U51" s="181">
        <v>19</v>
      </c>
      <c r="V51" s="179">
        <v>1257.6923076923085</v>
      </c>
      <c r="W51" s="179">
        <v>66.194331983805711</v>
      </c>
      <c r="X51" s="181">
        <f t="shared" si="16"/>
        <v>4</v>
      </c>
      <c r="Y51" s="413"/>
      <c r="Z51" s="181">
        <v>19</v>
      </c>
      <c r="AA51" s="179">
        <v>1221.1764705882358</v>
      </c>
      <c r="AB51" s="179">
        <v>64.272445820433461</v>
      </c>
      <c r="AC51" s="181">
        <f t="shared" si="17"/>
        <v>5</v>
      </c>
      <c r="AD51" s="413"/>
      <c r="AE51" s="181">
        <v>19</v>
      </c>
      <c r="AF51" s="179">
        <v>1214.0425531914896</v>
      </c>
      <c r="AG51" s="179">
        <v>63.896976483762607</v>
      </c>
      <c r="AH51" s="181">
        <f t="shared" si="18"/>
        <v>5</v>
      </c>
      <c r="AI51" s="413"/>
      <c r="AJ51" s="181">
        <v>19</v>
      </c>
      <c r="AK51" s="179">
        <v>1251.2500000000002</v>
      </c>
      <c r="AL51" s="179">
        <v>65.855263157894754</v>
      </c>
      <c r="AM51" s="181">
        <f t="shared" si="19"/>
        <v>3</v>
      </c>
      <c r="AN51" s="413"/>
      <c r="AO51" s="181">
        <v>19</v>
      </c>
      <c r="AP51" s="179">
        <v>1253.823529411763</v>
      </c>
      <c r="AQ51" s="179">
        <v>65.990712074303318</v>
      </c>
      <c r="AR51" s="181">
        <f t="shared" si="20"/>
        <v>3</v>
      </c>
      <c r="AS51" s="413"/>
      <c r="AT51" s="181">
        <v>19</v>
      </c>
      <c r="AU51" s="179">
        <v>1232.7272727272741</v>
      </c>
      <c r="AV51" s="179">
        <v>64.880382775119685</v>
      </c>
      <c r="AW51" s="181">
        <f t="shared" si="21"/>
        <v>4</v>
      </c>
      <c r="AX51" s="430"/>
    </row>
    <row r="52" spans="2:50">
      <c r="B52" s="400"/>
      <c r="C52" s="181">
        <v>6</v>
      </c>
      <c r="D52" s="196" t="s">
        <v>293</v>
      </c>
      <c r="E52" s="165">
        <v>20</v>
      </c>
      <c r="F52" s="181">
        <v>1385</v>
      </c>
      <c r="G52" s="179">
        <v>69.25</v>
      </c>
      <c r="H52" s="413"/>
      <c r="I52" s="165">
        <f t="shared" si="12"/>
        <v>20</v>
      </c>
      <c r="J52" s="165">
        <f t="shared" si="13"/>
        <v>1251.6056533381668</v>
      </c>
      <c r="K52" s="179">
        <f t="shared" si="14"/>
        <v>62.580282666908339</v>
      </c>
      <c r="L52" s="413"/>
      <c r="M52" s="180">
        <f>RANK(K52, K$47:$K$61)</f>
        <v>6</v>
      </c>
      <c r="N52" s="401"/>
      <c r="O52" s="401"/>
      <c r="P52" s="181">
        <v>20</v>
      </c>
      <c r="Q52" s="179">
        <v>1274.1984732824428</v>
      </c>
      <c r="R52" s="179">
        <v>63.709923664122144</v>
      </c>
      <c r="S52" s="181">
        <f t="shared" si="15"/>
        <v>6</v>
      </c>
      <c r="T52" s="413"/>
      <c r="U52" s="181">
        <v>20</v>
      </c>
      <c r="V52" s="179">
        <v>1233.9705882352941</v>
      </c>
      <c r="W52" s="179">
        <v>61.69852941176471</v>
      </c>
      <c r="X52" s="181">
        <f t="shared" si="16"/>
        <v>7</v>
      </c>
      <c r="Y52" s="413"/>
      <c r="Z52" s="181">
        <v>20</v>
      </c>
      <c r="AA52" s="179">
        <v>1251.6923076923076</v>
      </c>
      <c r="AB52" s="179">
        <v>62.584615384615383</v>
      </c>
      <c r="AC52" s="181">
        <f t="shared" si="17"/>
        <v>6</v>
      </c>
      <c r="AD52" s="413"/>
      <c r="AE52" s="181">
        <v>20</v>
      </c>
      <c r="AF52" s="179">
        <v>1244.8543689320393</v>
      </c>
      <c r="AG52" s="179">
        <v>62.242718446601963</v>
      </c>
      <c r="AH52" s="181">
        <f t="shared" si="18"/>
        <v>7</v>
      </c>
      <c r="AI52" s="413"/>
      <c r="AJ52" s="181">
        <v>20</v>
      </c>
      <c r="AK52" s="179">
        <v>1257.757009345795</v>
      </c>
      <c r="AL52" s="179">
        <v>62.887850467289752</v>
      </c>
      <c r="AM52" s="181">
        <f t="shared" si="19"/>
        <v>7</v>
      </c>
      <c r="AN52" s="413"/>
      <c r="AO52" s="181">
        <v>20</v>
      </c>
      <c r="AP52" s="179">
        <v>1228.9795918367352</v>
      </c>
      <c r="AQ52" s="179">
        <v>61.448979591836761</v>
      </c>
      <c r="AR52" s="181">
        <f t="shared" si="20"/>
        <v>6</v>
      </c>
      <c r="AS52" s="413"/>
      <c r="AT52" s="181">
        <v>20</v>
      </c>
      <c r="AU52" s="179">
        <v>1269.7872340425536</v>
      </c>
      <c r="AV52" s="179">
        <v>63.489361702127681</v>
      </c>
      <c r="AW52" s="181">
        <f t="shared" si="21"/>
        <v>6</v>
      </c>
      <c r="AX52" s="430"/>
    </row>
    <row r="53" spans="2:50">
      <c r="B53" s="400"/>
      <c r="C53" s="181">
        <v>7</v>
      </c>
      <c r="D53" s="196" t="s">
        <v>294</v>
      </c>
      <c r="E53" s="165">
        <v>20</v>
      </c>
      <c r="F53" s="181">
        <v>1440</v>
      </c>
      <c r="G53" s="179">
        <v>72</v>
      </c>
      <c r="H53" s="413"/>
      <c r="I53" s="165">
        <f t="shared" si="12"/>
        <v>20</v>
      </c>
      <c r="J53" s="165">
        <f t="shared" si="13"/>
        <v>1240.3731659538921</v>
      </c>
      <c r="K53" s="179">
        <f t="shared" si="14"/>
        <v>62.018658297694607</v>
      </c>
      <c r="L53" s="413"/>
      <c r="M53" s="180">
        <f>RANK(K53, K$47:$K$61)</f>
        <v>7</v>
      </c>
      <c r="N53" s="401"/>
      <c r="O53" s="401"/>
      <c r="P53" s="181">
        <v>20</v>
      </c>
      <c r="Q53" s="179">
        <v>1260.0000000000005</v>
      </c>
      <c r="R53" s="179">
        <v>63.000000000000021</v>
      </c>
      <c r="S53" s="181">
        <f t="shared" si="15"/>
        <v>7</v>
      </c>
      <c r="T53" s="413"/>
      <c r="U53" s="181">
        <v>20</v>
      </c>
      <c r="V53" s="179">
        <v>1256.8141592920344</v>
      </c>
      <c r="W53" s="179">
        <v>62.840707964601719</v>
      </c>
      <c r="X53" s="181">
        <f t="shared" si="16"/>
        <v>6</v>
      </c>
      <c r="Y53" s="413"/>
      <c r="Z53" s="181">
        <v>20</v>
      </c>
      <c r="AA53" s="179">
        <v>1204.6153846153852</v>
      </c>
      <c r="AB53" s="179">
        <v>60.230769230769262</v>
      </c>
      <c r="AC53" s="181">
        <f t="shared" si="17"/>
        <v>7</v>
      </c>
      <c r="AD53" s="413"/>
      <c r="AE53" s="181">
        <v>20</v>
      </c>
      <c r="AF53" s="179">
        <v>1262.2499999999995</v>
      </c>
      <c r="AG53" s="179">
        <v>63.112499999999976</v>
      </c>
      <c r="AH53" s="181">
        <f t="shared" si="18"/>
        <v>6</v>
      </c>
      <c r="AI53" s="413"/>
      <c r="AJ53" s="181">
        <v>20</v>
      </c>
      <c r="AK53" s="179">
        <v>1257.9069767441858</v>
      </c>
      <c r="AL53" s="179">
        <v>62.895348837209291</v>
      </c>
      <c r="AM53" s="181">
        <f t="shared" si="19"/>
        <v>6</v>
      </c>
      <c r="AN53" s="413"/>
      <c r="AO53" s="181">
        <v>20</v>
      </c>
      <c r="AP53" s="179">
        <v>1215.8974358974351</v>
      </c>
      <c r="AQ53" s="179">
        <v>60.794871794871753</v>
      </c>
      <c r="AR53" s="181">
        <f t="shared" si="20"/>
        <v>7</v>
      </c>
      <c r="AS53" s="413"/>
      <c r="AT53" s="181">
        <v>20</v>
      </c>
      <c r="AU53" s="179">
        <v>1225.1282051282046</v>
      </c>
      <c r="AV53" s="179">
        <v>61.256410256410234</v>
      </c>
      <c r="AW53" s="181">
        <f t="shared" si="21"/>
        <v>7</v>
      </c>
      <c r="AX53" s="430"/>
    </row>
    <row r="54" spans="2:50">
      <c r="B54" s="400"/>
      <c r="C54" s="181">
        <v>8</v>
      </c>
      <c r="D54" s="196"/>
      <c r="E54" s="165"/>
      <c r="F54" s="181"/>
      <c r="G54" s="179"/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81"/>
      <c r="Q54" s="179"/>
      <c r="R54" s="179"/>
      <c r="S54" s="181" t="e">
        <f t="shared" si="15"/>
        <v>#N/A</v>
      </c>
      <c r="T54" s="413"/>
      <c r="U54" s="181"/>
      <c r="V54" s="179"/>
      <c r="W54" s="179"/>
      <c r="X54" s="181" t="e">
        <f t="shared" si="16"/>
        <v>#N/A</v>
      </c>
      <c r="Y54" s="413"/>
      <c r="Z54" s="181"/>
      <c r="AA54" s="179"/>
      <c r="AB54" s="179"/>
      <c r="AC54" s="181" t="e">
        <f t="shared" si="17"/>
        <v>#N/A</v>
      </c>
      <c r="AD54" s="413"/>
      <c r="AE54" s="181"/>
      <c r="AF54" s="179"/>
      <c r="AG54" s="179"/>
      <c r="AH54" s="181" t="e">
        <f t="shared" si="18"/>
        <v>#N/A</v>
      </c>
      <c r="AI54" s="413"/>
      <c r="AJ54" s="181"/>
      <c r="AK54" s="179"/>
      <c r="AL54" s="179"/>
      <c r="AM54" s="181" t="e">
        <f t="shared" si="19"/>
        <v>#N/A</v>
      </c>
      <c r="AN54" s="413"/>
      <c r="AO54" s="181"/>
      <c r="AP54" s="179"/>
      <c r="AQ54" s="179"/>
      <c r="AR54" s="181" t="e">
        <f t="shared" si="20"/>
        <v>#N/A</v>
      </c>
      <c r="AS54" s="413"/>
      <c r="AT54" s="181"/>
      <c r="AU54" s="179"/>
      <c r="AV54" s="179"/>
      <c r="AW54" s="181" t="e">
        <f t="shared" si="21"/>
        <v>#N/A</v>
      </c>
      <c r="AX54" s="430"/>
    </row>
    <row r="55" spans="2:50">
      <c r="B55" s="400"/>
      <c r="C55" s="181">
        <v>9</v>
      </c>
      <c r="D55" s="196"/>
      <c r="E55" s="165"/>
      <c r="F55" s="181"/>
      <c r="G55" s="179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81"/>
      <c r="Q55" s="179"/>
      <c r="R55" s="179"/>
      <c r="S55" s="181" t="e">
        <f t="shared" si="15"/>
        <v>#N/A</v>
      </c>
      <c r="T55" s="413"/>
      <c r="U55" s="181"/>
      <c r="V55" s="179"/>
      <c r="W55" s="179"/>
      <c r="X55" s="181" t="e">
        <f t="shared" si="16"/>
        <v>#N/A</v>
      </c>
      <c r="Y55" s="413"/>
      <c r="Z55" s="181"/>
      <c r="AA55" s="179"/>
      <c r="AB55" s="179"/>
      <c r="AC55" s="181" t="e">
        <f t="shared" si="17"/>
        <v>#N/A</v>
      </c>
      <c r="AD55" s="413"/>
      <c r="AE55" s="181"/>
      <c r="AF55" s="179"/>
      <c r="AG55" s="179"/>
      <c r="AH55" s="181" t="e">
        <f t="shared" si="18"/>
        <v>#N/A</v>
      </c>
      <c r="AI55" s="413"/>
      <c r="AJ55" s="181"/>
      <c r="AK55" s="179"/>
      <c r="AL55" s="179"/>
      <c r="AM55" s="181" t="e">
        <f t="shared" si="19"/>
        <v>#N/A</v>
      </c>
      <c r="AN55" s="413"/>
      <c r="AO55" s="181"/>
      <c r="AP55" s="179"/>
      <c r="AQ55" s="179"/>
      <c r="AR55" s="181" t="e">
        <f t="shared" si="20"/>
        <v>#N/A</v>
      </c>
      <c r="AS55" s="413"/>
      <c r="AT55" s="181"/>
      <c r="AU55" s="179"/>
      <c r="AV55" s="179"/>
      <c r="AW55" s="181" t="e">
        <f t="shared" si="21"/>
        <v>#N/A</v>
      </c>
      <c r="AX55" s="430"/>
    </row>
    <row r="56" spans="2:50">
      <c r="B56" s="400"/>
      <c r="C56" s="181">
        <v>10</v>
      </c>
      <c r="D56" s="196"/>
      <c r="E56" s="165"/>
      <c r="F56" s="181"/>
      <c r="G56" s="179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81"/>
      <c r="Q56" s="179"/>
      <c r="R56" s="179"/>
      <c r="S56" s="181" t="e">
        <f t="shared" si="15"/>
        <v>#N/A</v>
      </c>
      <c r="T56" s="413"/>
      <c r="U56" s="181"/>
      <c r="V56" s="179"/>
      <c r="W56" s="179"/>
      <c r="X56" s="181" t="e">
        <f t="shared" si="16"/>
        <v>#N/A</v>
      </c>
      <c r="Y56" s="413"/>
      <c r="Z56" s="181"/>
      <c r="AA56" s="179"/>
      <c r="AB56" s="179"/>
      <c r="AC56" s="181" t="e">
        <f t="shared" si="17"/>
        <v>#N/A</v>
      </c>
      <c r="AD56" s="413"/>
      <c r="AE56" s="181"/>
      <c r="AF56" s="179"/>
      <c r="AG56" s="179"/>
      <c r="AH56" s="181" t="e">
        <f t="shared" si="18"/>
        <v>#N/A</v>
      </c>
      <c r="AI56" s="413"/>
      <c r="AJ56" s="181"/>
      <c r="AK56" s="179"/>
      <c r="AL56" s="179"/>
      <c r="AM56" s="181" t="e">
        <f t="shared" si="19"/>
        <v>#N/A</v>
      </c>
      <c r="AN56" s="413"/>
      <c r="AO56" s="181"/>
      <c r="AP56" s="179"/>
      <c r="AQ56" s="179"/>
      <c r="AR56" s="181" t="e">
        <f t="shared" si="20"/>
        <v>#N/A</v>
      </c>
      <c r="AS56" s="413"/>
      <c r="AT56" s="181"/>
      <c r="AU56" s="179"/>
      <c r="AV56" s="179"/>
      <c r="AW56" s="181" t="e">
        <f t="shared" si="21"/>
        <v>#N/A</v>
      </c>
      <c r="AX56" s="43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81"/>
      <c r="Q57" s="179"/>
      <c r="R57" s="179"/>
      <c r="S57" s="181" t="e">
        <f t="shared" si="15"/>
        <v>#N/A</v>
      </c>
      <c r="T57" s="413"/>
      <c r="U57" s="181"/>
      <c r="V57" s="179"/>
      <c r="W57" s="179"/>
      <c r="X57" s="181" t="e">
        <f t="shared" si="16"/>
        <v>#N/A</v>
      </c>
      <c r="Y57" s="413"/>
      <c r="Z57" s="181"/>
      <c r="AA57" s="179"/>
      <c r="AB57" s="179"/>
      <c r="AC57" s="181" t="e">
        <f t="shared" si="17"/>
        <v>#N/A</v>
      </c>
      <c r="AD57" s="413"/>
      <c r="AE57" s="181"/>
      <c r="AF57" s="179"/>
      <c r="AG57" s="179"/>
      <c r="AH57" s="181" t="e">
        <f t="shared" si="18"/>
        <v>#N/A</v>
      </c>
      <c r="AI57" s="413"/>
      <c r="AJ57" s="181"/>
      <c r="AK57" s="179"/>
      <c r="AL57" s="179"/>
      <c r="AM57" s="181" t="e">
        <f t="shared" si="19"/>
        <v>#N/A</v>
      </c>
      <c r="AN57" s="413"/>
      <c r="AO57" s="181"/>
      <c r="AP57" s="179"/>
      <c r="AQ57" s="179"/>
      <c r="AR57" s="181" t="e">
        <f t="shared" si="20"/>
        <v>#N/A</v>
      </c>
      <c r="AS57" s="413"/>
      <c r="AT57" s="181"/>
      <c r="AU57" s="179"/>
      <c r="AV57" s="179"/>
      <c r="AW57" s="181" t="e">
        <f t="shared" si="21"/>
        <v>#N/A</v>
      </c>
      <c r="AX57" s="43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81"/>
      <c r="Q58" s="179"/>
      <c r="R58" s="179"/>
      <c r="S58" s="181" t="e">
        <f t="shared" si="15"/>
        <v>#N/A</v>
      </c>
      <c r="T58" s="413"/>
      <c r="U58" s="181"/>
      <c r="V58" s="179"/>
      <c r="W58" s="179"/>
      <c r="X58" s="181" t="e">
        <f t="shared" si="16"/>
        <v>#N/A</v>
      </c>
      <c r="Y58" s="413"/>
      <c r="Z58" s="181"/>
      <c r="AA58" s="179"/>
      <c r="AB58" s="179"/>
      <c r="AC58" s="181" t="e">
        <f t="shared" si="17"/>
        <v>#N/A</v>
      </c>
      <c r="AD58" s="413"/>
      <c r="AE58" s="181"/>
      <c r="AF58" s="179"/>
      <c r="AG58" s="179"/>
      <c r="AH58" s="181" t="e">
        <f t="shared" si="18"/>
        <v>#N/A</v>
      </c>
      <c r="AI58" s="413"/>
      <c r="AJ58" s="181"/>
      <c r="AK58" s="179"/>
      <c r="AL58" s="179"/>
      <c r="AM58" s="181" t="e">
        <f t="shared" si="19"/>
        <v>#N/A</v>
      </c>
      <c r="AN58" s="413"/>
      <c r="AO58" s="181"/>
      <c r="AP58" s="179"/>
      <c r="AQ58" s="179"/>
      <c r="AR58" s="181" t="e">
        <f t="shared" si="20"/>
        <v>#N/A</v>
      </c>
      <c r="AS58" s="413"/>
      <c r="AT58" s="181"/>
      <c r="AU58" s="179"/>
      <c r="AV58" s="179"/>
      <c r="AW58" s="181" t="e">
        <f t="shared" si="21"/>
        <v>#N/A</v>
      </c>
      <c r="AX58" s="43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81"/>
      <c r="Q59" s="179"/>
      <c r="R59" s="179"/>
      <c r="S59" s="181" t="e">
        <f t="shared" si="15"/>
        <v>#N/A</v>
      </c>
      <c r="T59" s="413"/>
      <c r="U59" s="181"/>
      <c r="V59" s="179"/>
      <c r="W59" s="179"/>
      <c r="X59" s="181" t="e">
        <f t="shared" si="16"/>
        <v>#N/A</v>
      </c>
      <c r="Y59" s="413"/>
      <c r="Z59" s="181"/>
      <c r="AA59" s="179"/>
      <c r="AB59" s="179"/>
      <c r="AC59" s="181" t="e">
        <f t="shared" si="17"/>
        <v>#N/A</v>
      </c>
      <c r="AD59" s="413"/>
      <c r="AE59" s="181"/>
      <c r="AF59" s="179"/>
      <c r="AG59" s="179"/>
      <c r="AH59" s="181" t="e">
        <f t="shared" si="18"/>
        <v>#N/A</v>
      </c>
      <c r="AI59" s="413"/>
      <c r="AJ59" s="181"/>
      <c r="AK59" s="179"/>
      <c r="AL59" s="179"/>
      <c r="AM59" s="181" t="e">
        <f t="shared" si="19"/>
        <v>#N/A</v>
      </c>
      <c r="AN59" s="413"/>
      <c r="AO59" s="181"/>
      <c r="AP59" s="179"/>
      <c r="AQ59" s="179"/>
      <c r="AR59" s="181" t="e">
        <f t="shared" si="20"/>
        <v>#N/A</v>
      </c>
      <c r="AS59" s="413"/>
      <c r="AT59" s="181"/>
      <c r="AU59" s="179"/>
      <c r="AV59" s="179"/>
      <c r="AW59" s="181" t="e">
        <f t="shared" si="21"/>
        <v>#N/A</v>
      </c>
      <c r="AX59" s="43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81"/>
      <c r="Q60" s="179"/>
      <c r="R60" s="179"/>
      <c r="S60" s="181" t="e">
        <f t="shared" si="15"/>
        <v>#N/A</v>
      </c>
      <c r="T60" s="413"/>
      <c r="U60" s="181"/>
      <c r="V60" s="179"/>
      <c r="W60" s="179"/>
      <c r="X60" s="181" t="e">
        <f t="shared" si="16"/>
        <v>#N/A</v>
      </c>
      <c r="Y60" s="413"/>
      <c r="Z60" s="181"/>
      <c r="AA60" s="179"/>
      <c r="AB60" s="179"/>
      <c r="AC60" s="181" t="e">
        <f t="shared" si="17"/>
        <v>#N/A</v>
      </c>
      <c r="AD60" s="413"/>
      <c r="AE60" s="181"/>
      <c r="AF60" s="179"/>
      <c r="AG60" s="179"/>
      <c r="AH60" s="181" t="e">
        <f t="shared" si="18"/>
        <v>#N/A</v>
      </c>
      <c r="AI60" s="413"/>
      <c r="AJ60" s="181"/>
      <c r="AK60" s="179"/>
      <c r="AL60" s="179"/>
      <c r="AM60" s="181" t="e">
        <f t="shared" si="19"/>
        <v>#N/A</v>
      </c>
      <c r="AN60" s="413"/>
      <c r="AO60" s="181"/>
      <c r="AP60" s="179"/>
      <c r="AQ60" s="179"/>
      <c r="AR60" s="181" t="e">
        <f t="shared" si="20"/>
        <v>#N/A</v>
      </c>
      <c r="AS60" s="413"/>
      <c r="AT60" s="181"/>
      <c r="AU60" s="179"/>
      <c r="AV60" s="179"/>
      <c r="AW60" s="181" t="e">
        <f t="shared" si="21"/>
        <v>#N/A</v>
      </c>
      <c r="AX60" s="43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81"/>
      <c r="Q61" s="179"/>
      <c r="R61" s="179"/>
      <c r="S61" s="181" t="e">
        <f t="shared" si="15"/>
        <v>#N/A</v>
      </c>
      <c r="T61" s="414"/>
      <c r="U61" s="181"/>
      <c r="V61" s="179"/>
      <c r="W61" s="179"/>
      <c r="X61" s="181" t="e">
        <f t="shared" si="16"/>
        <v>#N/A</v>
      </c>
      <c r="Y61" s="414"/>
      <c r="Z61" s="181"/>
      <c r="AA61" s="179"/>
      <c r="AB61" s="179"/>
      <c r="AC61" s="181" t="e">
        <f t="shared" si="17"/>
        <v>#N/A</v>
      </c>
      <c r="AD61" s="414"/>
      <c r="AE61" s="181"/>
      <c r="AF61" s="179"/>
      <c r="AG61" s="179"/>
      <c r="AH61" s="181" t="e">
        <f t="shared" si="18"/>
        <v>#N/A</v>
      </c>
      <c r="AI61" s="414"/>
      <c r="AJ61" s="181"/>
      <c r="AK61" s="179"/>
      <c r="AL61" s="179"/>
      <c r="AM61" s="181" t="e">
        <f t="shared" si="19"/>
        <v>#N/A</v>
      </c>
      <c r="AN61" s="414"/>
      <c r="AO61" s="181"/>
      <c r="AP61" s="179"/>
      <c r="AQ61" s="179"/>
      <c r="AR61" s="181" t="e">
        <f t="shared" si="20"/>
        <v>#N/A</v>
      </c>
      <c r="AS61" s="414"/>
      <c r="AT61" s="181"/>
      <c r="AU61" s="179"/>
      <c r="AV61" s="179"/>
      <c r="AW61" s="181" t="e">
        <f t="shared" si="21"/>
        <v>#N/A</v>
      </c>
      <c r="AX61" s="430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01" t="s">
        <v>173</v>
      </c>
      <c r="C67" s="181">
        <v>1</v>
      </c>
      <c r="D67" s="196" t="s">
        <v>288</v>
      </c>
      <c r="E67" s="165">
        <v>19</v>
      </c>
      <c r="F67" s="181">
        <v>1440</v>
      </c>
      <c r="G67" s="179">
        <v>75.78947368421052</v>
      </c>
      <c r="H67" s="412">
        <f>AVERAGE(G67:G81)</f>
        <v>78.991002321981412</v>
      </c>
      <c r="I67" s="165">
        <f>AVERAGE(P67,U67,Z67,AE67,AJ67,AO67,AT67)</f>
        <v>19</v>
      </c>
      <c r="J67" s="165">
        <f>AVERAGE(Q67,V67,AA67,AF67,AK67,AP67,AU67)</f>
        <v>1230.7084873856932</v>
      </c>
      <c r="K67" s="179">
        <f>AVERAGE(R67,W67,AB67,AG67,AL67,AQ67,AV67)</f>
        <v>64.77413091503648</v>
      </c>
      <c r="L67" s="412">
        <f>IFERROR(AVERAGE(K67:K81),"-")</f>
        <v>68.241307312774808</v>
      </c>
      <c r="M67" s="180">
        <f>RANK(K67, K$67:$K$81)</f>
        <v>5</v>
      </c>
      <c r="N67" s="401"/>
      <c r="O67" s="401"/>
      <c r="P67" s="165">
        <v>19</v>
      </c>
      <c r="Q67" s="179">
        <v>1228.6274509803918</v>
      </c>
      <c r="R67" s="179">
        <v>64.664602683178515</v>
      </c>
      <c r="S67" s="181">
        <f>RANK(R67, R$67:R$81)</f>
        <v>5</v>
      </c>
      <c r="T67" s="412">
        <f>AVERAGE(R67:R81)</f>
        <v>69.02109448506485</v>
      </c>
      <c r="U67" s="181">
        <v>19</v>
      </c>
      <c r="V67" s="179">
        <v>1246.5217391304348</v>
      </c>
      <c r="W67" s="179">
        <v>65.606407322654462</v>
      </c>
      <c r="X67" s="181">
        <f>RANK(W67, W$67:W$81)</f>
        <v>4</v>
      </c>
      <c r="Y67" s="412">
        <f>AVERAGE(W67:W81)</f>
        <v>68.532683447056328</v>
      </c>
      <c r="Z67" s="181">
        <v>19</v>
      </c>
      <c r="AA67" s="179">
        <v>1212.6086956521738</v>
      </c>
      <c r="AB67" s="179">
        <v>63.821510297482831</v>
      </c>
      <c r="AC67" s="181">
        <f>RANK(AB67, AB$67:AB$81)</f>
        <v>5</v>
      </c>
      <c r="AD67" s="412">
        <f>AVERAGE(AB67:AB81)</f>
        <v>68.085911658558516</v>
      </c>
      <c r="AE67" s="181">
        <v>19</v>
      </c>
      <c r="AF67" s="179">
        <v>1222.9906542056074</v>
      </c>
      <c r="AG67" s="179">
        <v>64.367929168716174</v>
      </c>
      <c r="AH67" s="181">
        <f>RANK(AG67, AG$67:AG$81)</f>
        <v>6</v>
      </c>
      <c r="AI67" s="412">
        <f>AVERAGE(AG67:AG81)</f>
        <v>67.670640779366195</v>
      </c>
      <c r="AJ67" s="181">
        <v>19</v>
      </c>
      <c r="AK67" s="179">
        <v>1214.1176470588239</v>
      </c>
      <c r="AL67" s="179">
        <v>63.90092879256968</v>
      </c>
      <c r="AM67" s="181">
        <f>RANK(AL67, AL$67:AL$81)</f>
        <v>5</v>
      </c>
      <c r="AN67" s="412">
        <f>AVERAGE(AL67:AL81)</f>
        <v>67.627649780208074</v>
      </c>
      <c r="AO67" s="181">
        <v>19</v>
      </c>
      <c r="AP67" s="179">
        <v>1245.3952380952385</v>
      </c>
      <c r="AQ67" s="179">
        <v>65.54711779448624</v>
      </c>
      <c r="AR67" s="181">
        <f>RANK(AQ67, AQ$67:AQ$81)</f>
        <v>4</v>
      </c>
      <c r="AS67" s="412">
        <f>AVERAGE(AQ67:AQ81)</f>
        <v>68.202156621915762</v>
      </c>
      <c r="AT67" s="181">
        <v>19</v>
      </c>
      <c r="AU67" s="179">
        <v>1244.6979865771818</v>
      </c>
      <c r="AV67" s="179">
        <v>65.510420346167464</v>
      </c>
      <c r="AW67" s="181">
        <f>RANK(AV67, AV$67:AV$81)</f>
        <v>5</v>
      </c>
      <c r="AX67" s="430">
        <f>AVERAGE(AV67:AV81)</f>
        <v>68.549014417254014</v>
      </c>
    </row>
    <row r="68" spans="2:50">
      <c r="B68" s="400"/>
      <c r="C68" s="181">
        <v>2</v>
      </c>
      <c r="D68" s="196" t="s">
        <v>289</v>
      </c>
      <c r="E68" s="165">
        <v>19</v>
      </c>
      <c r="F68" s="181">
        <v>1440</v>
      </c>
      <c r="G68" s="179">
        <v>75.78947368421052</v>
      </c>
      <c r="H68" s="413"/>
      <c r="I68" s="165">
        <f t="shared" ref="I68:I74" si="22">AVERAGE(P68,U68,Z68,AE68,AJ68,AO68,AT68)</f>
        <v>19</v>
      </c>
      <c r="J68" s="165">
        <f t="shared" ref="J68:J74" si="23">AVERAGE(Q68,V68,AA68,AF68,AK68,AP68,AU68)</f>
        <v>1233.7038561085269</v>
      </c>
      <c r="K68" s="179">
        <f t="shared" ref="K68:K74" si="24">AVERAGE(R68,W68,AB68,AG68,AL68,AQ68,AV68)</f>
        <v>64.931781900448797</v>
      </c>
      <c r="L68" s="413"/>
      <c r="M68" s="180">
        <f>RANK(K68, K$67:$K$81)</f>
        <v>4</v>
      </c>
      <c r="N68" s="401"/>
      <c r="O68" s="401"/>
      <c r="P68" s="181">
        <v>19</v>
      </c>
      <c r="Q68" s="179">
        <v>1236.5625000000014</v>
      </c>
      <c r="R68" s="179">
        <v>65.082236842105331</v>
      </c>
      <c r="S68" s="181">
        <f t="shared" ref="S68:S81" si="25">RANK(R68, R$67:R$81)</f>
        <v>4</v>
      </c>
      <c r="T68" s="413"/>
      <c r="U68" s="181">
        <v>19</v>
      </c>
      <c r="V68" s="179">
        <v>1229.0909090909104</v>
      </c>
      <c r="W68" s="179">
        <v>64.688995215311067</v>
      </c>
      <c r="X68" s="181">
        <f t="shared" ref="X68:X81" si="26">RANK(W68, W$67:W$81)</f>
        <v>6</v>
      </c>
      <c r="Y68" s="413"/>
      <c r="Z68" s="181">
        <v>19</v>
      </c>
      <c r="AA68" s="179">
        <v>1210.9090909090901</v>
      </c>
      <c r="AB68" s="179">
        <v>63.732057416267899</v>
      </c>
      <c r="AC68" s="181">
        <f t="shared" ref="AC68:AC81" si="27">RANK(AB68, AB$67:AB$81)</f>
        <v>6</v>
      </c>
      <c r="AD68" s="413"/>
      <c r="AE68" s="181">
        <v>19</v>
      </c>
      <c r="AF68" s="179">
        <v>1235.2941176470592</v>
      </c>
      <c r="AG68" s="179">
        <v>65.01547987616101</v>
      </c>
      <c r="AH68" s="181">
        <f t="shared" ref="AH68:AH81" si="28">RANK(AG68, AG$67:AG$81)</f>
        <v>4</v>
      </c>
      <c r="AI68" s="413"/>
      <c r="AJ68" s="181">
        <v>19</v>
      </c>
      <c r="AK68" s="179">
        <v>1219.6363636363644</v>
      </c>
      <c r="AL68" s="179">
        <v>64.191387559808661</v>
      </c>
      <c r="AM68" s="181">
        <f t="shared" ref="AM68:AM81" si="29">RANK(AL68, AL$67:AL$81)</f>
        <v>4</v>
      </c>
      <c r="AN68" s="413"/>
      <c r="AO68" s="181">
        <v>19</v>
      </c>
      <c r="AP68" s="179">
        <v>1238.518518518518</v>
      </c>
      <c r="AQ68" s="179">
        <v>65.185185185185162</v>
      </c>
      <c r="AR68" s="181">
        <f t="shared" ref="AR68:AR81" si="30">RANK(AQ68, AQ$67:AQ$81)</f>
        <v>5</v>
      </c>
      <c r="AS68" s="413"/>
      <c r="AT68" s="181">
        <v>19</v>
      </c>
      <c r="AU68" s="179">
        <v>1265.9154929577453</v>
      </c>
      <c r="AV68" s="179">
        <v>66.627131208302387</v>
      </c>
      <c r="AW68" s="181">
        <f t="shared" ref="AW68:AW81" si="31">RANK(AV68, AV$67:AV$81)</f>
        <v>4</v>
      </c>
      <c r="AX68" s="430"/>
    </row>
    <row r="69" spans="2:50">
      <c r="B69" s="400"/>
      <c r="C69" s="181">
        <v>3</v>
      </c>
      <c r="D69" s="196" t="s">
        <v>290</v>
      </c>
      <c r="E69" s="165">
        <v>17</v>
      </c>
      <c r="F69" s="181">
        <v>1636</v>
      </c>
      <c r="G69" s="179">
        <v>96.235294117647058</v>
      </c>
      <c r="H69" s="413"/>
      <c r="I69" s="165">
        <f t="shared" si="22"/>
        <v>17</v>
      </c>
      <c r="J69" s="165">
        <f t="shared" si="23"/>
        <v>1387.511494588467</v>
      </c>
      <c r="K69" s="179">
        <f t="shared" si="24"/>
        <v>81.618323211086292</v>
      </c>
      <c r="L69" s="413"/>
      <c r="M69" s="180">
        <f>RANK(K69, K$67:$K$81)</f>
        <v>1</v>
      </c>
      <c r="N69" s="401"/>
      <c r="O69" s="401"/>
      <c r="P69" s="181">
        <v>17</v>
      </c>
      <c r="Q69" s="179">
        <v>1401.9512195121945</v>
      </c>
      <c r="R69" s="179">
        <v>82.467718794834965</v>
      </c>
      <c r="S69" s="181">
        <f t="shared" si="25"/>
        <v>1</v>
      </c>
      <c r="T69" s="413"/>
      <c r="U69" s="181">
        <v>17</v>
      </c>
      <c r="V69" s="179">
        <v>1402.4999999999995</v>
      </c>
      <c r="W69" s="179">
        <v>82.499999999999972</v>
      </c>
      <c r="X69" s="181">
        <f t="shared" si="26"/>
        <v>1</v>
      </c>
      <c r="Y69" s="413"/>
      <c r="Z69" s="181">
        <v>17</v>
      </c>
      <c r="AA69" s="179">
        <v>1386.315789473683</v>
      </c>
      <c r="AB69" s="179">
        <v>81.547987616099007</v>
      </c>
      <c r="AC69" s="181">
        <f t="shared" si="27"/>
        <v>1</v>
      </c>
      <c r="AD69" s="413"/>
      <c r="AE69" s="181">
        <v>17</v>
      </c>
      <c r="AF69" s="179">
        <v>1358.823529411763</v>
      </c>
      <c r="AG69" s="179">
        <v>79.930795847750773</v>
      </c>
      <c r="AH69" s="181">
        <f t="shared" si="28"/>
        <v>1</v>
      </c>
      <c r="AI69" s="413"/>
      <c r="AJ69" s="181">
        <v>17</v>
      </c>
      <c r="AK69" s="179">
        <v>1352.4324324324314</v>
      </c>
      <c r="AL69" s="179">
        <v>79.554848966613605</v>
      </c>
      <c r="AM69" s="181">
        <f t="shared" si="29"/>
        <v>1</v>
      </c>
      <c r="AN69" s="413"/>
      <c r="AO69" s="181">
        <v>17</v>
      </c>
      <c r="AP69" s="179">
        <v>1407.1428571428567</v>
      </c>
      <c r="AQ69" s="179">
        <v>82.773109243697448</v>
      </c>
      <c r="AR69" s="181">
        <f t="shared" si="30"/>
        <v>1</v>
      </c>
      <c r="AS69" s="413"/>
      <c r="AT69" s="181">
        <v>17</v>
      </c>
      <c r="AU69" s="179">
        <v>1403.4146341463411</v>
      </c>
      <c r="AV69" s="179">
        <v>82.553802008608301</v>
      </c>
      <c r="AW69" s="181">
        <f t="shared" si="31"/>
        <v>1</v>
      </c>
      <c r="AX69" s="430"/>
    </row>
    <row r="70" spans="2:50">
      <c r="B70" s="400"/>
      <c r="C70" s="181">
        <v>4</v>
      </c>
      <c r="D70" s="196" t="s">
        <v>291</v>
      </c>
      <c r="E70" s="165">
        <v>17</v>
      </c>
      <c r="F70" s="181">
        <v>1440</v>
      </c>
      <c r="G70" s="179">
        <v>84.705882352941174</v>
      </c>
      <c r="H70" s="413"/>
      <c r="I70" s="165">
        <f t="shared" si="22"/>
        <v>17</v>
      </c>
      <c r="J70" s="165">
        <f t="shared" si="23"/>
        <v>1290.210839985521</v>
      </c>
      <c r="K70" s="179">
        <f t="shared" si="24"/>
        <v>75.894755293265931</v>
      </c>
      <c r="L70" s="413"/>
      <c r="M70" s="180">
        <f>RANK(K70, K$67:$K$81)</f>
        <v>2</v>
      </c>
      <c r="N70" s="401"/>
      <c r="O70" s="401"/>
      <c r="P70" s="181">
        <v>17</v>
      </c>
      <c r="Q70" s="179">
        <v>1301.9142857142854</v>
      </c>
      <c r="R70" s="179">
        <v>76.583193277310897</v>
      </c>
      <c r="S70" s="181">
        <f t="shared" si="25"/>
        <v>2</v>
      </c>
      <c r="T70" s="413"/>
      <c r="U70" s="181">
        <v>17</v>
      </c>
      <c r="V70" s="179">
        <v>1300.5633802816903</v>
      </c>
      <c r="W70" s="179">
        <v>76.503728251864132</v>
      </c>
      <c r="X70" s="181">
        <f t="shared" si="26"/>
        <v>2</v>
      </c>
      <c r="Y70" s="413"/>
      <c r="Z70" s="181">
        <v>17</v>
      </c>
      <c r="AA70" s="179">
        <v>1278.6363636363637</v>
      </c>
      <c r="AB70" s="179">
        <v>75.213903743315512</v>
      </c>
      <c r="AC70" s="181">
        <f t="shared" si="27"/>
        <v>2</v>
      </c>
      <c r="AD70" s="413"/>
      <c r="AE70" s="181">
        <v>17</v>
      </c>
      <c r="AF70" s="179">
        <v>1275.9633027522946</v>
      </c>
      <c r="AG70" s="179">
        <v>75.056664867782033</v>
      </c>
      <c r="AH70" s="181">
        <f t="shared" si="28"/>
        <v>2</v>
      </c>
      <c r="AI70" s="413"/>
      <c r="AJ70" s="181">
        <v>17</v>
      </c>
      <c r="AK70" s="179">
        <v>1288.1739130434776</v>
      </c>
      <c r="AL70" s="179">
        <v>75.774936061381027</v>
      </c>
      <c r="AM70" s="181">
        <f t="shared" si="29"/>
        <v>2</v>
      </c>
      <c r="AN70" s="413"/>
      <c r="AO70" s="181">
        <v>17</v>
      </c>
      <c r="AP70" s="179">
        <v>1270.9459459459465</v>
      </c>
      <c r="AQ70" s="179">
        <v>74.761526232114505</v>
      </c>
      <c r="AR70" s="181">
        <f t="shared" si="30"/>
        <v>2</v>
      </c>
      <c r="AS70" s="413"/>
      <c r="AT70" s="181">
        <v>17</v>
      </c>
      <c r="AU70" s="179">
        <v>1315.2786885245898</v>
      </c>
      <c r="AV70" s="179">
        <v>77.369334619093522</v>
      </c>
      <c r="AW70" s="181">
        <f t="shared" si="31"/>
        <v>2</v>
      </c>
      <c r="AX70" s="430"/>
    </row>
    <row r="71" spans="2:50">
      <c r="B71" s="400"/>
      <c r="C71" s="181">
        <v>5</v>
      </c>
      <c r="D71" s="196" t="s">
        <v>292</v>
      </c>
      <c r="E71" s="165">
        <v>19</v>
      </c>
      <c r="F71" s="181">
        <v>1440</v>
      </c>
      <c r="G71" s="179">
        <v>75.78947368421052</v>
      </c>
      <c r="H71" s="413"/>
      <c r="I71" s="165">
        <f t="shared" si="22"/>
        <v>19</v>
      </c>
      <c r="J71" s="165">
        <f t="shared" si="23"/>
        <v>1220.8032542867968</v>
      </c>
      <c r="K71" s="179">
        <f t="shared" si="24"/>
        <v>64.252802857199839</v>
      </c>
      <c r="L71" s="413"/>
      <c r="M71" s="180">
        <f>RANK(K71, K$67:$K$81)</f>
        <v>6</v>
      </c>
      <c r="N71" s="401"/>
      <c r="O71" s="401"/>
      <c r="P71" s="181">
        <v>19</v>
      </c>
      <c r="Q71" s="179">
        <v>1227.123287671232</v>
      </c>
      <c r="R71" s="179">
        <v>64.585436193222733</v>
      </c>
      <c r="S71" s="181">
        <f t="shared" si="25"/>
        <v>6</v>
      </c>
      <c r="T71" s="413"/>
      <c r="U71" s="181">
        <v>19</v>
      </c>
      <c r="V71" s="179">
        <v>1238.8732394366186</v>
      </c>
      <c r="W71" s="179">
        <v>65.203854707190459</v>
      </c>
      <c r="X71" s="181">
        <f t="shared" si="26"/>
        <v>5</v>
      </c>
      <c r="Y71" s="413"/>
      <c r="Z71" s="181">
        <v>19</v>
      </c>
      <c r="AA71" s="179">
        <v>1234.9253731343299</v>
      </c>
      <c r="AB71" s="179">
        <v>64.996072270227884</v>
      </c>
      <c r="AC71" s="181">
        <f t="shared" si="27"/>
        <v>4</v>
      </c>
      <c r="AD71" s="413"/>
      <c r="AE71" s="181">
        <v>19</v>
      </c>
      <c r="AF71" s="179">
        <v>1228.6363636363635</v>
      </c>
      <c r="AG71" s="179">
        <v>64.665071770334919</v>
      </c>
      <c r="AH71" s="181">
        <f t="shared" si="28"/>
        <v>5</v>
      </c>
      <c r="AI71" s="413"/>
      <c r="AJ71" s="181">
        <v>19</v>
      </c>
      <c r="AK71" s="179">
        <v>1211.9999999999995</v>
      </c>
      <c r="AL71" s="179">
        <v>63.789473684210499</v>
      </c>
      <c r="AM71" s="181">
        <f t="shared" si="29"/>
        <v>6</v>
      </c>
      <c r="AN71" s="413"/>
      <c r="AO71" s="181">
        <v>19</v>
      </c>
      <c r="AP71" s="179">
        <v>1198.0645161290333</v>
      </c>
      <c r="AQ71" s="179">
        <v>63.056027164685965</v>
      </c>
      <c r="AR71" s="181">
        <f t="shared" si="30"/>
        <v>6</v>
      </c>
      <c r="AS71" s="413"/>
      <c r="AT71" s="181">
        <v>19</v>
      </c>
      <c r="AU71" s="179">
        <v>1206.0000000000011</v>
      </c>
      <c r="AV71" s="179">
        <v>63.473684210526379</v>
      </c>
      <c r="AW71" s="181">
        <f t="shared" si="31"/>
        <v>6</v>
      </c>
      <c r="AX71" s="430"/>
    </row>
    <row r="72" spans="2:50">
      <c r="B72" s="400"/>
      <c r="C72" s="181">
        <v>6</v>
      </c>
      <c r="D72" s="196" t="s">
        <v>293</v>
      </c>
      <c r="E72" s="165">
        <v>20</v>
      </c>
      <c r="F72" s="181">
        <v>1385</v>
      </c>
      <c r="G72" s="179">
        <v>69.25</v>
      </c>
      <c r="H72" s="413"/>
      <c r="I72" s="165">
        <f t="shared" si="22"/>
        <v>20</v>
      </c>
      <c r="J72" s="165">
        <f t="shared" si="23"/>
        <v>1234.9285064177852</v>
      </c>
      <c r="K72" s="179">
        <f t="shared" si="24"/>
        <v>61.746425320889266</v>
      </c>
      <c r="L72" s="413"/>
      <c r="M72" s="180">
        <f>RANK(K72, K$67:$K$81)</f>
        <v>8</v>
      </c>
      <c r="N72" s="401"/>
      <c r="O72" s="401"/>
      <c r="P72" s="181">
        <v>20</v>
      </c>
      <c r="Q72" s="179">
        <v>1265.9574468085109</v>
      </c>
      <c r="R72" s="179">
        <v>63.297872340425542</v>
      </c>
      <c r="S72" s="181">
        <f t="shared" si="25"/>
        <v>7</v>
      </c>
      <c r="T72" s="413"/>
      <c r="U72" s="181">
        <v>20</v>
      </c>
      <c r="V72" s="179">
        <v>1220.2758620689633</v>
      </c>
      <c r="W72" s="179">
        <v>61.013793103448165</v>
      </c>
      <c r="X72" s="181">
        <f t="shared" si="26"/>
        <v>8</v>
      </c>
      <c r="Y72" s="413"/>
      <c r="Z72" s="181">
        <v>20</v>
      </c>
      <c r="AA72" s="179">
        <v>1247.6335877862596</v>
      </c>
      <c r="AB72" s="179">
        <v>62.381679389312978</v>
      </c>
      <c r="AC72" s="181">
        <f t="shared" si="27"/>
        <v>7</v>
      </c>
      <c r="AD72" s="413"/>
      <c r="AE72" s="181">
        <v>20</v>
      </c>
      <c r="AF72" s="179">
        <v>1234.2857142857151</v>
      </c>
      <c r="AG72" s="179">
        <v>61.714285714285758</v>
      </c>
      <c r="AH72" s="181">
        <f t="shared" si="28"/>
        <v>7</v>
      </c>
      <c r="AI72" s="413"/>
      <c r="AJ72" s="181">
        <v>20</v>
      </c>
      <c r="AK72" s="179">
        <v>1229.072164948454</v>
      </c>
      <c r="AL72" s="179">
        <v>61.4536082474227</v>
      </c>
      <c r="AM72" s="181">
        <f t="shared" si="29"/>
        <v>8</v>
      </c>
      <c r="AN72" s="413"/>
      <c r="AO72" s="181">
        <v>20</v>
      </c>
      <c r="AP72" s="179">
        <v>1220.5594405594409</v>
      </c>
      <c r="AQ72" s="179">
        <v>61.027972027972041</v>
      </c>
      <c r="AR72" s="181">
        <f t="shared" si="30"/>
        <v>8</v>
      </c>
      <c r="AS72" s="413"/>
      <c r="AT72" s="181">
        <v>20</v>
      </c>
      <c r="AU72" s="179">
        <v>1226.7153284671533</v>
      </c>
      <c r="AV72" s="179">
        <v>61.335766423357668</v>
      </c>
      <c r="AW72" s="181">
        <f t="shared" si="31"/>
        <v>8</v>
      </c>
      <c r="AX72" s="430"/>
    </row>
    <row r="73" spans="2:50">
      <c r="B73" s="400"/>
      <c r="C73" s="181">
        <v>7</v>
      </c>
      <c r="D73" s="196" t="s">
        <v>294</v>
      </c>
      <c r="E73" s="165">
        <v>20</v>
      </c>
      <c r="F73" s="181">
        <v>1440</v>
      </c>
      <c r="G73" s="179">
        <v>72</v>
      </c>
      <c r="H73" s="413"/>
      <c r="I73" s="165">
        <f t="shared" si="22"/>
        <v>20</v>
      </c>
      <c r="J73" s="165">
        <f t="shared" si="23"/>
        <v>1239.7599923566688</v>
      </c>
      <c r="K73" s="179">
        <f t="shared" si="24"/>
        <v>61.987999617833445</v>
      </c>
      <c r="L73" s="413"/>
      <c r="M73" s="180">
        <f>RANK(K73, K$67:$K$81)</f>
        <v>7</v>
      </c>
      <c r="N73" s="401"/>
      <c r="O73" s="401"/>
      <c r="P73" s="181">
        <v>20</v>
      </c>
      <c r="Q73" s="179">
        <v>1260.0000000000009</v>
      </c>
      <c r="R73" s="179">
        <v>63.000000000000043</v>
      </c>
      <c r="S73" s="181">
        <f t="shared" si="25"/>
        <v>8</v>
      </c>
      <c r="T73" s="413"/>
      <c r="U73" s="181">
        <v>20</v>
      </c>
      <c r="V73" s="179">
        <v>1234.2056074766363</v>
      </c>
      <c r="W73" s="179">
        <v>61.710280373831814</v>
      </c>
      <c r="X73" s="181">
        <f t="shared" si="26"/>
        <v>7</v>
      </c>
      <c r="Y73" s="413"/>
      <c r="Z73" s="181">
        <v>20</v>
      </c>
      <c r="AA73" s="179">
        <v>1247.5609756097556</v>
      </c>
      <c r="AB73" s="179">
        <v>62.378048780487781</v>
      </c>
      <c r="AC73" s="181">
        <f t="shared" si="27"/>
        <v>8</v>
      </c>
      <c r="AD73" s="413"/>
      <c r="AE73" s="181">
        <v>20</v>
      </c>
      <c r="AF73" s="179">
        <v>1214.3181818181818</v>
      </c>
      <c r="AG73" s="179">
        <v>60.715909090909086</v>
      </c>
      <c r="AH73" s="181">
        <f t="shared" si="28"/>
        <v>8</v>
      </c>
      <c r="AI73" s="413"/>
      <c r="AJ73" s="181">
        <v>20</v>
      </c>
      <c r="AK73" s="179">
        <v>1244.6511627906975</v>
      </c>
      <c r="AL73" s="179">
        <v>62.232558139534873</v>
      </c>
      <c r="AM73" s="181">
        <f t="shared" si="29"/>
        <v>7</v>
      </c>
      <c r="AN73" s="413"/>
      <c r="AO73" s="181">
        <v>20</v>
      </c>
      <c r="AP73" s="179">
        <v>1237.0434782608688</v>
      </c>
      <c r="AQ73" s="179">
        <v>61.852173913043444</v>
      </c>
      <c r="AR73" s="181">
        <f t="shared" si="30"/>
        <v>7</v>
      </c>
      <c r="AS73" s="413"/>
      <c r="AT73" s="181">
        <v>20</v>
      </c>
      <c r="AU73" s="179">
        <v>1240.5405405405413</v>
      </c>
      <c r="AV73" s="179">
        <v>62.027027027027067</v>
      </c>
      <c r="AW73" s="181">
        <f t="shared" si="31"/>
        <v>7</v>
      </c>
      <c r="AX73" s="430"/>
    </row>
    <row r="74" spans="2:50">
      <c r="B74" s="400"/>
      <c r="C74" s="181">
        <v>8</v>
      </c>
      <c r="D74" s="196" t="s">
        <v>295</v>
      </c>
      <c r="E74" s="165">
        <v>19</v>
      </c>
      <c r="F74" s="181">
        <v>1565</v>
      </c>
      <c r="G74" s="179">
        <v>82.368421052631575</v>
      </c>
      <c r="H74" s="413"/>
      <c r="I74" s="165">
        <f t="shared" si="22"/>
        <v>18</v>
      </c>
      <c r="J74" s="165">
        <f t="shared" si="23"/>
        <v>1273.036308955893</v>
      </c>
      <c r="K74" s="179">
        <f t="shared" si="24"/>
        <v>70.724239386438512</v>
      </c>
      <c r="L74" s="413"/>
      <c r="M74" s="180">
        <f>RANK(K74, K$67:$K$81)</f>
        <v>3</v>
      </c>
      <c r="N74" s="401"/>
      <c r="O74" s="401"/>
      <c r="P74" s="181">
        <v>18</v>
      </c>
      <c r="Q74" s="179">
        <v>1304.7785234899334</v>
      </c>
      <c r="R74" s="179">
        <v>72.487695749440746</v>
      </c>
      <c r="S74" s="181">
        <f t="shared" si="25"/>
        <v>3</v>
      </c>
      <c r="T74" s="413"/>
      <c r="U74" s="181">
        <v>18</v>
      </c>
      <c r="V74" s="179">
        <v>1278.6193548387098</v>
      </c>
      <c r="W74" s="179">
        <v>71.034408602150549</v>
      </c>
      <c r="X74" s="181">
        <f t="shared" si="26"/>
        <v>3</v>
      </c>
      <c r="Y74" s="413"/>
      <c r="Z74" s="181">
        <v>18</v>
      </c>
      <c r="AA74" s="179">
        <v>1271.0886075949361</v>
      </c>
      <c r="AB74" s="179">
        <v>70.616033755274231</v>
      </c>
      <c r="AC74" s="181">
        <f t="shared" si="27"/>
        <v>3</v>
      </c>
      <c r="AD74" s="413"/>
      <c r="AE74" s="181">
        <v>18</v>
      </c>
      <c r="AF74" s="179">
        <v>1258.1818181818167</v>
      </c>
      <c r="AG74" s="179">
        <v>69.898989898989811</v>
      </c>
      <c r="AH74" s="181">
        <f t="shared" si="28"/>
        <v>3</v>
      </c>
      <c r="AI74" s="413"/>
      <c r="AJ74" s="181">
        <v>18</v>
      </c>
      <c r="AK74" s="179">
        <v>1262.2222222222229</v>
      </c>
      <c r="AL74" s="179">
        <v>70.123456790123498</v>
      </c>
      <c r="AM74" s="181">
        <f t="shared" si="29"/>
        <v>3</v>
      </c>
      <c r="AN74" s="413"/>
      <c r="AO74" s="181">
        <v>18</v>
      </c>
      <c r="AP74" s="179">
        <v>1285.4545454545439</v>
      </c>
      <c r="AQ74" s="179">
        <v>71.414141414141326</v>
      </c>
      <c r="AR74" s="181">
        <f t="shared" si="30"/>
        <v>3</v>
      </c>
      <c r="AS74" s="413"/>
      <c r="AT74" s="181">
        <v>18</v>
      </c>
      <c r="AU74" s="179">
        <v>1250.9090909090894</v>
      </c>
      <c r="AV74" s="179">
        <v>69.49494949494941</v>
      </c>
      <c r="AW74" s="181">
        <f t="shared" si="31"/>
        <v>3</v>
      </c>
      <c r="AX74" s="430"/>
    </row>
    <row r="75" spans="2:50">
      <c r="B75" s="400"/>
      <c r="C75" s="181">
        <v>9</v>
      </c>
      <c r="D75" s="196"/>
      <c r="E75" s="165"/>
      <c r="F75" s="181"/>
      <c r="G75" s="179"/>
      <c r="H75" s="413"/>
      <c r="I75" s="165"/>
      <c r="J75" s="165"/>
      <c r="K75" s="179"/>
      <c r="L75" s="413"/>
      <c r="M75" s="180" t="e">
        <f>RANK(K75, K$67:$K$81)</f>
        <v>#N/A</v>
      </c>
      <c r="N75" s="401"/>
      <c r="O75" s="401"/>
      <c r="P75" s="181"/>
      <c r="Q75" s="179"/>
      <c r="R75" s="179"/>
      <c r="S75" s="181" t="e">
        <f t="shared" si="25"/>
        <v>#N/A</v>
      </c>
      <c r="T75" s="413"/>
      <c r="U75" s="181"/>
      <c r="V75" s="179"/>
      <c r="W75" s="179"/>
      <c r="X75" s="181" t="e">
        <f t="shared" si="26"/>
        <v>#N/A</v>
      </c>
      <c r="Y75" s="413"/>
      <c r="Z75" s="181"/>
      <c r="AA75" s="179"/>
      <c r="AB75" s="179"/>
      <c r="AC75" s="181" t="e">
        <f t="shared" si="27"/>
        <v>#N/A</v>
      </c>
      <c r="AD75" s="413"/>
      <c r="AE75" s="181"/>
      <c r="AF75" s="179"/>
      <c r="AG75" s="179"/>
      <c r="AH75" s="181" t="e">
        <f t="shared" si="28"/>
        <v>#N/A</v>
      </c>
      <c r="AI75" s="413"/>
      <c r="AJ75" s="181"/>
      <c r="AK75" s="179"/>
      <c r="AL75" s="179"/>
      <c r="AM75" s="181" t="e">
        <f t="shared" si="29"/>
        <v>#N/A</v>
      </c>
      <c r="AN75" s="413"/>
      <c r="AO75" s="181"/>
      <c r="AP75" s="179"/>
      <c r="AQ75" s="179"/>
      <c r="AR75" s="181" t="e">
        <f t="shared" si="30"/>
        <v>#N/A</v>
      </c>
      <c r="AS75" s="413"/>
      <c r="AT75" s="181"/>
      <c r="AU75" s="179"/>
      <c r="AV75" s="179"/>
      <c r="AW75" s="181" t="e">
        <f t="shared" si="31"/>
        <v>#N/A</v>
      </c>
      <c r="AX75" s="430"/>
    </row>
    <row r="76" spans="2:50">
      <c r="B76" s="400"/>
      <c r="C76" s="181">
        <v>10</v>
      </c>
      <c r="D76" s="196"/>
      <c r="E76" s="165"/>
      <c r="F76" s="181"/>
      <c r="G76" s="179"/>
      <c r="H76" s="413"/>
      <c r="I76" s="165"/>
      <c r="J76" s="165"/>
      <c r="K76" s="179"/>
      <c r="L76" s="413"/>
      <c r="M76" s="180" t="e">
        <f>RANK(K76, K$67:$K$81)</f>
        <v>#N/A</v>
      </c>
      <c r="N76" s="401"/>
      <c r="O76" s="401"/>
      <c r="P76" s="181"/>
      <c r="Q76" s="179"/>
      <c r="R76" s="179"/>
      <c r="S76" s="181" t="e">
        <f t="shared" si="25"/>
        <v>#N/A</v>
      </c>
      <c r="T76" s="413"/>
      <c r="U76" s="181"/>
      <c r="V76" s="179"/>
      <c r="W76" s="179"/>
      <c r="X76" s="181" t="e">
        <f t="shared" si="26"/>
        <v>#N/A</v>
      </c>
      <c r="Y76" s="413"/>
      <c r="Z76" s="181"/>
      <c r="AA76" s="179"/>
      <c r="AB76" s="179"/>
      <c r="AC76" s="181" t="e">
        <f t="shared" si="27"/>
        <v>#N/A</v>
      </c>
      <c r="AD76" s="413"/>
      <c r="AE76" s="181"/>
      <c r="AF76" s="179"/>
      <c r="AG76" s="179"/>
      <c r="AH76" s="181" t="e">
        <f t="shared" si="28"/>
        <v>#N/A</v>
      </c>
      <c r="AI76" s="413"/>
      <c r="AJ76" s="181"/>
      <c r="AK76" s="179"/>
      <c r="AL76" s="179"/>
      <c r="AM76" s="181" t="e">
        <f t="shared" si="29"/>
        <v>#N/A</v>
      </c>
      <c r="AN76" s="413"/>
      <c r="AO76" s="181"/>
      <c r="AP76" s="179"/>
      <c r="AQ76" s="179"/>
      <c r="AR76" s="181" t="e">
        <f t="shared" si="30"/>
        <v>#N/A</v>
      </c>
      <c r="AS76" s="413"/>
      <c r="AT76" s="181"/>
      <c r="AU76" s="179"/>
      <c r="AV76" s="179"/>
      <c r="AW76" s="181" t="e">
        <f t="shared" si="31"/>
        <v>#N/A</v>
      </c>
      <c r="AX76" s="430"/>
    </row>
    <row r="77" spans="2:50">
      <c r="B77" s="400"/>
      <c r="C77" s="181">
        <v>11</v>
      </c>
      <c r="D77" s="196"/>
      <c r="E77" s="165"/>
      <c r="F77" s="181"/>
      <c r="G77" s="179"/>
      <c r="H77" s="413"/>
      <c r="I77" s="181"/>
      <c r="J77" s="181"/>
      <c r="K77" s="181"/>
      <c r="L77" s="413"/>
      <c r="M77" s="180" t="e">
        <f>RANK(K77, K$67:$K$81)</f>
        <v>#N/A</v>
      </c>
      <c r="N77" s="401"/>
      <c r="O77" s="401"/>
      <c r="P77" s="181"/>
      <c r="Q77" s="179"/>
      <c r="R77" s="179"/>
      <c r="S77" s="181" t="e">
        <f t="shared" si="25"/>
        <v>#N/A</v>
      </c>
      <c r="T77" s="413"/>
      <c r="U77" s="181"/>
      <c r="V77" s="179"/>
      <c r="W77" s="179"/>
      <c r="X77" s="181" t="e">
        <f t="shared" si="26"/>
        <v>#N/A</v>
      </c>
      <c r="Y77" s="413"/>
      <c r="Z77" s="181"/>
      <c r="AA77" s="179"/>
      <c r="AB77" s="179"/>
      <c r="AC77" s="181" t="e">
        <f t="shared" si="27"/>
        <v>#N/A</v>
      </c>
      <c r="AD77" s="413"/>
      <c r="AE77" s="181"/>
      <c r="AF77" s="179"/>
      <c r="AG77" s="179"/>
      <c r="AH77" s="181" t="e">
        <f t="shared" si="28"/>
        <v>#N/A</v>
      </c>
      <c r="AI77" s="413"/>
      <c r="AJ77" s="181"/>
      <c r="AK77" s="179"/>
      <c r="AL77" s="179"/>
      <c r="AM77" s="181" t="e">
        <f t="shared" si="29"/>
        <v>#N/A</v>
      </c>
      <c r="AN77" s="413"/>
      <c r="AO77" s="181"/>
      <c r="AP77" s="179"/>
      <c r="AQ77" s="179"/>
      <c r="AR77" s="181" t="e">
        <f t="shared" si="30"/>
        <v>#N/A</v>
      </c>
      <c r="AS77" s="413"/>
      <c r="AT77" s="181"/>
      <c r="AU77" s="179"/>
      <c r="AV77" s="179"/>
      <c r="AW77" s="181" t="e">
        <f t="shared" si="31"/>
        <v>#N/A</v>
      </c>
      <c r="AX77" s="43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81"/>
      <c r="Q78" s="179"/>
      <c r="R78" s="179"/>
      <c r="S78" s="181" t="e">
        <f t="shared" si="25"/>
        <v>#N/A</v>
      </c>
      <c r="T78" s="413"/>
      <c r="U78" s="181"/>
      <c r="V78" s="179"/>
      <c r="W78" s="179"/>
      <c r="X78" s="181" t="e">
        <f t="shared" si="26"/>
        <v>#N/A</v>
      </c>
      <c r="Y78" s="413"/>
      <c r="Z78" s="181"/>
      <c r="AA78" s="179"/>
      <c r="AB78" s="179"/>
      <c r="AC78" s="181" t="e">
        <f t="shared" si="27"/>
        <v>#N/A</v>
      </c>
      <c r="AD78" s="413"/>
      <c r="AE78" s="181"/>
      <c r="AF78" s="179"/>
      <c r="AG78" s="179"/>
      <c r="AH78" s="181" t="e">
        <f t="shared" si="28"/>
        <v>#N/A</v>
      </c>
      <c r="AI78" s="413"/>
      <c r="AJ78" s="181"/>
      <c r="AK78" s="179"/>
      <c r="AL78" s="179"/>
      <c r="AM78" s="181" t="e">
        <f t="shared" si="29"/>
        <v>#N/A</v>
      </c>
      <c r="AN78" s="413"/>
      <c r="AO78" s="181"/>
      <c r="AP78" s="179"/>
      <c r="AQ78" s="179"/>
      <c r="AR78" s="181" t="e">
        <f t="shared" si="30"/>
        <v>#N/A</v>
      </c>
      <c r="AS78" s="413"/>
      <c r="AT78" s="181"/>
      <c r="AU78" s="181"/>
      <c r="AV78" s="181"/>
      <c r="AW78" s="181" t="e">
        <f t="shared" si="31"/>
        <v>#N/A</v>
      </c>
      <c r="AX78" s="43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81"/>
      <c r="Q79" s="179"/>
      <c r="R79" s="179"/>
      <c r="S79" s="181" t="e">
        <f t="shared" si="25"/>
        <v>#N/A</v>
      </c>
      <c r="T79" s="413"/>
      <c r="U79" s="181"/>
      <c r="V79" s="179"/>
      <c r="W79" s="179"/>
      <c r="X79" s="181" t="e">
        <f t="shared" si="26"/>
        <v>#N/A</v>
      </c>
      <c r="Y79" s="413"/>
      <c r="Z79" s="181"/>
      <c r="AA79" s="179"/>
      <c r="AB79" s="179"/>
      <c r="AC79" s="181" t="e">
        <f t="shared" si="27"/>
        <v>#N/A</v>
      </c>
      <c r="AD79" s="413"/>
      <c r="AE79" s="181"/>
      <c r="AF79" s="179"/>
      <c r="AG79" s="179"/>
      <c r="AH79" s="181" t="e">
        <f t="shared" si="28"/>
        <v>#N/A</v>
      </c>
      <c r="AI79" s="413"/>
      <c r="AJ79" s="181"/>
      <c r="AK79" s="179"/>
      <c r="AL79" s="179"/>
      <c r="AM79" s="181" t="e">
        <f t="shared" si="29"/>
        <v>#N/A</v>
      </c>
      <c r="AN79" s="413"/>
      <c r="AO79" s="181"/>
      <c r="AP79" s="179"/>
      <c r="AQ79" s="179"/>
      <c r="AR79" s="181" t="e">
        <f t="shared" si="30"/>
        <v>#N/A</v>
      </c>
      <c r="AS79" s="413"/>
      <c r="AT79" s="181"/>
      <c r="AU79" s="181"/>
      <c r="AV79" s="181"/>
      <c r="AW79" s="181" t="e">
        <f t="shared" si="31"/>
        <v>#N/A</v>
      </c>
      <c r="AX79" s="43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81"/>
      <c r="Q80" s="179"/>
      <c r="R80" s="179"/>
      <c r="S80" s="181" t="e">
        <f t="shared" si="25"/>
        <v>#N/A</v>
      </c>
      <c r="T80" s="413"/>
      <c r="U80" s="181"/>
      <c r="V80" s="179"/>
      <c r="W80" s="179"/>
      <c r="X80" s="181" t="e">
        <f t="shared" si="26"/>
        <v>#N/A</v>
      </c>
      <c r="Y80" s="413"/>
      <c r="Z80" s="181"/>
      <c r="AA80" s="179"/>
      <c r="AB80" s="179"/>
      <c r="AC80" s="181" t="e">
        <f t="shared" si="27"/>
        <v>#N/A</v>
      </c>
      <c r="AD80" s="413"/>
      <c r="AE80" s="181"/>
      <c r="AF80" s="179"/>
      <c r="AG80" s="179"/>
      <c r="AH80" s="181" t="e">
        <f t="shared" si="28"/>
        <v>#N/A</v>
      </c>
      <c r="AI80" s="413"/>
      <c r="AJ80" s="181"/>
      <c r="AK80" s="179"/>
      <c r="AL80" s="179"/>
      <c r="AM80" s="181" t="e">
        <f t="shared" si="29"/>
        <v>#N/A</v>
      </c>
      <c r="AN80" s="413"/>
      <c r="AO80" s="181"/>
      <c r="AP80" s="179"/>
      <c r="AQ80" s="179"/>
      <c r="AR80" s="181" t="e">
        <f t="shared" si="30"/>
        <v>#N/A</v>
      </c>
      <c r="AS80" s="413"/>
      <c r="AT80" s="181"/>
      <c r="AU80" s="181"/>
      <c r="AV80" s="181"/>
      <c r="AW80" s="181" t="e">
        <f t="shared" si="31"/>
        <v>#N/A</v>
      </c>
      <c r="AX80" s="43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81"/>
      <c r="Q81" s="179"/>
      <c r="R81" s="179"/>
      <c r="S81" s="181" t="e">
        <f t="shared" si="25"/>
        <v>#N/A</v>
      </c>
      <c r="T81" s="414"/>
      <c r="U81" s="181"/>
      <c r="V81" s="179"/>
      <c r="W81" s="179"/>
      <c r="X81" s="181" t="e">
        <f t="shared" si="26"/>
        <v>#N/A</v>
      </c>
      <c r="Y81" s="414"/>
      <c r="Z81" s="181"/>
      <c r="AA81" s="179"/>
      <c r="AB81" s="179"/>
      <c r="AC81" s="181" t="e">
        <f t="shared" si="27"/>
        <v>#N/A</v>
      </c>
      <c r="AD81" s="414"/>
      <c r="AE81" s="181"/>
      <c r="AF81" s="179"/>
      <c r="AG81" s="179"/>
      <c r="AH81" s="181" t="e">
        <f t="shared" si="28"/>
        <v>#N/A</v>
      </c>
      <c r="AI81" s="414"/>
      <c r="AJ81" s="181"/>
      <c r="AK81" s="179"/>
      <c r="AL81" s="179"/>
      <c r="AM81" s="181" t="e">
        <f t="shared" si="29"/>
        <v>#N/A</v>
      </c>
      <c r="AN81" s="414"/>
      <c r="AO81" s="181"/>
      <c r="AP81" s="179"/>
      <c r="AQ81" s="179"/>
      <c r="AR81" s="181" t="e">
        <f t="shared" si="30"/>
        <v>#N/A</v>
      </c>
      <c r="AS81" s="414"/>
      <c r="AT81" s="181"/>
      <c r="AU81" s="181"/>
      <c r="AV81" s="181"/>
      <c r="AW81" s="181" t="e">
        <f t="shared" si="31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01" t="s">
        <v>173</v>
      </c>
      <c r="C87" s="181">
        <v>1</v>
      </c>
      <c r="D87" s="196" t="s">
        <v>288</v>
      </c>
      <c r="E87" s="165">
        <v>19</v>
      </c>
      <c r="F87" s="181">
        <v>1440</v>
      </c>
      <c r="G87" s="179">
        <v>75.78947368421052</v>
      </c>
      <c r="H87" s="412">
        <f>AVERAGE(G87:G101)</f>
        <v>78.991002321981412</v>
      </c>
      <c r="I87" s="165">
        <f>AVERAGE(P87,U87,Z87,AE87,AJ87,AO87,AT87)</f>
        <v>19</v>
      </c>
      <c r="J87" s="165">
        <f>AVERAGE(Q87,V87,AA87,AF87,AK87,AP87,AU87)</f>
        <v>1248.4740781652665</v>
      </c>
      <c r="K87" s="179">
        <f>AVERAGE(R87,W87,AB87,AG87,AL87,AQ87,AV87)</f>
        <v>65.709162008698243</v>
      </c>
      <c r="L87" s="412">
        <f>IFERROR(AVERAGE(K87:K101),"-")</f>
        <v>67.281503930407709</v>
      </c>
      <c r="M87" s="180">
        <f>RANK(K87, K$87:$K$101)</f>
        <v>3</v>
      </c>
      <c r="N87" s="401"/>
      <c r="O87" s="401"/>
      <c r="P87" s="165">
        <v>19</v>
      </c>
      <c r="Q87" s="179">
        <v>1220.8</v>
      </c>
      <c r="R87" s="179">
        <v>64.252631578947373</v>
      </c>
      <c r="S87" s="181">
        <f>RANK(R87, R$87:R$101)</f>
        <v>5</v>
      </c>
      <c r="T87" s="412">
        <f>AVERAGE(R87:R101)</f>
        <v>68.201236005774888</v>
      </c>
      <c r="U87" s="165">
        <v>19</v>
      </c>
      <c r="V87" s="179">
        <v>1253.9568345323739</v>
      </c>
      <c r="W87" s="179">
        <v>65.997728133282834</v>
      </c>
      <c r="X87" s="181">
        <f>RANK(W87, W$87:W$101)</f>
        <v>5</v>
      </c>
      <c r="Y87" s="412">
        <f>AVERAGE(W87:W101)</f>
        <v>68.178124761656321</v>
      </c>
      <c r="Z87" s="165">
        <v>19</v>
      </c>
      <c r="AA87" s="179">
        <v>1251.4285714285716</v>
      </c>
      <c r="AB87" s="179">
        <v>65.864661654135347</v>
      </c>
      <c r="AC87" s="181">
        <f>RANK(AB87, AB$87:AB$101)</f>
        <v>4</v>
      </c>
      <c r="AD87" s="412">
        <f>AVERAGE(AB87:AB101)</f>
        <v>68.124086209043625</v>
      </c>
      <c r="AE87" s="165">
        <v>19</v>
      </c>
      <c r="AF87" s="179">
        <v>1264.6153846153848</v>
      </c>
      <c r="AG87" s="179">
        <v>66.558704453441308</v>
      </c>
      <c r="AH87" s="181">
        <f>RANK(AG87, AG$87:AG$101)</f>
        <v>3</v>
      </c>
      <c r="AI87" s="412">
        <f>AVERAGE(AG87:AG101)</f>
        <v>67.000712937308748</v>
      </c>
      <c r="AJ87" s="165">
        <v>19</v>
      </c>
      <c r="AK87" s="179">
        <v>1261.024390243902</v>
      </c>
      <c r="AL87" s="179">
        <v>66.369704749679045</v>
      </c>
      <c r="AM87" s="181">
        <f>RANK(AL87, AL$87:AL$101)</f>
        <v>3</v>
      </c>
      <c r="AN87" s="412">
        <f>AVERAGE(AL87:AL101)</f>
        <v>66.25844216759829</v>
      </c>
      <c r="AO87" s="165">
        <v>19</v>
      </c>
      <c r="AP87" s="179">
        <v>1217.2633663366341</v>
      </c>
      <c r="AQ87" s="179">
        <v>64.066492965086013</v>
      </c>
      <c r="AR87" s="181">
        <f>RANK(AQ87, AQ$87:AQ$101)</f>
        <v>5</v>
      </c>
      <c r="AS87" s="412">
        <f>AVERAGE(AQ87:AQ101)</f>
        <v>66.639693486582559</v>
      </c>
      <c r="AT87" s="165">
        <v>19</v>
      </c>
      <c r="AU87" s="179">
        <v>1270.2300000000002</v>
      </c>
      <c r="AV87" s="179">
        <v>66.854210526315796</v>
      </c>
      <c r="AW87" s="181">
        <f>RANK(AV87, AV$87:AV$101)</f>
        <v>3</v>
      </c>
      <c r="AX87" s="430">
        <f>AVERAGE(AV87:AV101)</f>
        <v>66.568231944889519</v>
      </c>
    </row>
    <row r="88" spans="2:50">
      <c r="B88" s="400"/>
      <c r="C88" s="181">
        <v>2</v>
      </c>
      <c r="D88" s="196" t="s">
        <v>289</v>
      </c>
      <c r="E88" s="165">
        <v>19</v>
      </c>
      <c r="F88" s="181">
        <v>1440</v>
      </c>
      <c r="G88" s="179">
        <v>75.78947368421052</v>
      </c>
      <c r="H88" s="413"/>
      <c r="I88" s="165">
        <f t="shared" ref="I88:K94" si="32">AVERAGE(P88,U88,Z88,AE88,AJ88,AO88,AT88)</f>
        <v>19</v>
      </c>
      <c r="J88" s="165">
        <f t="shared" si="32"/>
        <v>1233.3715239401442</v>
      </c>
      <c r="K88" s="179">
        <f t="shared" si="32"/>
        <v>64.9142907336918</v>
      </c>
      <c r="L88" s="413"/>
      <c r="M88" s="180">
        <f>RANK(K88, K$87:$K$101)</f>
        <v>4</v>
      </c>
      <c r="N88" s="401"/>
      <c r="O88" s="401"/>
      <c r="P88" s="181">
        <v>19</v>
      </c>
      <c r="Q88" s="179">
        <v>1264.931506849314</v>
      </c>
      <c r="R88" s="179">
        <v>66.575342465753366</v>
      </c>
      <c r="S88" s="181">
        <f t="shared" ref="S88:S101" si="33">RANK(R88, R$87:R$101)</f>
        <v>4</v>
      </c>
      <c r="T88" s="413"/>
      <c r="U88" s="181">
        <v>19</v>
      </c>
      <c r="V88" s="179">
        <v>1221.6521739130421</v>
      </c>
      <c r="W88" s="179">
        <v>64.297482837528534</v>
      </c>
      <c r="X88" s="181">
        <f t="shared" ref="X88:X101" si="34">RANK(W88, W$87:W$101)</f>
        <v>6</v>
      </c>
      <c r="Y88" s="413"/>
      <c r="Z88" s="181">
        <v>19</v>
      </c>
      <c r="AA88" s="179">
        <v>1239.1666666666656</v>
      </c>
      <c r="AB88" s="179">
        <v>65.219298245613984</v>
      </c>
      <c r="AC88" s="181">
        <f t="shared" ref="AC88:AC101" si="35">RANK(AB88, AB$87:AB$101)</f>
        <v>6</v>
      </c>
      <c r="AD88" s="413"/>
      <c r="AE88" s="181">
        <v>19</v>
      </c>
      <c r="AF88" s="179">
        <v>1242.2727272727273</v>
      </c>
      <c r="AG88" s="179">
        <v>65.382775119617222</v>
      </c>
      <c r="AH88" s="181">
        <f t="shared" ref="AH88:AH101" si="36">RANK(AG88, AG$87:AG$101)</f>
        <v>4</v>
      </c>
      <c r="AI88" s="413"/>
      <c r="AJ88" s="181">
        <v>19</v>
      </c>
      <c r="AK88" s="179">
        <v>1204.7058823529417</v>
      </c>
      <c r="AL88" s="179">
        <v>63.405572755417985</v>
      </c>
      <c r="AM88" s="181">
        <f t="shared" ref="AM88:AM101" si="37">RANK(AL88, AL$87:AL$101)</f>
        <v>5</v>
      </c>
      <c r="AN88" s="413"/>
      <c r="AO88" s="181">
        <v>19</v>
      </c>
      <c r="AP88" s="179">
        <v>1233.6842105263167</v>
      </c>
      <c r="AQ88" s="179">
        <v>64.930747922437718</v>
      </c>
      <c r="AR88" s="181">
        <f t="shared" ref="AR88:AR101" si="38">RANK(AQ88, AQ$87:AQ$101)</f>
        <v>4</v>
      </c>
      <c r="AS88" s="413"/>
      <c r="AT88" s="181">
        <v>19</v>
      </c>
      <c r="AU88" s="179">
        <v>1227.1875000000014</v>
      </c>
      <c r="AV88" s="179">
        <v>64.588815789473756</v>
      </c>
      <c r="AW88" s="181">
        <f t="shared" ref="AW88:AW101" si="39">RANK(AV88, AV$87:AV$101)</f>
        <v>4</v>
      </c>
      <c r="AX88" s="430"/>
    </row>
    <row r="89" spans="2:50">
      <c r="B89" s="400"/>
      <c r="C89" s="181">
        <v>3</v>
      </c>
      <c r="D89" s="196" t="s">
        <v>290</v>
      </c>
      <c r="E89" s="165">
        <v>17</v>
      </c>
      <c r="F89" s="181">
        <v>1636</v>
      </c>
      <c r="G89" s="179">
        <v>96.235294117647058</v>
      </c>
      <c r="H89" s="413"/>
      <c r="I89" s="165">
        <f t="shared" si="32"/>
        <v>17</v>
      </c>
      <c r="J89" s="165">
        <f t="shared" si="32"/>
        <v>1378.0761605091025</v>
      </c>
      <c r="K89" s="179">
        <f t="shared" si="32"/>
        <v>81.063303559358957</v>
      </c>
      <c r="L89" s="413"/>
      <c r="M89" s="180">
        <f>RANK(K89, K$87:$K$101)</f>
        <v>1</v>
      </c>
      <c r="N89" s="401"/>
      <c r="O89" s="401"/>
      <c r="P89" s="181">
        <v>17</v>
      </c>
      <c r="Q89" s="179">
        <v>1372.8571428571424</v>
      </c>
      <c r="R89" s="179">
        <v>80.756302521008379</v>
      </c>
      <c r="S89" s="181">
        <f t="shared" si="33"/>
        <v>1</v>
      </c>
      <c r="T89" s="413"/>
      <c r="U89" s="181">
        <v>17</v>
      </c>
      <c r="V89" s="179">
        <v>1370.5263157894726</v>
      </c>
      <c r="W89" s="179">
        <v>80.619195046439572</v>
      </c>
      <c r="X89" s="181">
        <f t="shared" si="34"/>
        <v>1</v>
      </c>
      <c r="Y89" s="413"/>
      <c r="Z89" s="181">
        <v>17</v>
      </c>
      <c r="AA89" s="179">
        <v>1358.9189189189178</v>
      </c>
      <c r="AB89" s="179">
        <v>79.936406995230456</v>
      </c>
      <c r="AC89" s="181">
        <f t="shared" si="35"/>
        <v>1</v>
      </c>
      <c r="AD89" s="413"/>
      <c r="AE89" s="181">
        <v>17</v>
      </c>
      <c r="AF89" s="179">
        <v>1361.8181818181799</v>
      </c>
      <c r="AG89" s="179">
        <v>80.106951871657643</v>
      </c>
      <c r="AH89" s="181">
        <f t="shared" si="36"/>
        <v>1</v>
      </c>
      <c r="AI89" s="413"/>
      <c r="AJ89" s="181">
        <v>17</v>
      </c>
      <c r="AK89" s="179">
        <v>1394.5454545454529</v>
      </c>
      <c r="AL89" s="179">
        <v>82.032085561497226</v>
      </c>
      <c r="AM89" s="181">
        <f t="shared" si="37"/>
        <v>1</v>
      </c>
      <c r="AN89" s="413"/>
      <c r="AO89" s="181">
        <v>17</v>
      </c>
      <c r="AP89" s="179">
        <v>1402.2857142857129</v>
      </c>
      <c r="AQ89" s="179">
        <v>82.487394957983113</v>
      </c>
      <c r="AR89" s="181">
        <f t="shared" si="38"/>
        <v>1</v>
      </c>
      <c r="AS89" s="413"/>
      <c r="AT89" s="181">
        <v>17</v>
      </c>
      <c r="AU89" s="179">
        <v>1385.5813953488371</v>
      </c>
      <c r="AV89" s="179">
        <v>81.504787961696294</v>
      </c>
      <c r="AW89" s="181">
        <f t="shared" si="39"/>
        <v>1</v>
      </c>
      <c r="AX89" s="430"/>
    </row>
    <row r="90" spans="2:50">
      <c r="B90" s="400"/>
      <c r="C90" s="181">
        <v>4</v>
      </c>
      <c r="D90" s="196" t="s">
        <v>291</v>
      </c>
      <c r="E90" s="165">
        <v>17</v>
      </c>
      <c r="F90" s="181">
        <v>1440</v>
      </c>
      <c r="G90" s="179">
        <v>84.705882352941174</v>
      </c>
      <c r="H90" s="413"/>
      <c r="I90" s="165">
        <f t="shared" si="32"/>
        <v>17.428571428571427</v>
      </c>
      <c r="J90" s="165">
        <f t="shared" si="32"/>
        <v>1279.4367614199061</v>
      </c>
      <c r="K90" s="179">
        <f t="shared" si="32"/>
        <v>73.482255811797543</v>
      </c>
      <c r="L90" s="413"/>
      <c r="M90" s="180">
        <f>RANK(K90, K$87:$K$101)</f>
        <v>2</v>
      </c>
      <c r="N90" s="401"/>
      <c r="O90" s="401"/>
      <c r="P90" s="181">
        <v>17</v>
      </c>
      <c r="Q90" s="179">
        <v>1259.5199999999995</v>
      </c>
      <c r="R90" s="179">
        <v>74.089411764705858</v>
      </c>
      <c r="S90" s="181">
        <f t="shared" si="33"/>
        <v>2</v>
      </c>
      <c r="T90" s="413"/>
      <c r="U90" s="181">
        <v>17</v>
      </c>
      <c r="V90" s="179">
        <v>1303.03448275862</v>
      </c>
      <c r="W90" s="179">
        <v>76.6490872210953</v>
      </c>
      <c r="X90" s="181">
        <f t="shared" si="34"/>
        <v>2</v>
      </c>
      <c r="Y90" s="413"/>
      <c r="Z90" s="181">
        <v>17</v>
      </c>
      <c r="AA90" s="179">
        <v>1283.1428571428564</v>
      </c>
      <c r="AB90" s="179">
        <v>75.478991596638608</v>
      </c>
      <c r="AC90" s="181">
        <f t="shared" si="35"/>
        <v>2</v>
      </c>
      <c r="AD90" s="413"/>
      <c r="AE90" s="181">
        <v>17</v>
      </c>
      <c r="AF90" s="179">
        <v>1300.3200000000004</v>
      </c>
      <c r="AG90" s="179">
        <v>76.489411764705906</v>
      </c>
      <c r="AH90" s="181">
        <f t="shared" si="36"/>
        <v>2</v>
      </c>
      <c r="AI90" s="413"/>
      <c r="AJ90" s="181">
        <v>18</v>
      </c>
      <c r="AK90" s="179">
        <v>1262.4193548387093</v>
      </c>
      <c r="AL90" s="179">
        <v>70.134408602150515</v>
      </c>
      <c r="AM90" s="181">
        <f t="shared" si="37"/>
        <v>2</v>
      </c>
      <c r="AN90" s="413"/>
      <c r="AO90" s="181">
        <v>18</v>
      </c>
      <c r="AP90" s="179">
        <v>1270.7913669064749</v>
      </c>
      <c r="AQ90" s="179">
        <v>70.599520383693047</v>
      </c>
      <c r="AR90" s="181">
        <f t="shared" si="38"/>
        <v>2</v>
      </c>
      <c r="AS90" s="413"/>
      <c r="AT90" s="181">
        <v>18</v>
      </c>
      <c r="AU90" s="179">
        <v>1276.8292682926826</v>
      </c>
      <c r="AV90" s="179">
        <v>70.934959349593484</v>
      </c>
      <c r="AW90" s="181">
        <f t="shared" si="39"/>
        <v>2</v>
      </c>
      <c r="AX90" s="430"/>
    </row>
    <row r="91" spans="2:50">
      <c r="B91" s="400"/>
      <c r="C91" s="181">
        <v>5</v>
      </c>
      <c r="D91" s="196" t="s">
        <v>292</v>
      </c>
      <c r="E91" s="165">
        <v>19</v>
      </c>
      <c r="F91" s="181">
        <v>1440</v>
      </c>
      <c r="G91" s="179">
        <v>75.78947368421052</v>
      </c>
      <c r="H91" s="413"/>
      <c r="I91" s="165">
        <f t="shared" si="32"/>
        <v>19</v>
      </c>
      <c r="J91" s="165">
        <f t="shared" si="32"/>
        <v>1230.8994890913616</v>
      </c>
      <c r="K91" s="179">
        <f t="shared" si="32"/>
        <v>64.784183636387453</v>
      </c>
      <c r="L91" s="413"/>
      <c r="M91" s="180">
        <f>RANK(K91, K$87:$K$101)</f>
        <v>5</v>
      </c>
      <c r="N91" s="401"/>
      <c r="O91" s="401"/>
      <c r="P91" s="181">
        <v>19</v>
      </c>
      <c r="Q91" s="179">
        <v>1215.7377049180338</v>
      </c>
      <c r="R91" s="179">
        <v>63.986194995685992</v>
      </c>
      <c r="S91" s="181">
        <f t="shared" si="33"/>
        <v>6</v>
      </c>
      <c r="T91" s="413"/>
      <c r="U91" s="181">
        <v>19</v>
      </c>
      <c r="V91" s="179">
        <v>1257.9661016949162</v>
      </c>
      <c r="W91" s="179">
        <v>66.208742194469281</v>
      </c>
      <c r="X91" s="181">
        <f t="shared" si="34"/>
        <v>4</v>
      </c>
      <c r="Y91" s="413"/>
      <c r="Z91" s="181">
        <v>19</v>
      </c>
      <c r="AA91" s="179">
        <v>1247.3076923076931</v>
      </c>
      <c r="AB91" s="179">
        <v>65.647773279352265</v>
      </c>
      <c r="AC91" s="181">
        <f t="shared" si="35"/>
        <v>5</v>
      </c>
      <c r="AD91" s="413"/>
      <c r="AE91" s="181">
        <v>19</v>
      </c>
      <c r="AF91" s="179">
        <v>1218.1132075471705</v>
      </c>
      <c r="AG91" s="179">
        <v>64.111221449851087</v>
      </c>
      <c r="AH91" s="181">
        <f t="shared" si="36"/>
        <v>5</v>
      </c>
      <c r="AI91" s="413"/>
      <c r="AJ91" s="181">
        <v>19</v>
      </c>
      <c r="AK91" s="179">
        <v>1214.444444444445</v>
      </c>
      <c r="AL91" s="179">
        <v>63.918128654970793</v>
      </c>
      <c r="AM91" s="181">
        <f t="shared" si="37"/>
        <v>4</v>
      </c>
      <c r="AN91" s="413"/>
      <c r="AO91" s="181">
        <v>19</v>
      </c>
      <c r="AP91" s="179">
        <v>1252.7272727272741</v>
      </c>
      <c r="AQ91" s="179">
        <v>65.933014354067055</v>
      </c>
      <c r="AR91" s="181">
        <f t="shared" si="38"/>
        <v>3</v>
      </c>
      <c r="AS91" s="413"/>
      <c r="AT91" s="181">
        <v>19</v>
      </c>
      <c r="AU91" s="179">
        <v>1209.9999999999991</v>
      </c>
      <c r="AV91" s="179">
        <v>63.684210526315745</v>
      </c>
      <c r="AW91" s="181">
        <f t="shared" si="39"/>
        <v>5</v>
      </c>
      <c r="AX91" s="430"/>
    </row>
    <row r="92" spans="2:50">
      <c r="B92" s="400"/>
      <c r="C92" s="181">
        <v>6</v>
      </c>
      <c r="D92" s="196" t="s">
        <v>293</v>
      </c>
      <c r="E92" s="165">
        <v>20</v>
      </c>
      <c r="F92" s="181">
        <v>1385</v>
      </c>
      <c r="G92" s="179">
        <v>69.25</v>
      </c>
      <c r="H92" s="413"/>
      <c r="I92" s="165">
        <f t="shared" si="32"/>
        <v>20</v>
      </c>
      <c r="J92" s="165">
        <f t="shared" si="32"/>
        <v>1248.6332622942937</v>
      </c>
      <c r="K92" s="179">
        <f t="shared" si="32"/>
        <v>62.431663114714688</v>
      </c>
      <c r="L92" s="413"/>
      <c r="M92" s="180">
        <f>RANK(K92, K$87:$K$101)</f>
        <v>7</v>
      </c>
      <c r="N92" s="401"/>
      <c r="O92" s="401"/>
      <c r="P92" s="181">
        <v>20</v>
      </c>
      <c r="Q92" s="179">
        <v>1260.4444444444443</v>
      </c>
      <c r="R92" s="179">
        <v>63.022222222222219</v>
      </c>
      <c r="S92" s="181">
        <f t="shared" si="33"/>
        <v>7</v>
      </c>
      <c r="T92" s="413"/>
      <c r="U92" s="181">
        <v>20</v>
      </c>
      <c r="V92" s="179">
        <v>1230.2189781021898</v>
      </c>
      <c r="W92" s="179">
        <v>61.510948905109487</v>
      </c>
      <c r="X92" s="181">
        <f t="shared" si="34"/>
        <v>8</v>
      </c>
      <c r="Y92" s="413"/>
      <c r="Z92" s="181">
        <v>20</v>
      </c>
      <c r="AA92" s="179">
        <v>1250.6249999999998</v>
      </c>
      <c r="AB92" s="179">
        <v>62.531249999999986</v>
      </c>
      <c r="AC92" s="181">
        <f t="shared" si="35"/>
        <v>8</v>
      </c>
      <c r="AD92" s="413"/>
      <c r="AE92" s="181">
        <v>20</v>
      </c>
      <c r="AF92" s="179">
        <v>1233.8888888888896</v>
      </c>
      <c r="AG92" s="179">
        <v>61.694444444444478</v>
      </c>
      <c r="AH92" s="181">
        <f t="shared" si="36"/>
        <v>7</v>
      </c>
      <c r="AI92" s="413"/>
      <c r="AJ92" s="181">
        <v>20</v>
      </c>
      <c r="AK92" s="179">
        <v>1263.9622641509441</v>
      </c>
      <c r="AL92" s="179">
        <v>63.198113207547202</v>
      </c>
      <c r="AM92" s="181">
        <f t="shared" si="37"/>
        <v>6</v>
      </c>
      <c r="AN92" s="413"/>
      <c r="AO92" s="181">
        <v>20</v>
      </c>
      <c r="AP92" s="179">
        <v>1245.7377049180325</v>
      </c>
      <c r="AQ92" s="179">
        <v>62.286885245901622</v>
      </c>
      <c r="AR92" s="181">
        <f t="shared" si="38"/>
        <v>7</v>
      </c>
      <c r="AS92" s="413"/>
      <c r="AT92" s="181">
        <v>20</v>
      </c>
      <c r="AU92" s="179">
        <v>1255.5555555555563</v>
      </c>
      <c r="AV92" s="179">
        <v>62.777777777777814</v>
      </c>
      <c r="AW92" s="181">
        <f t="shared" si="39"/>
        <v>6</v>
      </c>
      <c r="AX92" s="430"/>
    </row>
    <row r="93" spans="2:50">
      <c r="B93" s="400"/>
      <c r="C93" s="181">
        <v>7</v>
      </c>
      <c r="D93" s="196" t="s">
        <v>294</v>
      </c>
      <c r="E93" s="165">
        <v>20</v>
      </c>
      <c r="F93" s="181">
        <v>1440</v>
      </c>
      <c r="G93" s="179">
        <v>72</v>
      </c>
      <c r="H93" s="413"/>
      <c r="I93" s="165">
        <f t="shared" si="32"/>
        <v>20</v>
      </c>
      <c r="J93" s="165">
        <f t="shared" si="32"/>
        <v>1236.8901256808676</v>
      </c>
      <c r="K93" s="179">
        <f t="shared" si="32"/>
        <v>61.844506284043391</v>
      </c>
      <c r="L93" s="413"/>
      <c r="M93" s="180">
        <f>RANK(K93, K$87:$K$101)</f>
        <v>8</v>
      </c>
      <c r="N93" s="401"/>
      <c r="O93" s="401"/>
      <c r="P93" s="181">
        <v>20</v>
      </c>
      <c r="Q93" s="179">
        <v>1240.3738317757015</v>
      </c>
      <c r="R93" s="179">
        <v>62.018691588785074</v>
      </c>
      <c r="S93" s="181">
        <f t="shared" si="33"/>
        <v>8</v>
      </c>
      <c r="T93" s="413"/>
      <c r="U93" s="181">
        <v>20</v>
      </c>
      <c r="V93" s="179">
        <v>1235.0943396226421</v>
      </c>
      <c r="W93" s="179">
        <v>61.754716981132106</v>
      </c>
      <c r="X93" s="181">
        <f t="shared" si="34"/>
        <v>7</v>
      </c>
      <c r="Y93" s="413"/>
      <c r="Z93" s="181">
        <v>20</v>
      </c>
      <c r="AA93" s="179">
        <v>1261.1881188118816</v>
      </c>
      <c r="AB93" s="179">
        <v>63.059405940594083</v>
      </c>
      <c r="AC93" s="181">
        <f t="shared" si="35"/>
        <v>7</v>
      </c>
      <c r="AD93" s="413"/>
      <c r="AE93" s="181">
        <v>20</v>
      </c>
      <c r="AF93" s="179">
        <v>1238.3720930232557</v>
      </c>
      <c r="AG93" s="179">
        <v>61.918604651162788</v>
      </c>
      <c r="AH93" s="181">
        <f t="shared" si="36"/>
        <v>6</v>
      </c>
      <c r="AI93" s="413"/>
      <c r="AJ93" s="181">
        <v>20</v>
      </c>
      <c r="AK93" s="179">
        <v>1206.8571428571415</v>
      </c>
      <c r="AL93" s="179">
        <v>60.342857142857078</v>
      </c>
      <c r="AM93" s="181">
        <f t="shared" si="37"/>
        <v>8</v>
      </c>
      <c r="AN93" s="413"/>
      <c r="AO93" s="181">
        <v>20</v>
      </c>
      <c r="AP93" s="179">
        <v>1250.7142857142853</v>
      </c>
      <c r="AQ93" s="179">
        <v>62.535714285714263</v>
      </c>
      <c r="AR93" s="181">
        <f t="shared" si="38"/>
        <v>6</v>
      </c>
      <c r="AS93" s="413"/>
      <c r="AT93" s="181">
        <v>20</v>
      </c>
      <c r="AU93" s="179">
        <v>1225.6310679611656</v>
      </c>
      <c r="AV93" s="179">
        <v>61.281553398058279</v>
      </c>
      <c r="AW93" s="181">
        <f t="shared" si="39"/>
        <v>7</v>
      </c>
      <c r="AX93" s="430"/>
    </row>
    <row r="94" spans="2:50">
      <c r="B94" s="400"/>
      <c r="C94" s="181">
        <v>8</v>
      </c>
      <c r="D94" s="196" t="s">
        <v>295</v>
      </c>
      <c r="E94" s="165">
        <v>19</v>
      </c>
      <c r="F94" s="181">
        <v>1565</v>
      </c>
      <c r="G94" s="179">
        <v>82.368421052631575</v>
      </c>
      <c r="H94" s="413"/>
      <c r="I94" s="165">
        <f t="shared" si="32"/>
        <v>18</v>
      </c>
      <c r="J94" s="165">
        <f t="shared" si="32"/>
        <v>1152.4079933022526</v>
      </c>
      <c r="K94" s="179">
        <f t="shared" si="32"/>
        <v>64.022666294569589</v>
      </c>
      <c r="L94" s="413"/>
      <c r="M94" s="180">
        <f>RANK(K94, K$87:$K$101)</f>
        <v>6</v>
      </c>
      <c r="N94" s="401"/>
      <c r="O94" s="401"/>
      <c r="P94" s="181">
        <v>18</v>
      </c>
      <c r="Q94" s="179">
        <v>1276.3636363636347</v>
      </c>
      <c r="R94" s="179">
        <v>70.909090909090821</v>
      </c>
      <c r="S94" s="181">
        <f t="shared" si="33"/>
        <v>3</v>
      </c>
      <c r="T94" s="413"/>
      <c r="U94" s="181">
        <v>18</v>
      </c>
      <c r="V94" s="179">
        <v>1230.9677419354819</v>
      </c>
      <c r="W94" s="179">
        <v>68.387096774193438</v>
      </c>
      <c r="X94" s="181">
        <f t="shared" si="34"/>
        <v>3</v>
      </c>
      <c r="Y94" s="413"/>
      <c r="Z94" s="181">
        <v>18</v>
      </c>
      <c r="AA94" s="179">
        <v>1210.5882352941162</v>
      </c>
      <c r="AB94" s="179">
        <v>67.254901960784238</v>
      </c>
      <c r="AC94" s="181">
        <f t="shared" si="35"/>
        <v>3</v>
      </c>
      <c r="AD94" s="413"/>
      <c r="AE94" s="181">
        <v>18</v>
      </c>
      <c r="AF94" s="179">
        <v>1075.3846153846125</v>
      </c>
      <c r="AG94" s="179">
        <v>59.743589743589581</v>
      </c>
      <c r="AH94" s="181">
        <f t="shared" si="36"/>
        <v>8</v>
      </c>
      <c r="AI94" s="413"/>
      <c r="AJ94" s="181">
        <v>18</v>
      </c>
      <c r="AK94" s="179">
        <v>1091.999999999997</v>
      </c>
      <c r="AL94" s="179">
        <v>60.666666666666501</v>
      </c>
      <c r="AM94" s="181">
        <f t="shared" si="37"/>
        <v>7</v>
      </c>
      <c r="AN94" s="413"/>
      <c r="AO94" s="181">
        <v>18</v>
      </c>
      <c r="AP94" s="179">
        <v>1084.9999999999968</v>
      </c>
      <c r="AQ94" s="179">
        <v>60.277777777777601</v>
      </c>
      <c r="AR94" s="181">
        <f t="shared" si="38"/>
        <v>8</v>
      </c>
      <c r="AS94" s="413"/>
      <c r="AT94" s="181">
        <v>18</v>
      </c>
      <c r="AU94" s="179">
        <v>1096.5517241379289</v>
      </c>
      <c r="AV94" s="179">
        <v>60.919540229884937</v>
      </c>
      <c r="AW94" s="181">
        <f t="shared" si="39"/>
        <v>8</v>
      </c>
      <c r="AX94" s="430"/>
    </row>
    <row r="95" spans="2:50">
      <c r="B95" s="400"/>
      <c r="C95" s="181">
        <v>9</v>
      </c>
      <c r="D95" s="196"/>
      <c r="E95" s="165"/>
      <c r="F95" s="181"/>
      <c r="G95" s="179"/>
      <c r="H95" s="413"/>
      <c r="I95" s="165"/>
      <c r="J95" s="165"/>
      <c r="K95" s="179"/>
      <c r="L95" s="413"/>
      <c r="M95" s="180" t="e">
        <f>RANK(K95, K$87:$K$101)</f>
        <v>#N/A</v>
      </c>
      <c r="N95" s="401"/>
      <c r="O95" s="401"/>
      <c r="P95" s="181"/>
      <c r="Q95" s="179"/>
      <c r="R95" s="179"/>
      <c r="S95" s="181" t="e">
        <f t="shared" si="33"/>
        <v>#N/A</v>
      </c>
      <c r="T95" s="413"/>
      <c r="U95" s="181"/>
      <c r="V95" s="179"/>
      <c r="W95" s="179"/>
      <c r="X95" s="181" t="e">
        <f t="shared" si="34"/>
        <v>#N/A</v>
      </c>
      <c r="Y95" s="413"/>
      <c r="Z95" s="181"/>
      <c r="AA95" s="179"/>
      <c r="AB95" s="179"/>
      <c r="AC95" s="181" t="e">
        <f t="shared" si="35"/>
        <v>#N/A</v>
      </c>
      <c r="AD95" s="413"/>
      <c r="AE95" s="181"/>
      <c r="AF95" s="179"/>
      <c r="AG95" s="179"/>
      <c r="AH95" s="181" t="e">
        <f t="shared" si="36"/>
        <v>#N/A</v>
      </c>
      <c r="AI95" s="413"/>
      <c r="AJ95" s="181"/>
      <c r="AK95" s="179"/>
      <c r="AL95" s="179"/>
      <c r="AM95" s="181" t="e">
        <f t="shared" si="37"/>
        <v>#N/A</v>
      </c>
      <c r="AN95" s="413"/>
      <c r="AO95" s="181"/>
      <c r="AP95" s="179"/>
      <c r="AQ95" s="179"/>
      <c r="AR95" s="181" t="e">
        <f t="shared" si="38"/>
        <v>#N/A</v>
      </c>
      <c r="AS95" s="413"/>
      <c r="AT95" s="181"/>
      <c r="AU95" s="179"/>
      <c r="AV95" s="179"/>
      <c r="AW95" s="181" t="e">
        <f t="shared" si="39"/>
        <v>#N/A</v>
      </c>
      <c r="AX95" s="430"/>
    </row>
    <row r="96" spans="2:50">
      <c r="B96" s="400"/>
      <c r="C96" s="181">
        <v>10</v>
      </c>
      <c r="D96" s="196"/>
      <c r="E96" s="165"/>
      <c r="F96" s="181"/>
      <c r="G96" s="179"/>
      <c r="H96" s="413"/>
      <c r="I96" s="165"/>
      <c r="J96" s="165"/>
      <c r="K96" s="179"/>
      <c r="L96" s="413"/>
      <c r="M96" s="180" t="e">
        <f>RANK(K96, K$87:$K$101)</f>
        <v>#N/A</v>
      </c>
      <c r="N96" s="401"/>
      <c r="O96" s="401"/>
      <c r="P96" s="181"/>
      <c r="Q96" s="179"/>
      <c r="R96" s="179"/>
      <c r="S96" s="181" t="e">
        <f t="shared" si="33"/>
        <v>#N/A</v>
      </c>
      <c r="T96" s="413"/>
      <c r="U96" s="181"/>
      <c r="V96" s="179"/>
      <c r="W96" s="179"/>
      <c r="X96" s="181" t="e">
        <f t="shared" si="34"/>
        <v>#N/A</v>
      </c>
      <c r="Y96" s="413"/>
      <c r="Z96" s="181"/>
      <c r="AA96" s="179"/>
      <c r="AB96" s="179"/>
      <c r="AC96" s="181" t="e">
        <f t="shared" si="35"/>
        <v>#N/A</v>
      </c>
      <c r="AD96" s="413"/>
      <c r="AE96" s="181"/>
      <c r="AF96" s="179"/>
      <c r="AG96" s="179"/>
      <c r="AH96" s="181" t="e">
        <f t="shared" si="36"/>
        <v>#N/A</v>
      </c>
      <c r="AI96" s="413"/>
      <c r="AJ96" s="181"/>
      <c r="AK96" s="179"/>
      <c r="AL96" s="179"/>
      <c r="AM96" s="181" t="e">
        <f t="shared" si="37"/>
        <v>#N/A</v>
      </c>
      <c r="AN96" s="413"/>
      <c r="AO96" s="181"/>
      <c r="AP96" s="179"/>
      <c r="AQ96" s="179"/>
      <c r="AR96" s="181" t="e">
        <f t="shared" si="38"/>
        <v>#N/A</v>
      </c>
      <c r="AS96" s="413"/>
      <c r="AT96" s="181"/>
      <c r="AU96" s="179"/>
      <c r="AV96" s="179"/>
      <c r="AW96" s="181" t="e">
        <f t="shared" si="39"/>
        <v>#N/A</v>
      </c>
      <c r="AX96" s="430"/>
    </row>
    <row r="97" spans="2:50">
      <c r="B97" s="400"/>
      <c r="C97" s="181">
        <v>11</v>
      </c>
      <c r="D97" s="196"/>
      <c r="E97" s="165"/>
      <c r="F97" s="181"/>
      <c r="G97" s="179"/>
      <c r="H97" s="413"/>
      <c r="I97" s="181"/>
      <c r="J97" s="181"/>
      <c r="K97" s="181"/>
      <c r="L97" s="413"/>
      <c r="M97" s="180" t="e">
        <f>RANK(K97, K$87:$K$101)</f>
        <v>#N/A</v>
      </c>
      <c r="N97" s="401"/>
      <c r="O97" s="401"/>
      <c r="P97" s="181"/>
      <c r="Q97" s="179"/>
      <c r="R97" s="179"/>
      <c r="S97" s="181" t="e">
        <f t="shared" si="33"/>
        <v>#N/A</v>
      </c>
      <c r="T97" s="413"/>
      <c r="U97" s="181"/>
      <c r="V97" s="179"/>
      <c r="W97" s="179"/>
      <c r="X97" s="181" t="e">
        <f t="shared" si="34"/>
        <v>#N/A</v>
      </c>
      <c r="Y97" s="413"/>
      <c r="Z97" s="181"/>
      <c r="AA97" s="179"/>
      <c r="AB97" s="179"/>
      <c r="AC97" s="181" t="e">
        <f t="shared" si="35"/>
        <v>#N/A</v>
      </c>
      <c r="AD97" s="413"/>
      <c r="AE97" s="181"/>
      <c r="AF97" s="179"/>
      <c r="AG97" s="179"/>
      <c r="AH97" s="181" t="e">
        <f t="shared" si="36"/>
        <v>#N/A</v>
      </c>
      <c r="AI97" s="413"/>
      <c r="AJ97" s="181"/>
      <c r="AK97" s="179"/>
      <c r="AL97" s="179"/>
      <c r="AM97" s="181" t="e">
        <f t="shared" si="37"/>
        <v>#N/A</v>
      </c>
      <c r="AN97" s="413"/>
      <c r="AO97" s="181"/>
      <c r="AP97" s="179"/>
      <c r="AQ97" s="179"/>
      <c r="AR97" s="181" t="e">
        <f t="shared" si="38"/>
        <v>#N/A</v>
      </c>
      <c r="AS97" s="413"/>
      <c r="AT97" s="181"/>
      <c r="AU97" s="179"/>
      <c r="AV97" s="179"/>
      <c r="AW97" s="181" t="e">
        <f t="shared" si="39"/>
        <v>#N/A</v>
      </c>
      <c r="AX97" s="43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81"/>
      <c r="Q98" s="179"/>
      <c r="R98" s="179"/>
      <c r="S98" s="181" t="e">
        <f t="shared" si="33"/>
        <v>#N/A</v>
      </c>
      <c r="T98" s="413"/>
      <c r="U98" s="181"/>
      <c r="V98" s="179"/>
      <c r="W98" s="179"/>
      <c r="X98" s="181" t="e">
        <f t="shared" si="34"/>
        <v>#N/A</v>
      </c>
      <c r="Y98" s="413"/>
      <c r="Z98" s="181"/>
      <c r="AA98" s="179"/>
      <c r="AB98" s="179"/>
      <c r="AC98" s="181" t="e">
        <f t="shared" si="35"/>
        <v>#N/A</v>
      </c>
      <c r="AD98" s="413"/>
      <c r="AE98" s="181"/>
      <c r="AF98" s="179"/>
      <c r="AG98" s="179"/>
      <c r="AH98" s="181" t="e">
        <f t="shared" si="36"/>
        <v>#N/A</v>
      </c>
      <c r="AI98" s="413"/>
      <c r="AJ98" s="181"/>
      <c r="AK98" s="179"/>
      <c r="AL98" s="179"/>
      <c r="AM98" s="181" t="e">
        <f t="shared" si="37"/>
        <v>#N/A</v>
      </c>
      <c r="AN98" s="413"/>
      <c r="AO98" s="181"/>
      <c r="AP98" s="179"/>
      <c r="AQ98" s="179"/>
      <c r="AR98" s="181" t="e">
        <f t="shared" si="38"/>
        <v>#N/A</v>
      </c>
      <c r="AS98" s="413"/>
      <c r="AT98" s="181"/>
      <c r="AU98" s="181"/>
      <c r="AV98" s="181"/>
      <c r="AW98" s="181" t="e">
        <f t="shared" si="39"/>
        <v>#N/A</v>
      </c>
      <c r="AX98" s="43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81"/>
      <c r="Q99" s="179"/>
      <c r="R99" s="179"/>
      <c r="S99" s="181" t="e">
        <f t="shared" si="33"/>
        <v>#N/A</v>
      </c>
      <c r="T99" s="413"/>
      <c r="U99" s="181"/>
      <c r="V99" s="179"/>
      <c r="W99" s="179"/>
      <c r="X99" s="181" t="e">
        <f t="shared" si="34"/>
        <v>#N/A</v>
      </c>
      <c r="Y99" s="413"/>
      <c r="Z99" s="181"/>
      <c r="AA99" s="179"/>
      <c r="AB99" s="179"/>
      <c r="AC99" s="181" t="e">
        <f t="shared" si="35"/>
        <v>#N/A</v>
      </c>
      <c r="AD99" s="413"/>
      <c r="AE99" s="181"/>
      <c r="AF99" s="179"/>
      <c r="AG99" s="179"/>
      <c r="AH99" s="181" t="e">
        <f t="shared" si="36"/>
        <v>#N/A</v>
      </c>
      <c r="AI99" s="413"/>
      <c r="AJ99" s="181"/>
      <c r="AK99" s="179"/>
      <c r="AL99" s="179"/>
      <c r="AM99" s="181" t="e">
        <f t="shared" si="37"/>
        <v>#N/A</v>
      </c>
      <c r="AN99" s="413"/>
      <c r="AO99" s="181"/>
      <c r="AP99" s="179"/>
      <c r="AQ99" s="179"/>
      <c r="AR99" s="181" t="e">
        <f t="shared" si="38"/>
        <v>#N/A</v>
      </c>
      <c r="AS99" s="413"/>
      <c r="AT99" s="181"/>
      <c r="AU99" s="181"/>
      <c r="AV99" s="181"/>
      <c r="AW99" s="181" t="e">
        <f t="shared" si="39"/>
        <v>#N/A</v>
      </c>
      <c r="AX99" s="43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81"/>
      <c r="Q100" s="179"/>
      <c r="R100" s="179"/>
      <c r="S100" s="181" t="e">
        <f t="shared" si="33"/>
        <v>#N/A</v>
      </c>
      <c r="T100" s="413"/>
      <c r="U100" s="181"/>
      <c r="V100" s="179"/>
      <c r="W100" s="179"/>
      <c r="X100" s="181" t="e">
        <f t="shared" si="34"/>
        <v>#N/A</v>
      </c>
      <c r="Y100" s="413"/>
      <c r="Z100" s="181"/>
      <c r="AA100" s="179"/>
      <c r="AB100" s="179"/>
      <c r="AC100" s="181" t="e">
        <f t="shared" si="35"/>
        <v>#N/A</v>
      </c>
      <c r="AD100" s="413"/>
      <c r="AE100" s="181"/>
      <c r="AF100" s="179"/>
      <c r="AG100" s="179"/>
      <c r="AH100" s="181" t="e">
        <f t="shared" si="36"/>
        <v>#N/A</v>
      </c>
      <c r="AI100" s="413"/>
      <c r="AJ100" s="181"/>
      <c r="AK100" s="179"/>
      <c r="AL100" s="179"/>
      <c r="AM100" s="181" t="e">
        <f t="shared" si="37"/>
        <v>#N/A</v>
      </c>
      <c r="AN100" s="413"/>
      <c r="AO100" s="181"/>
      <c r="AP100" s="179"/>
      <c r="AQ100" s="179"/>
      <c r="AR100" s="181" t="e">
        <f t="shared" si="38"/>
        <v>#N/A</v>
      </c>
      <c r="AS100" s="413"/>
      <c r="AT100" s="181"/>
      <c r="AU100" s="181"/>
      <c r="AV100" s="181"/>
      <c r="AW100" s="181" t="e">
        <f t="shared" si="39"/>
        <v>#N/A</v>
      </c>
      <c r="AX100" s="43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81"/>
      <c r="Q101" s="179"/>
      <c r="R101" s="179"/>
      <c r="S101" s="181" t="e">
        <f t="shared" si="33"/>
        <v>#N/A</v>
      </c>
      <c r="T101" s="414"/>
      <c r="U101" s="181"/>
      <c r="V101" s="179"/>
      <c r="W101" s="179"/>
      <c r="X101" s="181" t="e">
        <f t="shared" si="34"/>
        <v>#N/A</v>
      </c>
      <c r="Y101" s="414"/>
      <c r="Z101" s="181"/>
      <c r="AA101" s="179"/>
      <c r="AB101" s="179"/>
      <c r="AC101" s="181" t="e">
        <f t="shared" si="35"/>
        <v>#N/A</v>
      </c>
      <c r="AD101" s="414"/>
      <c r="AE101" s="181"/>
      <c r="AF101" s="179"/>
      <c r="AG101" s="179"/>
      <c r="AH101" s="181" t="e">
        <f t="shared" si="36"/>
        <v>#N/A</v>
      </c>
      <c r="AI101" s="414"/>
      <c r="AJ101" s="181"/>
      <c r="AK101" s="179"/>
      <c r="AL101" s="179"/>
      <c r="AM101" s="181" t="e">
        <f t="shared" si="37"/>
        <v>#N/A</v>
      </c>
      <c r="AN101" s="414"/>
      <c r="AO101" s="181"/>
      <c r="AP101" s="179"/>
      <c r="AQ101" s="179"/>
      <c r="AR101" s="181" t="e">
        <f t="shared" si="38"/>
        <v>#N/A</v>
      </c>
      <c r="AS101" s="414"/>
      <c r="AT101" s="181"/>
      <c r="AU101" s="181"/>
      <c r="AV101" s="181"/>
      <c r="AW101" s="181" t="e">
        <f t="shared" si="39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01" t="s">
        <v>173</v>
      </c>
      <c r="C107" s="181">
        <v>1</v>
      </c>
      <c r="D107" s="196" t="s">
        <v>288</v>
      </c>
      <c r="E107" s="165">
        <v>19</v>
      </c>
      <c r="F107" s="181">
        <v>1440</v>
      </c>
      <c r="G107" s="179">
        <v>75.78947368421052</v>
      </c>
      <c r="H107" s="412">
        <f>AVERAGE(G107:G121)</f>
        <v>76.175257997936001</v>
      </c>
      <c r="I107" s="165">
        <f>AVERAGE(P107,U107,Z107,AE107,AJ107,AO107,AT107)</f>
        <v>18</v>
      </c>
      <c r="J107" s="165">
        <f>AVERAGE(Q107,V107,AA107,AF107,AK107,AP107,AU107)</f>
        <v>1213.1506849315072</v>
      </c>
      <c r="K107" s="179">
        <f>AVERAGE(R107,W107,AB107,AG107,AL107,AQ107,AV107)</f>
        <v>67.39726027397262</v>
      </c>
      <c r="L107" s="412">
        <f>IFERROR(AVERAGE(K107:K121),"-")</f>
        <v>67.335139114850492</v>
      </c>
      <c r="M107" s="180">
        <f>RANK(K107, K$107:$K$121)</f>
        <v>4</v>
      </c>
      <c r="N107" s="401"/>
      <c r="O107" s="401"/>
      <c r="P107" s="165">
        <v>18</v>
      </c>
      <c r="Q107" s="179">
        <v>1213.1506849315072</v>
      </c>
      <c r="R107" s="179">
        <v>67.39726027397262</v>
      </c>
      <c r="S107" s="181">
        <f>RANK(R107, R$107:R$121)</f>
        <v>4</v>
      </c>
      <c r="T107" s="412">
        <f>AVERAGE(R107:R121)</f>
        <v>67.335139114850492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289</v>
      </c>
      <c r="E108" s="165">
        <v>19</v>
      </c>
      <c r="F108" s="181">
        <v>1440</v>
      </c>
      <c r="G108" s="179">
        <v>75.78947368421052</v>
      </c>
      <c r="H108" s="413"/>
      <c r="I108" s="165">
        <f t="shared" ref="I108:K116" si="40">AVERAGE(P108,U108,Z108,AE108,AJ108,AO108,AT108)</f>
        <v>18</v>
      </c>
      <c r="J108" s="165">
        <f t="shared" si="40"/>
        <v>1224.761904761906</v>
      </c>
      <c r="K108" s="179">
        <f t="shared" si="40"/>
        <v>68.042328042328108</v>
      </c>
      <c r="L108" s="413"/>
      <c r="M108" s="180">
        <f>RANK(K108, K$107:$K$121)</f>
        <v>3</v>
      </c>
      <c r="N108" s="401"/>
      <c r="O108" s="401"/>
      <c r="P108" s="181">
        <v>18</v>
      </c>
      <c r="Q108" s="179">
        <v>1224.761904761906</v>
      </c>
      <c r="R108" s="179">
        <v>68.042328042328108</v>
      </c>
      <c r="S108" s="181">
        <f t="shared" ref="S108:S121" si="41">RANK(R108, R$107:R$121)</f>
        <v>3</v>
      </c>
      <c r="T108" s="413"/>
      <c r="X108" s="103"/>
      <c r="AC108" s="103"/>
      <c r="AH108" s="103"/>
      <c r="AM108" s="103"/>
    </row>
    <row r="109" spans="2:50">
      <c r="B109" s="400"/>
      <c r="C109" s="181">
        <v>3</v>
      </c>
      <c r="D109" s="196" t="s">
        <v>290</v>
      </c>
      <c r="E109" s="165">
        <v>17</v>
      </c>
      <c r="F109" s="181">
        <v>1636</v>
      </c>
      <c r="G109" s="179">
        <v>96.235294117647058</v>
      </c>
      <c r="H109" s="413"/>
      <c r="I109" s="165">
        <f t="shared" si="40"/>
        <v>17</v>
      </c>
      <c r="J109" s="165">
        <f t="shared" si="40"/>
        <v>1423.7837837837828</v>
      </c>
      <c r="K109" s="179">
        <f t="shared" si="40"/>
        <v>83.751987281398996</v>
      </c>
      <c r="L109" s="413"/>
      <c r="M109" s="180">
        <f>RANK(K109, K$107:$K$121)</f>
        <v>1</v>
      </c>
      <c r="N109" s="401"/>
      <c r="O109" s="401"/>
      <c r="P109" s="181">
        <v>17</v>
      </c>
      <c r="Q109" s="179">
        <v>1423.7837837837828</v>
      </c>
      <c r="R109" s="179">
        <v>83.751987281398996</v>
      </c>
      <c r="S109" s="181">
        <f t="shared" si="41"/>
        <v>1</v>
      </c>
      <c r="T109" s="413"/>
      <c r="X109" s="103"/>
      <c r="AC109" s="103"/>
      <c r="AH109" s="103"/>
      <c r="AM109" s="103"/>
    </row>
    <row r="110" spans="2:50">
      <c r="B110" s="400"/>
      <c r="C110" s="181">
        <v>4</v>
      </c>
      <c r="D110" s="196" t="s">
        <v>291</v>
      </c>
      <c r="E110" s="165">
        <v>17</v>
      </c>
      <c r="F110" s="181">
        <v>1440</v>
      </c>
      <c r="G110" s="179">
        <v>84.705882352941174</v>
      </c>
      <c r="H110" s="413"/>
      <c r="I110" s="165">
        <f t="shared" si="40"/>
        <v>17</v>
      </c>
      <c r="J110" s="165">
        <f t="shared" si="40"/>
        <v>1306.1791304347828</v>
      </c>
      <c r="K110" s="179">
        <f t="shared" si="40"/>
        <v>76.8340664961637</v>
      </c>
      <c r="L110" s="413"/>
      <c r="M110" s="180">
        <f>RANK(K110, K$107:$K$121)</f>
        <v>2</v>
      </c>
      <c r="N110" s="401"/>
      <c r="O110" s="401"/>
      <c r="P110" s="181">
        <v>17</v>
      </c>
      <c r="Q110" s="179">
        <v>1306.1791304347828</v>
      </c>
      <c r="R110" s="179">
        <v>76.8340664961637</v>
      </c>
      <c r="S110" s="181">
        <f t="shared" si="41"/>
        <v>2</v>
      </c>
      <c r="T110" s="413"/>
      <c r="X110" s="103"/>
      <c r="AC110" s="103"/>
      <c r="AH110" s="103"/>
      <c r="AM110" s="103"/>
    </row>
    <row r="111" spans="2:50">
      <c r="B111" s="400"/>
      <c r="C111" s="181">
        <v>5</v>
      </c>
      <c r="D111" s="196" t="s">
        <v>292</v>
      </c>
      <c r="E111" s="165">
        <v>19</v>
      </c>
      <c r="F111" s="181">
        <v>1440</v>
      </c>
      <c r="G111" s="179">
        <v>75.78947368421052</v>
      </c>
      <c r="H111" s="413"/>
      <c r="I111" s="165">
        <f t="shared" si="40"/>
        <v>19</v>
      </c>
      <c r="J111" s="165">
        <f t="shared" si="40"/>
        <v>1261.7391304347825</v>
      </c>
      <c r="K111" s="179">
        <f t="shared" si="40"/>
        <v>66.407322654462234</v>
      </c>
      <c r="L111" s="413"/>
      <c r="M111" s="180">
        <f>RANK(K111, K$107:$K$121)</f>
        <v>5</v>
      </c>
      <c r="N111" s="401"/>
      <c r="O111" s="401"/>
      <c r="P111" s="181">
        <v>19</v>
      </c>
      <c r="Q111" s="179">
        <v>1261.7391304347825</v>
      </c>
      <c r="R111" s="179">
        <v>66.407322654462234</v>
      </c>
      <c r="S111" s="181">
        <f t="shared" si="41"/>
        <v>5</v>
      </c>
      <c r="T111" s="413"/>
      <c r="X111" s="103"/>
      <c r="AC111" s="103"/>
      <c r="AH111" s="103"/>
      <c r="AM111" s="103"/>
    </row>
    <row r="112" spans="2:50">
      <c r="B112" s="400"/>
      <c r="C112" s="181">
        <v>6</v>
      </c>
      <c r="D112" s="196" t="s">
        <v>293</v>
      </c>
      <c r="E112" s="165">
        <v>20</v>
      </c>
      <c r="F112" s="181">
        <v>1385</v>
      </c>
      <c r="G112" s="179">
        <v>69.25</v>
      </c>
      <c r="H112" s="413"/>
      <c r="I112" s="165">
        <f t="shared" si="40"/>
        <v>20</v>
      </c>
      <c r="J112" s="165">
        <f t="shared" si="40"/>
        <v>1207.3170731707312</v>
      </c>
      <c r="K112" s="179">
        <f t="shared" si="40"/>
        <v>60.365853658536558</v>
      </c>
      <c r="L112" s="413"/>
      <c r="M112" s="180">
        <f>RANK(K112, K$107:$K$121)</f>
        <v>10</v>
      </c>
      <c r="N112" s="401"/>
      <c r="O112" s="401"/>
      <c r="P112" s="181">
        <v>20</v>
      </c>
      <c r="Q112" s="179">
        <v>1207.3170731707312</v>
      </c>
      <c r="R112" s="179">
        <v>60.365853658536558</v>
      </c>
      <c r="S112" s="181">
        <f t="shared" si="41"/>
        <v>10</v>
      </c>
      <c r="T112" s="413"/>
      <c r="X112" s="103"/>
      <c r="AC112" s="103"/>
      <c r="AH112" s="103"/>
      <c r="AM112" s="103"/>
    </row>
    <row r="113" spans="2:39">
      <c r="B113" s="400"/>
      <c r="C113" s="181">
        <v>7</v>
      </c>
      <c r="D113" s="196" t="s">
        <v>294</v>
      </c>
      <c r="E113" s="165">
        <v>20</v>
      </c>
      <c r="F113" s="181">
        <v>1440</v>
      </c>
      <c r="G113" s="179">
        <v>72</v>
      </c>
      <c r="H113" s="413"/>
      <c r="I113" s="165">
        <f t="shared" si="40"/>
        <v>20</v>
      </c>
      <c r="J113" s="165">
        <f t="shared" si="40"/>
        <v>1241.935483870968</v>
      </c>
      <c r="K113" s="179">
        <f t="shared" si="40"/>
        <v>62.096774193548399</v>
      </c>
      <c r="L113" s="413"/>
      <c r="M113" s="180">
        <f>RANK(K113, K$107:$K$121)</f>
        <v>7</v>
      </c>
      <c r="N113" s="401"/>
      <c r="O113" s="401"/>
      <c r="P113" s="181">
        <v>20</v>
      </c>
      <c r="Q113" s="179">
        <v>1241.935483870968</v>
      </c>
      <c r="R113" s="179">
        <v>62.096774193548399</v>
      </c>
      <c r="S113" s="181">
        <f t="shared" si="41"/>
        <v>7</v>
      </c>
      <c r="T113" s="413"/>
      <c r="X113" s="103"/>
      <c r="AC113" s="103"/>
      <c r="AH113" s="103"/>
      <c r="AM113" s="103"/>
    </row>
    <row r="114" spans="2:39">
      <c r="B114" s="400"/>
      <c r="C114" s="181">
        <v>8</v>
      </c>
      <c r="D114" s="196" t="s">
        <v>295</v>
      </c>
      <c r="E114" s="165">
        <v>19</v>
      </c>
      <c r="F114" s="181">
        <v>1565</v>
      </c>
      <c r="G114" s="179">
        <v>82.368421052631575</v>
      </c>
      <c r="H114" s="413"/>
      <c r="I114" s="165">
        <f t="shared" si="40"/>
        <v>18</v>
      </c>
      <c r="J114" s="165">
        <f t="shared" si="40"/>
        <v>1098.6206896551732</v>
      </c>
      <c r="K114" s="179">
        <f t="shared" si="40"/>
        <v>61.034482758620733</v>
      </c>
      <c r="L114" s="413"/>
      <c r="M114" s="180">
        <f>RANK(K114, K$107:$K$121)</f>
        <v>9</v>
      </c>
      <c r="N114" s="401"/>
      <c r="O114" s="401"/>
      <c r="P114" s="181">
        <v>18</v>
      </c>
      <c r="Q114" s="179">
        <v>1098.6206896551732</v>
      </c>
      <c r="R114" s="179">
        <v>61.034482758620733</v>
      </c>
      <c r="S114" s="181">
        <f t="shared" si="41"/>
        <v>9</v>
      </c>
      <c r="T114" s="413"/>
      <c r="X114" s="103"/>
      <c r="AC114" s="103"/>
      <c r="AH114" s="103"/>
      <c r="AM114" s="103"/>
    </row>
    <row r="115" spans="2:39">
      <c r="B115" s="400"/>
      <c r="C115" s="181">
        <v>9</v>
      </c>
      <c r="D115" s="196" t="s">
        <v>296</v>
      </c>
      <c r="E115" s="165">
        <v>19</v>
      </c>
      <c r="F115" s="181">
        <v>1200</v>
      </c>
      <c r="G115" s="179">
        <v>63.157894736842103</v>
      </c>
      <c r="H115" s="413"/>
      <c r="I115" s="165">
        <f t="shared" si="40"/>
        <v>19</v>
      </c>
      <c r="J115" s="165">
        <f t="shared" si="40"/>
        <v>1172.8049999999996</v>
      </c>
      <c r="K115" s="179">
        <f t="shared" si="40"/>
        <v>61.726578947368402</v>
      </c>
      <c r="L115" s="413"/>
      <c r="M115" s="180">
        <f>RANK(K115, K$107:$K$121)</f>
        <v>8</v>
      </c>
      <c r="N115" s="401"/>
      <c r="O115" s="401"/>
      <c r="P115" s="181">
        <v>19</v>
      </c>
      <c r="Q115" s="179">
        <v>1172.8049999999996</v>
      </c>
      <c r="R115" s="179">
        <v>61.726578947368402</v>
      </c>
      <c r="S115" s="181">
        <f t="shared" si="41"/>
        <v>8</v>
      </c>
      <c r="T115" s="413"/>
      <c r="X115" s="103"/>
      <c r="AC115" s="103"/>
      <c r="AH115" s="103"/>
      <c r="AM115" s="103"/>
    </row>
    <row r="116" spans="2:39">
      <c r="B116" s="400"/>
      <c r="C116" s="181">
        <v>10</v>
      </c>
      <c r="D116" s="196" t="s">
        <v>297</v>
      </c>
      <c r="E116" s="165">
        <v>18</v>
      </c>
      <c r="F116" s="181">
        <v>1200</v>
      </c>
      <c r="G116" s="179">
        <v>66.666666666666671</v>
      </c>
      <c r="H116" s="413"/>
      <c r="I116" s="165">
        <f t="shared" si="40"/>
        <v>18</v>
      </c>
      <c r="J116" s="165">
        <f t="shared" si="40"/>
        <v>1182.5052631578953</v>
      </c>
      <c r="K116" s="179">
        <f t="shared" si="40"/>
        <v>65.6947368421053</v>
      </c>
      <c r="L116" s="413"/>
      <c r="M116" s="180">
        <f>RANK(K116, K$107:$K$121)</f>
        <v>6</v>
      </c>
      <c r="N116" s="401"/>
      <c r="O116" s="401"/>
      <c r="P116" s="181">
        <v>18</v>
      </c>
      <c r="Q116" s="179">
        <v>1182.5052631578953</v>
      </c>
      <c r="R116" s="179">
        <v>65.6947368421053</v>
      </c>
      <c r="S116" s="181">
        <f t="shared" si="41"/>
        <v>6</v>
      </c>
      <c r="T116" s="413"/>
      <c r="X116" s="103"/>
      <c r="AC116" s="103"/>
      <c r="AH116" s="103"/>
      <c r="AM116" s="103"/>
    </row>
    <row r="117" spans="2:39">
      <c r="B117" s="400"/>
      <c r="C117" s="181">
        <v>11</v>
      </c>
      <c r="D117" s="196"/>
      <c r="E117" s="165"/>
      <c r="F117" s="181"/>
      <c r="G117" s="179"/>
      <c r="H117" s="413"/>
      <c r="I117" s="181"/>
      <c r="J117" s="181"/>
      <c r="K117" s="181"/>
      <c r="L117" s="413"/>
      <c r="M117" s="180" t="e">
        <f>RANK(K117, K$107:$K$121)</f>
        <v>#N/A</v>
      </c>
      <c r="N117" s="401"/>
      <c r="O117" s="401"/>
      <c r="P117" s="181"/>
      <c r="Q117" s="179"/>
      <c r="R117" s="179"/>
      <c r="S117" s="181" t="e">
        <f t="shared" si="41"/>
        <v>#N/A</v>
      </c>
      <c r="T117" s="413"/>
      <c r="X117" s="103"/>
      <c r="AC117" s="103"/>
      <c r="AH117" s="103"/>
      <c r="AM117" s="103"/>
    </row>
    <row r="118" spans="2:39">
      <c r="B118" s="400"/>
      <c r="C118" s="181">
        <v>12</v>
      </c>
      <c r="D118" s="196"/>
      <c r="E118" s="165"/>
      <c r="F118" s="181"/>
      <c r="G118" s="179"/>
      <c r="H118" s="413"/>
      <c r="I118" s="181"/>
      <c r="J118" s="181"/>
      <c r="K118" s="181"/>
      <c r="L118" s="413"/>
      <c r="M118" s="180" t="e">
        <f>RANK(K118, K$107:$K$121)</f>
        <v>#N/A</v>
      </c>
      <c r="N118" s="401"/>
      <c r="O118" s="401"/>
      <c r="P118" s="181"/>
      <c r="Q118" s="179"/>
      <c r="R118" s="179"/>
      <c r="S118" s="181" t="e">
        <f t="shared" si="41"/>
        <v>#N/A</v>
      </c>
      <c r="T118" s="413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81"/>
      <c r="J119" s="181"/>
      <c r="K119" s="181"/>
      <c r="L119" s="413"/>
      <c r="M119" s="180" t="e">
        <f>RANK(K119, K$107:$K$121)</f>
        <v>#N/A</v>
      </c>
      <c r="N119" s="401"/>
      <c r="O119" s="401"/>
      <c r="P119" s="181"/>
      <c r="Q119" s="179"/>
      <c r="R119" s="179"/>
      <c r="S119" s="181" t="e">
        <f t="shared" si="41"/>
        <v>#N/A</v>
      </c>
      <c r="T119" s="413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81"/>
      <c r="J120" s="181"/>
      <c r="K120" s="181"/>
      <c r="L120" s="413"/>
      <c r="M120" s="180" t="e">
        <f>RANK(K120, K$107:$K$121)</f>
        <v>#N/A</v>
      </c>
      <c r="N120" s="401"/>
      <c r="O120" s="401"/>
      <c r="P120" s="181"/>
      <c r="Q120" s="179"/>
      <c r="R120" s="179"/>
      <c r="S120" s="181" t="e">
        <f t="shared" si="41"/>
        <v>#N/A</v>
      </c>
      <c r="T120" s="413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81"/>
      <c r="J121" s="181"/>
      <c r="K121" s="181"/>
      <c r="L121" s="414"/>
      <c r="M121" s="180" t="e">
        <f>RANK(K121, K$107:$K$121)</f>
        <v>#N/A</v>
      </c>
      <c r="N121" s="401"/>
      <c r="O121" s="401"/>
      <c r="P121" s="181"/>
      <c r="Q121" s="179"/>
      <c r="R121" s="179"/>
      <c r="S121" s="181" t="e">
        <f t="shared" si="41"/>
        <v>#N/A</v>
      </c>
      <c r="T121" s="414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X124" s="103"/>
      <c r="AC124" s="103"/>
      <c r="AH124" s="103"/>
      <c r="A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X125" s="103"/>
      <c r="AC125" s="103"/>
      <c r="AH125" s="103"/>
      <c r="A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3:13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3:13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3:13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3:13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3:1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3:13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3:13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3:13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3:13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3:13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3:13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3:13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3:13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3:13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X142"/>
  <sheetViews>
    <sheetView zoomScale="50" zoomScaleNormal="5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85.187632176465982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298</v>
      </c>
      <c r="C7" s="181">
        <v>1</v>
      </c>
      <c r="D7" s="196" t="s">
        <v>299</v>
      </c>
      <c r="E7" s="165">
        <v>19</v>
      </c>
      <c r="F7" s="181">
        <v>1636</v>
      </c>
      <c r="G7" s="179">
        <v>86.10526315789474</v>
      </c>
      <c r="H7" s="412">
        <f>AVERAGE(G7:G21)</f>
        <v>96.184906711222496</v>
      </c>
      <c r="I7" s="165">
        <f>AVERAGE(P7,U7,Z7,AE7,AJ7,AO7,AT7)</f>
        <v>19</v>
      </c>
      <c r="J7" s="165">
        <f>AVERAGE(Q7,V7,AA7,AF7,AK7,AP7,AU7)</f>
        <v>1395.7575757575755</v>
      </c>
      <c r="K7" s="179">
        <f>AVERAGE(R7,W7,AB7,AG7,AL7,AQ7,AV7)</f>
        <v>73.460925039872393</v>
      </c>
      <c r="L7" s="412">
        <f>IFERROR(AVERAGE(K7:K21),"-")</f>
        <v>90.835582290722982</v>
      </c>
      <c r="M7" s="180">
        <f>RANK(K7, K$7:$K$21)</f>
        <v>6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65">
        <v>19</v>
      </c>
      <c r="AU7" s="165">
        <v>1395.7575757575755</v>
      </c>
      <c r="AV7" s="165">
        <v>73.460925039872393</v>
      </c>
      <c r="AW7" s="181">
        <f t="shared" ref="AW7:AW21" si="0">RANK(AV7, AV$7:AV$21)</f>
        <v>6</v>
      </c>
      <c r="AX7" s="430">
        <f>AVERAGE(AV7:AV21)</f>
        <v>90.835582290722982</v>
      </c>
    </row>
    <row r="8" spans="1:50" ht="15" customHeight="1">
      <c r="A8" s="79"/>
      <c r="B8" s="400"/>
      <c r="C8" s="181">
        <v>2</v>
      </c>
      <c r="D8" s="196"/>
      <c r="E8" s="165"/>
      <c r="F8" s="181"/>
      <c r="G8" s="179"/>
      <c r="H8" s="413"/>
      <c r="I8" s="165"/>
      <c r="J8" s="165"/>
      <c r="K8" s="179"/>
      <c r="L8" s="413"/>
      <c r="M8" s="180"/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65"/>
      <c r="AU8" s="165"/>
      <c r="AV8" s="165"/>
      <c r="AW8" s="181"/>
      <c r="AX8" s="430"/>
    </row>
    <row r="9" spans="1:50">
      <c r="A9" s="79"/>
      <c r="B9" s="400"/>
      <c r="C9" s="181">
        <v>3</v>
      </c>
      <c r="D9" s="196" t="s">
        <v>300</v>
      </c>
      <c r="E9" s="165">
        <v>18</v>
      </c>
      <c r="F9" s="181">
        <v>1636</v>
      </c>
      <c r="G9" s="179">
        <v>90.888888888888886</v>
      </c>
      <c r="H9" s="413"/>
      <c r="I9" s="165">
        <f t="shared" ref="I9:K13" si="1">AVERAGE(P9,U9,Z9,AE9,AJ9,AO9,AT9)</f>
        <v>18</v>
      </c>
      <c r="J9" s="165">
        <f t="shared" si="1"/>
        <v>1382.6666666666667</v>
      </c>
      <c r="K9" s="179">
        <f t="shared" si="1"/>
        <v>76.814814814814824</v>
      </c>
      <c r="L9" s="413"/>
      <c r="M9" s="180">
        <f>RANK(K9, K$7:$K$21)</f>
        <v>3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65">
        <v>18</v>
      </c>
      <c r="AU9" s="165">
        <v>1382.6666666666667</v>
      </c>
      <c r="AV9" s="165">
        <v>76.814814814814824</v>
      </c>
      <c r="AW9" s="181">
        <f t="shared" si="0"/>
        <v>3</v>
      </c>
      <c r="AX9" s="430"/>
    </row>
    <row r="10" spans="1:50">
      <c r="A10" s="79"/>
      <c r="B10" s="400"/>
      <c r="C10" s="181">
        <v>4</v>
      </c>
      <c r="D10" s="196" t="s">
        <v>301</v>
      </c>
      <c r="E10" s="165">
        <v>19</v>
      </c>
      <c r="F10" s="181">
        <v>1636</v>
      </c>
      <c r="G10" s="179">
        <v>86.10526315789474</v>
      </c>
      <c r="H10" s="413"/>
      <c r="I10" s="165">
        <f t="shared" si="1"/>
        <v>16</v>
      </c>
      <c r="J10" s="165">
        <f t="shared" si="1"/>
        <v>1368.6666666666661</v>
      </c>
      <c r="K10" s="179">
        <f t="shared" si="1"/>
        <v>85.541666666666629</v>
      </c>
      <c r="L10" s="413"/>
      <c r="M10" s="180">
        <f>RANK(K10, K$7:$K$21)</f>
        <v>2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65">
        <v>16</v>
      </c>
      <c r="AU10" s="165">
        <v>1368.6666666666661</v>
      </c>
      <c r="AV10" s="165">
        <v>85.541666666666629</v>
      </c>
      <c r="AW10" s="181">
        <f t="shared" si="0"/>
        <v>2</v>
      </c>
      <c r="AX10" s="430"/>
    </row>
    <row r="11" spans="1:50">
      <c r="A11" s="79"/>
      <c r="B11" s="400"/>
      <c r="C11" s="181">
        <v>5</v>
      </c>
      <c r="D11" s="196" t="s">
        <v>302</v>
      </c>
      <c r="E11" s="165">
        <v>21</v>
      </c>
      <c r="F11" s="181">
        <v>1636</v>
      </c>
      <c r="G11" s="179">
        <v>77.904761904761898</v>
      </c>
      <c r="H11" s="413"/>
      <c r="I11" s="165">
        <f t="shared" si="1"/>
        <v>17</v>
      </c>
      <c r="J11" s="165">
        <f t="shared" si="1"/>
        <v>1278.032786885246</v>
      </c>
      <c r="K11" s="179">
        <f t="shared" si="1"/>
        <v>75.178399228543881</v>
      </c>
      <c r="L11" s="413"/>
      <c r="M11" s="180">
        <f>RANK(K11, K$7:$K$21)</f>
        <v>5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65">
        <v>17</v>
      </c>
      <c r="AU11" s="165">
        <v>1278.032786885246</v>
      </c>
      <c r="AV11" s="165">
        <v>75.178399228543881</v>
      </c>
      <c r="AW11" s="181">
        <f t="shared" si="0"/>
        <v>5</v>
      </c>
      <c r="AX11" s="430"/>
    </row>
    <row r="12" spans="1:50">
      <c r="A12" s="79"/>
      <c r="B12" s="400"/>
      <c r="C12" s="181">
        <v>6</v>
      </c>
      <c r="D12" s="196" t="s">
        <v>303</v>
      </c>
      <c r="E12" s="165">
        <v>19</v>
      </c>
      <c r="F12" s="181">
        <v>1636</v>
      </c>
      <c r="G12" s="179">
        <v>86.10526315789474</v>
      </c>
      <c r="H12" s="413"/>
      <c r="I12" s="165">
        <f t="shared" si="1"/>
        <v>17</v>
      </c>
      <c r="J12" s="165">
        <f t="shared" si="1"/>
        <v>1285.8682634730537</v>
      </c>
      <c r="K12" s="179">
        <f t="shared" si="1"/>
        <v>75.639309616061979</v>
      </c>
      <c r="L12" s="413"/>
      <c r="M12" s="180">
        <f>RANK(K12, K$7:$K$21)</f>
        <v>4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65">
        <v>17</v>
      </c>
      <c r="AU12" s="165">
        <v>1285.8682634730537</v>
      </c>
      <c r="AV12" s="165">
        <v>75.639309616061979</v>
      </c>
      <c r="AW12" s="181">
        <f t="shared" si="0"/>
        <v>4</v>
      </c>
      <c r="AX12" s="430"/>
    </row>
    <row r="13" spans="1:50">
      <c r="A13" s="79"/>
      <c r="B13" s="400"/>
      <c r="C13" s="181">
        <v>7</v>
      </c>
      <c r="D13" s="196" t="s">
        <v>304</v>
      </c>
      <c r="E13" s="165">
        <v>10</v>
      </c>
      <c r="F13" s="181">
        <v>1500</v>
      </c>
      <c r="G13" s="179">
        <v>150</v>
      </c>
      <c r="H13" s="413"/>
      <c r="I13" s="165">
        <f t="shared" si="1"/>
        <v>9</v>
      </c>
      <c r="J13" s="165">
        <f t="shared" si="1"/>
        <v>1425.4054054054045</v>
      </c>
      <c r="K13" s="179">
        <f t="shared" si="1"/>
        <v>158.37837837837827</v>
      </c>
      <c r="L13" s="413"/>
      <c r="M13" s="180">
        <f>RANK(K13, K$7:$K$21)</f>
        <v>1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65">
        <v>9</v>
      </c>
      <c r="AU13" s="165">
        <v>1425.4054054054045</v>
      </c>
      <c r="AV13" s="165">
        <v>158.37837837837827</v>
      </c>
      <c r="AW13" s="181">
        <f t="shared" si="0"/>
        <v>1</v>
      </c>
      <c r="AX13" s="430"/>
    </row>
    <row r="14" spans="1:50">
      <c r="A14" s="79"/>
      <c r="B14" s="400"/>
      <c r="C14" s="181">
        <v>8</v>
      </c>
      <c r="D14" s="196"/>
      <c r="E14" s="165"/>
      <c r="F14" s="181"/>
      <c r="G14" s="179"/>
      <c r="H14" s="413"/>
      <c r="I14" s="165"/>
      <c r="J14" s="165"/>
      <c r="K14" s="179"/>
      <c r="L14" s="413"/>
      <c r="M14" s="180" t="e">
        <f>RANK(K14, K$7:$K$21)</f>
        <v>#N/A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65"/>
      <c r="AU14" s="165"/>
      <c r="AV14" s="165"/>
      <c r="AW14" s="181" t="e">
        <f t="shared" si="0"/>
        <v>#N/A</v>
      </c>
      <c r="AX14" s="430"/>
    </row>
    <row r="15" spans="1:50">
      <c r="A15" s="79"/>
      <c r="B15" s="400"/>
      <c r="C15" s="181">
        <v>9</v>
      </c>
      <c r="D15" s="196"/>
      <c r="E15" s="165"/>
      <c r="F15" s="181"/>
      <c r="G15" s="179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65"/>
      <c r="AU15" s="165"/>
      <c r="AV15" s="179"/>
      <c r="AW15" s="181" t="e">
        <f t="shared" si="0"/>
        <v>#N/A</v>
      </c>
      <c r="AX15" s="430"/>
    </row>
    <row r="16" spans="1:50">
      <c r="A16" s="79"/>
      <c r="B16" s="400"/>
      <c r="C16" s="181">
        <v>10</v>
      </c>
      <c r="D16" s="196"/>
      <c r="E16" s="165"/>
      <c r="F16" s="181"/>
      <c r="G16" s="179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65"/>
      <c r="AU16" s="165"/>
      <c r="AV16" s="179"/>
      <c r="AW16" s="181" t="e">
        <f t="shared" si="0"/>
        <v>#N/A</v>
      </c>
      <c r="AX16" s="43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65"/>
      <c r="AU17" s="165"/>
      <c r="AV17" s="179"/>
      <c r="AW17" s="181" t="e">
        <f t="shared" si="0"/>
        <v>#N/A</v>
      </c>
      <c r="AX17" s="43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65"/>
      <c r="AU18" s="165"/>
      <c r="AV18" s="179"/>
      <c r="AW18" s="181" t="e">
        <f t="shared" si="0"/>
        <v>#N/A</v>
      </c>
      <c r="AX18" s="43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65"/>
      <c r="AU19" s="165"/>
      <c r="AV19" s="179"/>
      <c r="AW19" s="181" t="e">
        <f t="shared" si="0"/>
        <v>#N/A</v>
      </c>
      <c r="AX19" s="43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65"/>
      <c r="AU20" s="165"/>
      <c r="AV20" s="179"/>
      <c r="AW20" s="181" t="e">
        <f t="shared" si="0"/>
        <v>#N/A</v>
      </c>
      <c r="AX20" s="43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65"/>
      <c r="AU21" s="165"/>
      <c r="AV21" s="179"/>
      <c r="AW21" s="181" t="e">
        <f t="shared" si="0"/>
        <v>#N/A</v>
      </c>
      <c r="AX21" s="430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01" t="s">
        <v>298</v>
      </c>
      <c r="C27" s="181">
        <v>1</v>
      </c>
      <c r="D27" s="196" t="s">
        <v>299</v>
      </c>
      <c r="E27" s="165">
        <v>19</v>
      </c>
      <c r="F27" s="181">
        <v>1636</v>
      </c>
      <c r="G27" s="179">
        <v>86.10526315789474</v>
      </c>
      <c r="H27" s="412">
        <f>AVERAGE(G27:G41)</f>
        <v>88.773471749146225</v>
      </c>
      <c r="I27" s="165">
        <f>AVERAGE(P27,U27,Z27,AE27,AJ27,AO27,AT27)</f>
        <v>19</v>
      </c>
      <c r="J27" s="165">
        <f>AVERAGE(Q27,V27,AA27,AF27,AK27,AP27,AU27)</f>
        <v>1390.8508240280692</v>
      </c>
      <c r="K27" s="179">
        <f>AVERAGE(R27,W27,AB27,AG27,AL27,AQ27,AV27)</f>
        <v>73.202674948845726</v>
      </c>
      <c r="L27" s="412">
        <f>IFERROR(AVERAGE(K27:K41),"-")</f>
        <v>87.833649179499915</v>
      </c>
      <c r="M27" s="180">
        <f>RANK(K27, K$27:$K$41)</f>
        <v>4</v>
      </c>
      <c r="N27" s="401"/>
      <c r="O27" s="401"/>
      <c r="P27" s="165">
        <v>19</v>
      </c>
      <c r="Q27" s="165">
        <v>1396.0824742268039</v>
      </c>
      <c r="R27" s="165">
        <v>73.478024959305472</v>
      </c>
      <c r="S27" s="181">
        <f t="shared" ref="S27:S41" si="2">RANK(R27, R$27:R$41)</f>
        <v>5</v>
      </c>
      <c r="T27" s="430">
        <f>AVERAGE(R27:R41)</f>
        <v>88.317321965031297</v>
      </c>
      <c r="U27" s="165">
        <v>19</v>
      </c>
      <c r="V27" s="165">
        <v>1354.1538461538462</v>
      </c>
      <c r="W27" s="165">
        <v>71.271255060728748</v>
      </c>
      <c r="X27" s="181">
        <f t="shared" ref="X27:X41" si="3">RANK(W27, W$27:W$41)</f>
        <v>6</v>
      </c>
      <c r="Y27" s="430">
        <f>AVERAGE(W27:W41)</f>
        <v>88.746980299160143</v>
      </c>
      <c r="Z27" s="165">
        <v>19</v>
      </c>
      <c r="AA27" s="165">
        <v>1412.0000000000002</v>
      </c>
      <c r="AB27" s="165">
        <v>74.31578947368422</v>
      </c>
      <c r="AC27" s="181">
        <f t="shared" ref="AC27:AC41" si="4">RANK(AB27, AB$27:AB$41)</f>
        <v>4</v>
      </c>
      <c r="AD27" s="430">
        <f>AVERAGE(AB27:AB41)</f>
        <v>88.350581807371768</v>
      </c>
      <c r="AE27" s="165">
        <v>19</v>
      </c>
      <c r="AF27" s="165">
        <v>1377.5675675675673</v>
      </c>
      <c r="AG27" s="165">
        <v>72.503556187766705</v>
      </c>
      <c r="AH27" s="181">
        <f t="shared" ref="AH27:AH41" si="5">RANK(AG27, AG$27:AG$41)</f>
        <v>4</v>
      </c>
      <c r="AI27" s="430">
        <f>AVERAGE(AG27:AG41)</f>
        <v>86.086010152854413</v>
      </c>
      <c r="AJ27" s="165">
        <v>19</v>
      </c>
      <c r="AK27" s="165">
        <v>1374.9397590361448</v>
      </c>
      <c r="AL27" s="165">
        <v>72.365250475586564</v>
      </c>
      <c r="AM27" s="181">
        <f t="shared" ref="AM27:AM41" si="6">RANK(AL27, AL$27:AL$41)</f>
        <v>4</v>
      </c>
      <c r="AN27" s="430">
        <f>AVERAGE(AL27:AL41)</f>
        <v>87.77466906306357</v>
      </c>
      <c r="AO27" s="165">
        <v>19</v>
      </c>
      <c r="AP27" s="165">
        <v>1415.7575757575755</v>
      </c>
      <c r="AQ27" s="165">
        <v>74.513556618819763</v>
      </c>
      <c r="AR27" s="181">
        <f t="shared" ref="AR27:AR41" si="7">RANK(AQ27, AQ$27:AQ$41)</f>
        <v>5</v>
      </c>
      <c r="AS27" s="430">
        <f>AVERAGE(AQ27:AQ41)</f>
        <v>88.093645766157934</v>
      </c>
      <c r="AT27" s="165">
        <v>19</v>
      </c>
      <c r="AU27" s="165">
        <v>1405.4545454545453</v>
      </c>
      <c r="AV27" s="165">
        <v>73.971291866028693</v>
      </c>
      <c r="AW27" s="181">
        <f t="shared" ref="AW27:AW41" si="8">RANK(AV27, AV$27:AV$41)</f>
        <v>5</v>
      </c>
      <c r="AX27" s="430">
        <f>AVERAGE(AV27:AV41)</f>
        <v>87.466335202860321</v>
      </c>
    </row>
    <row r="28" spans="2:50">
      <c r="B28" s="400"/>
      <c r="C28" s="181">
        <v>2</v>
      </c>
      <c r="D28" s="196" t="s">
        <v>305</v>
      </c>
      <c r="E28" s="165">
        <v>19</v>
      </c>
      <c r="F28" s="181">
        <v>1440</v>
      </c>
      <c r="G28" s="179">
        <v>75.78947368421052</v>
      </c>
      <c r="H28" s="413"/>
      <c r="I28" s="165">
        <f t="shared" ref="I28:I33" si="9">AVERAGE(P28,U28,Z28,AE28,AJ28,AO28,AT28)</f>
        <v>18.714285714285715</v>
      </c>
      <c r="J28" s="165">
        <f t="shared" ref="J28:J33" si="10">AVERAGE(Q28,V28,AA28,AF28,AK28,AP28,AU28)</f>
        <v>1347.7357329924323</v>
      </c>
      <c r="K28" s="179">
        <f t="shared" ref="K28:K33" si="11">AVERAGE(R28,W28,AB28,AG28,AL28,AQ28,AV28)</f>
        <v>72.069544220464948</v>
      </c>
      <c r="L28" s="413"/>
      <c r="M28" s="180">
        <f>RANK(K28, K$27:$K$41)</f>
        <v>5</v>
      </c>
      <c r="N28" s="401"/>
      <c r="O28" s="401"/>
      <c r="P28" s="165">
        <v>19</v>
      </c>
      <c r="Q28" s="165">
        <v>1347.4500000000003</v>
      </c>
      <c r="R28" s="165">
        <v>70.918421052631587</v>
      </c>
      <c r="S28" s="181">
        <f t="shared" si="2"/>
        <v>6</v>
      </c>
      <c r="T28" s="430"/>
      <c r="U28" s="165">
        <v>19</v>
      </c>
      <c r="V28" s="165">
        <v>1313.8807947019866</v>
      </c>
      <c r="W28" s="165">
        <v>69.151620773788764</v>
      </c>
      <c r="X28" s="181">
        <f t="shared" si="3"/>
        <v>7</v>
      </c>
      <c r="Y28" s="430"/>
      <c r="Z28" s="165">
        <v>19</v>
      </c>
      <c r="AA28" s="165">
        <v>1351.5384615384617</v>
      </c>
      <c r="AB28" s="165">
        <v>71.133603238866399</v>
      </c>
      <c r="AC28" s="181">
        <f t="shared" si="4"/>
        <v>5</v>
      </c>
      <c r="AD28" s="430"/>
      <c r="AE28" s="165">
        <v>19</v>
      </c>
      <c r="AF28" s="165">
        <v>1352.5531914893618</v>
      </c>
      <c r="AG28" s="165">
        <v>71.187010078387459</v>
      </c>
      <c r="AH28" s="181">
        <f t="shared" si="5"/>
        <v>5</v>
      </c>
      <c r="AI28" s="430"/>
      <c r="AJ28" s="165">
        <v>19</v>
      </c>
      <c r="AK28" s="165">
        <v>1348.9411764705885</v>
      </c>
      <c r="AL28" s="165">
        <v>70.996904024767815</v>
      </c>
      <c r="AM28" s="181">
        <f t="shared" si="6"/>
        <v>5</v>
      </c>
      <c r="AN28" s="430"/>
      <c r="AO28" s="165">
        <v>18</v>
      </c>
      <c r="AP28" s="165">
        <v>1359.3517241379309</v>
      </c>
      <c r="AQ28" s="165">
        <v>75.519540229885052</v>
      </c>
      <c r="AR28" s="181">
        <f t="shared" si="7"/>
        <v>4</v>
      </c>
      <c r="AS28" s="430"/>
      <c r="AT28" s="165">
        <v>18</v>
      </c>
      <c r="AU28" s="165">
        <v>1360.4347826086951</v>
      </c>
      <c r="AV28" s="165">
        <v>75.579710144927503</v>
      </c>
      <c r="AW28" s="181">
        <f t="shared" si="8"/>
        <v>4</v>
      </c>
      <c r="AX28" s="430"/>
    </row>
    <row r="29" spans="2:50">
      <c r="B29" s="400"/>
      <c r="C29" s="181">
        <v>3</v>
      </c>
      <c r="D29" s="196" t="s">
        <v>300</v>
      </c>
      <c r="E29" s="165">
        <v>17</v>
      </c>
      <c r="F29" s="181">
        <v>1636</v>
      </c>
      <c r="G29" s="179">
        <v>96.235294117647058</v>
      </c>
      <c r="H29" s="413"/>
      <c r="I29" s="165">
        <f t="shared" si="9"/>
        <v>17.142857142857142</v>
      </c>
      <c r="J29" s="165">
        <f t="shared" si="10"/>
        <v>1377.6140741264662</v>
      </c>
      <c r="K29" s="179">
        <f t="shared" si="11"/>
        <v>80.387342966410998</v>
      </c>
      <c r="L29" s="413"/>
      <c r="M29" s="180">
        <f>RANK(K29, K$27:$K$41)</f>
        <v>2</v>
      </c>
      <c r="N29" s="401"/>
      <c r="O29" s="401"/>
      <c r="P29" s="165">
        <v>18</v>
      </c>
      <c r="Q29" s="165">
        <v>1389.6847058823532</v>
      </c>
      <c r="R29" s="165">
        <v>77.204705882352954</v>
      </c>
      <c r="S29" s="181">
        <f t="shared" si="2"/>
        <v>2</v>
      </c>
      <c r="T29" s="430"/>
      <c r="U29" s="165">
        <v>17</v>
      </c>
      <c r="V29" s="165">
        <v>1365.859090909091</v>
      </c>
      <c r="W29" s="165">
        <v>80.344652406417126</v>
      </c>
      <c r="X29" s="181">
        <f t="shared" si="3"/>
        <v>2</v>
      </c>
      <c r="Y29" s="430"/>
      <c r="Z29" s="165">
        <v>17</v>
      </c>
      <c r="AA29" s="165">
        <v>1401.6294478527611</v>
      </c>
      <c r="AB29" s="165">
        <v>82.448791050162413</v>
      </c>
      <c r="AC29" s="181">
        <f t="shared" si="4"/>
        <v>2</v>
      </c>
      <c r="AD29" s="430"/>
      <c r="AE29" s="165">
        <v>17</v>
      </c>
      <c r="AF29" s="165">
        <v>1355.3424657534242</v>
      </c>
      <c r="AG29" s="165">
        <v>79.726027397260253</v>
      </c>
      <c r="AH29" s="181">
        <f t="shared" si="5"/>
        <v>2</v>
      </c>
      <c r="AI29" s="430"/>
      <c r="AJ29" s="165">
        <v>17</v>
      </c>
      <c r="AK29" s="165">
        <v>1375.2317880794699</v>
      </c>
      <c r="AL29" s="165">
        <v>80.895987534086458</v>
      </c>
      <c r="AM29" s="181">
        <f t="shared" si="6"/>
        <v>2</v>
      </c>
      <c r="AN29" s="430"/>
      <c r="AO29" s="165">
        <v>17</v>
      </c>
      <c r="AP29" s="165">
        <v>1385.714285714286</v>
      </c>
      <c r="AQ29" s="165">
        <v>81.51260504201683</v>
      </c>
      <c r="AR29" s="181">
        <f t="shared" si="7"/>
        <v>2</v>
      </c>
      <c r="AS29" s="430"/>
      <c r="AT29" s="165">
        <v>17</v>
      </c>
      <c r="AU29" s="165">
        <v>1369.8367346938774</v>
      </c>
      <c r="AV29" s="165">
        <v>80.578631452581021</v>
      </c>
      <c r="AW29" s="181">
        <f t="shared" si="8"/>
        <v>2</v>
      </c>
      <c r="AX29" s="430"/>
    </row>
    <row r="30" spans="2:50">
      <c r="B30" s="400"/>
      <c r="C30" s="181">
        <v>4</v>
      </c>
      <c r="D30" s="196" t="s">
        <v>301</v>
      </c>
      <c r="E30" s="165">
        <v>18</v>
      </c>
      <c r="F30" s="181">
        <v>1636</v>
      </c>
      <c r="G30" s="179">
        <v>90.888888888888886</v>
      </c>
      <c r="H30" s="413"/>
      <c r="I30" s="165">
        <f t="shared" si="9"/>
        <v>18</v>
      </c>
      <c r="J30" s="165">
        <f t="shared" si="10"/>
        <v>1387.680598194604</v>
      </c>
      <c r="K30" s="179">
        <f t="shared" si="11"/>
        <v>77.093366566366896</v>
      </c>
      <c r="L30" s="413"/>
      <c r="M30" s="180">
        <f>RANK(K30, K$27:$K$41)</f>
        <v>3</v>
      </c>
      <c r="N30" s="401"/>
      <c r="O30" s="401"/>
      <c r="P30" s="165">
        <v>18</v>
      </c>
      <c r="Q30" s="165">
        <v>1374.8780487804879</v>
      </c>
      <c r="R30" s="165">
        <v>76.382113821138219</v>
      </c>
      <c r="S30" s="181">
        <f t="shared" si="2"/>
        <v>3</v>
      </c>
      <c r="T30" s="430"/>
      <c r="U30" s="165">
        <v>18</v>
      </c>
      <c r="V30" s="165">
        <v>1396.6265060240967</v>
      </c>
      <c r="W30" s="165">
        <v>77.590361445783145</v>
      </c>
      <c r="X30" s="181">
        <f t="shared" si="3"/>
        <v>3</v>
      </c>
      <c r="Y30" s="430"/>
      <c r="Z30" s="165">
        <v>18</v>
      </c>
      <c r="AA30" s="165">
        <v>1405.5999999999997</v>
      </c>
      <c r="AB30" s="165">
        <v>78.088888888888874</v>
      </c>
      <c r="AC30" s="181">
        <f t="shared" si="4"/>
        <v>3</v>
      </c>
      <c r="AD30" s="430"/>
      <c r="AE30" s="165">
        <v>18</v>
      </c>
      <c r="AF30" s="165">
        <v>1380.9836065573772</v>
      </c>
      <c r="AG30" s="165">
        <v>76.721311475409848</v>
      </c>
      <c r="AH30" s="181">
        <f t="shared" si="5"/>
        <v>3</v>
      </c>
      <c r="AI30" s="430"/>
      <c r="AJ30" s="165">
        <v>18</v>
      </c>
      <c r="AK30" s="165">
        <v>1390.7462686567164</v>
      </c>
      <c r="AL30" s="165">
        <v>77.263681592039802</v>
      </c>
      <c r="AM30" s="181">
        <f t="shared" si="6"/>
        <v>3</v>
      </c>
      <c r="AN30" s="430"/>
      <c r="AO30" s="165">
        <v>18</v>
      </c>
      <c r="AP30" s="165">
        <v>1381.4814814814818</v>
      </c>
      <c r="AQ30" s="165">
        <v>76.748971193415656</v>
      </c>
      <c r="AR30" s="181">
        <f t="shared" si="7"/>
        <v>3</v>
      </c>
      <c r="AS30" s="430"/>
      <c r="AT30" s="165">
        <v>18</v>
      </c>
      <c r="AU30" s="165">
        <v>1383.4482758620688</v>
      </c>
      <c r="AV30" s="165">
        <v>76.858237547892713</v>
      </c>
      <c r="AW30" s="181">
        <f t="shared" si="8"/>
        <v>3</v>
      </c>
      <c r="AX30" s="430"/>
    </row>
    <row r="31" spans="2:50">
      <c r="B31" s="400"/>
      <c r="C31" s="181">
        <v>5</v>
      </c>
      <c r="D31" s="196" t="s">
        <v>302</v>
      </c>
      <c r="E31" s="165">
        <v>22</v>
      </c>
      <c r="F31" s="181">
        <v>1636</v>
      </c>
      <c r="G31" s="179">
        <v>74.36363636363636</v>
      </c>
      <c r="H31" s="413"/>
      <c r="I31" s="165">
        <f t="shared" si="9"/>
        <v>20.428571428571427</v>
      </c>
      <c r="J31" s="165">
        <f t="shared" si="10"/>
        <v>1391.0919158268637</v>
      </c>
      <c r="K31" s="179">
        <f t="shared" si="11"/>
        <v>68.248684058299318</v>
      </c>
      <c r="L31" s="413"/>
      <c r="M31" s="180">
        <f>RANK(K31, K$27:$K$41)</f>
        <v>7</v>
      </c>
      <c r="N31" s="401"/>
      <c r="O31" s="401"/>
      <c r="P31" s="165">
        <v>20</v>
      </c>
      <c r="Q31" s="165">
        <v>1398.2727272727275</v>
      </c>
      <c r="R31" s="165">
        <v>69.913636363636371</v>
      </c>
      <c r="S31" s="181">
        <f t="shared" si="2"/>
        <v>7</v>
      </c>
      <c r="T31" s="430"/>
      <c r="U31" s="165">
        <v>19</v>
      </c>
      <c r="V31" s="165">
        <v>1387.0072992700725</v>
      </c>
      <c r="W31" s="165">
        <v>73.000384172109079</v>
      </c>
      <c r="X31" s="181">
        <f t="shared" si="3"/>
        <v>5</v>
      </c>
      <c r="Y31" s="430"/>
      <c r="Z31" s="165">
        <v>20</v>
      </c>
      <c r="AA31" s="165">
        <v>1383.8400000000004</v>
      </c>
      <c r="AB31" s="165">
        <v>69.192000000000021</v>
      </c>
      <c r="AC31" s="181">
        <f t="shared" si="4"/>
        <v>7</v>
      </c>
      <c r="AD31" s="430"/>
      <c r="AE31" s="165">
        <v>22</v>
      </c>
      <c r="AF31" s="165">
        <v>1419.6116504854365</v>
      </c>
      <c r="AG31" s="165">
        <v>64.527802294792565</v>
      </c>
      <c r="AH31" s="181">
        <f t="shared" si="5"/>
        <v>7</v>
      </c>
      <c r="AI31" s="430"/>
      <c r="AJ31" s="165">
        <v>20</v>
      </c>
      <c r="AK31" s="165">
        <v>1390.6194690265488</v>
      </c>
      <c r="AL31" s="165">
        <v>69.530973451327441</v>
      </c>
      <c r="AM31" s="181">
        <f t="shared" si="6"/>
        <v>6</v>
      </c>
      <c r="AN31" s="430"/>
      <c r="AO31" s="165">
        <v>22</v>
      </c>
      <c r="AP31" s="165">
        <v>1394.4966442953025</v>
      </c>
      <c r="AQ31" s="165">
        <v>63.386211104331935</v>
      </c>
      <c r="AR31" s="181">
        <f t="shared" si="7"/>
        <v>7</v>
      </c>
      <c r="AS31" s="430"/>
      <c r="AT31" s="165">
        <v>20</v>
      </c>
      <c r="AU31" s="165">
        <v>1363.7956204379561</v>
      </c>
      <c r="AV31" s="165">
        <v>68.189781021897801</v>
      </c>
      <c r="AW31" s="181">
        <f t="shared" si="8"/>
        <v>7</v>
      </c>
      <c r="AX31" s="430"/>
    </row>
    <row r="32" spans="2:50">
      <c r="B32" s="400"/>
      <c r="C32" s="181">
        <v>6</v>
      </c>
      <c r="D32" s="196" t="s">
        <v>303</v>
      </c>
      <c r="E32" s="165">
        <v>18</v>
      </c>
      <c r="F32" s="181">
        <v>1636</v>
      </c>
      <c r="G32" s="179">
        <v>90.888888888888886</v>
      </c>
      <c r="H32" s="413"/>
      <c r="I32" s="165">
        <f t="shared" si="9"/>
        <v>18</v>
      </c>
      <c r="J32" s="165">
        <f t="shared" si="10"/>
        <v>1289.9771599368396</v>
      </c>
      <c r="K32" s="179">
        <f t="shared" si="11"/>
        <v>71.665397774268868</v>
      </c>
      <c r="L32" s="413"/>
      <c r="M32" s="180">
        <f>RANK(K32, K$27:$K$41)</f>
        <v>6</v>
      </c>
      <c r="N32" s="401"/>
      <c r="O32" s="401"/>
      <c r="P32" s="165">
        <v>18</v>
      </c>
      <c r="Q32" s="165">
        <v>1329.3677419354817</v>
      </c>
      <c r="R32" s="165">
        <v>73.853763440860092</v>
      </c>
      <c r="S32" s="181">
        <f t="shared" si="2"/>
        <v>4</v>
      </c>
      <c r="T32" s="430"/>
      <c r="U32" s="165">
        <v>18</v>
      </c>
      <c r="V32" s="165">
        <v>1388.6999999999957</v>
      </c>
      <c r="W32" s="165">
        <v>77.149999999999764</v>
      </c>
      <c r="X32" s="181">
        <f t="shared" si="3"/>
        <v>4</v>
      </c>
      <c r="Y32" s="430"/>
      <c r="Z32" s="165">
        <v>18</v>
      </c>
      <c r="AA32" s="165">
        <v>1273.9500000000044</v>
      </c>
      <c r="AB32" s="165">
        <v>70.775000000000247</v>
      </c>
      <c r="AC32" s="181">
        <f t="shared" si="4"/>
        <v>6</v>
      </c>
      <c r="AD32" s="430"/>
      <c r="AE32" s="165">
        <v>18</v>
      </c>
      <c r="AF32" s="165">
        <v>1247.4000000000044</v>
      </c>
      <c r="AG32" s="165">
        <v>69.300000000000239</v>
      </c>
      <c r="AH32" s="181">
        <f t="shared" si="5"/>
        <v>6</v>
      </c>
      <c r="AI32" s="430"/>
      <c r="AJ32" s="165">
        <v>18</v>
      </c>
      <c r="AK32" s="165">
        <v>1250.3454545454588</v>
      </c>
      <c r="AL32" s="165">
        <v>69.463636363636596</v>
      </c>
      <c r="AM32" s="181">
        <f t="shared" si="6"/>
        <v>7</v>
      </c>
      <c r="AN32" s="430"/>
      <c r="AO32" s="165">
        <v>18</v>
      </c>
      <c r="AP32" s="165">
        <v>1297.2461538461584</v>
      </c>
      <c r="AQ32" s="165">
        <v>72.069230769231027</v>
      </c>
      <c r="AR32" s="181">
        <f t="shared" si="7"/>
        <v>6</v>
      </c>
      <c r="AS32" s="430"/>
      <c r="AT32" s="165">
        <v>18</v>
      </c>
      <c r="AU32" s="165">
        <v>1242.8307692307735</v>
      </c>
      <c r="AV32" s="165">
        <v>69.046153846154084</v>
      </c>
      <c r="AW32" s="181">
        <f t="shared" si="8"/>
        <v>6</v>
      </c>
      <c r="AX32" s="430"/>
    </row>
    <row r="33" spans="2:50">
      <c r="B33" s="400"/>
      <c r="C33" s="181">
        <v>7</v>
      </c>
      <c r="D33" s="196" t="s">
        <v>304</v>
      </c>
      <c r="E33" s="165">
        <v>14</v>
      </c>
      <c r="F33" s="181">
        <v>1500</v>
      </c>
      <c r="G33" s="179">
        <v>107.14285714285714</v>
      </c>
      <c r="H33" s="413"/>
      <c r="I33" s="165">
        <f t="shared" si="9"/>
        <v>8</v>
      </c>
      <c r="J33" s="165">
        <f t="shared" si="10"/>
        <v>1377.3482697747411</v>
      </c>
      <c r="K33" s="179">
        <f t="shared" si="11"/>
        <v>172.16853372184264</v>
      </c>
      <c r="L33" s="413"/>
      <c r="M33" s="180">
        <f>RANK(K33, K$27:$K$41)</f>
        <v>1</v>
      </c>
      <c r="N33" s="401"/>
      <c r="O33" s="401"/>
      <c r="P33" s="165">
        <v>8</v>
      </c>
      <c r="Q33" s="165">
        <v>1411.7647058823547</v>
      </c>
      <c r="R33" s="165">
        <v>176.47058823529434</v>
      </c>
      <c r="S33" s="181">
        <f t="shared" si="2"/>
        <v>1</v>
      </c>
      <c r="T33" s="430"/>
      <c r="U33" s="165">
        <v>8</v>
      </c>
      <c r="V33" s="165">
        <v>1381.7647058823547</v>
      </c>
      <c r="W33" s="165">
        <v>172.72058823529434</v>
      </c>
      <c r="X33" s="181">
        <f t="shared" si="3"/>
        <v>1</v>
      </c>
      <c r="Y33" s="430"/>
      <c r="Z33" s="165">
        <v>8</v>
      </c>
      <c r="AA33" s="165">
        <v>1380.0000000000016</v>
      </c>
      <c r="AB33" s="165">
        <v>172.5000000000002</v>
      </c>
      <c r="AC33" s="181">
        <f t="shared" si="4"/>
        <v>1</v>
      </c>
      <c r="AD33" s="430"/>
      <c r="AE33" s="165">
        <v>8</v>
      </c>
      <c r="AF33" s="165">
        <v>1349.0909090909106</v>
      </c>
      <c r="AG33" s="165">
        <v>168.63636363636382</v>
      </c>
      <c r="AH33" s="181">
        <f t="shared" si="5"/>
        <v>1</v>
      </c>
      <c r="AI33" s="430"/>
      <c r="AJ33" s="165">
        <v>8</v>
      </c>
      <c r="AK33" s="165">
        <v>1391.2500000000016</v>
      </c>
      <c r="AL33" s="165">
        <v>173.9062500000002</v>
      </c>
      <c r="AM33" s="181">
        <f t="shared" si="6"/>
        <v>1</v>
      </c>
      <c r="AN33" s="430"/>
      <c r="AO33" s="165">
        <v>8</v>
      </c>
      <c r="AP33" s="165">
        <v>1383.243243243242</v>
      </c>
      <c r="AQ33" s="165">
        <v>172.90540540540525</v>
      </c>
      <c r="AR33" s="181">
        <f t="shared" si="7"/>
        <v>1</v>
      </c>
      <c r="AS33" s="430"/>
      <c r="AT33" s="165">
        <v>8</v>
      </c>
      <c r="AU33" s="165">
        <v>1344.3243243243232</v>
      </c>
      <c r="AV33" s="165">
        <v>168.04054054054041</v>
      </c>
      <c r="AW33" s="181">
        <f t="shared" si="8"/>
        <v>1</v>
      </c>
      <c r="AX33" s="430"/>
    </row>
    <row r="34" spans="2:50">
      <c r="B34" s="400"/>
      <c r="C34" s="181">
        <v>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80" t="e">
        <f>RANK(K34, K$27:$K$41)</f>
        <v>#N/A</v>
      </c>
      <c r="N34" s="401"/>
      <c r="O34" s="401"/>
      <c r="P34" s="165"/>
      <c r="Q34" s="165"/>
      <c r="R34" s="165"/>
      <c r="S34" s="181" t="e">
        <f t="shared" si="2"/>
        <v>#N/A</v>
      </c>
      <c r="T34" s="430"/>
      <c r="U34" s="165"/>
      <c r="V34" s="165"/>
      <c r="W34" s="165"/>
      <c r="X34" s="181" t="e">
        <f t="shared" si="3"/>
        <v>#N/A</v>
      </c>
      <c r="Y34" s="430"/>
      <c r="Z34" s="165"/>
      <c r="AA34" s="165"/>
      <c r="AB34" s="165"/>
      <c r="AC34" s="181" t="e">
        <f t="shared" si="4"/>
        <v>#N/A</v>
      </c>
      <c r="AD34" s="430"/>
      <c r="AE34" s="165"/>
      <c r="AF34" s="165"/>
      <c r="AG34" s="165"/>
      <c r="AH34" s="181" t="e">
        <f t="shared" si="5"/>
        <v>#N/A</v>
      </c>
      <c r="AI34" s="430"/>
      <c r="AJ34" s="165"/>
      <c r="AK34" s="165"/>
      <c r="AL34" s="165"/>
      <c r="AM34" s="181" t="e">
        <f t="shared" si="6"/>
        <v>#N/A</v>
      </c>
      <c r="AN34" s="430"/>
      <c r="AO34" s="165"/>
      <c r="AP34" s="165"/>
      <c r="AQ34" s="165"/>
      <c r="AR34" s="181" t="e">
        <f t="shared" si="7"/>
        <v>#N/A</v>
      </c>
      <c r="AS34" s="430"/>
      <c r="AT34" s="165"/>
      <c r="AU34" s="165"/>
      <c r="AV34" s="165"/>
      <c r="AW34" s="181" t="e">
        <f t="shared" si="8"/>
        <v>#N/A</v>
      </c>
      <c r="AX34" s="430"/>
    </row>
    <row r="35" spans="2:50">
      <c r="B35" s="400"/>
      <c r="C35" s="181">
        <v>9</v>
      </c>
      <c r="D35" s="196"/>
      <c r="E35" s="165"/>
      <c r="F35" s="181"/>
      <c r="G35" s="179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65"/>
      <c r="Q35" s="165"/>
      <c r="R35" s="165"/>
      <c r="S35" s="181" t="e">
        <f t="shared" si="2"/>
        <v>#N/A</v>
      </c>
      <c r="T35" s="430"/>
      <c r="U35" s="165"/>
      <c r="V35" s="165"/>
      <c r="W35" s="165"/>
      <c r="X35" s="181" t="e">
        <f t="shared" si="3"/>
        <v>#N/A</v>
      </c>
      <c r="Y35" s="430"/>
      <c r="Z35" s="165"/>
      <c r="AA35" s="165"/>
      <c r="AB35" s="165"/>
      <c r="AC35" s="181" t="e">
        <f t="shared" si="4"/>
        <v>#N/A</v>
      </c>
      <c r="AD35" s="430"/>
      <c r="AE35" s="165"/>
      <c r="AF35" s="165"/>
      <c r="AG35" s="165"/>
      <c r="AH35" s="181" t="e">
        <f t="shared" si="5"/>
        <v>#N/A</v>
      </c>
      <c r="AI35" s="430"/>
      <c r="AJ35" s="165"/>
      <c r="AK35" s="165"/>
      <c r="AL35" s="165"/>
      <c r="AM35" s="181" t="e">
        <f t="shared" si="6"/>
        <v>#N/A</v>
      </c>
      <c r="AN35" s="430"/>
      <c r="AO35" s="165"/>
      <c r="AP35" s="165"/>
      <c r="AQ35" s="165"/>
      <c r="AR35" s="181" t="e">
        <f t="shared" si="7"/>
        <v>#N/A</v>
      </c>
      <c r="AS35" s="430"/>
      <c r="AT35" s="165"/>
      <c r="AU35" s="165"/>
      <c r="AV35" s="179"/>
      <c r="AW35" s="181" t="e">
        <f t="shared" si="8"/>
        <v>#N/A</v>
      </c>
      <c r="AX35" s="430"/>
    </row>
    <row r="36" spans="2:50">
      <c r="B36" s="400"/>
      <c r="C36" s="181">
        <v>10</v>
      </c>
      <c r="D36" s="196"/>
      <c r="E36" s="165"/>
      <c r="F36" s="181"/>
      <c r="G36" s="179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65"/>
      <c r="Q36" s="165"/>
      <c r="R36" s="165"/>
      <c r="S36" s="181" t="e">
        <f t="shared" si="2"/>
        <v>#N/A</v>
      </c>
      <c r="T36" s="430"/>
      <c r="U36" s="165"/>
      <c r="V36" s="165"/>
      <c r="W36" s="165"/>
      <c r="X36" s="181" t="e">
        <f t="shared" si="3"/>
        <v>#N/A</v>
      </c>
      <c r="Y36" s="430"/>
      <c r="Z36" s="165"/>
      <c r="AA36" s="165"/>
      <c r="AB36" s="165"/>
      <c r="AC36" s="181" t="e">
        <f t="shared" si="4"/>
        <v>#N/A</v>
      </c>
      <c r="AD36" s="430"/>
      <c r="AE36" s="165"/>
      <c r="AF36" s="165"/>
      <c r="AG36" s="165"/>
      <c r="AH36" s="181" t="e">
        <f t="shared" si="5"/>
        <v>#N/A</v>
      </c>
      <c r="AI36" s="430"/>
      <c r="AJ36" s="165"/>
      <c r="AK36" s="165"/>
      <c r="AL36" s="165"/>
      <c r="AM36" s="181" t="e">
        <f t="shared" si="6"/>
        <v>#N/A</v>
      </c>
      <c r="AN36" s="430"/>
      <c r="AO36" s="165"/>
      <c r="AP36" s="165"/>
      <c r="AQ36" s="165"/>
      <c r="AR36" s="181" t="e">
        <f t="shared" si="7"/>
        <v>#N/A</v>
      </c>
      <c r="AS36" s="430"/>
      <c r="AT36" s="165"/>
      <c r="AU36" s="165"/>
      <c r="AV36" s="179"/>
      <c r="AW36" s="181" t="e">
        <f t="shared" si="8"/>
        <v>#N/A</v>
      </c>
      <c r="AX36" s="43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65"/>
      <c r="Q37" s="165"/>
      <c r="R37" s="165"/>
      <c r="S37" s="181" t="e">
        <f t="shared" si="2"/>
        <v>#N/A</v>
      </c>
      <c r="T37" s="430"/>
      <c r="U37" s="165"/>
      <c r="V37" s="165"/>
      <c r="W37" s="165"/>
      <c r="X37" s="181" t="e">
        <f t="shared" si="3"/>
        <v>#N/A</v>
      </c>
      <c r="Y37" s="430"/>
      <c r="Z37" s="165"/>
      <c r="AA37" s="165"/>
      <c r="AB37" s="165"/>
      <c r="AC37" s="181" t="e">
        <f t="shared" si="4"/>
        <v>#N/A</v>
      </c>
      <c r="AD37" s="430"/>
      <c r="AE37" s="165"/>
      <c r="AF37" s="165"/>
      <c r="AG37" s="165"/>
      <c r="AH37" s="181" t="e">
        <f t="shared" si="5"/>
        <v>#N/A</v>
      </c>
      <c r="AI37" s="430"/>
      <c r="AJ37" s="165"/>
      <c r="AK37" s="165"/>
      <c r="AL37" s="165"/>
      <c r="AM37" s="181" t="e">
        <f t="shared" si="6"/>
        <v>#N/A</v>
      </c>
      <c r="AN37" s="430"/>
      <c r="AO37" s="165"/>
      <c r="AP37" s="165"/>
      <c r="AQ37" s="165"/>
      <c r="AR37" s="181" t="e">
        <f t="shared" si="7"/>
        <v>#N/A</v>
      </c>
      <c r="AS37" s="430"/>
      <c r="AT37" s="165"/>
      <c r="AU37" s="165"/>
      <c r="AV37" s="179"/>
      <c r="AW37" s="181" t="e">
        <f t="shared" si="8"/>
        <v>#N/A</v>
      </c>
      <c r="AX37" s="43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65"/>
      <c r="Q38" s="165"/>
      <c r="R38" s="165"/>
      <c r="S38" s="181" t="e">
        <f t="shared" si="2"/>
        <v>#N/A</v>
      </c>
      <c r="T38" s="430"/>
      <c r="U38" s="165"/>
      <c r="V38" s="165"/>
      <c r="W38" s="165"/>
      <c r="X38" s="181" t="e">
        <f t="shared" si="3"/>
        <v>#N/A</v>
      </c>
      <c r="Y38" s="430"/>
      <c r="Z38" s="165"/>
      <c r="AA38" s="165"/>
      <c r="AB38" s="165"/>
      <c r="AC38" s="181" t="e">
        <f t="shared" si="4"/>
        <v>#N/A</v>
      </c>
      <c r="AD38" s="430"/>
      <c r="AE38" s="165"/>
      <c r="AF38" s="165"/>
      <c r="AG38" s="165"/>
      <c r="AH38" s="181" t="e">
        <f t="shared" si="5"/>
        <v>#N/A</v>
      </c>
      <c r="AI38" s="430"/>
      <c r="AJ38" s="165"/>
      <c r="AK38" s="165"/>
      <c r="AL38" s="165"/>
      <c r="AM38" s="181" t="e">
        <f t="shared" si="6"/>
        <v>#N/A</v>
      </c>
      <c r="AN38" s="430"/>
      <c r="AO38" s="165"/>
      <c r="AP38" s="165"/>
      <c r="AQ38" s="165"/>
      <c r="AR38" s="181" t="e">
        <f t="shared" si="7"/>
        <v>#N/A</v>
      </c>
      <c r="AS38" s="430"/>
      <c r="AT38" s="165"/>
      <c r="AU38" s="165"/>
      <c r="AV38" s="179"/>
      <c r="AW38" s="181" t="e">
        <f t="shared" si="8"/>
        <v>#N/A</v>
      </c>
      <c r="AX38" s="43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65"/>
      <c r="Q39" s="165"/>
      <c r="R39" s="165"/>
      <c r="S39" s="181" t="e">
        <f t="shared" si="2"/>
        <v>#N/A</v>
      </c>
      <c r="T39" s="430"/>
      <c r="U39" s="165"/>
      <c r="V39" s="165"/>
      <c r="W39" s="165"/>
      <c r="X39" s="181" t="e">
        <f t="shared" si="3"/>
        <v>#N/A</v>
      </c>
      <c r="Y39" s="430"/>
      <c r="Z39" s="165"/>
      <c r="AA39" s="165"/>
      <c r="AB39" s="165"/>
      <c r="AC39" s="181" t="e">
        <f t="shared" si="4"/>
        <v>#N/A</v>
      </c>
      <c r="AD39" s="430"/>
      <c r="AE39" s="165"/>
      <c r="AF39" s="165"/>
      <c r="AG39" s="165"/>
      <c r="AH39" s="181" t="e">
        <f t="shared" si="5"/>
        <v>#N/A</v>
      </c>
      <c r="AI39" s="430"/>
      <c r="AJ39" s="165"/>
      <c r="AK39" s="165"/>
      <c r="AL39" s="165"/>
      <c r="AM39" s="181" t="e">
        <f t="shared" si="6"/>
        <v>#N/A</v>
      </c>
      <c r="AN39" s="430"/>
      <c r="AO39" s="165"/>
      <c r="AP39" s="165"/>
      <c r="AQ39" s="165"/>
      <c r="AR39" s="181" t="e">
        <f t="shared" si="7"/>
        <v>#N/A</v>
      </c>
      <c r="AS39" s="430"/>
      <c r="AT39" s="165"/>
      <c r="AU39" s="165"/>
      <c r="AV39" s="179"/>
      <c r="AW39" s="181" t="e">
        <f t="shared" si="8"/>
        <v>#N/A</v>
      </c>
      <c r="AX39" s="43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65"/>
      <c r="Q40" s="165"/>
      <c r="R40" s="165"/>
      <c r="S40" s="181" t="e">
        <f t="shared" si="2"/>
        <v>#N/A</v>
      </c>
      <c r="T40" s="430"/>
      <c r="U40" s="165"/>
      <c r="V40" s="165"/>
      <c r="W40" s="165"/>
      <c r="X40" s="181" t="e">
        <f t="shared" si="3"/>
        <v>#N/A</v>
      </c>
      <c r="Y40" s="430"/>
      <c r="Z40" s="165"/>
      <c r="AA40" s="165"/>
      <c r="AB40" s="165"/>
      <c r="AC40" s="181" t="e">
        <f t="shared" si="4"/>
        <v>#N/A</v>
      </c>
      <c r="AD40" s="430"/>
      <c r="AE40" s="165"/>
      <c r="AF40" s="165"/>
      <c r="AG40" s="165"/>
      <c r="AH40" s="181" t="e">
        <f t="shared" si="5"/>
        <v>#N/A</v>
      </c>
      <c r="AI40" s="430"/>
      <c r="AJ40" s="165"/>
      <c r="AK40" s="165"/>
      <c r="AL40" s="165"/>
      <c r="AM40" s="181" t="e">
        <f t="shared" si="6"/>
        <v>#N/A</v>
      </c>
      <c r="AN40" s="430"/>
      <c r="AO40" s="165"/>
      <c r="AP40" s="165"/>
      <c r="AQ40" s="165"/>
      <c r="AR40" s="181" t="e">
        <f t="shared" si="7"/>
        <v>#N/A</v>
      </c>
      <c r="AS40" s="430"/>
      <c r="AT40" s="165"/>
      <c r="AU40" s="165"/>
      <c r="AV40" s="179"/>
      <c r="AW40" s="181" t="e">
        <f t="shared" si="8"/>
        <v>#N/A</v>
      </c>
      <c r="AX40" s="43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65"/>
      <c r="Q41" s="165"/>
      <c r="R41" s="165"/>
      <c r="S41" s="181" t="e">
        <f t="shared" si="2"/>
        <v>#N/A</v>
      </c>
      <c r="T41" s="430"/>
      <c r="U41" s="165"/>
      <c r="V41" s="165"/>
      <c r="W41" s="165"/>
      <c r="X41" s="181" t="e">
        <f t="shared" si="3"/>
        <v>#N/A</v>
      </c>
      <c r="Y41" s="430"/>
      <c r="Z41" s="165"/>
      <c r="AA41" s="165"/>
      <c r="AB41" s="165"/>
      <c r="AC41" s="181" t="e">
        <f t="shared" si="4"/>
        <v>#N/A</v>
      </c>
      <c r="AD41" s="430"/>
      <c r="AE41" s="165"/>
      <c r="AF41" s="165"/>
      <c r="AG41" s="165"/>
      <c r="AH41" s="181" t="e">
        <f t="shared" si="5"/>
        <v>#N/A</v>
      </c>
      <c r="AI41" s="430"/>
      <c r="AJ41" s="165"/>
      <c r="AK41" s="165"/>
      <c r="AL41" s="165"/>
      <c r="AM41" s="181" t="e">
        <f t="shared" si="6"/>
        <v>#N/A</v>
      </c>
      <c r="AN41" s="430"/>
      <c r="AO41" s="165"/>
      <c r="AP41" s="165"/>
      <c r="AQ41" s="165"/>
      <c r="AR41" s="181" t="e">
        <f t="shared" si="7"/>
        <v>#N/A</v>
      </c>
      <c r="AS41" s="430"/>
      <c r="AT41" s="165"/>
      <c r="AU41" s="165"/>
      <c r="AV41" s="179"/>
      <c r="AW41" s="181" t="e">
        <f t="shared" si="8"/>
        <v>#N/A</v>
      </c>
      <c r="AX41" s="430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01" t="s">
        <v>298</v>
      </c>
      <c r="C47" s="181">
        <v>1</v>
      </c>
      <c r="D47" s="196" t="s">
        <v>299</v>
      </c>
      <c r="E47" s="165">
        <v>19</v>
      </c>
      <c r="F47" s="181">
        <v>1636</v>
      </c>
      <c r="G47" s="179">
        <v>86.10526315789474</v>
      </c>
      <c r="H47" s="412">
        <f>AVERAGE(G47:G61)</f>
        <v>89.037898891614063</v>
      </c>
      <c r="I47" s="165">
        <f>AVERAGE(P47,U47,Z47,AE47,AJ47,AO47,AT47)</f>
        <v>19</v>
      </c>
      <c r="J47" s="165">
        <f>AVERAGE(Q47,V47,AA47,AF47,AK47,AP47,AU47)</f>
        <v>1390.1156580381071</v>
      </c>
      <c r="K47" s="179">
        <f>AVERAGE(R47,W47,AB47,AG47,AL47,AQ47,AV47)</f>
        <v>73.163982002005625</v>
      </c>
      <c r="L47" s="412">
        <f>IFERROR(AVERAGE(K47:K61),"-")</f>
        <v>87.866822340197288</v>
      </c>
      <c r="M47" s="180">
        <f>RANK(K47, K$47:$K$61)</f>
        <v>6</v>
      </c>
      <c r="N47" s="401"/>
      <c r="O47" s="401"/>
      <c r="P47" s="165">
        <v>19</v>
      </c>
      <c r="Q47" s="165">
        <v>1395.151515151515</v>
      </c>
      <c r="R47" s="165">
        <v>73.429027113237638</v>
      </c>
      <c r="S47" s="181">
        <f>RANK(R47, R$47:R$61)</f>
        <v>5</v>
      </c>
      <c r="T47" s="430">
        <f>AVERAGE(R47:R61)</f>
        <v>87.00841259370128</v>
      </c>
      <c r="U47" s="165">
        <v>19</v>
      </c>
      <c r="V47" s="165">
        <v>1381.8367346938774</v>
      </c>
      <c r="W47" s="165">
        <v>72.728249194414602</v>
      </c>
      <c r="X47" s="181">
        <f>RANK(W47, W$47:W$61)</f>
        <v>7</v>
      </c>
      <c r="Y47" s="430">
        <f>AVERAGE(W47:W61)</f>
        <v>87.547598331019856</v>
      </c>
      <c r="Z47" s="165">
        <v>19</v>
      </c>
      <c r="AA47" s="165">
        <v>1396.6666666666667</v>
      </c>
      <c r="AB47" s="165">
        <v>73.508771929824562</v>
      </c>
      <c r="AC47" s="181">
        <f>RANK(AB47, AB$47:AB$61)</f>
        <v>7</v>
      </c>
      <c r="AD47" s="430">
        <f>AVERAGE(AB47:AB61)</f>
        <v>88.999053996015093</v>
      </c>
      <c r="AE47" s="165">
        <v>19</v>
      </c>
      <c r="AF47" s="165">
        <v>1367.5324675324675</v>
      </c>
      <c r="AG47" s="165">
        <v>71.975393028024612</v>
      </c>
      <c r="AH47" s="181">
        <f>RANK(AG47, AG$47:AG$61)</f>
        <v>7</v>
      </c>
      <c r="AI47" s="430">
        <f>AVERAGE(AG47:AG61)</f>
        <v>83.532959615781593</v>
      </c>
      <c r="AJ47" s="165">
        <v>19</v>
      </c>
      <c r="AK47" s="165">
        <v>1426.666666666667</v>
      </c>
      <c r="AL47" s="165">
        <v>75.087719298245631</v>
      </c>
      <c r="AM47" s="181">
        <f>RANK(AL47, AL$47:AL$61)</f>
        <v>6</v>
      </c>
      <c r="AN47" s="430">
        <f>AVERAGE(AL47:AL61)</f>
        <v>84.525742859719159</v>
      </c>
      <c r="AO47" s="165">
        <v>19</v>
      </c>
      <c r="AP47" s="165">
        <v>1397.3999999999999</v>
      </c>
      <c r="AQ47" s="165">
        <v>73.547368421052624</v>
      </c>
      <c r="AR47" s="181">
        <f>RANK(AQ47, AQ$47:AQ$61)</f>
        <v>7</v>
      </c>
      <c r="AS47" s="430">
        <f>AVERAGE(AQ47:AQ61)</f>
        <v>88.295427649432256</v>
      </c>
      <c r="AT47" s="165">
        <v>19</v>
      </c>
      <c r="AU47" s="165">
        <v>1365.5555555555561</v>
      </c>
      <c r="AV47" s="165">
        <v>71.871345029239791</v>
      </c>
      <c r="AW47" s="181">
        <f>RANK(AV47, AV$47:AV$61)</f>
        <v>7</v>
      </c>
      <c r="AX47" s="430">
        <f>AVERAGE(AV47:AV61)</f>
        <v>87.645292933984024</v>
      </c>
    </row>
    <row r="48" spans="2:50">
      <c r="B48" s="400"/>
      <c r="C48" s="181">
        <v>2</v>
      </c>
      <c r="D48" s="196" t="s">
        <v>305</v>
      </c>
      <c r="E48" s="165">
        <v>19</v>
      </c>
      <c r="F48" s="181">
        <v>1440</v>
      </c>
      <c r="G48" s="179">
        <v>75.78947368421052</v>
      </c>
      <c r="H48" s="413"/>
      <c r="I48" s="165">
        <f t="shared" ref="I48:I53" si="12">AVERAGE(P48,U48,Z48,AE48,AJ48,AO48,AT48)</f>
        <v>18.142857142857142</v>
      </c>
      <c r="J48" s="165">
        <f t="shared" ref="J48:J53" si="13">AVERAGE(Q48,V48,AA48,AF48,AK48,AP48,AU48)</f>
        <v>1327.7942107782026</v>
      </c>
      <c r="K48" s="179">
        <f t="shared" ref="K48:K53" si="14">AVERAGE(R48,W48,AB48,AG48,AL48,AQ48,AV48)</f>
        <v>73.215378585994472</v>
      </c>
      <c r="L48" s="413"/>
      <c r="M48" s="180">
        <f>RANK(K48, K$47:$K$61)</f>
        <v>5</v>
      </c>
      <c r="N48" s="401"/>
      <c r="O48" s="401"/>
      <c r="P48" s="165">
        <v>18</v>
      </c>
      <c r="Q48" s="165">
        <v>1316.9545454545453</v>
      </c>
      <c r="R48" s="165">
        <v>73.164141414141397</v>
      </c>
      <c r="S48" s="181">
        <f t="shared" ref="S48:S61" si="15">RANK(R48, R$47:R$61)</f>
        <v>6</v>
      </c>
      <c r="T48" s="430"/>
      <c r="U48" s="165">
        <v>18</v>
      </c>
      <c r="V48" s="165">
        <v>1333.3478260869565</v>
      </c>
      <c r="W48" s="165">
        <v>74.074879227053145</v>
      </c>
      <c r="X48" s="181">
        <f t="shared" ref="X48:X61" si="16">RANK(W48, W$47:W$61)</f>
        <v>6</v>
      </c>
      <c r="Y48" s="430"/>
      <c r="Z48" s="165">
        <v>18</v>
      </c>
      <c r="AA48" s="165">
        <v>1330.9333333333334</v>
      </c>
      <c r="AB48" s="165">
        <v>73.94074074074075</v>
      </c>
      <c r="AC48" s="181">
        <f t="shared" ref="AC48:AC61" si="17">RANK(AB48, AB$47:AB$61)</f>
        <v>6</v>
      </c>
      <c r="AD48" s="430"/>
      <c r="AE48" s="165">
        <v>18</v>
      </c>
      <c r="AF48" s="165">
        <v>1317.4100719424457</v>
      </c>
      <c r="AG48" s="165">
        <v>73.189448441246981</v>
      </c>
      <c r="AH48" s="181">
        <f t="shared" ref="AH48:AH61" si="18">RANK(AG48, AG$47:AG$61)</f>
        <v>6</v>
      </c>
      <c r="AI48" s="430"/>
      <c r="AJ48" s="165">
        <v>19</v>
      </c>
      <c r="AK48" s="165">
        <v>1319.0136986301375</v>
      </c>
      <c r="AL48" s="165">
        <v>69.421773612112503</v>
      </c>
      <c r="AM48" s="181">
        <f t="shared" ref="AM48:AM61" si="19">RANK(AL48, AL$47:AL$61)</f>
        <v>7</v>
      </c>
      <c r="AN48" s="430"/>
      <c r="AO48" s="165">
        <v>18</v>
      </c>
      <c r="AP48" s="165">
        <v>1343.9999999999998</v>
      </c>
      <c r="AQ48" s="165">
        <v>74.666666666666657</v>
      </c>
      <c r="AR48" s="181">
        <f t="shared" ref="AR48:AR61" si="20">RANK(AQ48, AQ$47:AQ$61)</f>
        <v>6</v>
      </c>
      <c r="AS48" s="430"/>
      <c r="AT48" s="165">
        <v>18</v>
      </c>
      <c r="AU48" s="165">
        <v>1332.8999999999999</v>
      </c>
      <c r="AV48" s="165">
        <v>74.05</v>
      </c>
      <c r="AW48" s="181">
        <f t="shared" ref="AW48:AW61" si="21">RANK(AV48, AV$47:AV$61)</f>
        <v>6</v>
      </c>
      <c r="AX48" s="430"/>
    </row>
    <row r="49" spans="2:50">
      <c r="B49" s="400"/>
      <c r="C49" s="181">
        <v>3</v>
      </c>
      <c r="D49" s="196" t="s">
        <v>300</v>
      </c>
      <c r="E49" s="165">
        <v>17</v>
      </c>
      <c r="F49" s="181">
        <v>1636</v>
      </c>
      <c r="G49" s="179">
        <v>96.235294117647058</v>
      </c>
      <c r="H49" s="413"/>
      <c r="I49" s="165">
        <f t="shared" si="12"/>
        <v>17.142857142857142</v>
      </c>
      <c r="J49" s="165">
        <f t="shared" si="13"/>
        <v>1383.2366380052933</v>
      </c>
      <c r="K49" s="179">
        <f t="shared" si="14"/>
        <v>80.706427404191444</v>
      </c>
      <c r="L49" s="413"/>
      <c r="M49" s="180">
        <f>RANK(K49, K$47:$K$61)</f>
        <v>2</v>
      </c>
      <c r="N49" s="401"/>
      <c r="O49" s="401"/>
      <c r="P49" s="165">
        <v>17</v>
      </c>
      <c r="Q49" s="165">
        <v>1361.0969072164949</v>
      </c>
      <c r="R49" s="165">
        <v>80.064523953911461</v>
      </c>
      <c r="S49" s="181">
        <f t="shared" si="15"/>
        <v>2</v>
      </c>
      <c r="T49" s="430"/>
      <c r="U49" s="165">
        <v>17</v>
      </c>
      <c r="V49" s="165">
        <v>1390.9770491803279</v>
      </c>
      <c r="W49" s="165">
        <v>81.822179363548699</v>
      </c>
      <c r="X49" s="181">
        <f t="shared" si="16"/>
        <v>2</v>
      </c>
      <c r="Y49" s="430"/>
      <c r="Z49" s="165">
        <v>17</v>
      </c>
      <c r="AA49" s="165">
        <v>1360.6560000000002</v>
      </c>
      <c r="AB49" s="165">
        <v>80.038588235294128</v>
      </c>
      <c r="AC49" s="181">
        <f t="shared" si="17"/>
        <v>3</v>
      </c>
      <c r="AD49" s="430"/>
      <c r="AE49" s="165">
        <v>18</v>
      </c>
      <c r="AF49" s="165">
        <v>1414.6488888888889</v>
      </c>
      <c r="AG49" s="165">
        <v>78.591604938271601</v>
      </c>
      <c r="AH49" s="181">
        <f t="shared" si="18"/>
        <v>3</v>
      </c>
      <c r="AI49" s="430"/>
      <c r="AJ49" s="165">
        <v>17</v>
      </c>
      <c r="AK49" s="165">
        <v>1364.6769230769235</v>
      </c>
      <c r="AL49" s="165">
        <v>80.275113122171973</v>
      </c>
      <c r="AM49" s="181">
        <f t="shared" si="19"/>
        <v>2</v>
      </c>
      <c r="AN49" s="430"/>
      <c r="AO49" s="165">
        <v>17</v>
      </c>
      <c r="AP49" s="165">
        <v>1415.76</v>
      </c>
      <c r="AQ49" s="165">
        <v>83.28</v>
      </c>
      <c r="AR49" s="181">
        <f t="shared" si="20"/>
        <v>2</v>
      </c>
      <c r="AS49" s="430"/>
      <c r="AT49" s="165">
        <v>17</v>
      </c>
      <c r="AU49" s="165">
        <v>1374.8406976744182</v>
      </c>
      <c r="AV49" s="165">
        <v>80.872982216142248</v>
      </c>
      <c r="AW49" s="181">
        <f t="shared" si="21"/>
        <v>2</v>
      </c>
      <c r="AX49" s="430"/>
    </row>
    <row r="50" spans="2:50">
      <c r="B50" s="400"/>
      <c r="C50" s="181">
        <v>4</v>
      </c>
      <c r="D50" s="196" t="s">
        <v>301</v>
      </c>
      <c r="E50" s="165">
        <v>18</v>
      </c>
      <c r="F50" s="181">
        <v>1636</v>
      </c>
      <c r="G50" s="179">
        <v>90.888888888888886</v>
      </c>
      <c r="H50" s="413"/>
      <c r="I50" s="165">
        <f t="shared" si="12"/>
        <v>18</v>
      </c>
      <c r="J50" s="165">
        <f t="shared" si="13"/>
        <v>1374.4619798879983</v>
      </c>
      <c r="K50" s="179">
        <f t="shared" si="14"/>
        <v>76.358998882666569</v>
      </c>
      <c r="L50" s="413"/>
      <c r="M50" s="180">
        <f>RANK(K50, K$47:$K$61)</f>
        <v>4</v>
      </c>
      <c r="N50" s="401"/>
      <c r="O50" s="401"/>
      <c r="P50" s="165">
        <v>18</v>
      </c>
      <c r="Q50" s="165">
        <v>1356.4556962025317</v>
      </c>
      <c r="R50" s="165">
        <v>75.358649789029542</v>
      </c>
      <c r="S50" s="181">
        <f t="shared" si="15"/>
        <v>4</v>
      </c>
      <c r="T50" s="430"/>
      <c r="U50" s="165">
        <v>18</v>
      </c>
      <c r="V50" s="165">
        <v>1357.4025974025974</v>
      </c>
      <c r="W50" s="165">
        <v>75.411255411255411</v>
      </c>
      <c r="X50" s="181">
        <f t="shared" si="16"/>
        <v>5</v>
      </c>
      <c r="Y50" s="430"/>
      <c r="Z50" s="165">
        <v>18</v>
      </c>
      <c r="AA50" s="165">
        <v>1398.5294117647059</v>
      </c>
      <c r="AB50" s="165">
        <v>77.696078431372541</v>
      </c>
      <c r="AC50" s="181">
        <f t="shared" si="17"/>
        <v>4</v>
      </c>
      <c r="AD50" s="430"/>
      <c r="AE50" s="165">
        <v>18</v>
      </c>
      <c r="AF50" s="165">
        <v>1358.0000000000005</v>
      </c>
      <c r="AG50" s="165">
        <v>75.444444444444471</v>
      </c>
      <c r="AH50" s="181">
        <f t="shared" si="18"/>
        <v>5</v>
      </c>
      <c r="AI50" s="430"/>
      <c r="AJ50" s="165">
        <v>18</v>
      </c>
      <c r="AK50" s="165">
        <v>1422.4615384615381</v>
      </c>
      <c r="AL50" s="165">
        <v>79.025641025641008</v>
      </c>
      <c r="AM50" s="181">
        <f t="shared" si="19"/>
        <v>3</v>
      </c>
      <c r="AN50" s="430"/>
      <c r="AO50" s="165">
        <v>18</v>
      </c>
      <c r="AP50" s="165">
        <v>1375.3846153846155</v>
      </c>
      <c r="AQ50" s="165">
        <v>76.410256410256409</v>
      </c>
      <c r="AR50" s="181">
        <f t="shared" si="20"/>
        <v>5</v>
      </c>
      <c r="AS50" s="430"/>
      <c r="AT50" s="165">
        <v>18</v>
      </c>
      <c r="AU50" s="165">
        <v>1353</v>
      </c>
      <c r="AV50" s="165">
        <v>75.166666666666671</v>
      </c>
      <c r="AW50" s="181">
        <f t="shared" si="21"/>
        <v>5</v>
      </c>
      <c r="AX50" s="430"/>
    </row>
    <row r="51" spans="2:50">
      <c r="B51" s="400"/>
      <c r="C51" s="181">
        <v>5</v>
      </c>
      <c r="D51" s="196" t="s">
        <v>302</v>
      </c>
      <c r="E51" s="165">
        <v>22</v>
      </c>
      <c r="F51" s="181">
        <v>1636</v>
      </c>
      <c r="G51" s="179">
        <v>74.36363636363636</v>
      </c>
      <c r="H51" s="413"/>
      <c r="I51" s="165">
        <f t="shared" si="12"/>
        <v>20</v>
      </c>
      <c r="J51" s="165">
        <f t="shared" si="13"/>
        <v>1390.8496808893219</v>
      </c>
      <c r="K51" s="179">
        <f t="shared" si="14"/>
        <v>69.542484044466093</v>
      </c>
      <c r="L51" s="413"/>
      <c r="M51" s="180">
        <f>RANK(K51, K$47:$K$61)</f>
        <v>7</v>
      </c>
      <c r="N51" s="401"/>
      <c r="O51" s="401"/>
      <c r="P51" s="165">
        <v>20</v>
      </c>
      <c r="Q51" s="165">
        <v>1407.0731707317068</v>
      </c>
      <c r="R51" s="165">
        <v>70.353658536585343</v>
      </c>
      <c r="S51" s="181">
        <f t="shared" si="15"/>
        <v>8</v>
      </c>
      <c r="T51" s="430"/>
      <c r="U51" s="165">
        <v>20</v>
      </c>
      <c r="V51" s="165">
        <v>1355.0769230769233</v>
      </c>
      <c r="W51" s="165">
        <v>67.753846153846169</v>
      </c>
      <c r="X51" s="181">
        <f t="shared" si="16"/>
        <v>8</v>
      </c>
      <c r="Y51" s="430"/>
      <c r="Z51" s="165">
        <v>20</v>
      </c>
      <c r="AA51" s="165">
        <v>1384.5762711864404</v>
      </c>
      <c r="AB51" s="165">
        <v>69.22881355932202</v>
      </c>
      <c r="AC51" s="181">
        <f t="shared" si="17"/>
        <v>8</v>
      </c>
      <c r="AD51" s="430"/>
      <c r="AE51" s="165">
        <v>20</v>
      </c>
      <c r="AF51" s="165">
        <v>1392.4752475247517</v>
      </c>
      <c r="AG51" s="165">
        <v>69.623762376237579</v>
      </c>
      <c r="AH51" s="181">
        <f t="shared" si="18"/>
        <v>8</v>
      </c>
      <c r="AI51" s="430"/>
      <c r="AJ51" s="165">
        <v>20</v>
      </c>
      <c r="AK51" s="165">
        <v>1378.333333333333</v>
      </c>
      <c r="AL51" s="165">
        <v>68.916666666666657</v>
      </c>
      <c r="AM51" s="181">
        <f t="shared" si="19"/>
        <v>8</v>
      </c>
      <c r="AN51" s="430"/>
      <c r="AO51" s="165">
        <v>20</v>
      </c>
      <c r="AP51" s="165">
        <v>1402.7737226277372</v>
      </c>
      <c r="AQ51" s="165">
        <v>70.138686131386862</v>
      </c>
      <c r="AR51" s="181">
        <f t="shared" si="20"/>
        <v>8</v>
      </c>
      <c r="AS51" s="430"/>
      <c r="AT51" s="165">
        <v>20</v>
      </c>
      <c r="AU51" s="165">
        <v>1415.6390977443609</v>
      </c>
      <c r="AV51" s="165">
        <v>70.781954887218049</v>
      </c>
      <c r="AW51" s="181">
        <f t="shared" si="21"/>
        <v>8</v>
      </c>
      <c r="AX51" s="430"/>
    </row>
    <row r="52" spans="2:50">
      <c r="B52" s="400"/>
      <c r="C52" s="181">
        <v>6</v>
      </c>
      <c r="D52" s="196" t="s">
        <v>303</v>
      </c>
      <c r="E52" s="165">
        <v>18</v>
      </c>
      <c r="F52" s="181">
        <v>1636</v>
      </c>
      <c r="G52" s="179">
        <v>90.888888888888886</v>
      </c>
      <c r="H52" s="413"/>
      <c r="I52" s="165">
        <f t="shared" si="12"/>
        <v>18</v>
      </c>
      <c r="J52" s="165">
        <f t="shared" si="13"/>
        <v>1376.1041029795711</v>
      </c>
      <c r="K52" s="179">
        <f t="shared" si="14"/>
        <v>76.450227943309514</v>
      </c>
      <c r="L52" s="413"/>
      <c r="M52" s="180">
        <f>RANK(K52, K$47:$K$61)</f>
        <v>3</v>
      </c>
      <c r="N52" s="401"/>
      <c r="O52" s="401"/>
      <c r="P52" s="165">
        <v>18</v>
      </c>
      <c r="Q52" s="165">
        <v>1303.3636363636408</v>
      </c>
      <c r="R52" s="165">
        <v>72.409090909091162</v>
      </c>
      <c r="S52" s="181">
        <f t="shared" si="15"/>
        <v>7</v>
      </c>
      <c r="T52" s="430"/>
      <c r="U52" s="165">
        <v>18</v>
      </c>
      <c r="V52" s="165">
        <v>1375.3398058252424</v>
      </c>
      <c r="W52" s="165">
        <v>76.407766990291236</v>
      </c>
      <c r="X52" s="181">
        <f t="shared" si="16"/>
        <v>4</v>
      </c>
      <c r="Y52" s="430"/>
      <c r="Z52" s="165">
        <v>18</v>
      </c>
      <c r="AA52" s="165">
        <v>1384.4680851063831</v>
      </c>
      <c r="AB52" s="165">
        <v>76.914893617021278</v>
      </c>
      <c r="AC52" s="181">
        <f t="shared" si="17"/>
        <v>5</v>
      </c>
      <c r="AD52" s="430"/>
      <c r="AE52" s="165">
        <v>18</v>
      </c>
      <c r="AF52" s="165">
        <v>1425.1851851851848</v>
      </c>
      <c r="AG52" s="165">
        <v>79.176954732510268</v>
      </c>
      <c r="AH52" s="181">
        <f t="shared" si="18"/>
        <v>2</v>
      </c>
      <c r="AI52" s="430"/>
      <c r="AJ52" s="165">
        <v>18</v>
      </c>
      <c r="AK52" s="165">
        <v>1361.8750000000005</v>
      </c>
      <c r="AL52" s="165">
        <v>75.659722222222243</v>
      </c>
      <c r="AM52" s="181">
        <f t="shared" si="19"/>
        <v>5</v>
      </c>
      <c r="AN52" s="430"/>
      <c r="AO52" s="165">
        <v>18</v>
      </c>
      <c r="AP52" s="165">
        <v>1411.304347826087</v>
      </c>
      <c r="AQ52" s="165">
        <v>78.405797101449281</v>
      </c>
      <c r="AR52" s="181">
        <f t="shared" si="20"/>
        <v>3</v>
      </c>
      <c r="AS52" s="430"/>
      <c r="AT52" s="165">
        <v>18</v>
      </c>
      <c r="AU52" s="165">
        <v>1371.1926605504586</v>
      </c>
      <c r="AV52" s="165">
        <v>76.177370030581031</v>
      </c>
      <c r="AW52" s="181">
        <f t="shared" si="21"/>
        <v>4</v>
      </c>
      <c r="AX52" s="430"/>
    </row>
    <row r="53" spans="2:50">
      <c r="B53" s="400"/>
      <c r="C53" s="181">
        <v>7</v>
      </c>
      <c r="D53" s="196" t="s">
        <v>304</v>
      </c>
      <c r="E53" s="165">
        <v>14</v>
      </c>
      <c r="F53" s="181">
        <v>1500</v>
      </c>
      <c r="G53" s="179">
        <v>107.14285714285714</v>
      </c>
      <c r="H53" s="413"/>
      <c r="I53" s="165">
        <f t="shared" si="12"/>
        <v>8</v>
      </c>
      <c r="J53" s="165">
        <f t="shared" si="13"/>
        <v>1325.0420601499779</v>
      </c>
      <c r="K53" s="179">
        <f t="shared" si="14"/>
        <v>165.63025751874724</v>
      </c>
      <c r="L53" s="413"/>
      <c r="M53" s="180">
        <f>RANK(K53, K$47:$K$61)</f>
        <v>1</v>
      </c>
      <c r="N53" s="401"/>
      <c r="O53" s="401"/>
      <c r="P53" s="165">
        <v>8</v>
      </c>
      <c r="Q53" s="165">
        <v>1400.6250000000016</v>
      </c>
      <c r="R53" s="165">
        <v>175.0781250000002</v>
      </c>
      <c r="S53" s="181">
        <f t="shared" si="15"/>
        <v>1</v>
      </c>
      <c r="T53" s="430"/>
      <c r="U53" s="165">
        <v>8</v>
      </c>
      <c r="V53" s="165">
        <v>1395.4838709677433</v>
      </c>
      <c r="W53" s="165">
        <v>174.43548387096791</v>
      </c>
      <c r="X53" s="181">
        <f t="shared" si="16"/>
        <v>1</v>
      </c>
      <c r="Y53" s="430"/>
      <c r="Z53" s="165">
        <v>8</v>
      </c>
      <c r="AA53" s="165">
        <v>1360.0000000000007</v>
      </c>
      <c r="AB53" s="165">
        <v>170.00000000000009</v>
      </c>
      <c r="AC53" s="181">
        <f t="shared" si="17"/>
        <v>1</v>
      </c>
      <c r="AD53" s="430"/>
      <c r="AE53" s="165">
        <v>8</v>
      </c>
      <c r="AF53" s="165">
        <v>1144.1379310344837</v>
      </c>
      <c r="AG53" s="165">
        <v>143.01724137931046</v>
      </c>
      <c r="AH53" s="181">
        <f t="shared" si="18"/>
        <v>1</v>
      </c>
      <c r="AI53" s="430"/>
      <c r="AJ53" s="165">
        <v>8</v>
      </c>
      <c r="AK53" s="165">
        <v>1198.0000000000011</v>
      </c>
      <c r="AL53" s="165">
        <v>149.75000000000014</v>
      </c>
      <c r="AM53" s="181">
        <f t="shared" si="19"/>
        <v>1</v>
      </c>
      <c r="AN53" s="430"/>
      <c r="AO53" s="165">
        <v>8</v>
      </c>
      <c r="AP53" s="165">
        <v>1383.3333333333321</v>
      </c>
      <c r="AQ53" s="165">
        <v>172.91666666666652</v>
      </c>
      <c r="AR53" s="181">
        <f t="shared" si="20"/>
        <v>1</v>
      </c>
      <c r="AS53" s="430"/>
      <c r="AT53" s="165">
        <v>8</v>
      </c>
      <c r="AU53" s="165">
        <v>1393.7142857142844</v>
      </c>
      <c r="AV53" s="165">
        <v>174.21428571428555</v>
      </c>
      <c r="AW53" s="181">
        <f t="shared" si="21"/>
        <v>1</v>
      </c>
      <c r="AX53" s="430"/>
    </row>
    <row r="54" spans="2:50">
      <c r="B54" s="400"/>
      <c r="C54" s="181">
        <v>8</v>
      </c>
      <c r="D54" s="196" t="s">
        <v>306</v>
      </c>
      <c r="E54" s="165">
        <v>18</v>
      </c>
      <c r="F54" s="181">
        <v>1636</v>
      </c>
      <c r="G54" s="179">
        <v>90.888888888888886</v>
      </c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65">
        <v>18</v>
      </c>
      <c r="Q54" s="165">
        <v>1371.7815126050421</v>
      </c>
      <c r="R54" s="165">
        <v>76.210084033613441</v>
      </c>
      <c r="S54" s="181">
        <f t="shared" si="15"/>
        <v>3</v>
      </c>
      <c r="T54" s="430"/>
      <c r="U54" s="165">
        <v>18</v>
      </c>
      <c r="V54" s="165">
        <v>1399.44827586207</v>
      </c>
      <c r="W54" s="165">
        <v>77.74712643678167</v>
      </c>
      <c r="X54" s="181">
        <f t="shared" si="16"/>
        <v>3</v>
      </c>
      <c r="Y54" s="430"/>
      <c r="Z54" s="165">
        <v>15</v>
      </c>
      <c r="AA54" s="165">
        <v>1359.9681818181816</v>
      </c>
      <c r="AB54" s="165">
        <v>90.664545454545447</v>
      </c>
      <c r="AC54" s="181">
        <f t="shared" si="17"/>
        <v>2</v>
      </c>
      <c r="AD54" s="430"/>
      <c r="AE54" s="165">
        <v>18</v>
      </c>
      <c r="AF54" s="165">
        <v>1390.4068965517238</v>
      </c>
      <c r="AG54" s="165">
        <v>77.244827586206881</v>
      </c>
      <c r="AH54" s="181">
        <f t="shared" si="18"/>
        <v>4</v>
      </c>
      <c r="AI54" s="430"/>
      <c r="AJ54" s="165">
        <v>18</v>
      </c>
      <c r="AK54" s="165">
        <v>1405.2475247524746</v>
      </c>
      <c r="AL54" s="165">
        <v>78.069306930693031</v>
      </c>
      <c r="AM54" s="181">
        <f t="shared" si="19"/>
        <v>4</v>
      </c>
      <c r="AN54" s="430"/>
      <c r="AO54" s="165">
        <v>18</v>
      </c>
      <c r="AP54" s="165">
        <v>1385.9636363636357</v>
      </c>
      <c r="AQ54" s="165">
        <v>76.997979797979767</v>
      </c>
      <c r="AR54" s="181">
        <f t="shared" si="20"/>
        <v>4</v>
      </c>
      <c r="AS54" s="430"/>
      <c r="AT54" s="165">
        <v>18</v>
      </c>
      <c r="AU54" s="165">
        <v>1404.4993006993009</v>
      </c>
      <c r="AV54" s="165">
        <v>78.027738927738937</v>
      </c>
      <c r="AW54" s="181">
        <f t="shared" si="21"/>
        <v>3</v>
      </c>
      <c r="AX54" s="430"/>
    </row>
    <row r="55" spans="2:50">
      <c r="B55" s="400"/>
      <c r="C55" s="181">
        <v>9</v>
      </c>
      <c r="D55" s="196"/>
      <c r="E55" s="165"/>
      <c r="F55" s="181"/>
      <c r="G55" s="179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65"/>
      <c r="Q55" s="165"/>
      <c r="R55" s="165"/>
      <c r="S55" s="181" t="e">
        <f t="shared" si="15"/>
        <v>#N/A</v>
      </c>
      <c r="T55" s="430"/>
      <c r="U55" s="165"/>
      <c r="V55" s="165"/>
      <c r="W55" s="165"/>
      <c r="X55" s="181" t="e">
        <f t="shared" si="16"/>
        <v>#N/A</v>
      </c>
      <c r="Y55" s="430"/>
      <c r="Z55" s="165"/>
      <c r="AA55" s="165"/>
      <c r="AB55" s="165"/>
      <c r="AC55" s="181" t="e">
        <f t="shared" si="17"/>
        <v>#N/A</v>
      </c>
      <c r="AD55" s="430"/>
      <c r="AE55" s="165"/>
      <c r="AF55" s="165"/>
      <c r="AG55" s="165"/>
      <c r="AH55" s="181" t="e">
        <f t="shared" si="18"/>
        <v>#N/A</v>
      </c>
      <c r="AI55" s="430"/>
      <c r="AJ55" s="165"/>
      <c r="AK55" s="165"/>
      <c r="AL55" s="165"/>
      <c r="AM55" s="181" t="e">
        <f t="shared" si="19"/>
        <v>#N/A</v>
      </c>
      <c r="AN55" s="430"/>
      <c r="AO55" s="165"/>
      <c r="AP55" s="165"/>
      <c r="AQ55" s="165"/>
      <c r="AR55" s="181" t="e">
        <f t="shared" si="20"/>
        <v>#N/A</v>
      </c>
      <c r="AS55" s="430"/>
      <c r="AT55" s="165"/>
      <c r="AU55" s="165"/>
      <c r="AV55" s="165"/>
      <c r="AW55" s="181" t="e">
        <f t="shared" si="21"/>
        <v>#N/A</v>
      </c>
      <c r="AX55" s="430"/>
    </row>
    <row r="56" spans="2:50">
      <c r="B56" s="400"/>
      <c r="C56" s="181">
        <v>10</v>
      </c>
      <c r="D56" s="196"/>
      <c r="E56" s="165"/>
      <c r="F56" s="181"/>
      <c r="G56" s="179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65"/>
      <c r="Q56" s="165"/>
      <c r="R56" s="165"/>
      <c r="S56" s="181" t="e">
        <f t="shared" si="15"/>
        <v>#N/A</v>
      </c>
      <c r="T56" s="430"/>
      <c r="U56" s="165"/>
      <c r="V56" s="165"/>
      <c r="W56" s="165"/>
      <c r="X56" s="181" t="e">
        <f t="shared" si="16"/>
        <v>#N/A</v>
      </c>
      <c r="Y56" s="430"/>
      <c r="Z56" s="165"/>
      <c r="AA56" s="165"/>
      <c r="AB56" s="165"/>
      <c r="AC56" s="181" t="e">
        <f t="shared" si="17"/>
        <v>#N/A</v>
      </c>
      <c r="AD56" s="430"/>
      <c r="AE56" s="165"/>
      <c r="AF56" s="165"/>
      <c r="AG56" s="165"/>
      <c r="AH56" s="181" t="e">
        <f t="shared" si="18"/>
        <v>#N/A</v>
      </c>
      <c r="AI56" s="430"/>
      <c r="AJ56" s="165"/>
      <c r="AK56" s="165"/>
      <c r="AL56" s="165"/>
      <c r="AM56" s="181" t="e">
        <f t="shared" si="19"/>
        <v>#N/A</v>
      </c>
      <c r="AN56" s="430"/>
      <c r="AO56" s="165"/>
      <c r="AP56" s="165"/>
      <c r="AQ56" s="165"/>
      <c r="AR56" s="181" t="e">
        <f t="shared" si="20"/>
        <v>#N/A</v>
      </c>
      <c r="AS56" s="430"/>
      <c r="AT56" s="165"/>
      <c r="AU56" s="165"/>
      <c r="AV56" s="165"/>
      <c r="AW56" s="181" t="e">
        <f t="shared" si="21"/>
        <v>#N/A</v>
      </c>
      <c r="AX56" s="43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65"/>
      <c r="Q57" s="165"/>
      <c r="R57" s="165"/>
      <c r="S57" s="181" t="e">
        <f t="shared" si="15"/>
        <v>#N/A</v>
      </c>
      <c r="T57" s="430"/>
      <c r="U57" s="165"/>
      <c r="V57" s="165"/>
      <c r="W57" s="165"/>
      <c r="X57" s="181" t="e">
        <f t="shared" si="16"/>
        <v>#N/A</v>
      </c>
      <c r="Y57" s="430"/>
      <c r="Z57" s="165"/>
      <c r="AA57" s="165"/>
      <c r="AB57" s="165"/>
      <c r="AC57" s="181" t="e">
        <f t="shared" si="17"/>
        <v>#N/A</v>
      </c>
      <c r="AD57" s="430"/>
      <c r="AE57" s="165"/>
      <c r="AF57" s="165"/>
      <c r="AG57" s="165"/>
      <c r="AH57" s="181" t="e">
        <f t="shared" si="18"/>
        <v>#N/A</v>
      </c>
      <c r="AI57" s="430"/>
      <c r="AJ57" s="165"/>
      <c r="AK57" s="165"/>
      <c r="AL57" s="165"/>
      <c r="AM57" s="181" t="e">
        <f t="shared" si="19"/>
        <v>#N/A</v>
      </c>
      <c r="AN57" s="430"/>
      <c r="AO57" s="165"/>
      <c r="AP57" s="165"/>
      <c r="AQ57" s="165"/>
      <c r="AR57" s="181" t="e">
        <f t="shared" si="20"/>
        <v>#N/A</v>
      </c>
      <c r="AS57" s="430"/>
      <c r="AT57" s="165"/>
      <c r="AU57" s="165"/>
      <c r="AV57" s="165"/>
      <c r="AW57" s="181" t="e">
        <f t="shared" si="21"/>
        <v>#N/A</v>
      </c>
      <c r="AX57" s="43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65"/>
      <c r="Q58" s="165"/>
      <c r="R58" s="165"/>
      <c r="S58" s="181" t="e">
        <f t="shared" si="15"/>
        <v>#N/A</v>
      </c>
      <c r="T58" s="430"/>
      <c r="U58" s="165"/>
      <c r="V58" s="165"/>
      <c r="W58" s="165"/>
      <c r="X58" s="181" t="e">
        <f t="shared" si="16"/>
        <v>#N/A</v>
      </c>
      <c r="Y58" s="430"/>
      <c r="Z58" s="165"/>
      <c r="AA58" s="165"/>
      <c r="AB58" s="165"/>
      <c r="AC58" s="181" t="e">
        <f t="shared" si="17"/>
        <v>#N/A</v>
      </c>
      <c r="AD58" s="430"/>
      <c r="AE58" s="165"/>
      <c r="AF58" s="165"/>
      <c r="AG58" s="165"/>
      <c r="AH58" s="181" t="e">
        <f t="shared" si="18"/>
        <v>#N/A</v>
      </c>
      <c r="AI58" s="430"/>
      <c r="AJ58" s="165"/>
      <c r="AK58" s="165"/>
      <c r="AL58" s="165"/>
      <c r="AM58" s="181" t="e">
        <f t="shared" si="19"/>
        <v>#N/A</v>
      </c>
      <c r="AN58" s="430"/>
      <c r="AO58" s="165"/>
      <c r="AP58" s="165"/>
      <c r="AQ58" s="165"/>
      <c r="AR58" s="181" t="e">
        <f t="shared" si="20"/>
        <v>#N/A</v>
      </c>
      <c r="AS58" s="430"/>
      <c r="AT58" s="165"/>
      <c r="AU58" s="165"/>
      <c r="AV58" s="165"/>
      <c r="AW58" s="181" t="e">
        <f t="shared" si="21"/>
        <v>#N/A</v>
      </c>
      <c r="AX58" s="43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65"/>
      <c r="Q59" s="165"/>
      <c r="R59" s="165"/>
      <c r="S59" s="181" t="e">
        <f t="shared" si="15"/>
        <v>#N/A</v>
      </c>
      <c r="T59" s="430"/>
      <c r="U59" s="165"/>
      <c r="V59" s="165"/>
      <c r="W59" s="165"/>
      <c r="X59" s="181" t="e">
        <f t="shared" si="16"/>
        <v>#N/A</v>
      </c>
      <c r="Y59" s="430"/>
      <c r="Z59" s="165"/>
      <c r="AA59" s="165"/>
      <c r="AB59" s="165"/>
      <c r="AC59" s="181" t="e">
        <f t="shared" si="17"/>
        <v>#N/A</v>
      </c>
      <c r="AD59" s="430"/>
      <c r="AE59" s="165"/>
      <c r="AF59" s="165"/>
      <c r="AG59" s="165"/>
      <c r="AH59" s="181" t="e">
        <f t="shared" si="18"/>
        <v>#N/A</v>
      </c>
      <c r="AI59" s="430"/>
      <c r="AJ59" s="165"/>
      <c r="AK59" s="165"/>
      <c r="AL59" s="165"/>
      <c r="AM59" s="181" t="e">
        <f t="shared" si="19"/>
        <v>#N/A</v>
      </c>
      <c r="AN59" s="430"/>
      <c r="AO59" s="165"/>
      <c r="AP59" s="165"/>
      <c r="AQ59" s="165"/>
      <c r="AR59" s="181" t="e">
        <f t="shared" si="20"/>
        <v>#N/A</v>
      </c>
      <c r="AS59" s="430"/>
      <c r="AT59" s="165"/>
      <c r="AU59" s="165"/>
      <c r="AV59" s="165"/>
      <c r="AW59" s="181" t="e">
        <f t="shared" si="21"/>
        <v>#N/A</v>
      </c>
      <c r="AX59" s="43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65"/>
      <c r="Q60" s="165"/>
      <c r="R60" s="165"/>
      <c r="S60" s="181" t="e">
        <f t="shared" si="15"/>
        <v>#N/A</v>
      </c>
      <c r="T60" s="430"/>
      <c r="U60" s="165"/>
      <c r="V60" s="165"/>
      <c r="W60" s="165"/>
      <c r="X60" s="181" t="e">
        <f t="shared" si="16"/>
        <v>#N/A</v>
      </c>
      <c r="Y60" s="430"/>
      <c r="Z60" s="165"/>
      <c r="AA60" s="165"/>
      <c r="AB60" s="165"/>
      <c r="AC60" s="181" t="e">
        <f t="shared" si="17"/>
        <v>#N/A</v>
      </c>
      <c r="AD60" s="430"/>
      <c r="AE60" s="165"/>
      <c r="AF60" s="165"/>
      <c r="AG60" s="165"/>
      <c r="AH60" s="181" t="e">
        <f t="shared" si="18"/>
        <v>#N/A</v>
      </c>
      <c r="AI60" s="430"/>
      <c r="AJ60" s="165"/>
      <c r="AK60" s="165"/>
      <c r="AL60" s="165"/>
      <c r="AM60" s="181" t="e">
        <f t="shared" si="19"/>
        <v>#N/A</v>
      </c>
      <c r="AN60" s="430"/>
      <c r="AO60" s="165"/>
      <c r="AP60" s="165"/>
      <c r="AQ60" s="165"/>
      <c r="AR60" s="181" t="e">
        <f t="shared" si="20"/>
        <v>#N/A</v>
      </c>
      <c r="AS60" s="430"/>
      <c r="AT60" s="165"/>
      <c r="AU60" s="165"/>
      <c r="AV60" s="165"/>
      <c r="AW60" s="181" t="e">
        <f t="shared" si="21"/>
        <v>#N/A</v>
      </c>
      <c r="AX60" s="43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65"/>
      <c r="Q61" s="165"/>
      <c r="R61" s="165"/>
      <c r="S61" s="181" t="e">
        <f t="shared" si="15"/>
        <v>#N/A</v>
      </c>
      <c r="T61" s="430"/>
      <c r="U61" s="165"/>
      <c r="V61" s="165"/>
      <c r="W61" s="165"/>
      <c r="X61" s="181" t="e">
        <f t="shared" si="16"/>
        <v>#N/A</v>
      </c>
      <c r="Y61" s="430"/>
      <c r="Z61" s="165"/>
      <c r="AA61" s="165"/>
      <c r="AB61" s="165"/>
      <c r="AC61" s="181" t="e">
        <f t="shared" si="17"/>
        <v>#N/A</v>
      </c>
      <c r="AD61" s="430"/>
      <c r="AE61" s="165"/>
      <c r="AF61" s="165"/>
      <c r="AG61" s="165"/>
      <c r="AH61" s="181" t="e">
        <f t="shared" si="18"/>
        <v>#N/A</v>
      </c>
      <c r="AI61" s="430"/>
      <c r="AJ61" s="165"/>
      <c r="AK61" s="165"/>
      <c r="AL61" s="165"/>
      <c r="AM61" s="181" t="e">
        <f t="shared" si="19"/>
        <v>#N/A</v>
      </c>
      <c r="AN61" s="430"/>
      <c r="AO61" s="165"/>
      <c r="AP61" s="165"/>
      <c r="AQ61" s="165"/>
      <c r="AR61" s="181" t="e">
        <f t="shared" si="20"/>
        <v>#N/A</v>
      </c>
      <c r="AS61" s="430"/>
      <c r="AT61" s="165"/>
      <c r="AU61" s="165"/>
      <c r="AV61" s="165"/>
      <c r="AW61" s="181" t="e">
        <f t="shared" si="21"/>
        <v>#N/A</v>
      </c>
      <c r="AX61" s="430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01" t="s">
        <v>298</v>
      </c>
      <c r="C67" s="181">
        <v>1</v>
      </c>
      <c r="D67" s="196" t="s">
        <v>299</v>
      </c>
      <c r="E67" s="165">
        <v>19</v>
      </c>
      <c r="F67" s="181">
        <v>1636</v>
      </c>
      <c r="G67" s="179">
        <v>86.10526315789474</v>
      </c>
      <c r="H67" s="412">
        <f>AVERAGE(G67:G81)</f>
        <v>92.429922287894428</v>
      </c>
      <c r="I67" s="165">
        <f>AVERAGE(P67,U67,Z67,AE67,AJ67,AO67,AT67)</f>
        <v>19</v>
      </c>
      <c r="J67" s="165">
        <f>AVERAGE(Q67,V67,AA67,AF67,AK67,AP67,AU67)</f>
        <v>1380.8664077655194</v>
      </c>
      <c r="K67" s="179">
        <f>AVERAGE(R67,W67,AB67,AG67,AL67,AQ67,AV67)</f>
        <v>72.677179356079961</v>
      </c>
      <c r="L67" s="412">
        <f>IFERROR(AVERAGE(K67:K81),"-")</f>
        <v>81.570380712203161</v>
      </c>
      <c r="M67" s="180">
        <f>RANK(K67, K$67:$K$81)</f>
        <v>8</v>
      </c>
      <c r="N67" s="401"/>
      <c r="O67" s="401"/>
      <c r="P67" s="165">
        <v>19</v>
      </c>
      <c r="Q67" s="165">
        <v>1375.151515151515</v>
      </c>
      <c r="R67" s="165">
        <v>72.376395534290268</v>
      </c>
      <c r="S67" s="181">
        <f>RANK(R67, R$67:R$81)</f>
        <v>8</v>
      </c>
      <c r="T67" s="430">
        <f>AVERAGE(R67:R81)</f>
        <v>83.340079699935075</v>
      </c>
      <c r="U67" s="165">
        <v>19</v>
      </c>
      <c r="V67" s="165">
        <v>1403.4782608695652</v>
      </c>
      <c r="W67" s="165">
        <v>73.867276887871853</v>
      </c>
      <c r="X67" s="181">
        <f>RANK(W67, W$67:W$81)</f>
        <v>7</v>
      </c>
      <c r="Y67" s="430">
        <f>AVERAGE(W67:W81)</f>
        <v>83.365367519441847</v>
      </c>
      <c r="Z67" s="165">
        <v>19</v>
      </c>
      <c r="AA67" s="165">
        <v>1391.3333333333335</v>
      </c>
      <c r="AB67" s="165">
        <v>73.228070175438603</v>
      </c>
      <c r="AC67" s="181">
        <f>RANK(AB67, AB$67:AB$81)</f>
        <v>8</v>
      </c>
      <c r="AD67" s="430">
        <f>AVERAGE(AB67:AB81)</f>
        <v>81.622734197484377</v>
      </c>
      <c r="AE67" s="165">
        <v>19</v>
      </c>
      <c r="AF67" s="165">
        <v>1368.1578947368419</v>
      </c>
      <c r="AG67" s="165">
        <v>72.00831024930747</v>
      </c>
      <c r="AH67" s="181">
        <f>RANK(AG67, AG$67:AG$81)</f>
        <v>8</v>
      </c>
      <c r="AI67" s="430">
        <f>AVERAGE(AG67:AG81)</f>
        <v>78.807960353323452</v>
      </c>
      <c r="AJ67" s="165">
        <v>19</v>
      </c>
      <c r="AK67" s="165">
        <v>1366.5</v>
      </c>
      <c r="AL67" s="165">
        <v>71.921052631578945</v>
      </c>
      <c r="AM67" s="181">
        <f>RANK(AL67, AL$67:AL$81)</f>
        <v>8</v>
      </c>
      <c r="AN67" s="430">
        <f>AVERAGE(AL67:AL81)</f>
        <v>80.642031068440559</v>
      </c>
      <c r="AO67" s="165">
        <v>19</v>
      </c>
      <c r="AP67" s="165">
        <v>1372.3529411764705</v>
      </c>
      <c r="AQ67" s="165">
        <v>72.22910216718266</v>
      </c>
      <c r="AR67" s="181">
        <f>RANK(AQ67, AQ$67:AQ$81)</f>
        <v>8</v>
      </c>
      <c r="AS67" s="430">
        <f>AVERAGE(AQ67:AQ81)</f>
        <v>81.259245798755586</v>
      </c>
      <c r="AT67" s="165">
        <v>19</v>
      </c>
      <c r="AU67" s="165">
        <v>1389.090909090909</v>
      </c>
      <c r="AV67" s="165">
        <v>73.110047846889941</v>
      </c>
      <c r="AW67" s="181">
        <f>RANK(AV67, AV$67:AV$81)</f>
        <v>8</v>
      </c>
      <c r="AX67" s="430">
        <f>AVERAGE(AV67:AV81)</f>
        <v>81.955246348041243</v>
      </c>
    </row>
    <row r="68" spans="2:50">
      <c r="B68" s="400"/>
      <c r="C68" s="181">
        <v>2</v>
      </c>
      <c r="D68" s="196" t="s">
        <v>305</v>
      </c>
      <c r="E68" s="165">
        <v>19</v>
      </c>
      <c r="F68" s="181">
        <v>1440</v>
      </c>
      <c r="G68" s="179">
        <v>75.78947368421052</v>
      </c>
      <c r="H68" s="413"/>
      <c r="I68" s="165">
        <f t="shared" ref="I68:I73" si="22">AVERAGE(P68,U68,Z68,AE68,AJ68,AO68,AT68)</f>
        <v>17.714285714285715</v>
      </c>
      <c r="J68" s="165">
        <f t="shared" ref="J68:J73" si="23">AVERAGE(Q68,V68,AA68,AF68,AK68,AP68,AU68)</f>
        <v>1339.7690700697822</v>
      </c>
      <c r="K68" s="179">
        <f t="shared" ref="K68:K73" si="24">AVERAGE(R68,W68,AB68,AG68,AL68,AQ68,AV68)</f>
        <v>75.68691448018906</v>
      </c>
      <c r="L68" s="413"/>
      <c r="M68" s="180">
        <f>RANK(K68, K$67:$K$81)</f>
        <v>7</v>
      </c>
      <c r="N68" s="401"/>
      <c r="O68" s="401"/>
      <c r="P68" s="165">
        <v>17</v>
      </c>
      <c r="Q68" s="165">
        <v>1360.1280000000004</v>
      </c>
      <c r="R68" s="165">
        <v>80.007529411764722</v>
      </c>
      <c r="S68" s="181">
        <f t="shared" ref="S68:S81" si="25">RANK(R68, R$67:R$81)</f>
        <v>2</v>
      </c>
      <c r="T68" s="430"/>
      <c r="U68" s="165">
        <v>18</v>
      </c>
      <c r="V68" s="165">
        <v>1323.7006711409394</v>
      </c>
      <c r="W68" s="165">
        <v>73.538926174496638</v>
      </c>
      <c r="X68" s="181">
        <f t="shared" ref="X68:X81" si="26">RANK(W68, W$67:W$81)</f>
        <v>8</v>
      </c>
      <c r="Y68" s="430"/>
      <c r="Z68" s="165">
        <v>18</v>
      </c>
      <c r="AA68" s="165">
        <v>1367.6821192052978</v>
      </c>
      <c r="AB68" s="165">
        <v>75.982339955849881</v>
      </c>
      <c r="AC68" s="181">
        <f t="shared" ref="AC68:AC81" si="27">RANK(AB68, AB$67:AB$81)</f>
        <v>7</v>
      </c>
      <c r="AD68" s="430"/>
      <c r="AE68" s="165">
        <v>18</v>
      </c>
      <c r="AF68" s="165">
        <v>1329.5135135135133</v>
      </c>
      <c r="AG68" s="165">
        <v>73.861861861861854</v>
      </c>
      <c r="AH68" s="181">
        <f t="shared" ref="AH68:AH81" si="28">RANK(AG68, AG$67:AG$81)</f>
        <v>7</v>
      </c>
      <c r="AI68" s="430"/>
      <c r="AJ68" s="165">
        <v>17</v>
      </c>
      <c r="AK68" s="165">
        <v>1328.7234782608698</v>
      </c>
      <c r="AL68" s="165">
        <v>78.160204603580581</v>
      </c>
      <c r="AM68" s="181">
        <f t="shared" ref="AM68:AM81" si="29">RANK(AL68, AL$67:AL$81)</f>
        <v>3</v>
      </c>
      <c r="AN68" s="430"/>
      <c r="AO68" s="165">
        <v>18</v>
      </c>
      <c r="AP68" s="165">
        <v>1320.5239436619722</v>
      </c>
      <c r="AQ68" s="165">
        <v>73.362441314554019</v>
      </c>
      <c r="AR68" s="181">
        <f t="shared" ref="AR68:AR81" si="30">RANK(AQ68, AQ$67:AQ$81)</f>
        <v>7</v>
      </c>
      <c r="AS68" s="430"/>
      <c r="AT68" s="165">
        <v>18</v>
      </c>
      <c r="AU68" s="165">
        <v>1348.1117647058823</v>
      </c>
      <c r="AV68" s="165">
        <v>74.895098039215682</v>
      </c>
      <c r="AW68" s="181">
        <f t="shared" ref="AW68:AW81" si="31">RANK(AV68, AV$67:AV$81)</f>
        <v>7</v>
      </c>
      <c r="AX68" s="430"/>
    </row>
    <row r="69" spans="2:50">
      <c r="B69" s="400"/>
      <c r="C69" s="181">
        <v>3</v>
      </c>
      <c r="D69" s="196" t="s">
        <v>300</v>
      </c>
      <c r="E69" s="165">
        <v>17</v>
      </c>
      <c r="F69" s="181">
        <v>1636</v>
      </c>
      <c r="G69" s="179">
        <v>96.235294117647058</v>
      </c>
      <c r="H69" s="413"/>
      <c r="I69" s="165">
        <f t="shared" si="22"/>
        <v>18</v>
      </c>
      <c r="J69" s="165">
        <f t="shared" si="23"/>
        <v>1377.9690166640589</v>
      </c>
      <c r="K69" s="179">
        <f t="shared" si="24"/>
        <v>76.553834259114382</v>
      </c>
      <c r="L69" s="413"/>
      <c r="M69" s="180">
        <f>RANK(K69, K$67:$K$81)</f>
        <v>6</v>
      </c>
      <c r="N69" s="401"/>
      <c r="O69" s="401"/>
      <c r="P69" s="165">
        <v>18</v>
      </c>
      <c r="Q69" s="165">
        <v>1357.2500000000002</v>
      </c>
      <c r="R69" s="165">
        <v>75.402777777777786</v>
      </c>
      <c r="S69" s="181">
        <f t="shared" si="25"/>
        <v>7</v>
      </c>
      <c r="T69" s="430"/>
      <c r="U69" s="165">
        <v>18</v>
      </c>
      <c r="V69" s="165">
        <v>1415.097744360902</v>
      </c>
      <c r="W69" s="165">
        <v>78.61654135338344</v>
      </c>
      <c r="X69" s="181">
        <f t="shared" si="26"/>
        <v>3</v>
      </c>
      <c r="Y69" s="430"/>
      <c r="Z69" s="165">
        <v>18</v>
      </c>
      <c r="AA69" s="165">
        <v>1379.8089171974523</v>
      </c>
      <c r="AB69" s="165">
        <v>76.656050955414017</v>
      </c>
      <c r="AC69" s="181">
        <f t="shared" si="27"/>
        <v>6</v>
      </c>
      <c r="AD69" s="430"/>
      <c r="AE69" s="165">
        <v>18</v>
      </c>
      <c r="AF69" s="165">
        <v>1367.7165354330705</v>
      </c>
      <c r="AG69" s="165">
        <v>75.984251968503912</v>
      </c>
      <c r="AH69" s="181">
        <f t="shared" si="28"/>
        <v>3</v>
      </c>
      <c r="AI69" s="430"/>
      <c r="AJ69" s="165">
        <v>18</v>
      </c>
      <c r="AK69" s="165">
        <v>1401.6666666666663</v>
      </c>
      <c r="AL69" s="165">
        <v>77.870370370370352</v>
      </c>
      <c r="AM69" s="181">
        <f t="shared" si="29"/>
        <v>5</v>
      </c>
      <c r="AN69" s="430"/>
      <c r="AO69" s="165">
        <v>18</v>
      </c>
      <c r="AP69" s="165">
        <v>1365.5267175572519</v>
      </c>
      <c r="AQ69" s="165">
        <v>75.862595419847324</v>
      </c>
      <c r="AR69" s="181">
        <f t="shared" si="30"/>
        <v>6</v>
      </c>
      <c r="AS69" s="430"/>
      <c r="AT69" s="165">
        <v>18</v>
      </c>
      <c r="AU69" s="165">
        <v>1358.7165354330707</v>
      </c>
      <c r="AV69" s="165">
        <v>75.484251968503926</v>
      </c>
      <c r="AW69" s="181">
        <f t="shared" si="31"/>
        <v>6</v>
      </c>
      <c r="AX69" s="430"/>
    </row>
    <row r="70" spans="2:50">
      <c r="B70" s="400"/>
      <c r="C70" s="181">
        <v>4</v>
      </c>
      <c r="D70" s="196" t="s">
        <v>301</v>
      </c>
      <c r="E70" s="165">
        <v>18</v>
      </c>
      <c r="F70" s="181">
        <v>1636</v>
      </c>
      <c r="G70" s="179">
        <v>90.888888888888886</v>
      </c>
      <c r="H70" s="413"/>
      <c r="I70" s="165">
        <f t="shared" si="22"/>
        <v>18</v>
      </c>
      <c r="J70" s="165">
        <f t="shared" si="23"/>
        <v>1388.3549354508298</v>
      </c>
      <c r="K70" s="179">
        <f t="shared" si="24"/>
        <v>77.130829747268308</v>
      </c>
      <c r="L70" s="413"/>
      <c r="M70" s="180">
        <f>RANK(K70, K$67:$K$81)</f>
        <v>5</v>
      </c>
      <c r="N70" s="401"/>
      <c r="O70" s="401"/>
      <c r="P70" s="165">
        <v>18</v>
      </c>
      <c r="Q70" s="165">
        <v>1389.4285714285709</v>
      </c>
      <c r="R70" s="165">
        <v>77.190476190476161</v>
      </c>
      <c r="S70" s="181">
        <f t="shared" si="25"/>
        <v>4</v>
      </c>
      <c r="T70" s="430"/>
      <c r="U70" s="165">
        <v>18</v>
      </c>
      <c r="V70" s="165">
        <v>1417.714285714286</v>
      </c>
      <c r="W70" s="165">
        <v>78.761904761904773</v>
      </c>
      <c r="X70" s="181">
        <f t="shared" si="26"/>
        <v>2</v>
      </c>
      <c r="Y70" s="430"/>
      <c r="Z70" s="165">
        <v>18</v>
      </c>
      <c r="AA70" s="165">
        <v>1388.8235294117649</v>
      </c>
      <c r="AB70" s="165">
        <v>77.156862745098053</v>
      </c>
      <c r="AC70" s="181">
        <f t="shared" si="27"/>
        <v>4</v>
      </c>
      <c r="AD70" s="430"/>
      <c r="AE70" s="165">
        <v>18</v>
      </c>
      <c r="AF70" s="165">
        <v>1356.8421052631579</v>
      </c>
      <c r="AG70" s="165">
        <v>75.380116959064324</v>
      </c>
      <c r="AH70" s="181">
        <f t="shared" si="28"/>
        <v>6</v>
      </c>
      <c r="AI70" s="430"/>
      <c r="AJ70" s="165">
        <v>18</v>
      </c>
      <c r="AK70" s="165">
        <v>1363.0000000000002</v>
      </c>
      <c r="AL70" s="165">
        <v>75.722222222222229</v>
      </c>
      <c r="AM70" s="181">
        <f t="shared" si="29"/>
        <v>7</v>
      </c>
      <c r="AN70" s="430"/>
      <c r="AO70" s="165">
        <v>18</v>
      </c>
      <c r="AP70" s="165">
        <v>1409.9999999999993</v>
      </c>
      <c r="AQ70" s="165">
        <v>78.3333333333333</v>
      </c>
      <c r="AR70" s="181">
        <f t="shared" si="30"/>
        <v>4</v>
      </c>
      <c r="AS70" s="430"/>
      <c r="AT70" s="165">
        <v>18</v>
      </c>
      <c r="AU70" s="165">
        <v>1392.6760563380276</v>
      </c>
      <c r="AV70" s="165">
        <v>77.370892018779315</v>
      </c>
      <c r="AW70" s="181">
        <f t="shared" si="31"/>
        <v>4</v>
      </c>
      <c r="AX70" s="430"/>
    </row>
    <row r="71" spans="2:50">
      <c r="B71" s="400"/>
      <c r="C71" s="181">
        <v>5</v>
      </c>
      <c r="D71" s="196" t="s">
        <v>302</v>
      </c>
      <c r="E71" s="165">
        <v>22</v>
      </c>
      <c r="F71" s="181">
        <v>1636</v>
      </c>
      <c r="G71" s="179">
        <v>74.36363636363636</v>
      </c>
      <c r="H71" s="413"/>
      <c r="I71" s="165">
        <f t="shared" si="22"/>
        <v>20</v>
      </c>
      <c r="J71" s="165">
        <f t="shared" si="23"/>
        <v>1381.7154919227798</v>
      </c>
      <c r="K71" s="179">
        <f t="shared" si="24"/>
        <v>69.08577459613899</v>
      </c>
      <c r="L71" s="413"/>
      <c r="M71" s="180">
        <f>RANK(K71, K$67:$K$81)</f>
        <v>9</v>
      </c>
      <c r="N71" s="401"/>
      <c r="O71" s="401"/>
      <c r="P71" s="165">
        <v>20</v>
      </c>
      <c r="Q71" s="165">
        <v>1350.5000000000005</v>
      </c>
      <c r="R71" s="165">
        <v>67.52500000000002</v>
      </c>
      <c r="S71" s="181">
        <f t="shared" si="25"/>
        <v>9</v>
      </c>
      <c r="T71" s="430"/>
      <c r="U71" s="165">
        <v>20</v>
      </c>
      <c r="V71" s="165">
        <v>1393.2743362831859</v>
      </c>
      <c r="W71" s="165">
        <v>69.663716814159301</v>
      </c>
      <c r="X71" s="181">
        <f t="shared" si="26"/>
        <v>9</v>
      </c>
      <c r="Y71" s="430"/>
      <c r="Z71" s="165">
        <v>20</v>
      </c>
      <c r="AA71" s="165">
        <v>1367.3000000000002</v>
      </c>
      <c r="AB71" s="165">
        <v>68.365000000000009</v>
      </c>
      <c r="AC71" s="181">
        <f t="shared" si="27"/>
        <v>9</v>
      </c>
      <c r="AD71" s="430"/>
      <c r="AE71" s="165">
        <v>20</v>
      </c>
      <c r="AF71" s="165">
        <v>1390.3448275862067</v>
      </c>
      <c r="AG71" s="165">
        <v>69.517241379310335</v>
      </c>
      <c r="AH71" s="181">
        <f t="shared" si="28"/>
        <v>9</v>
      </c>
      <c r="AI71" s="430"/>
      <c r="AJ71" s="165">
        <v>20</v>
      </c>
      <c r="AK71" s="165">
        <v>1392.9032258064517</v>
      </c>
      <c r="AL71" s="165">
        <v>69.645161290322591</v>
      </c>
      <c r="AM71" s="181">
        <f t="shared" si="29"/>
        <v>9</v>
      </c>
      <c r="AN71" s="430"/>
      <c r="AO71" s="165">
        <v>20</v>
      </c>
      <c r="AP71" s="165">
        <v>1355.1219512195119</v>
      </c>
      <c r="AQ71" s="165">
        <v>67.75609756097559</v>
      </c>
      <c r="AR71" s="181">
        <f t="shared" si="30"/>
        <v>9</v>
      </c>
      <c r="AS71" s="430"/>
      <c r="AT71" s="165">
        <v>20</v>
      </c>
      <c r="AU71" s="165">
        <v>1422.5641025641028</v>
      </c>
      <c r="AV71" s="165">
        <v>71.128205128205138</v>
      </c>
      <c r="AW71" s="181">
        <f t="shared" si="31"/>
        <v>9</v>
      </c>
      <c r="AX71" s="430"/>
    </row>
    <row r="72" spans="2:50">
      <c r="B72" s="400"/>
      <c r="C72" s="181">
        <v>6</v>
      </c>
      <c r="D72" s="196" t="s">
        <v>303</v>
      </c>
      <c r="E72" s="165">
        <v>18</v>
      </c>
      <c r="F72" s="181">
        <v>1636</v>
      </c>
      <c r="G72" s="179">
        <v>90.888888888888886</v>
      </c>
      <c r="H72" s="413"/>
      <c r="I72" s="165">
        <f t="shared" si="22"/>
        <v>18</v>
      </c>
      <c r="J72" s="165">
        <f t="shared" si="23"/>
        <v>1389.493291678526</v>
      </c>
      <c r="K72" s="179">
        <f t="shared" si="24"/>
        <v>77.194071759918117</v>
      </c>
      <c r="L72" s="413"/>
      <c r="M72" s="180">
        <f>RANK(K72, K$67:$K$81)</f>
        <v>4</v>
      </c>
      <c r="N72" s="401"/>
      <c r="O72" s="401"/>
      <c r="P72" s="165">
        <v>18</v>
      </c>
      <c r="Q72" s="165">
        <v>1359.5604395604396</v>
      </c>
      <c r="R72" s="165">
        <v>75.531135531135533</v>
      </c>
      <c r="S72" s="181">
        <f t="shared" si="25"/>
        <v>6</v>
      </c>
      <c r="T72" s="430"/>
      <c r="U72" s="165">
        <v>18</v>
      </c>
      <c r="V72" s="165">
        <v>1364.4943820224719</v>
      </c>
      <c r="W72" s="165">
        <v>75.805243445692881</v>
      </c>
      <c r="X72" s="181">
        <f t="shared" si="26"/>
        <v>6</v>
      </c>
      <c r="Y72" s="430"/>
      <c r="Z72" s="165">
        <v>18</v>
      </c>
      <c r="AA72" s="165">
        <v>1413.3333333333328</v>
      </c>
      <c r="AB72" s="165">
        <v>78.518518518518491</v>
      </c>
      <c r="AC72" s="181">
        <f t="shared" si="27"/>
        <v>2</v>
      </c>
      <c r="AD72" s="430"/>
      <c r="AE72" s="165">
        <v>18</v>
      </c>
      <c r="AF72" s="165">
        <v>1362.9850746268655</v>
      </c>
      <c r="AG72" s="165">
        <v>75.721393034825866</v>
      </c>
      <c r="AH72" s="181">
        <f t="shared" si="28"/>
        <v>5</v>
      </c>
      <c r="AI72" s="430"/>
      <c r="AJ72" s="165">
        <v>18</v>
      </c>
      <c r="AK72" s="165">
        <v>1397.7464788732395</v>
      </c>
      <c r="AL72" s="165">
        <v>77.652582159624416</v>
      </c>
      <c r="AM72" s="181">
        <f t="shared" si="29"/>
        <v>6</v>
      </c>
      <c r="AN72" s="430"/>
      <c r="AO72" s="165">
        <v>18</v>
      </c>
      <c r="AP72" s="165">
        <v>1413.3333333333335</v>
      </c>
      <c r="AQ72" s="165">
        <v>78.518518518518533</v>
      </c>
      <c r="AR72" s="181">
        <f t="shared" si="30"/>
        <v>3</v>
      </c>
      <c r="AS72" s="430"/>
      <c r="AT72" s="165">
        <v>18</v>
      </c>
      <c r="AU72" s="165">
        <v>1414.9999999999995</v>
      </c>
      <c r="AV72" s="165">
        <v>78.611111111111086</v>
      </c>
      <c r="AW72" s="181">
        <f t="shared" si="31"/>
        <v>3</v>
      </c>
      <c r="AX72" s="430"/>
    </row>
    <row r="73" spans="2:50">
      <c r="B73" s="400"/>
      <c r="C73" s="181">
        <v>7</v>
      </c>
      <c r="D73" s="196" t="s">
        <v>304</v>
      </c>
      <c r="E73" s="165">
        <v>10</v>
      </c>
      <c r="F73" s="181">
        <v>1500</v>
      </c>
      <c r="G73" s="179">
        <v>150</v>
      </c>
      <c r="H73" s="413"/>
      <c r="I73" s="165">
        <f t="shared" si="22"/>
        <v>8.7142857142857135</v>
      </c>
      <c r="J73" s="165">
        <f t="shared" si="23"/>
        <v>1318.6395441893721</v>
      </c>
      <c r="K73" s="179">
        <f t="shared" si="24"/>
        <v>151.91732262626405</v>
      </c>
      <c r="L73" s="413"/>
      <c r="M73" s="180">
        <f>RANK(K73, K$67:$K$81)</f>
        <v>1</v>
      </c>
      <c r="N73" s="401"/>
      <c r="O73" s="401"/>
      <c r="P73" s="165">
        <v>8</v>
      </c>
      <c r="Q73" s="165">
        <v>1364.5161290322594</v>
      </c>
      <c r="R73" s="165">
        <v>170.56451612903243</v>
      </c>
      <c r="S73" s="181">
        <f t="shared" si="25"/>
        <v>1</v>
      </c>
      <c r="T73" s="430"/>
      <c r="U73" s="165">
        <v>8</v>
      </c>
      <c r="V73" s="165">
        <v>1358.0000000000014</v>
      </c>
      <c r="W73" s="165">
        <v>169.75000000000017</v>
      </c>
      <c r="X73" s="181">
        <f t="shared" si="26"/>
        <v>1</v>
      </c>
      <c r="Y73" s="430"/>
      <c r="Z73" s="165">
        <v>9</v>
      </c>
      <c r="AA73" s="165">
        <v>1360.0000000000007</v>
      </c>
      <c r="AB73" s="165">
        <v>151.1111111111112</v>
      </c>
      <c r="AC73" s="181">
        <f t="shared" si="27"/>
        <v>1</v>
      </c>
      <c r="AD73" s="430"/>
      <c r="AE73" s="165">
        <v>9</v>
      </c>
      <c r="AF73" s="165">
        <v>1195.3846153846162</v>
      </c>
      <c r="AG73" s="165">
        <v>132.8205128205129</v>
      </c>
      <c r="AH73" s="181">
        <f t="shared" si="28"/>
        <v>1</v>
      </c>
      <c r="AI73" s="430"/>
      <c r="AJ73" s="165">
        <v>9</v>
      </c>
      <c r="AK73" s="165">
        <v>1185.5172413793114</v>
      </c>
      <c r="AL73" s="165">
        <v>131.72413793103459</v>
      </c>
      <c r="AM73" s="181">
        <f t="shared" si="29"/>
        <v>1</v>
      </c>
      <c r="AN73" s="430"/>
      <c r="AO73" s="165">
        <v>9</v>
      </c>
      <c r="AP73" s="165">
        <v>1385.2941176470606</v>
      </c>
      <c r="AQ73" s="165">
        <v>153.92156862745117</v>
      </c>
      <c r="AR73" s="181">
        <f t="shared" si="30"/>
        <v>1</v>
      </c>
      <c r="AS73" s="430"/>
      <c r="AT73" s="165">
        <v>9</v>
      </c>
      <c r="AU73" s="165">
        <v>1381.7647058823547</v>
      </c>
      <c r="AV73" s="165">
        <v>153.52941176470608</v>
      </c>
      <c r="AW73" s="181">
        <f t="shared" si="31"/>
        <v>1</v>
      </c>
      <c r="AX73" s="430"/>
    </row>
    <row r="74" spans="2:50">
      <c r="B74" s="400"/>
      <c r="C74" s="181">
        <v>8</v>
      </c>
      <c r="D74" s="196" t="s">
        <v>306</v>
      </c>
      <c r="E74" s="165">
        <v>18</v>
      </c>
      <c r="F74" s="181">
        <v>1636</v>
      </c>
      <c r="G74" s="179">
        <v>90.888888888888886</v>
      </c>
      <c r="H74" s="413"/>
      <c r="I74" s="165">
        <f t="shared" ref="I74:K76" si="32">AVERAGE(P74,U74,Z74,AE74,AJ74,AO74,AT74)</f>
        <v>18</v>
      </c>
      <c r="J74" s="165">
        <f t="shared" si="32"/>
        <v>1399.5250558367011</v>
      </c>
      <c r="K74" s="179">
        <f t="shared" si="32"/>
        <v>77.751391990927843</v>
      </c>
      <c r="L74" s="413"/>
      <c r="M74" s="180">
        <f>RANK(K74, K$67:$K$81)</f>
        <v>3</v>
      </c>
      <c r="N74" s="401"/>
      <c r="O74" s="401"/>
      <c r="P74" s="165">
        <v>18</v>
      </c>
      <c r="Q74" s="165">
        <v>1376</v>
      </c>
      <c r="R74" s="165">
        <v>76.444444444444443</v>
      </c>
      <c r="S74" s="181">
        <f t="shared" si="25"/>
        <v>5</v>
      </c>
      <c r="T74" s="430"/>
      <c r="U74" s="165">
        <v>18</v>
      </c>
      <c r="V74" s="165">
        <v>1411.6981132075468</v>
      </c>
      <c r="W74" s="165">
        <v>78.427672955974828</v>
      </c>
      <c r="X74" s="181">
        <f t="shared" si="26"/>
        <v>4</v>
      </c>
      <c r="Y74" s="430"/>
      <c r="Z74" s="165">
        <v>18</v>
      </c>
      <c r="AA74" s="165">
        <v>1397.8536585365857</v>
      </c>
      <c r="AB74" s="165">
        <v>77.65853658536588</v>
      </c>
      <c r="AC74" s="181">
        <f t="shared" si="27"/>
        <v>3</v>
      </c>
      <c r="AD74" s="430"/>
      <c r="AE74" s="165">
        <v>18</v>
      </c>
      <c r="AF74" s="165">
        <v>1420.8622641509437</v>
      </c>
      <c r="AG74" s="165">
        <v>78.936792452830204</v>
      </c>
      <c r="AH74" s="181">
        <f t="shared" si="28"/>
        <v>2</v>
      </c>
      <c r="AI74" s="430"/>
      <c r="AJ74" s="165">
        <v>18</v>
      </c>
      <c r="AK74" s="165">
        <v>1405.6488549618323</v>
      </c>
      <c r="AL74" s="165">
        <v>78.091603053435122</v>
      </c>
      <c r="AM74" s="181">
        <f t="shared" si="29"/>
        <v>4</v>
      </c>
      <c r="AN74" s="430"/>
      <c r="AO74" s="165">
        <v>18</v>
      </c>
      <c r="AP74" s="165">
        <v>1395.9874999999997</v>
      </c>
      <c r="AQ74" s="165">
        <v>77.554861111111094</v>
      </c>
      <c r="AR74" s="181">
        <f t="shared" si="30"/>
        <v>5</v>
      </c>
      <c r="AS74" s="430"/>
      <c r="AT74" s="165">
        <v>18</v>
      </c>
      <c r="AU74" s="165">
        <v>1388.6250000000005</v>
      </c>
      <c r="AV74" s="165">
        <v>77.145833333333357</v>
      </c>
      <c r="AW74" s="181">
        <f t="shared" si="31"/>
        <v>5</v>
      </c>
      <c r="AX74" s="430"/>
    </row>
    <row r="75" spans="2:50">
      <c r="B75" s="400"/>
      <c r="C75" s="181">
        <v>9</v>
      </c>
      <c r="D75" s="196" t="s">
        <v>307</v>
      </c>
      <c r="E75" s="165">
        <v>18</v>
      </c>
      <c r="F75" s="181">
        <v>1636</v>
      </c>
      <c r="G75" s="179">
        <v>90.888888888888886</v>
      </c>
      <c r="H75" s="413"/>
      <c r="I75" s="165">
        <f t="shared" si="32"/>
        <v>17.714285714285715</v>
      </c>
      <c r="J75" s="165">
        <f t="shared" si="32"/>
        <v>1391.9920685388483</v>
      </c>
      <c r="K75" s="179">
        <f t="shared" si="32"/>
        <v>78.679511054090611</v>
      </c>
      <c r="L75" s="413"/>
      <c r="M75" s="180">
        <f>RANK(K75, K$67:$K$81)</f>
        <v>2</v>
      </c>
      <c r="N75" s="401"/>
      <c r="O75" s="401"/>
      <c r="P75" s="165">
        <v>18</v>
      </c>
      <c r="Q75" s="165">
        <v>1392.4390243902435</v>
      </c>
      <c r="R75" s="165">
        <v>77.357723577235745</v>
      </c>
      <c r="S75" s="181">
        <f t="shared" si="25"/>
        <v>3</v>
      </c>
      <c r="T75" s="430"/>
      <c r="U75" s="165">
        <v>18</v>
      </c>
      <c r="V75" s="165">
        <v>1402.9367088607589</v>
      </c>
      <c r="W75" s="165">
        <v>77.940928270042164</v>
      </c>
      <c r="X75" s="181">
        <f t="shared" si="26"/>
        <v>5</v>
      </c>
      <c r="Y75" s="430"/>
      <c r="Z75" s="165">
        <v>18</v>
      </c>
      <c r="AA75" s="165">
        <v>1384.8591549295777</v>
      </c>
      <c r="AB75" s="165">
        <v>76.936619718309871</v>
      </c>
      <c r="AC75" s="181">
        <f t="shared" si="27"/>
        <v>5</v>
      </c>
      <c r="AD75" s="430"/>
      <c r="AE75" s="165">
        <v>18</v>
      </c>
      <c r="AF75" s="165">
        <v>1366.8000000000004</v>
      </c>
      <c r="AG75" s="165">
        <v>75.933333333333351</v>
      </c>
      <c r="AH75" s="181">
        <f t="shared" si="28"/>
        <v>4</v>
      </c>
      <c r="AI75" s="430"/>
      <c r="AJ75" s="165">
        <v>16</v>
      </c>
      <c r="AK75" s="165">
        <v>1357.391304347826</v>
      </c>
      <c r="AL75" s="165">
        <v>84.836956521739125</v>
      </c>
      <c r="AM75" s="181">
        <f t="shared" si="29"/>
        <v>2</v>
      </c>
      <c r="AN75" s="430"/>
      <c r="AO75" s="165">
        <v>18</v>
      </c>
      <c r="AP75" s="165">
        <v>1423.7288135593215</v>
      </c>
      <c r="AQ75" s="165">
        <v>79.096045197740082</v>
      </c>
      <c r="AR75" s="181">
        <f t="shared" si="30"/>
        <v>2</v>
      </c>
      <c r="AS75" s="430"/>
      <c r="AT75" s="165">
        <v>18</v>
      </c>
      <c r="AU75" s="165">
        <v>1415.7894736842115</v>
      </c>
      <c r="AV75" s="165">
        <v>78.654970760233979</v>
      </c>
      <c r="AW75" s="181">
        <f t="shared" si="31"/>
        <v>2</v>
      </c>
      <c r="AX75" s="430"/>
    </row>
    <row r="76" spans="2:50">
      <c r="B76" s="400"/>
      <c r="C76" s="181">
        <v>10</v>
      </c>
      <c r="D76" s="196" t="s">
        <v>308</v>
      </c>
      <c r="E76" s="165">
        <v>20</v>
      </c>
      <c r="F76" s="181">
        <v>1565</v>
      </c>
      <c r="G76" s="179">
        <v>78.25</v>
      </c>
      <c r="H76" s="413"/>
      <c r="I76" s="165">
        <f t="shared" si="32"/>
        <v>18.428571428571427</v>
      </c>
      <c r="J76" s="165">
        <f t="shared" si="32"/>
        <v>1086.936326071213</v>
      </c>
      <c r="K76" s="179">
        <f t="shared" si="32"/>
        <v>59.026977252040254</v>
      </c>
      <c r="L76" s="413"/>
      <c r="M76" s="180">
        <f>RANK(K76, K$67:$K$81)</f>
        <v>10</v>
      </c>
      <c r="N76" s="401"/>
      <c r="O76" s="401"/>
      <c r="P76" s="165">
        <v>18</v>
      </c>
      <c r="Q76" s="165">
        <v>1098.0143712574845</v>
      </c>
      <c r="R76" s="165">
        <v>61.000798403193585</v>
      </c>
      <c r="S76" s="181">
        <f t="shared" si="25"/>
        <v>10</v>
      </c>
      <c r="T76" s="430"/>
      <c r="U76" s="165">
        <v>19</v>
      </c>
      <c r="V76" s="165">
        <v>1088.3478260869567</v>
      </c>
      <c r="W76" s="165">
        <v>57.281464530892457</v>
      </c>
      <c r="X76" s="181">
        <f t="shared" si="26"/>
        <v>10</v>
      </c>
      <c r="Y76" s="430"/>
      <c r="Z76" s="165">
        <v>18</v>
      </c>
      <c r="AA76" s="165">
        <v>1091.056179775281</v>
      </c>
      <c r="AB76" s="165">
        <v>60.614232209737828</v>
      </c>
      <c r="AC76" s="181">
        <f t="shared" si="27"/>
        <v>10</v>
      </c>
      <c r="AD76" s="430"/>
      <c r="AE76" s="165">
        <v>19</v>
      </c>
      <c r="AF76" s="165">
        <v>1100.4000000000003</v>
      </c>
      <c r="AG76" s="165">
        <v>57.915789473684228</v>
      </c>
      <c r="AH76" s="181">
        <f t="shared" si="28"/>
        <v>10</v>
      </c>
      <c r="AI76" s="430"/>
      <c r="AJ76" s="165">
        <v>18</v>
      </c>
      <c r="AK76" s="165">
        <v>1094.3283582089566</v>
      </c>
      <c r="AL76" s="165">
        <v>60.796019900497591</v>
      </c>
      <c r="AM76" s="181">
        <f t="shared" si="29"/>
        <v>10</v>
      </c>
      <c r="AN76" s="430"/>
      <c r="AO76" s="165">
        <v>19</v>
      </c>
      <c r="AP76" s="165">
        <v>1063.2000000000003</v>
      </c>
      <c r="AQ76" s="165">
        <v>55.957894736842121</v>
      </c>
      <c r="AR76" s="181">
        <f t="shared" si="30"/>
        <v>10</v>
      </c>
      <c r="AS76" s="430"/>
      <c r="AT76" s="165">
        <v>18</v>
      </c>
      <c r="AU76" s="165">
        <v>1073.207547169812</v>
      </c>
      <c r="AV76" s="165">
        <v>59.622641509433997</v>
      </c>
      <c r="AW76" s="181">
        <f t="shared" si="31"/>
        <v>10</v>
      </c>
      <c r="AX76" s="430"/>
    </row>
    <row r="77" spans="2:50">
      <c r="B77" s="400"/>
      <c r="C77" s="181">
        <v>11</v>
      </c>
      <c r="D77" s="196"/>
      <c r="E77" s="165"/>
      <c r="F77" s="181"/>
      <c r="G77" s="179"/>
      <c r="H77" s="413"/>
      <c r="I77" s="181"/>
      <c r="J77" s="181"/>
      <c r="K77" s="181"/>
      <c r="L77" s="413"/>
      <c r="M77" s="180" t="e">
        <f>RANK(K77, K$67:$K$81)</f>
        <v>#N/A</v>
      </c>
      <c r="N77" s="401"/>
      <c r="O77" s="401"/>
      <c r="P77" s="165"/>
      <c r="Q77" s="165"/>
      <c r="R77" s="165"/>
      <c r="S77" s="181" t="e">
        <f t="shared" si="25"/>
        <v>#N/A</v>
      </c>
      <c r="T77" s="430"/>
      <c r="U77" s="165"/>
      <c r="V77" s="165"/>
      <c r="W77" s="165"/>
      <c r="X77" s="181" t="e">
        <f t="shared" si="26"/>
        <v>#N/A</v>
      </c>
      <c r="Y77" s="430"/>
      <c r="Z77" s="165"/>
      <c r="AA77" s="165"/>
      <c r="AB77" s="165"/>
      <c r="AC77" s="181" t="e">
        <f t="shared" si="27"/>
        <v>#N/A</v>
      </c>
      <c r="AD77" s="430"/>
      <c r="AE77" s="165"/>
      <c r="AF77" s="165"/>
      <c r="AG77" s="165"/>
      <c r="AH77" s="181" t="e">
        <f t="shared" si="28"/>
        <v>#N/A</v>
      </c>
      <c r="AI77" s="430"/>
      <c r="AJ77" s="165"/>
      <c r="AK77" s="165"/>
      <c r="AL77" s="165"/>
      <c r="AM77" s="181" t="e">
        <f t="shared" si="29"/>
        <v>#N/A</v>
      </c>
      <c r="AN77" s="430"/>
      <c r="AO77" s="165"/>
      <c r="AP77" s="165"/>
      <c r="AQ77" s="165"/>
      <c r="AR77" s="181" t="e">
        <f t="shared" si="30"/>
        <v>#N/A</v>
      </c>
      <c r="AS77" s="430"/>
      <c r="AT77" s="165"/>
      <c r="AU77" s="165"/>
      <c r="AV77" s="165"/>
      <c r="AW77" s="181" t="e">
        <f t="shared" si="31"/>
        <v>#N/A</v>
      </c>
      <c r="AX77" s="43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65"/>
      <c r="Q78" s="165"/>
      <c r="R78" s="165"/>
      <c r="S78" s="181" t="e">
        <f t="shared" si="25"/>
        <v>#N/A</v>
      </c>
      <c r="T78" s="430"/>
      <c r="U78" s="165"/>
      <c r="V78" s="165"/>
      <c r="W78" s="165"/>
      <c r="X78" s="181" t="e">
        <f t="shared" si="26"/>
        <v>#N/A</v>
      </c>
      <c r="Y78" s="430"/>
      <c r="Z78" s="165"/>
      <c r="AA78" s="165"/>
      <c r="AB78" s="165"/>
      <c r="AC78" s="181" t="e">
        <f t="shared" si="27"/>
        <v>#N/A</v>
      </c>
      <c r="AD78" s="430"/>
      <c r="AE78" s="165"/>
      <c r="AF78" s="165"/>
      <c r="AG78" s="165"/>
      <c r="AH78" s="181" t="e">
        <f t="shared" si="28"/>
        <v>#N/A</v>
      </c>
      <c r="AI78" s="430"/>
      <c r="AJ78" s="165"/>
      <c r="AK78" s="165"/>
      <c r="AL78" s="165"/>
      <c r="AM78" s="181" t="e">
        <f t="shared" si="29"/>
        <v>#N/A</v>
      </c>
      <c r="AN78" s="430"/>
      <c r="AO78" s="165"/>
      <c r="AP78" s="165"/>
      <c r="AQ78" s="165"/>
      <c r="AR78" s="181" t="e">
        <f t="shared" si="30"/>
        <v>#N/A</v>
      </c>
      <c r="AS78" s="430"/>
      <c r="AT78" s="165"/>
      <c r="AU78" s="165"/>
      <c r="AV78" s="165"/>
      <c r="AW78" s="181" t="e">
        <f t="shared" si="31"/>
        <v>#N/A</v>
      </c>
      <c r="AX78" s="43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65"/>
      <c r="Q79" s="165"/>
      <c r="R79" s="165"/>
      <c r="S79" s="181" t="e">
        <f t="shared" si="25"/>
        <v>#N/A</v>
      </c>
      <c r="T79" s="430"/>
      <c r="U79" s="165"/>
      <c r="V79" s="165"/>
      <c r="W79" s="165"/>
      <c r="X79" s="181" t="e">
        <f t="shared" si="26"/>
        <v>#N/A</v>
      </c>
      <c r="Y79" s="430"/>
      <c r="Z79" s="165"/>
      <c r="AA79" s="165"/>
      <c r="AB79" s="165"/>
      <c r="AC79" s="181" t="e">
        <f t="shared" si="27"/>
        <v>#N/A</v>
      </c>
      <c r="AD79" s="430"/>
      <c r="AE79" s="165"/>
      <c r="AF79" s="165"/>
      <c r="AG79" s="165"/>
      <c r="AH79" s="181" t="e">
        <f t="shared" si="28"/>
        <v>#N/A</v>
      </c>
      <c r="AI79" s="430"/>
      <c r="AJ79" s="165"/>
      <c r="AK79" s="165"/>
      <c r="AL79" s="165"/>
      <c r="AM79" s="181" t="e">
        <f t="shared" si="29"/>
        <v>#N/A</v>
      </c>
      <c r="AN79" s="430"/>
      <c r="AO79" s="165"/>
      <c r="AP79" s="165"/>
      <c r="AQ79" s="165"/>
      <c r="AR79" s="181" t="e">
        <f t="shared" si="30"/>
        <v>#N/A</v>
      </c>
      <c r="AS79" s="430"/>
      <c r="AT79" s="165"/>
      <c r="AU79" s="165"/>
      <c r="AV79" s="165"/>
      <c r="AW79" s="181" t="e">
        <f t="shared" si="31"/>
        <v>#N/A</v>
      </c>
      <c r="AX79" s="43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65"/>
      <c r="Q80" s="165"/>
      <c r="R80" s="165"/>
      <c r="S80" s="181" t="e">
        <f t="shared" si="25"/>
        <v>#N/A</v>
      </c>
      <c r="T80" s="430"/>
      <c r="U80" s="165"/>
      <c r="V80" s="165"/>
      <c r="W80" s="165"/>
      <c r="X80" s="181" t="e">
        <f t="shared" si="26"/>
        <v>#N/A</v>
      </c>
      <c r="Y80" s="430"/>
      <c r="Z80" s="165"/>
      <c r="AA80" s="165"/>
      <c r="AB80" s="165"/>
      <c r="AC80" s="181" t="e">
        <f t="shared" si="27"/>
        <v>#N/A</v>
      </c>
      <c r="AD80" s="430"/>
      <c r="AE80" s="165"/>
      <c r="AF80" s="165"/>
      <c r="AG80" s="165"/>
      <c r="AH80" s="181" t="e">
        <f t="shared" si="28"/>
        <v>#N/A</v>
      </c>
      <c r="AI80" s="430"/>
      <c r="AJ80" s="165"/>
      <c r="AK80" s="165"/>
      <c r="AL80" s="165"/>
      <c r="AM80" s="181" t="e">
        <f t="shared" si="29"/>
        <v>#N/A</v>
      </c>
      <c r="AN80" s="430"/>
      <c r="AO80" s="165"/>
      <c r="AP80" s="165"/>
      <c r="AQ80" s="165"/>
      <c r="AR80" s="181" t="e">
        <f t="shared" si="30"/>
        <v>#N/A</v>
      </c>
      <c r="AS80" s="430"/>
      <c r="AT80" s="165"/>
      <c r="AU80" s="165"/>
      <c r="AV80" s="165"/>
      <c r="AW80" s="181" t="e">
        <f t="shared" si="31"/>
        <v>#N/A</v>
      </c>
      <c r="AX80" s="43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65"/>
      <c r="Q81" s="165"/>
      <c r="R81" s="165"/>
      <c r="S81" s="181" t="e">
        <f t="shared" si="25"/>
        <v>#N/A</v>
      </c>
      <c r="T81" s="430"/>
      <c r="U81" s="165"/>
      <c r="V81" s="165"/>
      <c r="W81" s="165"/>
      <c r="X81" s="181" t="e">
        <f t="shared" si="26"/>
        <v>#N/A</v>
      </c>
      <c r="Y81" s="430"/>
      <c r="Z81" s="165"/>
      <c r="AA81" s="165"/>
      <c r="AB81" s="165"/>
      <c r="AC81" s="181" t="e">
        <f t="shared" si="27"/>
        <v>#N/A</v>
      </c>
      <c r="AD81" s="430"/>
      <c r="AE81" s="165"/>
      <c r="AF81" s="165"/>
      <c r="AG81" s="165"/>
      <c r="AH81" s="181" t="e">
        <f t="shared" si="28"/>
        <v>#N/A</v>
      </c>
      <c r="AI81" s="430"/>
      <c r="AJ81" s="165"/>
      <c r="AK81" s="165"/>
      <c r="AL81" s="165"/>
      <c r="AM81" s="181" t="e">
        <f t="shared" si="29"/>
        <v>#N/A</v>
      </c>
      <c r="AN81" s="430"/>
      <c r="AO81" s="165"/>
      <c r="AP81" s="165"/>
      <c r="AQ81" s="165"/>
      <c r="AR81" s="181" t="e">
        <f t="shared" si="30"/>
        <v>#N/A</v>
      </c>
      <c r="AS81" s="430"/>
      <c r="AT81" s="165"/>
      <c r="AU81" s="165"/>
      <c r="AV81" s="165"/>
      <c r="AW81" s="181" t="e">
        <f t="shared" si="31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01" t="s">
        <v>298</v>
      </c>
      <c r="C87" s="181">
        <v>1</v>
      </c>
      <c r="D87" s="196" t="s">
        <v>299</v>
      </c>
      <c r="E87" s="165">
        <v>19</v>
      </c>
      <c r="F87" s="181">
        <v>1636</v>
      </c>
      <c r="G87" s="179">
        <v>86.10526315789474</v>
      </c>
      <c r="H87" s="412">
        <f>AVERAGE(G87:G101)</f>
        <v>92.429922287894428</v>
      </c>
      <c r="I87" s="165">
        <f>AVERAGE(P87,U87,Z87,AE87,AJ87,AO87,AT87)</f>
        <v>19</v>
      </c>
      <c r="J87" s="165">
        <f>AVERAGE(Q87,V87,AA87,AF87,AK87,AP87,AU87)</f>
        <v>1386.0377374627171</v>
      </c>
      <c r="K87" s="179">
        <f>AVERAGE(R87,W87,AB87,AG87,AL87,AQ87,AV87)</f>
        <v>72.94935460330089</v>
      </c>
      <c r="L87" s="412">
        <f>IFERROR(AVERAGE(K87:K101),"-")</f>
        <v>81.348236004611664</v>
      </c>
      <c r="M87" s="180">
        <f>RANK(K87, K$87:$K$101)</f>
        <v>8</v>
      </c>
      <c r="N87" s="401"/>
      <c r="O87" s="401"/>
      <c r="P87" s="165">
        <v>19</v>
      </c>
      <c r="Q87" s="165">
        <v>1394.9999999999998</v>
      </c>
      <c r="R87" s="165">
        <v>73.421052631578931</v>
      </c>
      <c r="S87" s="181">
        <f>RANK(R87, R$87:R$101)</f>
        <v>8</v>
      </c>
      <c r="T87" s="430">
        <f>AVERAGE(R87:R101)</f>
        <v>81.501654347465973</v>
      </c>
      <c r="U87" s="165">
        <v>19</v>
      </c>
      <c r="V87" s="165">
        <v>1398.9130434782608</v>
      </c>
      <c r="W87" s="165">
        <v>73.627002288329507</v>
      </c>
      <c r="X87" s="181">
        <f>RANK(W87, W$87:W$101)</f>
        <v>8</v>
      </c>
      <c r="Y87" s="430">
        <f>AVERAGE(W87:W101)</f>
        <v>83.766206747991049</v>
      </c>
      <c r="Z87" s="165">
        <v>19</v>
      </c>
      <c r="AA87" s="165">
        <v>1356.2637362637363</v>
      </c>
      <c r="AB87" s="165">
        <v>71.382301908617706</v>
      </c>
      <c r="AC87" s="181">
        <f>RANK(AB87, AB$87:AB$101)</f>
        <v>8</v>
      </c>
      <c r="AD87" s="430">
        <f>AVERAGE(AB87:AB101)</f>
        <v>81.017146939304325</v>
      </c>
      <c r="AE87" s="165">
        <v>19</v>
      </c>
      <c r="AF87" s="165">
        <v>1396.2857142857144</v>
      </c>
      <c r="AG87" s="165">
        <v>73.488721804511286</v>
      </c>
      <c r="AH87" s="181">
        <f>RANK(AG87, AG$87:AG$101)</f>
        <v>8</v>
      </c>
      <c r="AI87" s="430">
        <f>AVERAGE(AG87:AG101)</f>
        <v>80.936782975068283</v>
      </c>
      <c r="AJ87" s="165">
        <v>19</v>
      </c>
      <c r="AK87" s="165">
        <v>1374.6153846153845</v>
      </c>
      <c r="AL87" s="165">
        <v>72.348178137651814</v>
      </c>
      <c r="AM87" s="181">
        <f>RANK(AL87, AL$87:AL$101)</f>
        <v>8</v>
      </c>
      <c r="AN87" s="430">
        <f>AVERAGE(AL87:AL101)</f>
        <v>79.952768933140248</v>
      </c>
      <c r="AO87" s="165">
        <v>19</v>
      </c>
      <c r="AP87" s="165">
        <v>1373.4939759036147</v>
      </c>
      <c r="AQ87" s="165">
        <v>72.289156626506042</v>
      </c>
      <c r="AR87" s="181">
        <f>RANK(AQ87, AQ$87:AQ$101)</f>
        <v>8</v>
      </c>
      <c r="AS87" s="430">
        <f>AVERAGE(AQ87:AQ101)</f>
        <v>80.266814192677927</v>
      </c>
      <c r="AT87" s="165">
        <v>19</v>
      </c>
      <c r="AU87" s="165">
        <v>1407.6923076923078</v>
      </c>
      <c r="AV87" s="165">
        <v>74.089068825910942</v>
      </c>
      <c r="AW87" s="181">
        <f>RANK(AV87, AV$87:AV$101)</f>
        <v>7</v>
      </c>
      <c r="AX87" s="430">
        <f>AVERAGE(AV87:AV101)</f>
        <v>81.996277896633785</v>
      </c>
    </row>
    <row r="88" spans="2:50">
      <c r="B88" s="400"/>
      <c r="C88" s="181">
        <v>2</v>
      </c>
      <c r="D88" s="196" t="s">
        <v>305</v>
      </c>
      <c r="E88" s="165">
        <v>19</v>
      </c>
      <c r="F88" s="181">
        <v>1440</v>
      </c>
      <c r="G88" s="179">
        <v>75.78947368421052</v>
      </c>
      <c r="H88" s="413"/>
      <c r="I88" s="165">
        <f t="shared" ref="I88:K93" si="33">AVERAGE(P88,U88,Z88,AE88,AJ88,AO88,AT88)</f>
        <v>18</v>
      </c>
      <c r="J88" s="165">
        <f t="shared" si="33"/>
        <v>1346.6757326865447</v>
      </c>
      <c r="K88" s="179">
        <f t="shared" si="33"/>
        <v>74.815318482585809</v>
      </c>
      <c r="L88" s="413"/>
      <c r="M88" s="180">
        <f>RANK(K88, K$87:$K$101)</f>
        <v>7</v>
      </c>
      <c r="N88" s="401"/>
      <c r="O88" s="401"/>
      <c r="P88" s="165">
        <v>18</v>
      </c>
      <c r="Q88" s="165">
        <v>1354.722580645162</v>
      </c>
      <c r="R88" s="165">
        <v>75.262365591397895</v>
      </c>
      <c r="S88" s="181">
        <f t="shared" ref="S88:S101" si="34">RANK(R88, R$87:R$101)</f>
        <v>7</v>
      </c>
      <c r="T88" s="430"/>
      <c r="U88" s="165">
        <v>18</v>
      </c>
      <c r="V88" s="165">
        <v>1371.8181818181818</v>
      </c>
      <c r="W88" s="165">
        <v>76.212121212121204</v>
      </c>
      <c r="X88" s="181">
        <f t="shared" ref="X88:X101" si="35">RANK(W88, W$87:W$101)</f>
        <v>7</v>
      </c>
      <c r="Y88" s="430"/>
      <c r="Z88" s="165">
        <v>18</v>
      </c>
      <c r="AA88" s="165">
        <v>1372.9846153846154</v>
      </c>
      <c r="AB88" s="165">
        <v>76.276923076923083</v>
      </c>
      <c r="AC88" s="181">
        <f t="shared" ref="AC88:AC101" si="36">RANK(AB88, AB$87:AB$101)</f>
        <v>5</v>
      </c>
      <c r="AD88" s="430"/>
      <c r="AE88" s="165">
        <v>18</v>
      </c>
      <c r="AF88" s="165">
        <v>1332.0000000000002</v>
      </c>
      <c r="AG88" s="165">
        <v>74.000000000000014</v>
      </c>
      <c r="AH88" s="181">
        <f t="shared" ref="AH88:AH101" si="37">RANK(AG88, AG$87:AG$101)</f>
        <v>7</v>
      </c>
      <c r="AI88" s="430"/>
      <c r="AJ88" s="165">
        <v>18</v>
      </c>
      <c r="AK88" s="165">
        <v>1354.7999999999995</v>
      </c>
      <c r="AL88" s="165">
        <v>75.266666666666637</v>
      </c>
      <c r="AM88" s="181">
        <f t="shared" ref="AM88:AM101" si="38">RANK(AL88, AL$87:AL$101)</f>
        <v>7</v>
      </c>
      <c r="AN88" s="430"/>
      <c r="AO88" s="165">
        <v>18</v>
      </c>
      <c r="AP88" s="165">
        <v>1313.2758620689656</v>
      </c>
      <c r="AQ88" s="165">
        <v>72.959770114942529</v>
      </c>
      <c r="AR88" s="181">
        <f t="shared" ref="AR88:AR101" si="39">RANK(AQ88, AQ$87:AQ$101)</f>
        <v>7</v>
      </c>
      <c r="AS88" s="430"/>
      <c r="AT88" s="165">
        <v>18</v>
      </c>
      <c r="AU88" s="165">
        <v>1327.1288888888889</v>
      </c>
      <c r="AV88" s="165">
        <v>73.729382716049386</v>
      </c>
      <c r="AW88" s="181">
        <f t="shared" ref="AW88:AW101" si="40">RANK(AV88, AV$87:AV$101)</f>
        <v>8</v>
      </c>
      <c r="AX88" s="430"/>
    </row>
    <row r="89" spans="2:50">
      <c r="B89" s="400"/>
      <c r="C89" s="181">
        <v>3</v>
      </c>
      <c r="D89" s="196" t="s">
        <v>300</v>
      </c>
      <c r="E89" s="165">
        <v>17</v>
      </c>
      <c r="F89" s="181">
        <v>1636</v>
      </c>
      <c r="G89" s="179">
        <v>96.235294117647058</v>
      </c>
      <c r="H89" s="413"/>
      <c r="I89" s="165">
        <f t="shared" si="33"/>
        <v>18</v>
      </c>
      <c r="J89" s="165">
        <f t="shared" si="33"/>
        <v>1406.1735013603786</v>
      </c>
      <c r="K89" s="179">
        <f t="shared" si="33"/>
        <v>78.120750075576581</v>
      </c>
      <c r="L89" s="413"/>
      <c r="M89" s="180">
        <f>RANK(K89, K$87:$K$101)</f>
        <v>2</v>
      </c>
      <c r="N89" s="401"/>
      <c r="O89" s="401"/>
      <c r="P89" s="165">
        <v>18</v>
      </c>
      <c r="Q89" s="165">
        <v>1415.9076923076918</v>
      </c>
      <c r="R89" s="165">
        <v>78.661538461538441</v>
      </c>
      <c r="S89" s="181">
        <f t="shared" si="34"/>
        <v>2</v>
      </c>
      <c r="T89" s="430"/>
      <c r="U89" s="165">
        <v>18</v>
      </c>
      <c r="V89" s="165">
        <v>1426.9465648854962</v>
      </c>
      <c r="W89" s="165">
        <v>79.274809160305338</v>
      </c>
      <c r="X89" s="181">
        <f t="shared" si="35"/>
        <v>2</v>
      </c>
      <c r="Y89" s="430"/>
      <c r="Z89" s="165">
        <v>18</v>
      </c>
      <c r="AA89" s="165">
        <v>1415.6811188811191</v>
      </c>
      <c r="AB89" s="165">
        <v>78.648951048951062</v>
      </c>
      <c r="AC89" s="181">
        <f t="shared" si="36"/>
        <v>3</v>
      </c>
      <c r="AD89" s="430"/>
      <c r="AE89" s="165">
        <v>18</v>
      </c>
      <c r="AF89" s="165">
        <v>1401.818181818182</v>
      </c>
      <c r="AG89" s="165">
        <v>77.87878787878789</v>
      </c>
      <c r="AH89" s="181">
        <f t="shared" si="37"/>
        <v>3</v>
      </c>
      <c r="AI89" s="430"/>
      <c r="AJ89" s="165">
        <v>18</v>
      </c>
      <c r="AK89" s="165">
        <v>1390.4651162790694</v>
      </c>
      <c r="AL89" s="165">
        <v>77.248062015503862</v>
      </c>
      <c r="AM89" s="181">
        <f t="shared" si="38"/>
        <v>3</v>
      </c>
      <c r="AN89" s="430"/>
      <c r="AO89" s="165">
        <v>18</v>
      </c>
      <c r="AP89" s="165">
        <v>1407.0644067796611</v>
      </c>
      <c r="AQ89" s="165">
        <v>78.170244821092282</v>
      </c>
      <c r="AR89" s="181">
        <f t="shared" si="39"/>
        <v>3</v>
      </c>
      <c r="AS89" s="430"/>
      <c r="AT89" s="165">
        <v>18</v>
      </c>
      <c r="AU89" s="165">
        <v>1385.3314285714289</v>
      </c>
      <c r="AV89" s="165">
        <v>76.96285714285716</v>
      </c>
      <c r="AW89" s="181">
        <f t="shared" si="40"/>
        <v>3</v>
      </c>
      <c r="AX89" s="430"/>
    </row>
    <row r="90" spans="2:50">
      <c r="B90" s="400"/>
      <c r="C90" s="181">
        <v>4</v>
      </c>
      <c r="D90" s="196" t="s">
        <v>301</v>
      </c>
      <c r="E90" s="165">
        <v>18</v>
      </c>
      <c r="F90" s="181">
        <v>1636</v>
      </c>
      <c r="G90" s="179">
        <v>90.888888888888886</v>
      </c>
      <c r="H90" s="413"/>
      <c r="I90" s="165">
        <f t="shared" si="33"/>
        <v>18</v>
      </c>
      <c r="J90" s="165">
        <f t="shared" si="33"/>
        <v>1383.058670219963</v>
      </c>
      <c r="K90" s="179">
        <f t="shared" si="33"/>
        <v>76.836592789997937</v>
      </c>
      <c r="L90" s="413"/>
      <c r="M90" s="180">
        <f>RANK(K90, K$87:$K$101)</f>
        <v>4</v>
      </c>
      <c r="N90" s="401"/>
      <c r="O90" s="401"/>
      <c r="P90" s="165">
        <v>18</v>
      </c>
      <c r="Q90" s="165">
        <v>1384.1666666666661</v>
      </c>
      <c r="R90" s="165">
        <v>76.89814814814811</v>
      </c>
      <c r="S90" s="181">
        <f t="shared" si="34"/>
        <v>5</v>
      </c>
      <c r="T90" s="430"/>
      <c r="U90" s="165">
        <v>18</v>
      </c>
      <c r="V90" s="165">
        <v>1408.7323943661975</v>
      </c>
      <c r="W90" s="165">
        <v>78.262910798122078</v>
      </c>
      <c r="X90" s="181">
        <f t="shared" si="35"/>
        <v>4</v>
      </c>
      <c r="Y90" s="430"/>
      <c r="Z90" s="165">
        <v>18</v>
      </c>
      <c r="AA90" s="165">
        <v>1356.7741935483866</v>
      </c>
      <c r="AB90" s="165">
        <v>75.376344086021476</v>
      </c>
      <c r="AC90" s="181">
        <f t="shared" si="36"/>
        <v>7</v>
      </c>
      <c r="AD90" s="430"/>
      <c r="AE90" s="165">
        <v>18</v>
      </c>
      <c r="AF90" s="165">
        <v>1387.2000000000005</v>
      </c>
      <c r="AG90" s="165">
        <v>77.066666666666691</v>
      </c>
      <c r="AH90" s="181">
        <f t="shared" si="37"/>
        <v>4</v>
      </c>
      <c r="AI90" s="430"/>
      <c r="AJ90" s="165">
        <v>18</v>
      </c>
      <c r="AK90" s="165">
        <v>1394.181818181818</v>
      </c>
      <c r="AL90" s="165">
        <v>77.454545454545439</v>
      </c>
      <c r="AM90" s="181">
        <f t="shared" si="38"/>
        <v>2</v>
      </c>
      <c r="AN90" s="430"/>
      <c r="AO90" s="165">
        <v>18</v>
      </c>
      <c r="AP90" s="165">
        <v>1376.8421052631579</v>
      </c>
      <c r="AQ90" s="165">
        <v>76.491228070175438</v>
      </c>
      <c r="AR90" s="181">
        <f t="shared" si="39"/>
        <v>4</v>
      </c>
      <c r="AS90" s="430"/>
      <c r="AT90" s="165">
        <v>18</v>
      </c>
      <c r="AU90" s="165">
        <v>1373.5135135135133</v>
      </c>
      <c r="AV90" s="165">
        <v>76.306306306306297</v>
      </c>
      <c r="AW90" s="181">
        <f t="shared" si="40"/>
        <v>4</v>
      </c>
      <c r="AX90" s="430"/>
    </row>
    <row r="91" spans="2:50">
      <c r="B91" s="400"/>
      <c r="C91" s="181">
        <v>5</v>
      </c>
      <c r="D91" s="196" t="s">
        <v>302</v>
      </c>
      <c r="E91" s="165">
        <v>22</v>
      </c>
      <c r="F91" s="181">
        <v>1636</v>
      </c>
      <c r="G91" s="179">
        <v>74.36363636363636</v>
      </c>
      <c r="H91" s="413"/>
      <c r="I91" s="165">
        <f t="shared" si="33"/>
        <v>21</v>
      </c>
      <c r="J91" s="165">
        <f t="shared" si="33"/>
        <v>1386.0176971998646</v>
      </c>
      <c r="K91" s="179">
        <f t="shared" si="33"/>
        <v>66.000842723803075</v>
      </c>
      <c r="L91" s="413"/>
      <c r="M91" s="180">
        <f>RANK(K91, K$87:$K$101)</f>
        <v>9</v>
      </c>
      <c r="N91" s="401"/>
      <c r="O91" s="401"/>
      <c r="P91" s="165">
        <v>21</v>
      </c>
      <c r="Q91" s="165">
        <v>1402.3636363636363</v>
      </c>
      <c r="R91" s="165">
        <v>66.779220779220779</v>
      </c>
      <c r="S91" s="181">
        <f t="shared" si="34"/>
        <v>9</v>
      </c>
      <c r="T91" s="430"/>
      <c r="U91" s="165">
        <v>21</v>
      </c>
      <c r="V91" s="165">
        <v>1356.7567567567567</v>
      </c>
      <c r="W91" s="165">
        <v>64.607464607464607</v>
      </c>
      <c r="X91" s="181">
        <f t="shared" si="35"/>
        <v>9</v>
      </c>
      <c r="Y91" s="430"/>
      <c r="Z91" s="165">
        <v>21</v>
      </c>
      <c r="AA91" s="165">
        <v>1390.105263157895</v>
      </c>
      <c r="AB91" s="165">
        <v>66.195488721804523</v>
      </c>
      <c r="AC91" s="181">
        <f t="shared" si="36"/>
        <v>9</v>
      </c>
      <c r="AD91" s="430"/>
      <c r="AE91" s="165">
        <v>21</v>
      </c>
      <c r="AF91" s="165">
        <v>1395.949367088607</v>
      </c>
      <c r="AG91" s="165">
        <v>66.473779385171767</v>
      </c>
      <c r="AH91" s="181">
        <f t="shared" si="37"/>
        <v>9</v>
      </c>
      <c r="AI91" s="430"/>
      <c r="AJ91" s="165">
        <v>21</v>
      </c>
      <c r="AK91" s="165">
        <v>1385.5172413793102</v>
      </c>
      <c r="AL91" s="165">
        <v>65.977011494252864</v>
      </c>
      <c r="AM91" s="181">
        <f t="shared" si="38"/>
        <v>9</v>
      </c>
      <c r="AN91" s="430"/>
      <c r="AO91" s="165">
        <v>21</v>
      </c>
      <c r="AP91" s="165">
        <v>1400.2247191011236</v>
      </c>
      <c r="AQ91" s="165">
        <v>66.677367576243981</v>
      </c>
      <c r="AR91" s="181">
        <f t="shared" si="39"/>
        <v>9</v>
      </c>
      <c r="AS91" s="430"/>
      <c r="AT91" s="165">
        <v>21</v>
      </c>
      <c r="AU91" s="165">
        <v>1371.2068965517242</v>
      </c>
      <c r="AV91" s="165">
        <v>65.29556650246306</v>
      </c>
      <c r="AW91" s="181">
        <f t="shared" si="40"/>
        <v>9</v>
      </c>
      <c r="AX91" s="430"/>
    </row>
    <row r="92" spans="2:50">
      <c r="B92" s="400"/>
      <c r="C92" s="181">
        <v>6</v>
      </c>
      <c r="D92" s="196" t="s">
        <v>303</v>
      </c>
      <c r="E92" s="165">
        <v>18</v>
      </c>
      <c r="F92" s="181">
        <v>1636</v>
      </c>
      <c r="G92" s="179">
        <v>90.888888888888886</v>
      </c>
      <c r="H92" s="413"/>
      <c r="I92" s="165">
        <f t="shared" si="33"/>
        <v>18</v>
      </c>
      <c r="J92" s="165">
        <f t="shared" si="33"/>
        <v>1377.1441640044379</v>
      </c>
      <c r="K92" s="179">
        <f t="shared" si="33"/>
        <v>76.508009111357666</v>
      </c>
      <c r="L92" s="413"/>
      <c r="M92" s="180">
        <f>RANK(K92, K$87:$K$101)</f>
        <v>6</v>
      </c>
      <c r="N92" s="401"/>
      <c r="O92" s="401"/>
      <c r="P92" s="165">
        <v>18</v>
      </c>
      <c r="Q92" s="165">
        <v>1386.9230769230776</v>
      </c>
      <c r="R92" s="165">
        <v>77.051282051282087</v>
      </c>
      <c r="S92" s="181">
        <f t="shared" si="34"/>
        <v>4</v>
      </c>
      <c r="T92" s="430"/>
      <c r="U92" s="165">
        <v>18</v>
      </c>
      <c r="V92" s="165">
        <v>1390.6849315068496</v>
      </c>
      <c r="W92" s="165">
        <v>77.260273972602761</v>
      </c>
      <c r="X92" s="181">
        <f t="shared" si="35"/>
        <v>5</v>
      </c>
      <c r="Y92" s="430"/>
      <c r="Z92" s="165">
        <v>18</v>
      </c>
      <c r="AA92" s="165">
        <v>1410.4615384615381</v>
      </c>
      <c r="AB92" s="165">
        <v>78.358974358974336</v>
      </c>
      <c r="AC92" s="181">
        <f t="shared" si="36"/>
        <v>4</v>
      </c>
      <c r="AD92" s="430"/>
      <c r="AE92" s="165">
        <v>18</v>
      </c>
      <c r="AF92" s="165">
        <v>1362.6666666666667</v>
      </c>
      <c r="AG92" s="165">
        <v>75.703703703703709</v>
      </c>
      <c r="AH92" s="181">
        <f t="shared" si="37"/>
        <v>6</v>
      </c>
      <c r="AI92" s="430"/>
      <c r="AJ92" s="165">
        <v>18</v>
      </c>
      <c r="AK92" s="165">
        <v>1370.7692307692305</v>
      </c>
      <c r="AL92" s="165">
        <v>76.153846153846132</v>
      </c>
      <c r="AM92" s="181">
        <f t="shared" si="38"/>
        <v>4</v>
      </c>
      <c r="AN92" s="430"/>
      <c r="AO92" s="165">
        <v>18</v>
      </c>
      <c r="AP92" s="165">
        <v>1354.7999999999995</v>
      </c>
      <c r="AQ92" s="165">
        <v>75.266666666666637</v>
      </c>
      <c r="AR92" s="181">
        <f t="shared" si="39"/>
        <v>6</v>
      </c>
      <c r="AS92" s="430"/>
      <c r="AT92" s="165">
        <v>18</v>
      </c>
      <c r="AU92" s="165">
        <v>1363.7037037037032</v>
      </c>
      <c r="AV92" s="165">
        <v>75.761316872427955</v>
      </c>
      <c r="AW92" s="181">
        <f t="shared" si="40"/>
        <v>5</v>
      </c>
      <c r="AX92" s="430"/>
    </row>
    <row r="93" spans="2:50">
      <c r="B93" s="400"/>
      <c r="C93" s="181">
        <v>7</v>
      </c>
      <c r="D93" s="196" t="s">
        <v>304</v>
      </c>
      <c r="E93" s="165">
        <v>10</v>
      </c>
      <c r="F93" s="181">
        <v>1500</v>
      </c>
      <c r="G93" s="179">
        <v>150</v>
      </c>
      <c r="H93" s="413"/>
      <c r="I93" s="165">
        <f t="shared" si="33"/>
        <v>8.1428571428571423</v>
      </c>
      <c r="J93" s="165">
        <f t="shared" si="33"/>
        <v>1264.1037202249461</v>
      </c>
      <c r="K93" s="179">
        <f t="shared" si="33"/>
        <v>155.30771051251892</v>
      </c>
      <c r="L93" s="413"/>
      <c r="M93" s="180">
        <f>RANK(K93, K$87:$K$101)</f>
        <v>1</v>
      </c>
      <c r="N93" s="401"/>
      <c r="O93" s="401"/>
      <c r="P93" s="165">
        <v>9</v>
      </c>
      <c r="Q93" s="165">
        <v>1363.44827586207</v>
      </c>
      <c r="R93" s="165">
        <v>151.49425287356334</v>
      </c>
      <c r="S93" s="181">
        <f t="shared" si="34"/>
        <v>1</v>
      </c>
      <c r="T93" s="430"/>
      <c r="U93" s="165">
        <v>8</v>
      </c>
      <c r="V93" s="165">
        <v>1377.857142857144</v>
      </c>
      <c r="W93" s="165">
        <v>172.232142857143</v>
      </c>
      <c r="X93" s="181">
        <f t="shared" si="35"/>
        <v>1</v>
      </c>
      <c r="Y93" s="430"/>
      <c r="Z93" s="165">
        <v>8</v>
      </c>
      <c r="AA93" s="165">
        <v>1193.5714285714294</v>
      </c>
      <c r="AB93" s="165">
        <v>149.19642857142867</v>
      </c>
      <c r="AC93" s="181">
        <f t="shared" si="36"/>
        <v>1</v>
      </c>
      <c r="AD93" s="430"/>
      <c r="AE93" s="165">
        <v>8</v>
      </c>
      <c r="AF93" s="165">
        <v>1179.9999999999995</v>
      </c>
      <c r="AG93" s="165">
        <v>147.49999999999994</v>
      </c>
      <c r="AH93" s="181">
        <f t="shared" si="37"/>
        <v>1</v>
      </c>
      <c r="AI93" s="430"/>
      <c r="AJ93" s="165">
        <v>8</v>
      </c>
      <c r="AK93" s="165">
        <v>1166.0869565217392</v>
      </c>
      <c r="AL93" s="165">
        <v>145.7608695652174</v>
      </c>
      <c r="AM93" s="181">
        <f t="shared" si="38"/>
        <v>1</v>
      </c>
      <c r="AN93" s="430"/>
      <c r="AO93" s="165">
        <v>8</v>
      </c>
      <c r="AP93" s="165">
        <v>1202.3076923076931</v>
      </c>
      <c r="AQ93" s="165">
        <v>150.28846153846163</v>
      </c>
      <c r="AR93" s="181">
        <f t="shared" si="39"/>
        <v>1</v>
      </c>
      <c r="AS93" s="430"/>
      <c r="AT93" s="165">
        <v>8</v>
      </c>
      <c r="AU93" s="165">
        <v>1365.4545454545469</v>
      </c>
      <c r="AV93" s="165">
        <v>170.68181818181836</v>
      </c>
      <c r="AW93" s="181">
        <f t="shared" si="40"/>
        <v>1</v>
      </c>
      <c r="AX93" s="430"/>
    </row>
    <row r="94" spans="2:50">
      <c r="B94" s="400"/>
      <c r="C94" s="181">
        <v>8</v>
      </c>
      <c r="D94" s="196" t="s">
        <v>306</v>
      </c>
      <c r="E94" s="165">
        <v>18</v>
      </c>
      <c r="F94" s="181">
        <v>1636</v>
      </c>
      <c r="G94" s="179">
        <v>90.888888888888886</v>
      </c>
      <c r="H94" s="413"/>
      <c r="I94" s="165">
        <f t="shared" ref="I94:I96" si="41">AVERAGE(P94,U94,Z94,AE94,AJ94,AO94,AT94)</f>
        <v>18</v>
      </c>
      <c r="J94" s="165">
        <f t="shared" ref="J94:J96" si="42">AVERAGE(Q94,V94,AA94,AF94,AK94,AP94,AU94)</f>
        <v>1380.4390474715326</v>
      </c>
      <c r="K94" s="179">
        <f t="shared" ref="K94:K96" si="43">AVERAGE(R94,W94,AB94,AG94,AL94,AQ94,AV94)</f>
        <v>76.691058192862911</v>
      </c>
      <c r="L94" s="413"/>
      <c r="M94" s="180">
        <f>RANK(K94, K$87:$K$101)</f>
        <v>5</v>
      </c>
      <c r="N94" s="401"/>
      <c r="O94" s="401"/>
      <c r="P94" s="165">
        <v>18</v>
      </c>
      <c r="Q94" s="165">
        <v>1406.714285714286</v>
      </c>
      <c r="R94" s="165">
        <v>78.150793650793673</v>
      </c>
      <c r="S94" s="181">
        <f t="shared" si="34"/>
        <v>3</v>
      </c>
      <c r="T94" s="430"/>
      <c r="U94" s="165">
        <v>18</v>
      </c>
      <c r="V94" s="165">
        <v>1383.8507462686573</v>
      </c>
      <c r="W94" s="165">
        <v>76.880597014925399</v>
      </c>
      <c r="X94" s="181">
        <f t="shared" si="35"/>
        <v>6</v>
      </c>
      <c r="Y94" s="430"/>
      <c r="Z94" s="165">
        <v>18</v>
      </c>
      <c r="AA94" s="165">
        <v>1358.9741379310342</v>
      </c>
      <c r="AB94" s="165">
        <v>75.498563218390785</v>
      </c>
      <c r="AC94" s="181">
        <f t="shared" si="36"/>
        <v>6</v>
      </c>
      <c r="AD94" s="430"/>
      <c r="AE94" s="165">
        <v>18</v>
      </c>
      <c r="AF94" s="165">
        <v>1375.1162790697672</v>
      </c>
      <c r="AG94" s="165">
        <v>76.395348837209283</v>
      </c>
      <c r="AH94" s="181">
        <f t="shared" si="37"/>
        <v>5</v>
      </c>
      <c r="AI94" s="430"/>
      <c r="AJ94" s="165">
        <v>18</v>
      </c>
      <c r="AK94" s="165">
        <v>1367.0967741935481</v>
      </c>
      <c r="AL94" s="165">
        <v>75.949820788530445</v>
      </c>
      <c r="AM94" s="181">
        <f t="shared" si="38"/>
        <v>6</v>
      </c>
      <c r="AN94" s="430"/>
      <c r="AO94" s="165">
        <v>18</v>
      </c>
      <c r="AP94" s="165">
        <v>1410.5769230769233</v>
      </c>
      <c r="AQ94" s="165">
        <v>78.365384615384627</v>
      </c>
      <c r="AR94" s="181">
        <f t="shared" si="39"/>
        <v>2</v>
      </c>
      <c r="AS94" s="430"/>
      <c r="AT94" s="165">
        <v>18</v>
      </c>
      <c r="AU94" s="165">
        <v>1360.7441860465119</v>
      </c>
      <c r="AV94" s="165">
        <v>75.596899224806222</v>
      </c>
      <c r="AW94" s="181">
        <f t="shared" si="40"/>
        <v>6</v>
      </c>
      <c r="AX94" s="430"/>
    </row>
    <row r="95" spans="2:50">
      <c r="B95" s="400"/>
      <c r="C95" s="181">
        <v>9</v>
      </c>
      <c r="D95" s="196" t="s">
        <v>307</v>
      </c>
      <c r="E95" s="165">
        <v>18</v>
      </c>
      <c r="F95" s="181">
        <v>1636</v>
      </c>
      <c r="G95" s="179">
        <v>90.888888888888886</v>
      </c>
      <c r="H95" s="413"/>
      <c r="I95" s="165">
        <f t="shared" si="41"/>
        <v>17.714285714285715</v>
      </c>
      <c r="J95" s="165">
        <f t="shared" si="42"/>
        <v>1376.957342354995</v>
      </c>
      <c r="K95" s="179">
        <f t="shared" si="43"/>
        <v>77.778913048271576</v>
      </c>
      <c r="L95" s="413"/>
      <c r="M95" s="180">
        <f>RANK(K95, K$87:$K$101)</f>
        <v>3</v>
      </c>
      <c r="N95" s="401"/>
      <c r="O95" s="401"/>
      <c r="P95" s="165">
        <v>18</v>
      </c>
      <c r="Q95" s="165">
        <v>1355.8064516129029</v>
      </c>
      <c r="R95" s="165">
        <v>75.322580645161281</v>
      </c>
      <c r="S95" s="181">
        <f t="shared" si="34"/>
        <v>6</v>
      </c>
      <c r="T95" s="430"/>
      <c r="U95" s="165">
        <v>18</v>
      </c>
      <c r="V95" s="165">
        <v>1411.6363636363644</v>
      </c>
      <c r="W95" s="165">
        <v>78.424242424242465</v>
      </c>
      <c r="X95" s="181">
        <f t="shared" si="35"/>
        <v>3</v>
      </c>
      <c r="Y95" s="430"/>
      <c r="Z95" s="165">
        <v>17</v>
      </c>
      <c r="AA95" s="165">
        <v>1368.4210526315799</v>
      </c>
      <c r="AB95" s="165">
        <v>80.495356037151751</v>
      </c>
      <c r="AC95" s="181">
        <f t="shared" si="36"/>
        <v>2</v>
      </c>
      <c r="AD95" s="430"/>
      <c r="AE95" s="165">
        <v>17</v>
      </c>
      <c r="AF95" s="165">
        <v>1376.0869565217392</v>
      </c>
      <c r="AG95" s="165">
        <v>80.94629156010231</v>
      </c>
      <c r="AH95" s="181">
        <f t="shared" si="37"/>
        <v>2</v>
      </c>
      <c r="AI95" s="430"/>
      <c r="AJ95" s="165">
        <v>18</v>
      </c>
      <c r="AK95" s="165">
        <v>1368.2608695652175</v>
      </c>
      <c r="AL95" s="165">
        <v>76.014492753623188</v>
      </c>
      <c r="AM95" s="181">
        <f t="shared" si="38"/>
        <v>5</v>
      </c>
      <c r="AN95" s="430"/>
      <c r="AO95" s="165">
        <v>18</v>
      </c>
      <c r="AP95" s="165">
        <v>1372.1739130434783</v>
      </c>
      <c r="AQ95" s="165">
        <v>76.231884057971016</v>
      </c>
      <c r="AR95" s="181">
        <f t="shared" si="39"/>
        <v>5</v>
      </c>
      <c r="AS95" s="430"/>
      <c r="AT95" s="165">
        <v>18</v>
      </c>
      <c r="AU95" s="165">
        <v>1386.3157894736833</v>
      </c>
      <c r="AV95" s="165">
        <v>77.017543859649066</v>
      </c>
      <c r="AW95" s="181">
        <f t="shared" si="40"/>
        <v>2</v>
      </c>
      <c r="AX95" s="430"/>
    </row>
    <row r="96" spans="2:50">
      <c r="B96" s="400"/>
      <c r="C96" s="181">
        <v>10</v>
      </c>
      <c r="D96" s="196" t="s">
        <v>308</v>
      </c>
      <c r="E96" s="165">
        <v>20</v>
      </c>
      <c r="F96" s="181">
        <v>1565</v>
      </c>
      <c r="G96" s="179">
        <v>78.25</v>
      </c>
      <c r="H96" s="413"/>
      <c r="I96" s="165">
        <f t="shared" si="41"/>
        <v>18.428571428571427</v>
      </c>
      <c r="J96" s="165">
        <f t="shared" si="42"/>
        <v>1076.5006167444203</v>
      </c>
      <c r="K96" s="179">
        <f t="shared" si="43"/>
        <v>58.473810505841222</v>
      </c>
      <c r="L96" s="413"/>
      <c r="M96" s="180">
        <f>RANK(K96, K$87:$K$101)</f>
        <v>10</v>
      </c>
      <c r="N96" s="401"/>
      <c r="O96" s="401"/>
      <c r="P96" s="165">
        <v>18</v>
      </c>
      <c r="Q96" s="165">
        <v>1115.5555555555561</v>
      </c>
      <c r="R96" s="165">
        <v>61.975308641975339</v>
      </c>
      <c r="S96" s="181">
        <f t="shared" si="34"/>
        <v>10</v>
      </c>
      <c r="T96" s="430"/>
      <c r="U96" s="165">
        <v>18</v>
      </c>
      <c r="V96" s="165">
        <v>1095.849056603774</v>
      </c>
      <c r="W96" s="165">
        <v>60.880503144654114</v>
      </c>
      <c r="X96" s="181">
        <f t="shared" si="35"/>
        <v>10</v>
      </c>
      <c r="Y96" s="430"/>
      <c r="Z96" s="165">
        <v>18</v>
      </c>
      <c r="AA96" s="165">
        <v>1057.3584905660384</v>
      </c>
      <c r="AB96" s="165">
        <v>58.742138364779912</v>
      </c>
      <c r="AC96" s="181">
        <f t="shared" si="36"/>
        <v>10</v>
      </c>
      <c r="AD96" s="430"/>
      <c r="AE96" s="165">
        <v>18</v>
      </c>
      <c r="AF96" s="165">
        <v>1078.4615384615379</v>
      </c>
      <c r="AG96" s="165">
        <v>59.914529914529879</v>
      </c>
      <c r="AH96" s="181">
        <f t="shared" si="37"/>
        <v>10</v>
      </c>
      <c r="AI96" s="430"/>
      <c r="AJ96" s="165">
        <v>19</v>
      </c>
      <c r="AK96" s="165">
        <v>1089.7297297297289</v>
      </c>
      <c r="AL96" s="165">
        <v>57.354196301564677</v>
      </c>
      <c r="AM96" s="181">
        <f t="shared" si="38"/>
        <v>10</v>
      </c>
      <c r="AN96" s="430"/>
      <c r="AO96" s="165">
        <v>19</v>
      </c>
      <c r="AP96" s="165">
        <v>1062.6315789473676</v>
      </c>
      <c r="AQ96" s="165">
        <v>55.927977839335142</v>
      </c>
      <c r="AR96" s="181">
        <f t="shared" si="39"/>
        <v>10</v>
      </c>
      <c r="AS96" s="430"/>
      <c r="AT96" s="165">
        <v>19</v>
      </c>
      <c r="AU96" s="165">
        <v>1035.918367346939</v>
      </c>
      <c r="AV96" s="165">
        <v>54.522019334049425</v>
      </c>
      <c r="AW96" s="181">
        <f t="shared" si="40"/>
        <v>10</v>
      </c>
      <c r="AX96" s="430"/>
    </row>
    <row r="97" spans="2:50">
      <c r="B97" s="400"/>
      <c r="C97" s="181">
        <v>11</v>
      </c>
      <c r="D97" s="196"/>
      <c r="E97" s="165"/>
      <c r="F97" s="181"/>
      <c r="G97" s="179"/>
      <c r="H97" s="413"/>
      <c r="I97" s="181"/>
      <c r="J97" s="181"/>
      <c r="K97" s="181"/>
      <c r="L97" s="413"/>
      <c r="M97" s="180" t="e">
        <f>RANK(K97, K$87:$K$101)</f>
        <v>#N/A</v>
      </c>
      <c r="N97" s="401"/>
      <c r="O97" s="401"/>
      <c r="P97" s="165"/>
      <c r="Q97" s="165"/>
      <c r="R97" s="165"/>
      <c r="S97" s="181" t="e">
        <f t="shared" si="34"/>
        <v>#N/A</v>
      </c>
      <c r="T97" s="430"/>
      <c r="U97" s="165"/>
      <c r="V97" s="165"/>
      <c r="W97" s="165"/>
      <c r="X97" s="181" t="e">
        <f t="shared" si="35"/>
        <v>#N/A</v>
      </c>
      <c r="Y97" s="430"/>
      <c r="Z97" s="165"/>
      <c r="AA97" s="165"/>
      <c r="AB97" s="165"/>
      <c r="AC97" s="181" t="e">
        <f t="shared" si="36"/>
        <v>#N/A</v>
      </c>
      <c r="AD97" s="430"/>
      <c r="AE97" s="165"/>
      <c r="AF97" s="165"/>
      <c r="AG97" s="165"/>
      <c r="AH97" s="181" t="e">
        <f t="shared" si="37"/>
        <v>#N/A</v>
      </c>
      <c r="AI97" s="430"/>
      <c r="AJ97" s="165"/>
      <c r="AK97" s="165"/>
      <c r="AL97" s="165"/>
      <c r="AM97" s="181" t="e">
        <f t="shared" si="38"/>
        <v>#N/A</v>
      </c>
      <c r="AN97" s="430"/>
      <c r="AO97" s="165"/>
      <c r="AP97" s="165"/>
      <c r="AQ97" s="165"/>
      <c r="AR97" s="181" t="e">
        <f t="shared" si="39"/>
        <v>#N/A</v>
      </c>
      <c r="AS97" s="430"/>
      <c r="AT97" s="165"/>
      <c r="AU97" s="165"/>
      <c r="AV97" s="179"/>
      <c r="AW97" s="181" t="e">
        <f t="shared" si="40"/>
        <v>#N/A</v>
      </c>
      <c r="AX97" s="43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65"/>
      <c r="Q98" s="165"/>
      <c r="R98" s="165"/>
      <c r="S98" s="181" t="e">
        <f t="shared" si="34"/>
        <v>#N/A</v>
      </c>
      <c r="T98" s="430"/>
      <c r="U98" s="165"/>
      <c r="V98" s="165"/>
      <c r="W98" s="165"/>
      <c r="X98" s="181" t="e">
        <f t="shared" si="35"/>
        <v>#N/A</v>
      </c>
      <c r="Y98" s="430"/>
      <c r="Z98" s="165"/>
      <c r="AA98" s="165"/>
      <c r="AB98" s="165"/>
      <c r="AC98" s="181" t="e">
        <f t="shared" si="36"/>
        <v>#N/A</v>
      </c>
      <c r="AD98" s="430"/>
      <c r="AE98" s="165"/>
      <c r="AF98" s="165"/>
      <c r="AG98" s="165"/>
      <c r="AH98" s="181" t="e">
        <f t="shared" si="37"/>
        <v>#N/A</v>
      </c>
      <c r="AI98" s="430"/>
      <c r="AJ98" s="165"/>
      <c r="AK98" s="165"/>
      <c r="AL98" s="165"/>
      <c r="AM98" s="181" t="e">
        <f t="shared" si="38"/>
        <v>#N/A</v>
      </c>
      <c r="AN98" s="430"/>
      <c r="AO98" s="165"/>
      <c r="AP98" s="165"/>
      <c r="AQ98" s="165"/>
      <c r="AR98" s="181" t="e">
        <f t="shared" si="39"/>
        <v>#N/A</v>
      </c>
      <c r="AS98" s="430"/>
      <c r="AT98" s="165"/>
      <c r="AU98" s="165"/>
      <c r="AV98" s="179"/>
      <c r="AW98" s="181" t="e">
        <f t="shared" si="40"/>
        <v>#N/A</v>
      </c>
      <c r="AX98" s="43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65"/>
      <c r="Q99" s="165"/>
      <c r="R99" s="165"/>
      <c r="S99" s="181" t="e">
        <f t="shared" si="34"/>
        <v>#N/A</v>
      </c>
      <c r="T99" s="430"/>
      <c r="U99" s="165"/>
      <c r="V99" s="165"/>
      <c r="W99" s="165"/>
      <c r="X99" s="181" t="e">
        <f t="shared" si="35"/>
        <v>#N/A</v>
      </c>
      <c r="Y99" s="430"/>
      <c r="Z99" s="165"/>
      <c r="AA99" s="165"/>
      <c r="AB99" s="165"/>
      <c r="AC99" s="181" t="e">
        <f t="shared" si="36"/>
        <v>#N/A</v>
      </c>
      <c r="AD99" s="430"/>
      <c r="AE99" s="165"/>
      <c r="AF99" s="165"/>
      <c r="AG99" s="165"/>
      <c r="AH99" s="181" t="e">
        <f t="shared" si="37"/>
        <v>#N/A</v>
      </c>
      <c r="AI99" s="430"/>
      <c r="AJ99" s="165"/>
      <c r="AK99" s="165"/>
      <c r="AL99" s="165"/>
      <c r="AM99" s="181" t="e">
        <f t="shared" si="38"/>
        <v>#N/A</v>
      </c>
      <c r="AN99" s="430"/>
      <c r="AO99" s="165"/>
      <c r="AP99" s="165"/>
      <c r="AQ99" s="165"/>
      <c r="AR99" s="181" t="e">
        <f t="shared" si="39"/>
        <v>#N/A</v>
      </c>
      <c r="AS99" s="430"/>
      <c r="AT99" s="165"/>
      <c r="AU99" s="165"/>
      <c r="AV99" s="179"/>
      <c r="AW99" s="181" t="e">
        <f t="shared" si="40"/>
        <v>#N/A</v>
      </c>
      <c r="AX99" s="43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65"/>
      <c r="Q100" s="165"/>
      <c r="R100" s="165"/>
      <c r="S100" s="181" t="e">
        <f t="shared" si="34"/>
        <v>#N/A</v>
      </c>
      <c r="T100" s="430"/>
      <c r="U100" s="165"/>
      <c r="V100" s="165"/>
      <c r="W100" s="165"/>
      <c r="X100" s="181" t="e">
        <f t="shared" si="35"/>
        <v>#N/A</v>
      </c>
      <c r="Y100" s="430"/>
      <c r="Z100" s="165"/>
      <c r="AA100" s="165"/>
      <c r="AB100" s="165"/>
      <c r="AC100" s="181" t="e">
        <f t="shared" si="36"/>
        <v>#N/A</v>
      </c>
      <c r="AD100" s="430"/>
      <c r="AE100" s="165"/>
      <c r="AF100" s="165"/>
      <c r="AG100" s="165"/>
      <c r="AH100" s="181" t="e">
        <f t="shared" si="37"/>
        <v>#N/A</v>
      </c>
      <c r="AI100" s="430"/>
      <c r="AJ100" s="165"/>
      <c r="AK100" s="165"/>
      <c r="AL100" s="165"/>
      <c r="AM100" s="181" t="e">
        <f t="shared" si="38"/>
        <v>#N/A</v>
      </c>
      <c r="AN100" s="430"/>
      <c r="AO100" s="165"/>
      <c r="AP100" s="165"/>
      <c r="AQ100" s="165"/>
      <c r="AR100" s="181" t="e">
        <f t="shared" si="39"/>
        <v>#N/A</v>
      </c>
      <c r="AS100" s="430"/>
      <c r="AT100" s="165"/>
      <c r="AU100" s="165"/>
      <c r="AV100" s="179"/>
      <c r="AW100" s="181" t="e">
        <f t="shared" si="40"/>
        <v>#N/A</v>
      </c>
      <c r="AX100" s="43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65"/>
      <c r="Q101" s="165"/>
      <c r="R101" s="165"/>
      <c r="S101" s="181" t="e">
        <f t="shared" si="34"/>
        <v>#N/A</v>
      </c>
      <c r="T101" s="430"/>
      <c r="U101" s="165"/>
      <c r="V101" s="165"/>
      <c r="W101" s="165"/>
      <c r="X101" s="181" t="e">
        <f t="shared" si="35"/>
        <v>#N/A</v>
      </c>
      <c r="Y101" s="430"/>
      <c r="Z101" s="165"/>
      <c r="AA101" s="165"/>
      <c r="AB101" s="165"/>
      <c r="AC101" s="181" t="e">
        <f t="shared" si="36"/>
        <v>#N/A</v>
      </c>
      <c r="AD101" s="430"/>
      <c r="AE101" s="165"/>
      <c r="AF101" s="165"/>
      <c r="AG101" s="165"/>
      <c r="AH101" s="181" t="e">
        <f t="shared" si="37"/>
        <v>#N/A</v>
      </c>
      <c r="AI101" s="430"/>
      <c r="AJ101" s="165"/>
      <c r="AK101" s="165"/>
      <c r="AL101" s="165"/>
      <c r="AM101" s="181" t="e">
        <f t="shared" si="38"/>
        <v>#N/A</v>
      </c>
      <c r="AN101" s="430"/>
      <c r="AO101" s="165"/>
      <c r="AP101" s="165"/>
      <c r="AQ101" s="165"/>
      <c r="AR101" s="181" t="e">
        <f t="shared" si="39"/>
        <v>#N/A</v>
      </c>
      <c r="AS101" s="430"/>
      <c r="AT101" s="165"/>
      <c r="AU101" s="165"/>
      <c r="AV101" s="179"/>
      <c r="AW101" s="181" t="e">
        <f t="shared" si="40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01" t="s">
        <v>298</v>
      </c>
      <c r="C107" s="181">
        <v>1</v>
      </c>
      <c r="D107" s="196" t="s">
        <v>299</v>
      </c>
      <c r="E107" s="165">
        <v>19</v>
      </c>
      <c r="F107" s="181">
        <v>1636</v>
      </c>
      <c r="G107" s="179">
        <v>86.10526315789474</v>
      </c>
      <c r="H107" s="412">
        <f>AVERAGE(G107:G121)</f>
        <v>92.429922287894428</v>
      </c>
      <c r="I107" s="165">
        <f>AVERAGE(P107,U107,Z107,AE107,AJ107,AO107,AT107)</f>
        <v>19</v>
      </c>
      <c r="J107" s="165">
        <f>AVERAGE(Q107,V107,AA107,AF107,AK107,AP107,AU107)</f>
        <v>1390</v>
      </c>
      <c r="K107" s="179">
        <f>AVERAGE(R107,W107,AB107,AG107,AL107,AQ107,AV107)</f>
        <v>73.15789473684211</v>
      </c>
      <c r="L107" s="412">
        <f>IFERROR(AVERAGE(K107:K121),"-")</f>
        <v>81.671122531560997</v>
      </c>
      <c r="M107" s="180">
        <f>RANK(K107, K$107:$K$121)</f>
        <v>8</v>
      </c>
      <c r="N107" s="401"/>
      <c r="O107" s="401"/>
      <c r="P107" s="165">
        <v>19</v>
      </c>
      <c r="Q107" s="165">
        <v>1390</v>
      </c>
      <c r="R107" s="165">
        <v>73.15789473684211</v>
      </c>
      <c r="S107" s="181">
        <f>RANK(R107, R$107:R$121)</f>
        <v>8</v>
      </c>
      <c r="T107" s="430">
        <f>AVERAGE(R107:R121)</f>
        <v>81.671122531560997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305</v>
      </c>
      <c r="E108" s="165">
        <v>19</v>
      </c>
      <c r="F108" s="181">
        <v>1440</v>
      </c>
      <c r="G108" s="179">
        <v>75.78947368421052</v>
      </c>
      <c r="H108" s="413"/>
      <c r="I108" s="165">
        <f t="shared" ref="I108:I116" si="44">AVERAGE(P108,U108,Z108,AE108,AJ108,AO108,AT108)</f>
        <v>18</v>
      </c>
      <c r="J108" s="165">
        <f t="shared" ref="J108:J116" si="45">AVERAGE(Q108,V108,AA108,AF108,AK108,AP108,AU108)</f>
        <v>1351.125</v>
      </c>
      <c r="K108" s="179">
        <f t="shared" ref="K108:K116" si="46">AVERAGE(R108,W108,AB108,AG108,AL108,AQ108,AV108)</f>
        <v>75.0625</v>
      </c>
      <c r="L108" s="413"/>
      <c r="M108" s="180">
        <f>RANK(K108, K$107:$K$121)</f>
        <v>7</v>
      </c>
      <c r="N108" s="401"/>
      <c r="O108" s="401"/>
      <c r="P108" s="165">
        <v>18</v>
      </c>
      <c r="Q108" s="165">
        <v>1351.125</v>
      </c>
      <c r="R108" s="165">
        <v>75.0625</v>
      </c>
      <c r="S108" s="181">
        <f t="shared" ref="S108:S121" si="47">RANK(R108, R$107:R$121)</f>
        <v>7</v>
      </c>
      <c r="T108" s="430"/>
      <c r="X108" s="103"/>
      <c r="AC108" s="103"/>
      <c r="AH108" s="103"/>
      <c r="AM108" s="103"/>
    </row>
    <row r="109" spans="2:50">
      <c r="B109" s="400"/>
      <c r="C109" s="181">
        <v>3</v>
      </c>
      <c r="D109" s="196" t="s">
        <v>300</v>
      </c>
      <c r="E109" s="165">
        <v>17</v>
      </c>
      <c r="F109" s="181">
        <v>1636</v>
      </c>
      <c r="G109" s="179">
        <v>96.235294117647058</v>
      </c>
      <c r="H109" s="413"/>
      <c r="I109" s="165">
        <f t="shared" si="44"/>
        <v>18</v>
      </c>
      <c r="J109" s="165">
        <f t="shared" si="45"/>
        <v>1410.4859504132235</v>
      </c>
      <c r="K109" s="179">
        <f t="shared" si="46"/>
        <v>78.360330578512418</v>
      </c>
      <c r="L109" s="413"/>
      <c r="M109" s="180">
        <f>RANK(K109, K$107:$K$121)</f>
        <v>2</v>
      </c>
      <c r="N109" s="401"/>
      <c r="O109" s="401"/>
      <c r="P109" s="165">
        <v>18</v>
      </c>
      <c r="Q109" s="165">
        <v>1410.4859504132235</v>
      </c>
      <c r="R109" s="165">
        <v>78.360330578512418</v>
      </c>
      <c r="S109" s="181">
        <f t="shared" si="47"/>
        <v>2</v>
      </c>
      <c r="T109" s="430"/>
      <c r="X109" s="103"/>
      <c r="AC109" s="103"/>
      <c r="AH109" s="103"/>
      <c r="AM109" s="103"/>
    </row>
    <row r="110" spans="2:50">
      <c r="B110" s="400"/>
      <c r="C110" s="181">
        <v>4</v>
      </c>
      <c r="D110" s="196" t="s">
        <v>301</v>
      </c>
      <c r="E110" s="165">
        <v>18</v>
      </c>
      <c r="F110" s="181">
        <v>1636</v>
      </c>
      <c r="G110" s="179">
        <v>90.888888888888886</v>
      </c>
      <c r="H110" s="413"/>
      <c r="I110" s="165">
        <f t="shared" si="44"/>
        <v>18</v>
      </c>
      <c r="J110" s="165">
        <f t="shared" si="45"/>
        <v>1353.3333333333337</v>
      </c>
      <c r="K110" s="179">
        <f t="shared" si="46"/>
        <v>75.185185185185205</v>
      </c>
      <c r="L110" s="413"/>
      <c r="M110" s="180">
        <f>RANK(K110, K$107:$K$121)</f>
        <v>6</v>
      </c>
      <c r="N110" s="401"/>
      <c r="O110" s="401"/>
      <c r="P110" s="165">
        <v>18</v>
      </c>
      <c r="Q110" s="165">
        <v>1353.3333333333337</v>
      </c>
      <c r="R110" s="165">
        <v>75.185185185185205</v>
      </c>
      <c r="S110" s="181">
        <f t="shared" si="47"/>
        <v>6</v>
      </c>
      <c r="T110" s="430"/>
      <c r="X110" s="103"/>
      <c r="AC110" s="103"/>
      <c r="AH110" s="103"/>
      <c r="AM110" s="103"/>
    </row>
    <row r="111" spans="2:50">
      <c r="B111" s="400"/>
      <c r="C111" s="181">
        <v>5</v>
      </c>
      <c r="D111" s="196" t="s">
        <v>302</v>
      </c>
      <c r="E111" s="165">
        <v>22</v>
      </c>
      <c r="F111" s="181">
        <v>1636</v>
      </c>
      <c r="G111" s="179">
        <v>74.36363636363636</v>
      </c>
      <c r="H111" s="413"/>
      <c r="I111" s="165">
        <f t="shared" si="44"/>
        <v>20</v>
      </c>
      <c r="J111" s="165">
        <f t="shared" si="45"/>
        <v>1419.2307692307688</v>
      </c>
      <c r="K111" s="179">
        <f t="shared" si="46"/>
        <v>70.961538461538439</v>
      </c>
      <c r="L111" s="413"/>
      <c r="M111" s="180">
        <f>RANK(K111, K$107:$K$121)</f>
        <v>9</v>
      </c>
      <c r="N111" s="401"/>
      <c r="O111" s="401"/>
      <c r="P111" s="165">
        <v>20</v>
      </c>
      <c r="Q111" s="165">
        <v>1419.2307692307688</v>
      </c>
      <c r="R111" s="165">
        <v>70.961538461538439</v>
      </c>
      <c r="S111" s="181">
        <f t="shared" si="47"/>
        <v>9</v>
      </c>
      <c r="T111" s="430"/>
      <c r="X111" s="103"/>
      <c r="AC111" s="103"/>
      <c r="AH111" s="103"/>
      <c r="AM111" s="103"/>
    </row>
    <row r="112" spans="2:50">
      <c r="B112" s="400"/>
      <c r="C112" s="181">
        <v>6</v>
      </c>
      <c r="D112" s="196" t="s">
        <v>303</v>
      </c>
      <c r="E112" s="165">
        <v>18</v>
      </c>
      <c r="F112" s="181">
        <v>1636</v>
      </c>
      <c r="G112" s="179">
        <v>90.888888888888886</v>
      </c>
      <c r="H112" s="413"/>
      <c r="I112" s="165">
        <f t="shared" si="44"/>
        <v>18</v>
      </c>
      <c r="J112" s="165">
        <f t="shared" si="45"/>
        <v>1399.4366197183101</v>
      </c>
      <c r="K112" s="179">
        <f t="shared" si="46"/>
        <v>77.746478873239454</v>
      </c>
      <c r="L112" s="413"/>
      <c r="M112" s="180">
        <f>RANK(K112, K$107:$K$121)</f>
        <v>3</v>
      </c>
      <c r="N112" s="401"/>
      <c r="O112" s="401"/>
      <c r="P112" s="165">
        <v>18</v>
      </c>
      <c r="Q112" s="165">
        <v>1399.4366197183101</v>
      </c>
      <c r="R112" s="165">
        <v>77.746478873239454</v>
      </c>
      <c r="S112" s="181">
        <f t="shared" si="47"/>
        <v>3</v>
      </c>
      <c r="T112" s="430"/>
      <c r="X112" s="103"/>
      <c r="AC112" s="103"/>
      <c r="AH112" s="103"/>
      <c r="AM112" s="103"/>
    </row>
    <row r="113" spans="2:39">
      <c r="B113" s="400"/>
      <c r="C113" s="181">
        <v>7</v>
      </c>
      <c r="D113" s="196" t="s">
        <v>304</v>
      </c>
      <c r="E113" s="165">
        <v>10</v>
      </c>
      <c r="F113" s="181">
        <v>1500</v>
      </c>
      <c r="G113" s="179">
        <v>150</v>
      </c>
      <c r="H113" s="413"/>
      <c r="I113" s="165">
        <f t="shared" si="44"/>
        <v>9</v>
      </c>
      <c r="J113" s="165">
        <f t="shared" si="45"/>
        <v>1374.193548387098</v>
      </c>
      <c r="K113" s="179">
        <f t="shared" si="46"/>
        <v>152.68817204301089</v>
      </c>
      <c r="L113" s="413"/>
      <c r="M113" s="180">
        <f>RANK(K113, K$107:$K$121)</f>
        <v>1</v>
      </c>
      <c r="N113" s="401"/>
      <c r="O113" s="401"/>
      <c r="P113" s="165">
        <v>9</v>
      </c>
      <c r="Q113" s="165">
        <v>1374.193548387098</v>
      </c>
      <c r="R113" s="165">
        <v>152.68817204301089</v>
      </c>
      <c r="S113" s="181">
        <f t="shared" si="47"/>
        <v>1</v>
      </c>
      <c r="T113" s="430"/>
      <c r="X113" s="103"/>
      <c r="AC113" s="103"/>
      <c r="AH113" s="103"/>
      <c r="AM113" s="103"/>
    </row>
    <row r="114" spans="2:39">
      <c r="B114" s="400"/>
      <c r="C114" s="181">
        <v>8</v>
      </c>
      <c r="D114" s="196" t="s">
        <v>306</v>
      </c>
      <c r="E114" s="165">
        <v>18</v>
      </c>
      <c r="F114" s="181">
        <v>1636</v>
      </c>
      <c r="G114" s="179">
        <v>90.888888888888886</v>
      </c>
      <c r="H114" s="413"/>
      <c r="I114" s="165">
        <f t="shared" si="44"/>
        <v>18</v>
      </c>
      <c r="J114" s="165">
        <f t="shared" si="45"/>
        <v>1396.1739130434785</v>
      </c>
      <c r="K114" s="179">
        <f t="shared" si="46"/>
        <v>77.565217391304358</v>
      </c>
      <c r="L114" s="413"/>
      <c r="M114" s="180">
        <f>RANK(K114, K$107:$K$121)</f>
        <v>4</v>
      </c>
      <c r="N114" s="401"/>
      <c r="O114" s="401"/>
      <c r="P114" s="165">
        <v>18</v>
      </c>
      <c r="Q114" s="165">
        <v>1396.1739130434785</v>
      </c>
      <c r="R114" s="165">
        <v>77.565217391304358</v>
      </c>
      <c r="S114" s="181">
        <f t="shared" si="47"/>
        <v>4</v>
      </c>
      <c r="T114" s="430"/>
      <c r="X114" s="103"/>
      <c r="AC114" s="103"/>
      <c r="AH114" s="103"/>
      <c r="AM114" s="103"/>
    </row>
    <row r="115" spans="2:39">
      <c r="B115" s="400"/>
      <c r="C115" s="181">
        <v>9</v>
      </c>
      <c r="D115" s="196" t="s">
        <v>307</v>
      </c>
      <c r="E115" s="165">
        <v>18</v>
      </c>
      <c r="F115" s="181">
        <v>1636</v>
      </c>
      <c r="G115" s="179">
        <v>90.888888888888886</v>
      </c>
      <c r="H115" s="413"/>
      <c r="I115" s="165">
        <f t="shared" si="44"/>
        <v>18</v>
      </c>
      <c r="J115" s="165">
        <f t="shared" si="45"/>
        <v>1389.3103448275854</v>
      </c>
      <c r="K115" s="179">
        <f t="shared" si="46"/>
        <v>77.183908045976963</v>
      </c>
      <c r="L115" s="413"/>
      <c r="M115" s="180">
        <f>RANK(K115, K$107:$K$121)</f>
        <v>5</v>
      </c>
      <c r="N115" s="401"/>
      <c r="O115" s="401"/>
      <c r="P115" s="165">
        <v>18</v>
      </c>
      <c r="Q115" s="165">
        <v>1389.3103448275854</v>
      </c>
      <c r="R115" s="165">
        <v>77.183908045976963</v>
      </c>
      <c r="S115" s="181">
        <f t="shared" si="47"/>
        <v>5</v>
      </c>
      <c r="T115" s="430"/>
      <c r="X115" s="103"/>
      <c r="AC115" s="103"/>
      <c r="AH115" s="103"/>
      <c r="AM115" s="103"/>
    </row>
    <row r="116" spans="2:39">
      <c r="B116" s="400"/>
      <c r="C116" s="181">
        <v>10</v>
      </c>
      <c r="D116" s="196" t="s">
        <v>308</v>
      </c>
      <c r="E116" s="165">
        <v>20</v>
      </c>
      <c r="F116" s="181">
        <v>1565</v>
      </c>
      <c r="G116" s="179">
        <v>78.25</v>
      </c>
      <c r="H116" s="413"/>
      <c r="I116" s="165">
        <f t="shared" si="44"/>
        <v>18</v>
      </c>
      <c r="J116" s="165">
        <f t="shared" si="45"/>
        <v>1058.4000000000003</v>
      </c>
      <c r="K116" s="179">
        <f t="shared" si="46"/>
        <v>58.800000000000018</v>
      </c>
      <c r="L116" s="413"/>
      <c r="M116" s="180">
        <f>RANK(K116, K$107:$K$121)</f>
        <v>10</v>
      </c>
      <c r="N116" s="401"/>
      <c r="O116" s="401"/>
      <c r="P116" s="165">
        <v>18</v>
      </c>
      <c r="Q116" s="165">
        <v>1058.4000000000003</v>
      </c>
      <c r="R116" s="165">
        <v>58.800000000000018</v>
      </c>
      <c r="S116" s="181">
        <f t="shared" si="47"/>
        <v>10</v>
      </c>
      <c r="T116" s="430"/>
      <c r="X116" s="103"/>
      <c r="AC116" s="103"/>
      <c r="AH116" s="103"/>
      <c r="AM116" s="103"/>
    </row>
    <row r="117" spans="2:39">
      <c r="B117" s="400"/>
      <c r="C117" s="181">
        <v>11</v>
      </c>
      <c r="D117" s="196"/>
      <c r="E117" s="165"/>
      <c r="F117" s="181"/>
      <c r="G117" s="179"/>
      <c r="H117" s="413"/>
      <c r="I117" s="181"/>
      <c r="J117" s="181"/>
      <c r="K117" s="181"/>
      <c r="L117" s="413"/>
      <c r="M117" s="180" t="e">
        <f>RANK(K117, K$107:$K$121)</f>
        <v>#N/A</v>
      </c>
      <c r="N117" s="401"/>
      <c r="O117" s="401"/>
      <c r="P117" s="165"/>
      <c r="Q117" s="165"/>
      <c r="R117" s="165"/>
      <c r="S117" s="181" t="e">
        <f t="shared" si="47"/>
        <v>#N/A</v>
      </c>
      <c r="T117" s="430"/>
      <c r="X117" s="103"/>
      <c r="AC117" s="103"/>
      <c r="AH117" s="103"/>
      <c r="AM117" s="103"/>
    </row>
    <row r="118" spans="2:39">
      <c r="B118" s="400"/>
      <c r="C118" s="181">
        <v>12</v>
      </c>
      <c r="D118" s="196"/>
      <c r="E118" s="165"/>
      <c r="F118" s="181"/>
      <c r="G118" s="179"/>
      <c r="H118" s="413"/>
      <c r="I118" s="181"/>
      <c r="J118" s="181"/>
      <c r="K118" s="181"/>
      <c r="L118" s="413"/>
      <c r="M118" s="180" t="e">
        <f>RANK(K118, K$107:$K$121)</f>
        <v>#N/A</v>
      </c>
      <c r="N118" s="401"/>
      <c r="O118" s="401"/>
      <c r="P118" s="165"/>
      <c r="Q118" s="165"/>
      <c r="R118" s="165"/>
      <c r="S118" s="181" t="e">
        <f t="shared" si="47"/>
        <v>#N/A</v>
      </c>
      <c r="T118" s="430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81"/>
      <c r="J119" s="181"/>
      <c r="K119" s="181"/>
      <c r="L119" s="413"/>
      <c r="M119" s="180" t="e">
        <f>RANK(K119, K$107:$K$121)</f>
        <v>#N/A</v>
      </c>
      <c r="N119" s="401"/>
      <c r="O119" s="401"/>
      <c r="P119" s="165"/>
      <c r="Q119" s="165"/>
      <c r="R119" s="165"/>
      <c r="S119" s="181" t="e">
        <f t="shared" si="47"/>
        <v>#N/A</v>
      </c>
      <c r="T119" s="430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81"/>
      <c r="J120" s="181"/>
      <c r="K120" s="181"/>
      <c r="L120" s="413"/>
      <c r="M120" s="180" t="e">
        <f>RANK(K120, K$107:$K$121)</f>
        <v>#N/A</v>
      </c>
      <c r="N120" s="401"/>
      <c r="O120" s="401"/>
      <c r="P120" s="165"/>
      <c r="Q120" s="165"/>
      <c r="R120" s="165"/>
      <c r="S120" s="181" t="e">
        <f t="shared" si="47"/>
        <v>#N/A</v>
      </c>
      <c r="T120" s="430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81"/>
      <c r="J121" s="181"/>
      <c r="K121" s="181"/>
      <c r="L121" s="414"/>
      <c r="M121" s="180" t="e">
        <f>RANK(K121, K$107:$K$121)</f>
        <v>#N/A</v>
      </c>
      <c r="N121" s="401"/>
      <c r="O121" s="401"/>
      <c r="P121" s="165"/>
      <c r="Q121" s="165"/>
      <c r="R121" s="165"/>
      <c r="S121" s="181" t="e">
        <f t="shared" si="47"/>
        <v>#N/A</v>
      </c>
      <c r="T121" s="430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X124" s="103"/>
      <c r="AC124" s="103"/>
      <c r="AH124" s="103"/>
      <c r="A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X125" s="103"/>
      <c r="AC125" s="103"/>
      <c r="AH125" s="103"/>
      <c r="A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3:13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3:13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3:13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3:13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3:1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3:13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3:13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3:13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3:13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3:13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3:13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3:13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3:13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3:13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FFCC"/>
  </sheetPr>
  <dimension ref="A1:AX142"/>
  <sheetViews>
    <sheetView zoomScale="50" zoomScaleNormal="50" workbookViewId="0">
      <pane xSplit="15" topLeftCell="P1" activePane="topRight" state="frozen"/>
      <selection pane="topRight" activeCell="C1" sqref="C1"/>
      <selection sqref="A1:L2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117.44063187806404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309</v>
      </c>
      <c r="C7" s="181">
        <v>1</v>
      </c>
      <c r="D7" s="196" t="s">
        <v>310</v>
      </c>
      <c r="E7" s="165">
        <v>21</v>
      </c>
      <c r="F7" s="181">
        <v>2400</v>
      </c>
      <c r="G7" s="179">
        <v>114.28571428571429</v>
      </c>
      <c r="H7" s="412">
        <f>AVERAGE(G7:G21)</f>
        <v>128.05012531328322</v>
      </c>
      <c r="I7" s="165">
        <f>AVERAGE(P7,U7,Z7,AE7,AJ7,AO7,AT7)</f>
        <v>21</v>
      </c>
      <c r="J7" s="165">
        <f>AVERAGE(Q7,V7,AA7,AF7,AK7,AP7,AU7)</f>
        <v>2149.3670886075961</v>
      </c>
      <c r="K7" s="179">
        <f>AVERAGE(R7,W7,AB7,AG7,AL7,AQ7,AV7)</f>
        <v>102.35081374321886</v>
      </c>
      <c r="L7" s="412">
        <f>IFERROR(AVERAGE(K7:K21),"-")</f>
        <v>116.8461346962371</v>
      </c>
      <c r="M7" s="180">
        <f>RANK(K7, K$7:$K$21)</f>
        <v>5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81">
        <v>21</v>
      </c>
      <c r="AU7" s="179">
        <v>2149.3670886075961</v>
      </c>
      <c r="AV7" s="179">
        <v>102.35081374321886</v>
      </c>
      <c r="AW7" s="181">
        <f t="shared" ref="AW7:AW21" si="0">RANK(AV7, AV$7:AV$21)</f>
        <v>5</v>
      </c>
      <c r="AX7" s="430">
        <f>AVERAGE(AV7:AV21)</f>
        <v>116.8461346962371</v>
      </c>
    </row>
    <row r="8" spans="1:50" ht="15" customHeight="1">
      <c r="A8" s="79"/>
      <c r="B8" s="400"/>
      <c r="C8" s="181">
        <v>2</v>
      </c>
      <c r="D8" s="196" t="s">
        <v>311</v>
      </c>
      <c r="E8" s="165">
        <v>18</v>
      </c>
      <c r="F8" s="181">
        <v>2571</v>
      </c>
      <c r="G8" s="179">
        <v>142.83333333333334</v>
      </c>
      <c r="H8" s="413"/>
      <c r="I8" s="165">
        <f t="shared" ref="I8:K11" si="1">AVERAGE(P8,U8,Z8,AE8,AJ8,AO8,AT8)</f>
        <v>20</v>
      </c>
      <c r="J8" s="165">
        <f t="shared" si="1"/>
        <v>2403.3802816901416</v>
      </c>
      <c r="K8" s="179">
        <f t="shared" si="1"/>
        <v>120.16901408450708</v>
      </c>
      <c r="L8" s="413"/>
      <c r="M8" s="180">
        <f>RANK(K8, K$7:$K$21)</f>
        <v>3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81">
        <v>20</v>
      </c>
      <c r="AU8" s="179">
        <v>2403.3802816901416</v>
      </c>
      <c r="AV8" s="179">
        <v>120.16901408450708</v>
      </c>
      <c r="AW8" s="181">
        <f t="shared" si="0"/>
        <v>3</v>
      </c>
      <c r="AX8" s="430"/>
    </row>
    <row r="9" spans="1:50">
      <c r="A9" s="79"/>
      <c r="B9" s="400"/>
      <c r="C9" s="181">
        <v>3</v>
      </c>
      <c r="D9" s="196" t="s">
        <v>312</v>
      </c>
      <c r="E9" s="165">
        <v>20</v>
      </c>
      <c r="F9" s="181">
        <v>2250</v>
      </c>
      <c r="G9" s="179">
        <v>112.5</v>
      </c>
      <c r="H9" s="413"/>
      <c r="I9" s="165">
        <f t="shared" si="1"/>
        <v>20</v>
      </c>
      <c r="J9" s="165">
        <f t="shared" si="1"/>
        <v>2306.315789473686</v>
      </c>
      <c r="K9" s="179">
        <f t="shared" si="1"/>
        <v>115.3157894736843</v>
      </c>
      <c r="L9" s="413"/>
      <c r="M9" s="180">
        <f>RANK(K9, K$7:$K$21)</f>
        <v>4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81">
        <v>20</v>
      </c>
      <c r="AU9" s="179">
        <v>2306.315789473686</v>
      </c>
      <c r="AV9" s="179">
        <v>115.3157894736843</v>
      </c>
      <c r="AW9" s="181">
        <f t="shared" si="0"/>
        <v>4</v>
      </c>
      <c r="AX9" s="430"/>
    </row>
    <row r="10" spans="1:50">
      <c r="A10" s="79"/>
      <c r="B10" s="400"/>
      <c r="C10" s="181">
        <v>4</v>
      </c>
      <c r="D10" s="196" t="s">
        <v>313</v>
      </c>
      <c r="E10" s="165">
        <v>19</v>
      </c>
      <c r="F10" s="181">
        <v>2571</v>
      </c>
      <c r="G10" s="179">
        <v>135.31578947368422</v>
      </c>
      <c r="H10" s="413"/>
      <c r="I10" s="165">
        <f t="shared" si="1"/>
        <v>20</v>
      </c>
      <c r="J10" s="165">
        <f t="shared" si="1"/>
        <v>2499.1011235955057</v>
      </c>
      <c r="K10" s="179">
        <f t="shared" si="1"/>
        <v>124.95505617977528</v>
      </c>
      <c r="L10" s="413"/>
      <c r="M10" s="180">
        <f>RANK(K10, K$7:$K$21)</f>
        <v>1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81">
        <v>20</v>
      </c>
      <c r="AU10" s="179">
        <v>2499.1011235955057</v>
      </c>
      <c r="AV10" s="179">
        <v>124.95505617977528</v>
      </c>
      <c r="AW10" s="181">
        <f t="shared" si="0"/>
        <v>1</v>
      </c>
      <c r="AX10" s="430"/>
    </row>
    <row r="11" spans="1:50">
      <c r="A11" s="79"/>
      <c r="B11" s="400"/>
      <c r="C11" s="181">
        <v>5</v>
      </c>
      <c r="D11" s="196" t="s">
        <v>314</v>
      </c>
      <c r="E11" s="165">
        <v>19</v>
      </c>
      <c r="F11" s="181">
        <v>2571</v>
      </c>
      <c r="G11" s="179">
        <v>135.31578947368422</v>
      </c>
      <c r="H11" s="413"/>
      <c r="I11" s="165">
        <f t="shared" si="1"/>
        <v>20</v>
      </c>
      <c r="J11" s="165">
        <f t="shared" si="1"/>
        <v>2428.7999999999993</v>
      </c>
      <c r="K11" s="179">
        <f t="shared" si="1"/>
        <v>121.43999999999997</v>
      </c>
      <c r="L11" s="413"/>
      <c r="M11" s="180">
        <f>RANK(K11, K$7:$K$21)</f>
        <v>2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81">
        <v>20</v>
      </c>
      <c r="AU11" s="179">
        <v>2428.7999999999993</v>
      </c>
      <c r="AV11" s="179">
        <v>121.43999999999997</v>
      </c>
      <c r="AW11" s="181">
        <f t="shared" si="0"/>
        <v>2</v>
      </c>
      <c r="AX11" s="430"/>
    </row>
    <row r="12" spans="1:50">
      <c r="A12" s="79"/>
      <c r="B12" s="400"/>
      <c r="C12" s="181">
        <v>6</v>
      </c>
      <c r="D12" s="196"/>
      <c r="E12" s="165"/>
      <c r="F12" s="181"/>
      <c r="G12" s="179"/>
      <c r="H12" s="413"/>
      <c r="I12" s="165"/>
      <c r="J12" s="165"/>
      <c r="K12" s="179"/>
      <c r="L12" s="413"/>
      <c r="M12" s="180" t="e">
        <f>RANK(K12, K$7:$K$21)</f>
        <v>#N/A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81"/>
      <c r="AU12" s="179"/>
      <c r="AV12" s="179"/>
      <c r="AW12" s="181" t="e">
        <f t="shared" si="0"/>
        <v>#N/A</v>
      </c>
      <c r="AX12" s="430"/>
    </row>
    <row r="13" spans="1:50">
      <c r="A13" s="79"/>
      <c r="B13" s="400"/>
      <c r="C13" s="181">
        <v>7</v>
      </c>
      <c r="D13" s="196"/>
      <c r="E13" s="165"/>
      <c r="F13" s="181"/>
      <c r="G13" s="179"/>
      <c r="H13" s="413"/>
      <c r="I13" s="165"/>
      <c r="J13" s="165"/>
      <c r="K13" s="179"/>
      <c r="L13" s="413"/>
      <c r="M13" s="180" t="e">
        <f>RANK(K13, K$7:$K$21)</f>
        <v>#N/A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81"/>
      <c r="AU13" s="179"/>
      <c r="AV13" s="179"/>
      <c r="AW13" s="181" t="e">
        <f t="shared" si="0"/>
        <v>#N/A</v>
      </c>
      <c r="AX13" s="430"/>
    </row>
    <row r="14" spans="1:50">
      <c r="A14" s="79"/>
      <c r="B14" s="400"/>
      <c r="C14" s="181">
        <v>8</v>
      </c>
      <c r="D14" s="196"/>
      <c r="E14" s="165"/>
      <c r="F14" s="181"/>
      <c r="G14" s="179"/>
      <c r="H14" s="413"/>
      <c r="I14" s="165"/>
      <c r="J14" s="165"/>
      <c r="K14" s="179"/>
      <c r="L14" s="413"/>
      <c r="M14" s="180" t="e">
        <f>RANK(K14, K$7:$K$21)</f>
        <v>#N/A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81"/>
      <c r="AU14" s="179"/>
      <c r="AV14" s="179"/>
      <c r="AW14" s="181" t="e">
        <f t="shared" si="0"/>
        <v>#N/A</v>
      </c>
      <c r="AX14" s="430"/>
    </row>
    <row r="15" spans="1:50">
      <c r="A15" s="79"/>
      <c r="B15" s="400"/>
      <c r="C15" s="181">
        <v>9</v>
      </c>
      <c r="D15" s="196"/>
      <c r="E15" s="165"/>
      <c r="F15" s="181"/>
      <c r="G15" s="179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81"/>
      <c r="AU15" s="179"/>
      <c r="AV15" s="179"/>
      <c r="AW15" s="181" t="e">
        <f t="shared" si="0"/>
        <v>#N/A</v>
      </c>
      <c r="AX15" s="430"/>
    </row>
    <row r="16" spans="1:50">
      <c r="A16" s="79"/>
      <c r="B16" s="400"/>
      <c r="C16" s="181">
        <v>10</v>
      </c>
      <c r="D16" s="196"/>
      <c r="E16" s="165"/>
      <c r="F16" s="181"/>
      <c r="G16" s="179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81"/>
      <c r="AU16" s="181"/>
      <c r="AV16" s="179"/>
      <c r="AW16" s="181" t="e">
        <f t="shared" si="0"/>
        <v>#N/A</v>
      </c>
      <c r="AX16" s="43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81"/>
      <c r="J17" s="181"/>
      <c r="K17" s="181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81"/>
      <c r="AU17" s="181"/>
      <c r="AV17" s="181"/>
      <c r="AW17" s="181" t="e">
        <f t="shared" si="0"/>
        <v>#N/A</v>
      </c>
      <c r="AX17" s="43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81"/>
      <c r="J18" s="181"/>
      <c r="K18" s="181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81"/>
      <c r="AU18" s="181"/>
      <c r="AV18" s="181"/>
      <c r="AW18" s="181" t="e">
        <f t="shared" si="0"/>
        <v>#N/A</v>
      </c>
      <c r="AX18" s="43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81"/>
      <c r="J19" s="181"/>
      <c r="K19" s="181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81"/>
      <c r="AU19" s="181"/>
      <c r="AV19" s="181"/>
      <c r="AW19" s="181" t="e">
        <f t="shared" si="0"/>
        <v>#N/A</v>
      </c>
      <c r="AX19" s="43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81"/>
      <c r="J20" s="181"/>
      <c r="K20" s="181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81"/>
      <c r="AU20" s="181"/>
      <c r="AV20" s="181"/>
      <c r="AW20" s="181" t="e">
        <f t="shared" si="0"/>
        <v>#N/A</v>
      </c>
      <c r="AX20" s="43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81"/>
      <c r="J21" s="181"/>
      <c r="K21" s="181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81"/>
      <c r="AU21" s="181"/>
      <c r="AV21" s="181"/>
      <c r="AW21" s="181" t="e">
        <f t="shared" si="0"/>
        <v>#N/A</v>
      </c>
      <c r="AX21" s="430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01" t="s">
        <v>309</v>
      </c>
      <c r="C27" s="181">
        <v>1</v>
      </c>
      <c r="D27" s="196" t="s">
        <v>310</v>
      </c>
      <c r="E27" s="165">
        <v>21</v>
      </c>
      <c r="F27" s="181">
        <v>2400</v>
      </c>
      <c r="G27" s="179">
        <v>114.28571428571429</v>
      </c>
      <c r="H27" s="412">
        <f>AVERAGE(G27:G41)</f>
        <v>143.60275689223059</v>
      </c>
      <c r="I27" s="165">
        <f t="shared" ref="I27:K31" si="2">AVERAGE(P27,U27,Z27,AE27,AJ27,AO27,AT27)</f>
        <v>20</v>
      </c>
      <c r="J27" s="165">
        <f t="shared" si="2"/>
        <v>2163.4197682499307</v>
      </c>
      <c r="K27" s="179">
        <f t="shared" si="2"/>
        <v>108.17098841249654</v>
      </c>
      <c r="L27" s="412">
        <f>IFERROR(AVERAGE(K27:K41),"-")</f>
        <v>117.39386069342603</v>
      </c>
      <c r="M27" s="180">
        <f>RANK(K27, K$27:$K$41)</f>
        <v>5</v>
      </c>
      <c r="N27" s="401"/>
      <c r="O27" s="401"/>
      <c r="P27" s="181">
        <v>20</v>
      </c>
      <c r="Q27" s="179">
        <v>2148.4615384615372</v>
      </c>
      <c r="R27" s="179">
        <v>107.42307692307686</v>
      </c>
      <c r="S27" s="181">
        <f t="shared" ref="S27:S41" si="3">RANK(R27, R$27:R$41)</f>
        <v>5</v>
      </c>
      <c r="T27" s="412">
        <f>AVERAGE(R27:R41)</f>
        <v>116.59889583033596</v>
      </c>
      <c r="U27" s="181">
        <v>20</v>
      </c>
      <c r="V27" s="179">
        <v>2120.9999999999991</v>
      </c>
      <c r="W27" s="179">
        <v>106.04999999999995</v>
      </c>
      <c r="X27" s="181">
        <f t="shared" ref="X27:X41" si="4">RANK(W27, W$27:W$41)</f>
        <v>5</v>
      </c>
      <c r="Y27" s="412">
        <f>AVERAGE(W27:W41)</f>
        <v>116.54833019952412</v>
      </c>
      <c r="Z27" s="181">
        <v>20</v>
      </c>
      <c r="AA27" s="179">
        <v>2192.8000000000011</v>
      </c>
      <c r="AB27" s="179">
        <v>109.64000000000006</v>
      </c>
      <c r="AC27" s="181">
        <f t="shared" ref="AC27:AC41" si="5">RANK(AB27, AB$27:AB$41)</f>
        <v>5</v>
      </c>
      <c r="AD27" s="412">
        <f>AVERAGE(AB27:AB41)</f>
        <v>117.67140155257587</v>
      </c>
      <c r="AE27" s="181">
        <v>20</v>
      </c>
      <c r="AF27" s="179">
        <v>2176.9014084507048</v>
      </c>
      <c r="AG27" s="179">
        <v>108.84507042253524</v>
      </c>
      <c r="AH27" s="181">
        <f t="shared" ref="AH27:AH41" si="6">RANK(AG27, AG$27:AG$41)</f>
        <v>5</v>
      </c>
      <c r="AI27" s="412">
        <f>AVERAGE(AG27:AG41)</f>
        <v>117.75791759691776</v>
      </c>
      <c r="AJ27" s="181">
        <v>20</v>
      </c>
      <c r="AK27" s="179">
        <v>2142.5000000000005</v>
      </c>
      <c r="AL27" s="179">
        <v>107.12500000000003</v>
      </c>
      <c r="AM27" s="181">
        <f t="shared" ref="AM27:AM41" si="7">RANK(AL27, AL$27:AL$41)</f>
        <v>5</v>
      </c>
      <c r="AN27" s="412">
        <f>AVERAGE(AL27:AL41)</f>
        <v>117.25319266122494</v>
      </c>
      <c r="AO27" s="181">
        <v>20</v>
      </c>
      <c r="AP27" s="179">
        <v>2165.0602409638545</v>
      </c>
      <c r="AQ27" s="179">
        <v>108.25301204819273</v>
      </c>
      <c r="AR27" s="181">
        <f t="shared" ref="AR27:AR41" si="8">RANK(AQ27, AQ$27:AQ$41)</f>
        <v>5</v>
      </c>
      <c r="AS27" s="412">
        <f>AVERAGE(AQ27:AQ41)</f>
        <v>116.94252243323328</v>
      </c>
      <c r="AT27" s="181">
        <v>20</v>
      </c>
      <c r="AU27" s="179">
        <v>2197.2151898734191</v>
      </c>
      <c r="AV27" s="179">
        <v>109.86075949367095</v>
      </c>
      <c r="AW27" s="181">
        <f t="shared" ref="AW27:AW41" si="9">RANK(AV27, AV$27:AV$41)</f>
        <v>5</v>
      </c>
      <c r="AX27" s="430">
        <f>AVERAGE(AV27:AV41)</f>
        <v>118.98476458017039</v>
      </c>
    </row>
    <row r="28" spans="2:50">
      <c r="B28" s="400"/>
      <c r="C28" s="181">
        <v>2</v>
      </c>
      <c r="D28" s="196" t="s">
        <v>311</v>
      </c>
      <c r="E28" s="165">
        <v>18</v>
      </c>
      <c r="F28" s="181">
        <v>3000</v>
      </c>
      <c r="G28" s="179">
        <v>166.66666666666666</v>
      </c>
      <c r="H28" s="413"/>
      <c r="I28" s="165">
        <f t="shared" si="2"/>
        <v>20</v>
      </c>
      <c r="J28" s="165">
        <f t="shared" si="2"/>
        <v>2376.9199745061464</v>
      </c>
      <c r="K28" s="179">
        <f t="shared" si="2"/>
        <v>118.84599872530734</v>
      </c>
      <c r="L28" s="413"/>
      <c r="M28" s="180">
        <f>RANK(K28, K$27:$K$41)</f>
        <v>3</v>
      </c>
      <c r="N28" s="401"/>
      <c r="O28" s="401"/>
      <c r="P28" s="181">
        <v>20</v>
      </c>
      <c r="Q28" s="179">
        <v>2380.588235294118</v>
      </c>
      <c r="R28" s="179">
        <v>119.0294117647059</v>
      </c>
      <c r="S28" s="181">
        <f t="shared" si="3"/>
        <v>3</v>
      </c>
      <c r="T28" s="413"/>
      <c r="U28" s="181">
        <v>20</v>
      </c>
      <c r="V28" s="179">
        <v>2352.3529411764703</v>
      </c>
      <c r="W28" s="179">
        <v>117.61764705882351</v>
      </c>
      <c r="X28" s="181">
        <f t="shared" si="4"/>
        <v>3</v>
      </c>
      <c r="Y28" s="413"/>
      <c r="Z28" s="181">
        <v>20</v>
      </c>
      <c r="AA28" s="179">
        <v>2320.6153846153838</v>
      </c>
      <c r="AB28" s="179">
        <v>116.0307692307692</v>
      </c>
      <c r="AC28" s="181">
        <f t="shared" si="5"/>
        <v>3</v>
      </c>
      <c r="AD28" s="413"/>
      <c r="AE28" s="181">
        <v>20</v>
      </c>
      <c r="AF28" s="179">
        <v>2400.967741935483</v>
      </c>
      <c r="AG28" s="179">
        <v>120.04838709677415</v>
      </c>
      <c r="AH28" s="181">
        <f t="shared" si="6"/>
        <v>3</v>
      </c>
      <c r="AI28" s="413"/>
      <c r="AJ28" s="181">
        <v>20</v>
      </c>
      <c r="AK28" s="179">
        <v>2357.4193548387088</v>
      </c>
      <c r="AL28" s="179">
        <v>117.87096774193544</v>
      </c>
      <c r="AM28" s="181">
        <f t="shared" si="7"/>
        <v>3</v>
      </c>
      <c r="AN28" s="413"/>
      <c r="AO28" s="181">
        <v>20</v>
      </c>
      <c r="AP28" s="179">
        <v>2398.2608695652175</v>
      </c>
      <c r="AQ28" s="179">
        <v>119.91304347826087</v>
      </c>
      <c r="AR28" s="181">
        <f t="shared" si="8"/>
        <v>3</v>
      </c>
      <c r="AS28" s="413"/>
      <c r="AT28" s="181">
        <v>20</v>
      </c>
      <c r="AU28" s="179">
        <v>2428.2352941176468</v>
      </c>
      <c r="AV28" s="179">
        <v>121.41176470588235</v>
      </c>
      <c r="AW28" s="181">
        <f t="shared" si="9"/>
        <v>3</v>
      </c>
      <c r="AX28" s="430"/>
    </row>
    <row r="29" spans="2:50">
      <c r="B29" s="400"/>
      <c r="C29" s="181">
        <v>3</v>
      </c>
      <c r="D29" s="196" t="s">
        <v>312</v>
      </c>
      <c r="E29" s="165">
        <v>20</v>
      </c>
      <c r="F29" s="181">
        <v>2250</v>
      </c>
      <c r="G29" s="179">
        <v>112.5</v>
      </c>
      <c r="H29" s="413"/>
      <c r="I29" s="165">
        <f t="shared" si="2"/>
        <v>20</v>
      </c>
      <c r="J29" s="165">
        <f t="shared" si="2"/>
        <v>2278.6796205576211</v>
      </c>
      <c r="K29" s="179">
        <f t="shared" si="2"/>
        <v>113.93398102788103</v>
      </c>
      <c r="L29" s="413"/>
      <c r="M29" s="180">
        <f>RANK(K29, K$27:$K$41)</f>
        <v>4</v>
      </c>
      <c r="N29" s="401"/>
      <c r="O29" s="401"/>
      <c r="P29" s="181">
        <v>20</v>
      </c>
      <c r="Q29" s="179">
        <v>2214.8275862068954</v>
      </c>
      <c r="R29" s="179">
        <v>110.74137931034477</v>
      </c>
      <c r="S29" s="181">
        <f t="shared" si="3"/>
        <v>4</v>
      </c>
      <c r="T29" s="413"/>
      <c r="U29" s="181">
        <v>20</v>
      </c>
      <c r="V29" s="179">
        <v>2267.1428571428587</v>
      </c>
      <c r="W29" s="179">
        <v>113.35714285714293</v>
      </c>
      <c r="X29" s="181">
        <f t="shared" si="4"/>
        <v>4</v>
      </c>
      <c r="Y29" s="413"/>
      <c r="Z29" s="181">
        <v>20</v>
      </c>
      <c r="AA29" s="179">
        <v>2280</v>
      </c>
      <c r="AB29" s="179">
        <v>114</v>
      </c>
      <c r="AC29" s="181">
        <f t="shared" si="5"/>
        <v>4</v>
      </c>
      <c r="AD29" s="413"/>
      <c r="AE29" s="181">
        <v>20</v>
      </c>
      <c r="AF29" s="179">
        <v>2324.6808510638302</v>
      </c>
      <c r="AG29" s="179">
        <v>116.23404255319151</v>
      </c>
      <c r="AH29" s="181">
        <f t="shared" si="6"/>
        <v>4</v>
      </c>
      <c r="AI29" s="413"/>
      <c r="AJ29" s="181">
        <v>20</v>
      </c>
      <c r="AK29" s="179">
        <v>2333.6170212765965</v>
      </c>
      <c r="AL29" s="179">
        <v>116.68085106382982</v>
      </c>
      <c r="AM29" s="181">
        <f t="shared" si="7"/>
        <v>4</v>
      </c>
      <c r="AN29" s="413"/>
      <c r="AO29" s="181">
        <v>20</v>
      </c>
      <c r="AP29" s="179">
        <v>2221.0344827586191</v>
      </c>
      <c r="AQ29" s="179">
        <v>111.05172413793096</v>
      </c>
      <c r="AR29" s="181">
        <f t="shared" si="8"/>
        <v>4</v>
      </c>
      <c r="AS29" s="413"/>
      <c r="AT29" s="181">
        <v>20</v>
      </c>
      <c r="AU29" s="179">
        <v>2309.4545454545469</v>
      </c>
      <c r="AV29" s="179">
        <v>115.47272727272734</v>
      </c>
      <c r="AW29" s="181">
        <f t="shared" si="9"/>
        <v>4</v>
      </c>
      <c r="AX29" s="430"/>
    </row>
    <row r="30" spans="2:50">
      <c r="B30" s="400"/>
      <c r="C30" s="181">
        <v>4</v>
      </c>
      <c r="D30" s="196" t="s">
        <v>313</v>
      </c>
      <c r="E30" s="165">
        <v>18</v>
      </c>
      <c r="F30" s="181">
        <v>3000</v>
      </c>
      <c r="G30" s="179">
        <v>166.66666666666666</v>
      </c>
      <c r="H30" s="413"/>
      <c r="I30" s="165">
        <f t="shared" si="2"/>
        <v>20</v>
      </c>
      <c r="J30" s="165">
        <f t="shared" si="2"/>
        <v>2461.4239043792136</v>
      </c>
      <c r="K30" s="179">
        <f t="shared" si="2"/>
        <v>123.07119521896065</v>
      </c>
      <c r="L30" s="413"/>
      <c r="M30" s="180">
        <f>RANK(K30, K$27:$K$41)</f>
        <v>1</v>
      </c>
      <c r="N30" s="401"/>
      <c r="O30" s="401"/>
      <c r="P30" s="181">
        <v>20</v>
      </c>
      <c r="Q30" s="179">
        <v>2427.272727272727</v>
      </c>
      <c r="R30" s="179">
        <v>121.36363636363635</v>
      </c>
      <c r="S30" s="181">
        <f t="shared" si="3"/>
        <v>2</v>
      </c>
      <c r="T30" s="413"/>
      <c r="U30" s="181">
        <v>20</v>
      </c>
      <c r="V30" s="179">
        <v>2503.9024390243894</v>
      </c>
      <c r="W30" s="179">
        <v>125.19512195121948</v>
      </c>
      <c r="X30" s="181">
        <f t="shared" si="4"/>
        <v>1</v>
      </c>
      <c r="Y30" s="413"/>
      <c r="Z30" s="181">
        <v>20</v>
      </c>
      <c r="AA30" s="179">
        <v>2483.9999999999991</v>
      </c>
      <c r="AB30" s="179">
        <v>124.19999999999996</v>
      </c>
      <c r="AC30" s="181">
        <f t="shared" si="5"/>
        <v>2</v>
      </c>
      <c r="AD30" s="413"/>
      <c r="AE30" s="181">
        <v>20</v>
      </c>
      <c r="AF30" s="179">
        <v>2445.3846153846139</v>
      </c>
      <c r="AG30" s="179">
        <v>122.26923076923069</v>
      </c>
      <c r="AH30" s="181">
        <f t="shared" si="6"/>
        <v>1</v>
      </c>
      <c r="AI30" s="413"/>
      <c r="AJ30" s="181">
        <v>20</v>
      </c>
      <c r="AK30" s="179">
        <v>2446.9230769230758</v>
      </c>
      <c r="AL30" s="179">
        <v>122.34615384615378</v>
      </c>
      <c r="AM30" s="181">
        <f t="shared" si="7"/>
        <v>1</v>
      </c>
      <c r="AN30" s="413"/>
      <c r="AO30" s="181">
        <v>20</v>
      </c>
      <c r="AP30" s="179">
        <v>2418.913043478261</v>
      </c>
      <c r="AQ30" s="179">
        <v>120.94565217391305</v>
      </c>
      <c r="AR30" s="181">
        <f t="shared" si="8"/>
        <v>2</v>
      </c>
      <c r="AS30" s="413"/>
      <c r="AT30" s="181">
        <v>20</v>
      </c>
      <c r="AU30" s="179">
        <v>2503.5714285714275</v>
      </c>
      <c r="AV30" s="179">
        <v>125.17857142857137</v>
      </c>
      <c r="AW30" s="181">
        <f t="shared" si="9"/>
        <v>1</v>
      </c>
      <c r="AX30" s="430"/>
    </row>
    <row r="31" spans="2:50">
      <c r="B31" s="400"/>
      <c r="C31" s="181">
        <v>5</v>
      </c>
      <c r="D31" s="196" t="s">
        <v>314</v>
      </c>
      <c r="E31" s="165">
        <v>19</v>
      </c>
      <c r="F31" s="181">
        <v>3000</v>
      </c>
      <c r="G31" s="179">
        <v>157.89473684210526</v>
      </c>
      <c r="H31" s="413"/>
      <c r="I31" s="165">
        <f t="shared" si="2"/>
        <v>20</v>
      </c>
      <c r="J31" s="165">
        <f t="shared" si="2"/>
        <v>2458.9428016496927</v>
      </c>
      <c r="K31" s="179">
        <f t="shared" si="2"/>
        <v>122.94714008248464</v>
      </c>
      <c r="L31" s="413"/>
      <c r="M31" s="180">
        <f>RANK(K31, K$27:$K$41)</f>
        <v>2</v>
      </c>
      <c r="N31" s="401"/>
      <c r="O31" s="401"/>
      <c r="P31" s="181">
        <v>20</v>
      </c>
      <c r="Q31" s="179">
        <v>2488.7394957983183</v>
      </c>
      <c r="R31" s="179">
        <v>124.43697478991592</v>
      </c>
      <c r="S31" s="181">
        <f t="shared" si="3"/>
        <v>1</v>
      </c>
      <c r="T31" s="413"/>
      <c r="U31" s="181">
        <v>20</v>
      </c>
      <c r="V31" s="179">
        <v>2410.4347826086941</v>
      </c>
      <c r="W31" s="179">
        <v>120.52173913043471</v>
      </c>
      <c r="X31" s="181">
        <f t="shared" si="4"/>
        <v>2</v>
      </c>
      <c r="Y31" s="413"/>
      <c r="Z31" s="181">
        <v>20</v>
      </c>
      <c r="AA31" s="179">
        <v>2489.7247706422031</v>
      </c>
      <c r="AB31" s="179">
        <v>124.48623853211015</v>
      </c>
      <c r="AC31" s="181">
        <f t="shared" si="5"/>
        <v>1</v>
      </c>
      <c r="AD31" s="413"/>
      <c r="AE31" s="181">
        <v>20</v>
      </c>
      <c r="AF31" s="179">
        <v>2427.8571428571445</v>
      </c>
      <c r="AG31" s="179">
        <v>121.39285714285722</v>
      </c>
      <c r="AH31" s="181">
        <f t="shared" si="6"/>
        <v>2</v>
      </c>
      <c r="AI31" s="413"/>
      <c r="AJ31" s="181">
        <v>20</v>
      </c>
      <c r="AK31" s="179">
        <v>2444.8598130841137</v>
      </c>
      <c r="AL31" s="179">
        <v>122.24299065420568</v>
      </c>
      <c r="AM31" s="181">
        <f t="shared" si="7"/>
        <v>2</v>
      </c>
      <c r="AN31" s="413"/>
      <c r="AO31" s="181">
        <v>20</v>
      </c>
      <c r="AP31" s="179">
        <v>2490.9836065573759</v>
      </c>
      <c r="AQ31" s="179">
        <v>124.5491803278688</v>
      </c>
      <c r="AR31" s="181">
        <f t="shared" si="8"/>
        <v>1</v>
      </c>
      <c r="AS31" s="413"/>
      <c r="AT31" s="181">
        <v>20</v>
      </c>
      <c r="AU31" s="179">
        <v>2459.9999999999986</v>
      </c>
      <c r="AV31" s="179">
        <v>122.99999999999993</v>
      </c>
      <c r="AW31" s="181">
        <f t="shared" si="9"/>
        <v>2</v>
      </c>
      <c r="AX31" s="430"/>
    </row>
    <row r="32" spans="2:50">
      <c r="B32" s="400"/>
      <c r="C32" s="181">
        <v>6</v>
      </c>
      <c r="D32" s="196"/>
      <c r="E32" s="165"/>
      <c r="F32" s="181"/>
      <c r="G32" s="179"/>
      <c r="H32" s="413"/>
      <c r="I32" s="165"/>
      <c r="J32" s="165"/>
      <c r="K32" s="179"/>
      <c r="L32" s="413"/>
      <c r="M32" s="180" t="e">
        <f>RANK(K32, K$27:$K$41)</f>
        <v>#N/A</v>
      </c>
      <c r="N32" s="401"/>
      <c r="O32" s="401"/>
      <c r="P32" s="181"/>
      <c r="Q32" s="179"/>
      <c r="R32" s="179"/>
      <c r="S32" s="181" t="e">
        <f t="shared" si="3"/>
        <v>#N/A</v>
      </c>
      <c r="T32" s="413"/>
      <c r="U32" s="181"/>
      <c r="V32" s="179"/>
      <c r="W32" s="179"/>
      <c r="X32" s="181" t="e">
        <f t="shared" si="4"/>
        <v>#N/A</v>
      </c>
      <c r="Y32" s="413"/>
      <c r="Z32" s="181"/>
      <c r="AA32" s="179"/>
      <c r="AB32" s="179"/>
      <c r="AC32" s="181" t="e">
        <f t="shared" si="5"/>
        <v>#N/A</v>
      </c>
      <c r="AD32" s="413"/>
      <c r="AE32" s="181"/>
      <c r="AF32" s="179"/>
      <c r="AG32" s="179"/>
      <c r="AH32" s="181" t="e">
        <f t="shared" si="6"/>
        <v>#N/A</v>
      </c>
      <c r="AI32" s="413"/>
      <c r="AJ32" s="181"/>
      <c r="AK32" s="179"/>
      <c r="AL32" s="179"/>
      <c r="AM32" s="181" t="e">
        <f t="shared" si="7"/>
        <v>#N/A</v>
      </c>
      <c r="AN32" s="413"/>
      <c r="AO32" s="181"/>
      <c r="AP32" s="179"/>
      <c r="AQ32" s="179"/>
      <c r="AR32" s="181" t="e">
        <f t="shared" si="8"/>
        <v>#N/A</v>
      </c>
      <c r="AS32" s="413"/>
      <c r="AT32" s="181"/>
      <c r="AU32" s="179"/>
      <c r="AV32" s="179"/>
      <c r="AW32" s="181" t="e">
        <f t="shared" si="9"/>
        <v>#N/A</v>
      </c>
      <c r="AX32" s="430"/>
    </row>
    <row r="33" spans="2:50">
      <c r="B33" s="400"/>
      <c r="C33" s="181">
        <v>7</v>
      </c>
      <c r="D33" s="196"/>
      <c r="E33" s="165"/>
      <c r="F33" s="181"/>
      <c r="G33" s="179"/>
      <c r="H33" s="413"/>
      <c r="I33" s="165"/>
      <c r="J33" s="165"/>
      <c r="K33" s="179"/>
      <c r="L33" s="413"/>
      <c r="M33" s="180" t="e">
        <f>RANK(K33, K$27:$K$41)</f>
        <v>#N/A</v>
      </c>
      <c r="N33" s="401"/>
      <c r="O33" s="401"/>
      <c r="P33" s="181"/>
      <c r="Q33" s="179"/>
      <c r="R33" s="179"/>
      <c r="S33" s="181" t="e">
        <f t="shared" si="3"/>
        <v>#N/A</v>
      </c>
      <c r="T33" s="413"/>
      <c r="U33" s="181"/>
      <c r="V33" s="179"/>
      <c r="W33" s="179"/>
      <c r="X33" s="181" t="e">
        <f t="shared" si="4"/>
        <v>#N/A</v>
      </c>
      <c r="Y33" s="413"/>
      <c r="Z33" s="181"/>
      <c r="AA33" s="179"/>
      <c r="AB33" s="179"/>
      <c r="AC33" s="181" t="e">
        <f t="shared" si="5"/>
        <v>#N/A</v>
      </c>
      <c r="AD33" s="413"/>
      <c r="AE33" s="181"/>
      <c r="AF33" s="179"/>
      <c r="AG33" s="179"/>
      <c r="AH33" s="181" t="e">
        <f t="shared" si="6"/>
        <v>#N/A</v>
      </c>
      <c r="AI33" s="413"/>
      <c r="AJ33" s="181"/>
      <c r="AK33" s="179"/>
      <c r="AL33" s="179"/>
      <c r="AM33" s="181" t="e">
        <f t="shared" si="7"/>
        <v>#N/A</v>
      </c>
      <c r="AN33" s="413"/>
      <c r="AO33" s="181"/>
      <c r="AP33" s="179"/>
      <c r="AQ33" s="179"/>
      <c r="AR33" s="181" t="e">
        <f t="shared" si="8"/>
        <v>#N/A</v>
      </c>
      <c r="AS33" s="413"/>
      <c r="AT33" s="181"/>
      <c r="AU33" s="179"/>
      <c r="AV33" s="179"/>
      <c r="AW33" s="181" t="e">
        <f t="shared" si="9"/>
        <v>#N/A</v>
      </c>
      <c r="AX33" s="430"/>
    </row>
    <row r="34" spans="2:50">
      <c r="B34" s="400"/>
      <c r="C34" s="181">
        <v>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80" t="e">
        <f>RANK(K34, K$27:$K$41)</f>
        <v>#N/A</v>
      </c>
      <c r="N34" s="401"/>
      <c r="O34" s="401"/>
      <c r="P34" s="181"/>
      <c r="Q34" s="179"/>
      <c r="R34" s="179"/>
      <c r="S34" s="181" t="e">
        <f t="shared" si="3"/>
        <v>#N/A</v>
      </c>
      <c r="T34" s="413"/>
      <c r="U34" s="181"/>
      <c r="V34" s="179"/>
      <c r="W34" s="179"/>
      <c r="X34" s="181" t="e">
        <f t="shared" si="4"/>
        <v>#N/A</v>
      </c>
      <c r="Y34" s="413"/>
      <c r="Z34" s="181"/>
      <c r="AA34" s="179"/>
      <c r="AB34" s="179"/>
      <c r="AC34" s="181" t="e">
        <f t="shared" si="5"/>
        <v>#N/A</v>
      </c>
      <c r="AD34" s="413"/>
      <c r="AE34" s="181"/>
      <c r="AF34" s="179"/>
      <c r="AG34" s="179"/>
      <c r="AH34" s="181" t="e">
        <f t="shared" si="6"/>
        <v>#N/A</v>
      </c>
      <c r="AI34" s="413"/>
      <c r="AJ34" s="181"/>
      <c r="AK34" s="179"/>
      <c r="AL34" s="179"/>
      <c r="AM34" s="181" t="e">
        <f t="shared" si="7"/>
        <v>#N/A</v>
      </c>
      <c r="AN34" s="413"/>
      <c r="AO34" s="181"/>
      <c r="AP34" s="179"/>
      <c r="AQ34" s="179"/>
      <c r="AR34" s="181" t="e">
        <f t="shared" si="8"/>
        <v>#N/A</v>
      </c>
      <c r="AS34" s="413"/>
      <c r="AT34" s="181"/>
      <c r="AU34" s="179"/>
      <c r="AV34" s="179"/>
      <c r="AW34" s="181" t="e">
        <f t="shared" si="9"/>
        <v>#N/A</v>
      </c>
      <c r="AX34" s="430"/>
    </row>
    <row r="35" spans="2:50">
      <c r="B35" s="400"/>
      <c r="C35" s="181">
        <v>9</v>
      </c>
      <c r="D35" s="196"/>
      <c r="E35" s="165"/>
      <c r="F35" s="181"/>
      <c r="G35" s="179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81"/>
      <c r="Q35" s="179"/>
      <c r="R35" s="179"/>
      <c r="S35" s="181" t="e">
        <f t="shared" si="3"/>
        <v>#N/A</v>
      </c>
      <c r="T35" s="413"/>
      <c r="U35" s="181"/>
      <c r="V35" s="179"/>
      <c r="W35" s="179"/>
      <c r="X35" s="181" t="e">
        <f t="shared" si="4"/>
        <v>#N/A</v>
      </c>
      <c r="Y35" s="413"/>
      <c r="Z35" s="181"/>
      <c r="AA35" s="179"/>
      <c r="AB35" s="179"/>
      <c r="AC35" s="181" t="e">
        <f t="shared" si="5"/>
        <v>#N/A</v>
      </c>
      <c r="AD35" s="413"/>
      <c r="AE35" s="181"/>
      <c r="AF35" s="179"/>
      <c r="AG35" s="179"/>
      <c r="AH35" s="181" t="e">
        <f t="shared" si="6"/>
        <v>#N/A</v>
      </c>
      <c r="AI35" s="413"/>
      <c r="AJ35" s="181"/>
      <c r="AK35" s="179"/>
      <c r="AL35" s="179"/>
      <c r="AM35" s="181" t="e">
        <f t="shared" si="7"/>
        <v>#N/A</v>
      </c>
      <c r="AN35" s="413"/>
      <c r="AO35" s="181"/>
      <c r="AP35" s="179"/>
      <c r="AQ35" s="179"/>
      <c r="AR35" s="181" t="e">
        <f t="shared" si="8"/>
        <v>#N/A</v>
      </c>
      <c r="AS35" s="413"/>
      <c r="AT35" s="181"/>
      <c r="AU35" s="179"/>
      <c r="AV35" s="179"/>
      <c r="AW35" s="181" t="e">
        <f t="shared" si="9"/>
        <v>#N/A</v>
      </c>
      <c r="AX35" s="430"/>
    </row>
    <row r="36" spans="2:50">
      <c r="B36" s="400"/>
      <c r="C36" s="181">
        <v>10</v>
      </c>
      <c r="D36" s="196"/>
      <c r="E36" s="165"/>
      <c r="F36" s="181"/>
      <c r="G36" s="179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81"/>
      <c r="Q36" s="181"/>
      <c r="R36" s="179"/>
      <c r="S36" s="181" t="e">
        <f t="shared" si="3"/>
        <v>#N/A</v>
      </c>
      <c r="T36" s="413"/>
      <c r="U36" s="181"/>
      <c r="V36" s="181"/>
      <c r="W36" s="179"/>
      <c r="X36" s="181" t="e">
        <f t="shared" si="4"/>
        <v>#N/A</v>
      </c>
      <c r="Y36" s="413"/>
      <c r="Z36" s="181"/>
      <c r="AA36" s="181"/>
      <c r="AB36" s="179"/>
      <c r="AC36" s="181" t="e">
        <f t="shared" si="5"/>
        <v>#N/A</v>
      </c>
      <c r="AD36" s="413"/>
      <c r="AE36" s="181"/>
      <c r="AF36" s="181"/>
      <c r="AG36" s="179"/>
      <c r="AH36" s="181" t="e">
        <f t="shared" si="6"/>
        <v>#N/A</v>
      </c>
      <c r="AI36" s="413"/>
      <c r="AJ36" s="181"/>
      <c r="AK36" s="181"/>
      <c r="AL36" s="179"/>
      <c r="AM36" s="181" t="e">
        <f t="shared" si="7"/>
        <v>#N/A</v>
      </c>
      <c r="AN36" s="413"/>
      <c r="AO36" s="181"/>
      <c r="AP36" s="181"/>
      <c r="AQ36" s="179"/>
      <c r="AR36" s="181" t="e">
        <f t="shared" si="8"/>
        <v>#N/A</v>
      </c>
      <c r="AS36" s="413"/>
      <c r="AT36" s="181"/>
      <c r="AU36" s="181"/>
      <c r="AV36" s="179"/>
      <c r="AW36" s="181" t="e">
        <f t="shared" si="9"/>
        <v>#N/A</v>
      </c>
      <c r="AX36" s="43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81"/>
      <c r="J37" s="181"/>
      <c r="K37" s="181"/>
      <c r="L37" s="413"/>
      <c r="M37" s="180" t="e">
        <f>RANK(K37, K$27:$K$41)</f>
        <v>#N/A</v>
      </c>
      <c r="N37" s="401"/>
      <c r="O37" s="401"/>
      <c r="P37" s="181"/>
      <c r="Q37" s="181"/>
      <c r="R37" s="181"/>
      <c r="S37" s="181" t="e">
        <f t="shared" si="3"/>
        <v>#N/A</v>
      </c>
      <c r="T37" s="413"/>
      <c r="U37" s="181"/>
      <c r="V37" s="181"/>
      <c r="W37" s="181"/>
      <c r="X37" s="181" t="e">
        <f t="shared" si="4"/>
        <v>#N/A</v>
      </c>
      <c r="Y37" s="413"/>
      <c r="Z37" s="181"/>
      <c r="AA37" s="181"/>
      <c r="AB37" s="181"/>
      <c r="AC37" s="181" t="e">
        <f t="shared" si="5"/>
        <v>#N/A</v>
      </c>
      <c r="AD37" s="413"/>
      <c r="AE37" s="181"/>
      <c r="AF37" s="181"/>
      <c r="AG37" s="181"/>
      <c r="AH37" s="181" t="e">
        <f t="shared" si="6"/>
        <v>#N/A</v>
      </c>
      <c r="AI37" s="413"/>
      <c r="AJ37" s="181"/>
      <c r="AK37" s="181"/>
      <c r="AL37" s="181"/>
      <c r="AM37" s="181" t="e">
        <f t="shared" si="7"/>
        <v>#N/A</v>
      </c>
      <c r="AN37" s="413"/>
      <c r="AO37" s="181"/>
      <c r="AP37" s="181"/>
      <c r="AQ37" s="181"/>
      <c r="AR37" s="181" t="e">
        <f t="shared" si="8"/>
        <v>#N/A</v>
      </c>
      <c r="AS37" s="413"/>
      <c r="AT37" s="181"/>
      <c r="AU37" s="181"/>
      <c r="AV37" s="181"/>
      <c r="AW37" s="181" t="e">
        <f t="shared" si="9"/>
        <v>#N/A</v>
      </c>
      <c r="AX37" s="43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81"/>
      <c r="J38" s="181"/>
      <c r="K38" s="181"/>
      <c r="L38" s="413"/>
      <c r="M38" s="180" t="e">
        <f>RANK(K38, K$27:$K$41)</f>
        <v>#N/A</v>
      </c>
      <c r="N38" s="401"/>
      <c r="O38" s="401"/>
      <c r="P38" s="181"/>
      <c r="Q38" s="181"/>
      <c r="R38" s="181"/>
      <c r="S38" s="181" t="e">
        <f t="shared" si="3"/>
        <v>#N/A</v>
      </c>
      <c r="T38" s="413"/>
      <c r="U38" s="181"/>
      <c r="V38" s="181"/>
      <c r="W38" s="181"/>
      <c r="X38" s="181" t="e">
        <f t="shared" si="4"/>
        <v>#N/A</v>
      </c>
      <c r="Y38" s="413"/>
      <c r="Z38" s="181"/>
      <c r="AA38" s="181"/>
      <c r="AB38" s="181"/>
      <c r="AC38" s="181" t="e">
        <f t="shared" si="5"/>
        <v>#N/A</v>
      </c>
      <c r="AD38" s="413"/>
      <c r="AE38" s="181"/>
      <c r="AF38" s="181"/>
      <c r="AG38" s="181"/>
      <c r="AH38" s="181" t="e">
        <f t="shared" si="6"/>
        <v>#N/A</v>
      </c>
      <c r="AI38" s="413"/>
      <c r="AJ38" s="181"/>
      <c r="AK38" s="181"/>
      <c r="AL38" s="181"/>
      <c r="AM38" s="181" t="e">
        <f t="shared" si="7"/>
        <v>#N/A</v>
      </c>
      <c r="AN38" s="413"/>
      <c r="AO38" s="181"/>
      <c r="AP38" s="181"/>
      <c r="AQ38" s="181"/>
      <c r="AR38" s="181" t="e">
        <f t="shared" si="8"/>
        <v>#N/A</v>
      </c>
      <c r="AS38" s="413"/>
      <c r="AT38" s="181"/>
      <c r="AU38" s="181"/>
      <c r="AV38" s="181"/>
      <c r="AW38" s="181" t="e">
        <f t="shared" si="9"/>
        <v>#N/A</v>
      </c>
      <c r="AX38" s="43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81"/>
      <c r="J39" s="181"/>
      <c r="K39" s="181"/>
      <c r="L39" s="413"/>
      <c r="M39" s="180" t="e">
        <f>RANK(K39, K$27:$K$41)</f>
        <v>#N/A</v>
      </c>
      <c r="N39" s="401"/>
      <c r="O39" s="401"/>
      <c r="P39" s="181"/>
      <c r="Q39" s="181"/>
      <c r="R39" s="181"/>
      <c r="S39" s="181" t="e">
        <f t="shared" si="3"/>
        <v>#N/A</v>
      </c>
      <c r="T39" s="413"/>
      <c r="U39" s="181"/>
      <c r="V39" s="181"/>
      <c r="W39" s="181"/>
      <c r="X39" s="181" t="e">
        <f t="shared" si="4"/>
        <v>#N/A</v>
      </c>
      <c r="Y39" s="413"/>
      <c r="Z39" s="181"/>
      <c r="AA39" s="181"/>
      <c r="AB39" s="181"/>
      <c r="AC39" s="181" t="e">
        <f t="shared" si="5"/>
        <v>#N/A</v>
      </c>
      <c r="AD39" s="413"/>
      <c r="AE39" s="181"/>
      <c r="AF39" s="181"/>
      <c r="AG39" s="181"/>
      <c r="AH39" s="181" t="e">
        <f t="shared" si="6"/>
        <v>#N/A</v>
      </c>
      <c r="AI39" s="413"/>
      <c r="AJ39" s="181"/>
      <c r="AK39" s="181"/>
      <c r="AL39" s="181"/>
      <c r="AM39" s="181" t="e">
        <f t="shared" si="7"/>
        <v>#N/A</v>
      </c>
      <c r="AN39" s="413"/>
      <c r="AO39" s="181"/>
      <c r="AP39" s="181"/>
      <c r="AQ39" s="181"/>
      <c r="AR39" s="181" t="e">
        <f t="shared" si="8"/>
        <v>#N/A</v>
      </c>
      <c r="AS39" s="413"/>
      <c r="AT39" s="181"/>
      <c r="AU39" s="181"/>
      <c r="AV39" s="181"/>
      <c r="AW39" s="181" t="e">
        <f t="shared" si="9"/>
        <v>#N/A</v>
      </c>
      <c r="AX39" s="43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81"/>
      <c r="J40" s="181"/>
      <c r="K40" s="181"/>
      <c r="L40" s="413"/>
      <c r="M40" s="180" t="e">
        <f>RANK(K40, K$27:$K$41)</f>
        <v>#N/A</v>
      </c>
      <c r="N40" s="401"/>
      <c r="O40" s="401"/>
      <c r="P40" s="181"/>
      <c r="Q40" s="181"/>
      <c r="R40" s="181"/>
      <c r="S40" s="181" t="e">
        <f t="shared" si="3"/>
        <v>#N/A</v>
      </c>
      <c r="T40" s="413"/>
      <c r="U40" s="181"/>
      <c r="V40" s="181"/>
      <c r="W40" s="181"/>
      <c r="X40" s="181" t="e">
        <f t="shared" si="4"/>
        <v>#N/A</v>
      </c>
      <c r="Y40" s="413"/>
      <c r="Z40" s="181"/>
      <c r="AA40" s="181"/>
      <c r="AB40" s="181"/>
      <c r="AC40" s="181" t="e">
        <f t="shared" si="5"/>
        <v>#N/A</v>
      </c>
      <c r="AD40" s="413"/>
      <c r="AE40" s="181"/>
      <c r="AF40" s="181"/>
      <c r="AG40" s="181"/>
      <c r="AH40" s="181" t="e">
        <f t="shared" si="6"/>
        <v>#N/A</v>
      </c>
      <c r="AI40" s="413"/>
      <c r="AJ40" s="181"/>
      <c r="AK40" s="181"/>
      <c r="AL40" s="181"/>
      <c r="AM40" s="181" t="e">
        <f t="shared" si="7"/>
        <v>#N/A</v>
      </c>
      <c r="AN40" s="413"/>
      <c r="AO40" s="181"/>
      <c r="AP40" s="181"/>
      <c r="AQ40" s="181"/>
      <c r="AR40" s="181" t="e">
        <f t="shared" si="8"/>
        <v>#N/A</v>
      </c>
      <c r="AS40" s="413"/>
      <c r="AT40" s="181"/>
      <c r="AU40" s="181"/>
      <c r="AV40" s="181"/>
      <c r="AW40" s="181" t="e">
        <f t="shared" si="9"/>
        <v>#N/A</v>
      </c>
      <c r="AX40" s="43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81"/>
      <c r="J41" s="181"/>
      <c r="K41" s="181"/>
      <c r="L41" s="414"/>
      <c r="M41" s="165" t="e">
        <f>RANK(K41, K$27:$K$41)</f>
        <v>#N/A</v>
      </c>
      <c r="N41" s="401"/>
      <c r="O41" s="401"/>
      <c r="P41" s="181"/>
      <c r="Q41" s="181"/>
      <c r="R41" s="181"/>
      <c r="S41" s="181" t="e">
        <f t="shared" si="3"/>
        <v>#N/A</v>
      </c>
      <c r="T41" s="414"/>
      <c r="U41" s="181"/>
      <c r="V41" s="181"/>
      <c r="W41" s="181"/>
      <c r="X41" s="181" t="e">
        <f t="shared" si="4"/>
        <v>#N/A</v>
      </c>
      <c r="Y41" s="414"/>
      <c r="Z41" s="181"/>
      <c r="AA41" s="181"/>
      <c r="AB41" s="181"/>
      <c r="AC41" s="181" t="e">
        <f t="shared" si="5"/>
        <v>#N/A</v>
      </c>
      <c r="AD41" s="414"/>
      <c r="AE41" s="181"/>
      <c r="AF41" s="181"/>
      <c r="AG41" s="181"/>
      <c r="AH41" s="181" t="e">
        <f t="shared" si="6"/>
        <v>#N/A</v>
      </c>
      <c r="AI41" s="414"/>
      <c r="AJ41" s="181"/>
      <c r="AK41" s="181"/>
      <c r="AL41" s="181"/>
      <c r="AM41" s="181" t="e">
        <f t="shared" si="7"/>
        <v>#N/A</v>
      </c>
      <c r="AN41" s="414"/>
      <c r="AO41" s="181"/>
      <c r="AP41" s="181"/>
      <c r="AQ41" s="181"/>
      <c r="AR41" s="181" t="e">
        <f t="shared" si="8"/>
        <v>#N/A</v>
      </c>
      <c r="AS41" s="414"/>
      <c r="AT41" s="181"/>
      <c r="AU41" s="181"/>
      <c r="AV41" s="181"/>
      <c r="AW41" s="181" t="e">
        <f t="shared" si="9"/>
        <v>#N/A</v>
      </c>
      <c r="AX41" s="430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01" t="s">
        <v>309</v>
      </c>
      <c r="C47" s="181">
        <v>1</v>
      </c>
      <c r="D47" s="196" t="s">
        <v>310</v>
      </c>
      <c r="E47" s="165">
        <v>21</v>
      </c>
      <c r="F47" s="181">
        <v>2400</v>
      </c>
      <c r="G47" s="179">
        <v>114.28571428571429</v>
      </c>
      <c r="H47" s="412">
        <f>AVERAGE(G47:G61)</f>
        <v>143.60275689223059</v>
      </c>
      <c r="I47" s="165">
        <f t="shared" ref="I47:K51" si="10">AVERAGE(P47,U47,Z47,AE47,AJ47,AO47,AT47)</f>
        <v>20</v>
      </c>
      <c r="J47" s="165">
        <f t="shared" si="10"/>
        <v>2196.4223386274125</v>
      </c>
      <c r="K47" s="179">
        <f t="shared" si="10"/>
        <v>109.82111693137063</v>
      </c>
      <c r="L47" s="412">
        <f>IFERROR(AVERAGE(K47:K61),"-")</f>
        <v>117.87986143047594</v>
      </c>
      <c r="M47" s="180">
        <f>RANK(K47, K$47:$K$61)</f>
        <v>5</v>
      </c>
      <c r="N47" s="401"/>
      <c r="O47" s="401"/>
      <c r="P47" s="181">
        <v>20</v>
      </c>
      <c r="Q47" s="179">
        <v>2204.6341463414624</v>
      </c>
      <c r="R47" s="179">
        <v>110.23170731707312</v>
      </c>
      <c r="S47" s="181">
        <f>RANK(R47, R$47:R$61)</f>
        <v>5</v>
      </c>
      <c r="T47" s="412">
        <f>AVERAGE(R47:R61)</f>
        <v>117.63801852541592</v>
      </c>
      <c r="U47" s="181">
        <v>20</v>
      </c>
      <c r="V47" s="179">
        <v>2186.6666666666665</v>
      </c>
      <c r="W47" s="179">
        <v>109.33333333333333</v>
      </c>
      <c r="X47" s="181">
        <f>RANK(W47, W$47:W$61)</f>
        <v>5</v>
      </c>
      <c r="Y47" s="412">
        <f>AVERAGE(W47:W61)</f>
        <v>119.67373773246072</v>
      </c>
      <c r="Z47" s="181">
        <v>20</v>
      </c>
      <c r="AA47" s="179">
        <v>2222.7586206896549</v>
      </c>
      <c r="AB47" s="179">
        <v>111.13793103448275</v>
      </c>
      <c r="AC47" s="181">
        <f>RANK(AB47, AB$47:AB$61)</f>
        <v>5</v>
      </c>
      <c r="AD47" s="412">
        <f>AVERAGE(AB47:AB61)</f>
        <v>117.69897785446467</v>
      </c>
      <c r="AE47" s="181">
        <v>20</v>
      </c>
      <c r="AF47" s="179">
        <v>2211.7499999999995</v>
      </c>
      <c r="AG47" s="179">
        <v>110.58749999999998</v>
      </c>
      <c r="AH47" s="181">
        <f>RANK(AG47, AG$47:AG$61)</f>
        <v>5</v>
      </c>
      <c r="AI47" s="412">
        <f>AVERAGE(AG47:AG61)</f>
        <v>117.24538438758591</v>
      </c>
      <c r="AJ47" s="181">
        <v>20</v>
      </c>
      <c r="AK47" s="179">
        <v>2157.1428571428564</v>
      </c>
      <c r="AL47" s="179">
        <v>107.85714285714282</v>
      </c>
      <c r="AM47" s="181">
        <f>RANK(AL47, AL$47:AL$61)</f>
        <v>5</v>
      </c>
      <c r="AN47" s="412">
        <f>AVERAGE(AL47:AL61)</f>
        <v>116.49691126197702</v>
      </c>
      <c r="AO47" s="181">
        <v>20</v>
      </c>
      <c r="AP47" s="179">
        <v>2198.4905660377353</v>
      </c>
      <c r="AQ47" s="179">
        <v>109.92452830188677</v>
      </c>
      <c r="AR47" s="181">
        <f>RANK(AQ47, AQ$47:AQ$61)</f>
        <v>5</v>
      </c>
      <c r="AS47" s="412">
        <f>AVERAGE(AQ47:AQ61)</f>
        <v>118.29290784106927</v>
      </c>
      <c r="AT47" s="181">
        <v>20</v>
      </c>
      <c r="AU47" s="179">
        <v>2193.5135135135133</v>
      </c>
      <c r="AV47" s="179">
        <v>109.67567567567566</v>
      </c>
      <c r="AW47" s="181">
        <f>RANK(AV47, AV$47:AV$61)</f>
        <v>5</v>
      </c>
      <c r="AX47" s="430">
        <f>AVERAGE(AV47:AV61)</f>
        <v>118.11309241035822</v>
      </c>
    </row>
    <row r="48" spans="2:50">
      <c r="B48" s="400"/>
      <c r="C48" s="181">
        <v>2</v>
      </c>
      <c r="D48" s="196" t="s">
        <v>311</v>
      </c>
      <c r="E48" s="165">
        <v>18</v>
      </c>
      <c r="F48" s="181">
        <v>3000</v>
      </c>
      <c r="G48" s="179">
        <v>166.66666666666666</v>
      </c>
      <c r="H48" s="413"/>
      <c r="I48" s="165">
        <f t="shared" si="10"/>
        <v>20</v>
      </c>
      <c r="J48" s="165">
        <f t="shared" si="10"/>
        <v>2373.1783819943239</v>
      </c>
      <c r="K48" s="179">
        <f t="shared" si="10"/>
        <v>118.6589190997162</v>
      </c>
      <c r="L48" s="413"/>
      <c r="M48" s="180">
        <f>RANK(K48, K$47:$K$61)</f>
        <v>3</v>
      </c>
      <c r="N48" s="401"/>
      <c r="O48" s="401"/>
      <c r="P48" s="181">
        <v>20</v>
      </c>
      <c r="Q48" s="179">
        <v>2425.0746268656717</v>
      </c>
      <c r="R48" s="179">
        <v>121.25373134328359</v>
      </c>
      <c r="S48" s="181">
        <f t="shared" ref="S48:S61" si="11">RANK(R48, R$47:R$61)</f>
        <v>3</v>
      </c>
      <c r="T48" s="413"/>
      <c r="U48" s="181">
        <v>20</v>
      </c>
      <c r="V48" s="179">
        <v>2429.5774647887329</v>
      </c>
      <c r="W48" s="179">
        <v>121.47887323943664</v>
      </c>
      <c r="X48" s="181">
        <f t="shared" ref="X48:X61" si="12">RANK(W48, W$47:W$61)</f>
        <v>3</v>
      </c>
      <c r="Y48" s="413"/>
      <c r="Z48" s="181">
        <v>20</v>
      </c>
      <c r="AA48" s="179">
        <v>2321.666666666667</v>
      </c>
      <c r="AB48" s="179">
        <v>116.08333333333334</v>
      </c>
      <c r="AC48" s="181">
        <f t="shared" ref="AC48:AC61" si="13">RANK(AB48, AB$47:AB$61)</f>
        <v>3</v>
      </c>
      <c r="AD48" s="413"/>
      <c r="AE48" s="181">
        <v>20</v>
      </c>
      <c r="AF48" s="179">
        <v>2343.5820895522388</v>
      </c>
      <c r="AG48" s="179">
        <v>117.17910447761194</v>
      </c>
      <c r="AH48" s="181">
        <f t="shared" ref="AH48:AH61" si="14">RANK(AG48, AG$47:AG$61)</f>
        <v>3</v>
      </c>
      <c r="AI48" s="413"/>
      <c r="AJ48" s="181">
        <v>20</v>
      </c>
      <c r="AK48" s="179">
        <v>2324.3478260869565</v>
      </c>
      <c r="AL48" s="179">
        <v>116.21739130434783</v>
      </c>
      <c r="AM48" s="181">
        <f t="shared" ref="AM48:AM61" si="15">RANK(AL48, AL$47:AL$61)</f>
        <v>3</v>
      </c>
      <c r="AN48" s="413"/>
      <c r="AO48" s="181">
        <v>20</v>
      </c>
      <c r="AP48" s="179">
        <v>2376.0000000000009</v>
      </c>
      <c r="AQ48" s="179">
        <v>118.80000000000004</v>
      </c>
      <c r="AR48" s="181">
        <f t="shared" ref="AR48:AR61" si="16">RANK(AQ48, AQ$47:AQ$61)</f>
        <v>3</v>
      </c>
      <c r="AS48" s="413"/>
      <c r="AT48" s="181">
        <v>20</v>
      </c>
      <c r="AU48" s="179">
        <v>2392.0000000000009</v>
      </c>
      <c r="AV48" s="179">
        <v>119.60000000000005</v>
      </c>
      <c r="AW48" s="181">
        <f t="shared" ref="AW48:AW61" si="17">RANK(AV48, AV$47:AV$61)</f>
        <v>3</v>
      </c>
      <c r="AX48" s="430"/>
    </row>
    <row r="49" spans="2:50">
      <c r="B49" s="400"/>
      <c r="C49" s="181">
        <v>3</v>
      </c>
      <c r="D49" s="196" t="s">
        <v>312</v>
      </c>
      <c r="E49" s="165">
        <v>20</v>
      </c>
      <c r="F49" s="181">
        <v>2250</v>
      </c>
      <c r="G49" s="179">
        <v>112.5</v>
      </c>
      <c r="H49" s="413"/>
      <c r="I49" s="165">
        <f t="shared" si="10"/>
        <v>20</v>
      </c>
      <c r="J49" s="165">
        <f t="shared" si="10"/>
        <v>2263.9344116518764</v>
      </c>
      <c r="K49" s="179">
        <f t="shared" si="10"/>
        <v>113.19672058259381</v>
      </c>
      <c r="L49" s="413"/>
      <c r="M49" s="180">
        <f>RANK(K49, K$47:$K$61)</f>
        <v>4</v>
      </c>
      <c r="N49" s="401"/>
      <c r="O49" s="401"/>
      <c r="P49" s="181">
        <v>20</v>
      </c>
      <c r="Q49" s="179">
        <v>2248.3636363636379</v>
      </c>
      <c r="R49" s="179">
        <v>112.41818181818189</v>
      </c>
      <c r="S49" s="181">
        <f t="shared" si="11"/>
        <v>4</v>
      </c>
      <c r="T49" s="413"/>
      <c r="U49" s="181">
        <v>20</v>
      </c>
      <c r="V49" s="179">
        <v>2316.2068965517224</v>
      </c>
      <c r="W49" s="179">
        <v>115.81034482758612</v>
      </c>
      <c r="X49" s="181">
        <f t="shared" si="12"/>
        <v>4</v>
      </c>
      <c r="Y49" s="413"/>
      <c r="Z49" s="181">
        <v>20</v>
      </c>
      <c r="AA49" s="179">
        <v>2282.1818181818198</v>
      </c>
      <c r="AB49" s="179">
        <v>114.10909090909099</v>
      </c>
      <c r="AC49" s="181">
        <f t="shared" si="13"/>
        <v>4</v>
      </c>
      <c r="AD49" s="413"/>
      <c r="AE49" s="181">
        <v>20</v>
      </c>
      <c r="AF49" s="179">
        <v>2237.7777777777792</v>
      </c>
      <c r="AG49" s="179">
        <v>111.88888888888896</v>
      </c>
      <c r="AH49" s="181">
        <f t="shared" si="14"/>
        <v>4</v>
      </c>
      <c r="AI49" s="413"/>
      <c r="AJ49" s="181">
        <v>20</v>
      </c>
      <c r="AK49" s="179">
        <v>2223.3333333333348</v>
      </c>
      <c r="AL49" s="179">
        <v>111.16666666666674</v>
      </c>
      <c r="AM49" s="181">
        <f t="shared" si="15"/>
        <v>4</v>
      </c>
      <c r="AN49" s="413"/>
      <c r="AO49" s="181">
        <v>20</v>
      </c>
      <c r="AP49" s="179">
        <v>2246.1290322580667</v>
      </c>
      <c r="AQ49" s="179">
        <v>112.30645161290333</v>
      </c>
      <c r="AR49" s="181">
        <f t="shared" si="16"/>
        <v>4</v>
      </c>
      <c r="AS49" s="413"/>
      <c r="AT49" s="181">
        <v>20</v>
      </c>
      <c r="AU49" s="179">
        <v>2293.5483870967764</v>
      </c>
      <c r="AV49" s="179">
        <v>114.67741935483882</v>
      </c>
      <c r="AW49" s="181">
        <f t="shared" si="17"/>
        <v>4</v>
      </c>
      <c r="AX49" s="430"/>
    </row>
    <row r="50" spans="2:50">
      <c r="B50" s="400"/>
      <c r="C50" s="181">
        <v>4</v>
      </c>
      <c r="D50" s="196" t="s">
        <v>313</v>
      </c>
      <c r="E50" s="165">
        <v>18</v>
      </c>
      <c r="F50" s="181">
        <v>3000</v>
      </c>
      <c r="G50" s="179">
        <v>166.66666666666666</v>
      </c>
      <c r="H50" s="413"/>
      <c r="I50" s="165">
        <f t="shared" si="10"/>
        <v>20</v>
      </c>
      <c r="J50" s="165">
        <f t="shared" si="10"/>
        <v>2455.370879198148</v>
      </c>
      <c r="K50" s="179">
        <f t="shared" si="10"/>
        <v>122.76854395990742</v>
      </c>
      <c r="L50" s="413"/>
      <c r="M50" s="180">
        <f>RANK(K50, K$47:$K$61)</f>
        <v>2</v>
      </c>
      <c r="N50" s="401"/>
      <c r="O50" s="401"/>
      <c r="P50" s="181">
        <v>20</v>
      </c>
      <c r="Q50" s="179">
        <v>2450.3448275862065</v>
      </c>
      <c r="R50" s="179">
        <v>122.51724137931032</v>
      </c>
      <c r="S50" s="181">
        <f t="shared" si="11"/>
        <v>1</v>
      </c>
      <c r="T50" s="413"/>
      <c r="U50" s="181">
        <v>20</v>
      </c>
      <c r="V50" s="179">
        <v>2492.608695652174</v>
      </c>
      <c r="W50" s="179">
        <v>124.6304347826087</v>
      </c>
      <c r="X50" s="181">
        <f t="shared" si="12"/>
        <v>2</v>
      </c>
      <c r="Y50" s="413"/>
      <c r="Z50" s="181">
        <v>20</v>
      </c>
      <c r="AA50" s="179">
        <v>2442.9545454545455</v>
      </c>
      <c r="AB50" s="179">
        <v>122.14772727272728</v>
      </c>
      <c r="AC50" s="181">
        <f t="shared" si="13"/>
        <v>2</v>
      </c>
      <c r="AD50" s="413"/>
      <c r="AE50" s="181">
        <v>20</v>
      </c>
      <c r="AF50" s="179">
        <v>2428.5714285714275</v>
      </c>
      <c r="AG50" s="179">
        <v>121.42857142857137</v>
      </c>
      <c r="AH50" s="181">
        <f t="shared" si="14"/>
        <v>2</v>
      </c>
      <c r="AI50" s="413"/>
      <c r="AJ50" s="181">
        <v>20</v>
      </c>
      <c r="AK50" s="179">
        <v>2405.5813953488368</v>
      </c>
      <c r="AL50" s="179">
        <v>120.27906976744184</v>
      </c>
      <c r="AM50" s="181">
        <f t="shared" si="15"/>
        <v>2</v>
      </c>
      <c r="AN50" s="413"/>
      <c r="AO50" s="181">
        <v>20</v>
      </c>
      <c r="AP50" s="179">
        <v>2489.6629213483147</v>
      </c>
      <c r="AQ50" s="179">
        <v>124.48314606741573</v>
      </c>
      <c r="AR50" s="181">
        <f t="shared" si="16"/>
        <v>2</v>
      </c>
      <c r="AS50" s="413"/>
      <c r="AT50" s="181">
        <v>20</v>
      </c>
      <c r="AU50" s="179">
        <v>2477.872340425532</v>
      </c>
      <c r="AV50" s="179">
        <v>123.8936170212766</v>
      </c>
      <c r="AW50" s="181">
        <f t="shared" si="17"/>
        <v>1</v>
      </c>
      <c r="AX50" s="430"/>
    </row>
    <row r="51" spans="2:50">
      <c r="B51" s="400"/>
      <c r="C51" s="181">
        <v>5</v>
      </c>
      <c r="D51" s="196" t="s">
        <v>314</v>
      </c>
      <c r="E51" s="165">
        <v>19</v>
      </c>
      <c r="F51" s="181">
        <v>3000</v>
      </c>
      <c r="G51" s="179">
        <v>157.89473684210526</v>
      </c>
      <c r="H51" s="413"/>
      <c r="I51" s="165">
        <f t="shared" si="10"/>
        <v>20</v>
      </c>
      <c r="J51" s="165">
        <f t="shared" si="10"/>
        <v>2499.0801315758349</v>
      </c>
      <c r="K51" s="179">
        <f t="shared" si="10"/>
        <v>124.95400657879172</v>
      </c>
      <c r="L51" s="413"/>
      <c r="M51" s="180">
        <f>RANK(K51, K$47:$K$61)</f>
        <v>1</v>
      </c>
      <c r="N51" s="401"/>
      <c r="O51" s="401"/>
      <c r="P51" s="181">
        <v>20</v>
      </c>
      <c r="Q51" s="179">
        <v>2435.3846153846143</v>
      </c>
      <c r="R51" s="179">
        <v>121.76923076923072</v>
      </c>
      <c r="S51" s="181">
        <f t="shared" si="11"/>
        <v>2</v>
      </c>
      <c r="T51" s="413"/>
      <c r="U51" s="181">
        <v>20</v>
      </c>
      <c r="V51" s="179">
        <v>2542.314049586776</v>
      </c>
      <c r="W51" s="179">
        <v>127.11570247933881</v>
      </c>
      <c r="X51" s="181">
        <f t="shared" si="12"/>
        <v>1</v>
      </c>
      <c r="Y51" s="413"/>
      <c r="Z51" s="181">
        <v>20</v>
      </c>
      <c r="AA51" s="179">
        <v>2500.3361344537807</v>
      </c>
      <c r="AB51" s="179">
        <v>125.01680672268904</v>
      </c>
      <c r="AC51" s="181">
        <f t="shared" si="13"/>
        <v>1</v>
      </c>
      <c r="AD51" s="413"/>
      <c r="AE51" s="181">
        <v>20</v>
      </c>
      <c r="AF51" s="179">
        <v>2502.8571428571445</v>
      </c>
      <c r="AG51" s="179">
        <v>125.14285714285722</v>
      </c>
      <c r="AH51" s="181">
        <f t="shared" si="14"/>
        <v>1</v>
      </c>
      <c r="AI51" s="413"/>
      <c r="AJ51" s="181">
        <v>20</v>
      </c>
      <c r="AK51" s="179">
        <v>2539.2857142857165</v>
      </c>
      <c r="AL51" s="179">
        <v>126.96428571428582</v>
      </c>
      <c r="AM51" s="181">
        <f t="shared" si="15"/>
        <v>1</v>
      </c>
      <c r="AN51" s="413"/>
      <c r="AO51" s="181">
        <v>20</v>
      </c>
      <c r="AP51" s="179">
        <v>2519.0082644628087</v>
      </c>
      <c r="AQ51" s="179">
        <v>125.95041322314043</v>
      </c>
      <c r="AR51" s="181">
        <f t="shared" si="16"/>
        <v>1</v>
      </c>
      <c r="AS51" s="413"/>
      <c r="AT51" s="181">
        <v>20</v>
      </c>
      <c r="AU51" s="179">
        <v>2454.3749999999995</v>
      </c>
      <c r="AV51" s="179">
        <v>122.71874999999997</v>
      </c>
      <c r="AW51" s="181">
        <f t="shared" si="17"/>
        <v>2</v>
      </c>
      <c r="AX51" s="430"/>
    </row>
    <row r="52" spans="2:50">
      <c r="B52" s="400"/>
      <c r="C52" s="181">
        <v>6</v>
      </c>
      <c r="D52" s="196"/>
      <c r="E52" s="165"/>
      <c r="F52" s="181"/>
      <c r="G52" s="179"/>
      <c r="H52" s="413"/>
      <c r="I52" s="165"/>
      <c r="J52" s="165"/>
      <c r="K52" s="179"/>
      <c r="L52" s="413"/>
      <c r="M52" s="180" t="e">
        <f>RANK(K52, K$47:$K$61)</f>
        <v>#N/A</v>
      </c>
      <c r="N52" s="401"/>
      <c r="O52" s="401"/>
      <c r="P52" s="181"/>
      <c r="Q52" s="179"/>
      <c r="R52" s="179"/>
      <c r="S52" s="181" t="e">
        <f t="shared" si="11"/>
        <v>#N/A</v>
      </c>
      <c r="T52" s="413"/>
      <c r="U52" s="181"/>
      <c r="V52" s="179"/>
      <c r="W52" s="179"/>
      <c r="X52" s="181" t="e">
        <f t="shared" si="12"/>
        <v>#N/A</v>
      </c>
      <c r="Y52" s="413"/>
      <c r="Z52" s="181"/>
      <c r="AA52" s="179"/>
      <c r="AB52" s="179"/>
      <c r="AC52" s="181" t="e">
        <f t="shared" si="13"/>
        <v>#N/A</v>
      </c>
      <c r="AD52" s="413"/>
      <c r="AE52" s="181"/>
      <c r="AF52" s="179"/>
      <c r="AG52" s="179"/>
      <c r="AH52" s="181" t="e">
        <f t="shared" si="14"/>
        <v>#N/A</v>
      </c>
      <c r="AI52" s="413"/>
      <c r="AJ52" s="181"/>
      <c r="AK52" s="179"/>
      <c r="AL52" s="179"/>
      <c r="AM52" s="181" t="e">
        <f t="shared" si="15"/>
        <v>#N/A</v>
      </c>
      <c r="AN52" s="413"/>
      <c r="AO52" s="181"/>
      <c r="AP52" s="179"/>
      <c r="AQ52" s="179"/>
      <c r="AR52" s="181" t="e">
        <f t="shared" si="16"/>
        <v>#N/A</v>
      </c>
      <c r="AS52" s="413"/>
      <c r="AT52" s="181"/>
      <c r="AU52" s="179"/>
      <c r="AV52" s="179"/>
      <c r="AW52" s="181" t="e">
        <f t="shared" si="17"/>
        <v>#N/A</v>
      </c>
      <c r="AX52" s="430"/>
    </row>
    <row r="53" spans="2:50">
      <c r="B53" s="400"/>
      <c r="C53" s="181">
        <v>7</v>
      </c>
      <c r="D53" s="196"/>
      <c r="E53" s="165"/>
      <c r="F53" s="181"/>
      <c r="G53" s="179"/>
      <c r="H53" s="413"/>
      <c r="I53" s="165"/>
      <c r="J53" s="165"/>
      <c r="K53" s="179"/>
      <c r="L53" s="413"/>
      <c r="M53" s="180" t="e">
        <f>RANK(K53, K$47:$K$61)</f>
        <v>#N/A</v>
      </c>
      <c r="N53" s="401"/>
      <c r="O53" s="401"/>
      <c r="P53" s="181"/>
      <c r="Q53" s="179"/>
      <c r="R53" s="179"/>
      <c r="S53" s="181" t="e">
        <f t="shared" si="11"/>
        <v>#N/A</v>
      </c>
      <c r="T53" s="413"/>
      <c r="U53" s="181"/>
      <c r="V53" s="179"/>
      <c r="W53" s="179"/>
      <c r="X53" s="181" t="e">
        <f t="shared" si="12"/>
        <v>#N/A</v>
      </c>
      <c r="Y53" s="413"/>
      <c r="Z53" s="181"/>
      <c r="AA53" s="179"/>
      <c r="AB53" s="179"/>
      <c r="AC53" s="181" t="e">
        <f t="shared" si="13"/>
        <v>#N/A</v>
      </c>
      <c r="AD53" s="413"/>
      <c r="AE53" s="181"/>
      <c r="AF53" s="179"/>
      <c r="AG53" s="179"/>
      <c r="AH53" s="181" t="e">
        <f t="shared" si="14"/>
        <v>#N/A</v>
      </c>
      <c r="AI53" s="413"/>
      <c r="AJ53" s="181"/>
      <c r="AK53" s="179"/>
      <c r="AL53" s="179"/>
      <c r="AM53" s="181" t="e">
        <f t="shared" si="15"/>
        <v>#N/A</v>
      </c>
      <c r="AN53" s="413"/>
      <c r="AO53" s="181"/>
      <c r="AP53" s="179"/>
      <c r="AQ53" s="179"/>
      <c r="AR53" s="181" t="e">
        <f t="shared" si="16"/>
        <v>#N/A</v>
      </c>
      <c r="AS53" s="413"/>
      <c r="AT53" s="181"/>
      <c r="AU53" s="179"/>
      <c r="AV53" s="179"/>
      <c r="AW53" s="181" t="e">
        <f t="shared" si="17"/>
        <v>#N/A</v>
      </c>
      <c r="AX53" s="430"/>
    </row>
    <row r="54" spans="2:50">
      <c r="B54" s="400"/>
      <c r="C54" s="181">
        <v>8</v>
      </c>
      <c r="D54" s="196"/>
      <c r="E54" s="165"/>
      <c r="F54" s="181"/>
      <c r="G54" s="179"/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81"/>
      <c r="Q54" s="179"/>
      <c r="R54" s="179"/>
      <c r="S54" s="181" t="e">
        <f t="shared" si="11"/>
        <v>#N/A</v>
      </c>
      <c r="T54" s="413"/>
      <c r="U54" s="181"/>
      <c r="V54" s="179"/>
      <c r="W54" s="179"/>
      <c r="X54" s="181" t="e">
        <f t="shared" si="12"/>
        <v>#N/A</v>
      </c>
      <c r="Y54" s="413"/>
      <c r="Z54" s="181"/>
      <c r="AA54" s="179"/>
      <c r="AB54" s="179"/>
      <c r="AC54" s="181" t="e">
        <f t="shared" si="13"/>
        <v>#N/A</v>
      </c>
      <c r="AD54" s="413"/>
      <c r="AE54" s="181"/>
      <c r="AF54" s="179"/>
      <c r="AG54" s="179"/>
      <c r="AH54" s="181" t="e">
        <f t="shared" si="14"/>
        <v>#N/A</v>
      </c>
      <c r="AI54" s="413"/>
      <c r="AJ54" s="181"/>
      <c r="AK54" s="179"/>
      <c r="AL54" s="179"/>
      <c r="AM54" s="181" t="e">
        <f t="shared" si="15"/>
        <v>#N/A</v>
      </c>
      <c r="AN54" s="413"/>
      <c r="AO54" s="181"/>
      <c r="AP54" s="179"/>
      <c r="AQ54" s="179"/>
      <c r="AR54" s="181" t="e">
        <f t="shared" si="16"/>
        <v>#N/A</v>
      </c>
      <c r="AS54" s="413"/>
      <c r="AT54" s="181"/>
      <c r="AU54" s="179"/>
      <c r="AV54" s="179"/>
      <c r="AW54" s="181" t="e">
        <f t="shared" si="17"/>
        <v>#N/A</v>
      </c>
      <c r="AX54" s="430"/>
    </row>
    <row r="55" spans="2:50">
      <c r="B55" s="400"/>
      <c r="C55" s="181">
        <v>9</v>
      </c>
      <c r="D55" s="196"/>
      <c r="E55" s="165"/>
      <c r="F55" s="181"/>
      <c r="G55" s="179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81"/>
      <c r="Q55" s="179"/>
      <c r="R55" s="179"/>
      <c r="S55" s="181" t="e">
        <f t="shared" si="11"/>
        <v>#N/A</v>
      </c>
      <c r="T55" s="413"/>
      <c r="U55" s="181"/>
      <c r="V55" s="179"/>
      <c r="W55" s="179"/>
      <c r="X55" s="181" t="e">
        <f t="shared" si="12"/>
        <v>#N/A</v>
      </c>
      <c r="Y55" s="413"/>
      <c r="Z55" s="181"/>
      <c r="AA55" s="179"/>
      <c r="AB55" s="179"/>
      <c r="AC55" s="181" t="e">
        <f t="shared" si="13"/>
        <v>#N/A</v>
      </c>
      <c r="AD55" s="413"/>
      <c r="AE55" s="181"/>
      <c r="AF55" s="179"/>
      <c r="AG55" s="179"/>
      <c r="AH55" s="181" t="e">
        <f t="shared" si="14"/>
        <v>#N/A</v>
      </c>
      <c r="AI55" s="413"/>
      <c r="AJ55" s="181"/>
      <c r="AK55" s="179"/>
      <c r="AL55" s="179"/>
      <c r="AM55" s="181" t="e">
        <f t="shared" si="15"/>
        <v>#N/A</v>
      </c>
      <c r="AN55" s="413"/>
      <c r="AO55" s="181"/>
      <c r="AP55" s="179"/>
      <c r="AQ55" s="179"/>
      <c r="AR55" s="181" t="e">
        <f t="shared" si="16"/>
        <v>#N/A</v>
      </c>
      <c r="AS55" s="413"/>
      <c r="AT55" s="181"/>
      <c r="AU55" s="179"/>
      <c r="AV55" s="179"/>
      <c r="AW55" s="181" t="e">
        <f t="shared" si="17"/>
        <v>#N/A</v>
      </c>
      <c r="AX55" s="430"/>
    </row>
    <row r="56" spans="2:50">
      <c r="B56" s="400"/>
      <c r="C56" s="181">
        <v>10</v>
      </c>
      <c r="D56" s="196"/>
      <c r="E56" s="165"/>
      <c r="F56" s="181"/>
      <c r="G56" s="179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81"/>
      <c r="Q56" s="181"/>
      <c r="R56" s="179"/>
      <c r="S56" s="181" t="e">
        <f t="shared" si="11"/>
        <v>#N/A</v>
      </c>
      <c r="T56" s="413"/>
      <c r="U56" s="181"/>
      <c r="V56" s="181"/>
      <c r="W56" s="179"/>
      <c r="X56" s="181" t="e">
        <f t="shared" si="12"/>
        <v>#N/A</v>
      </c>
      <c r="Y56" s="413"/>
      <c r="Z56" s="181"/>
      <c r="AA56" s="181"/>
      <c r="AB56" s="179"/>
      <c r="AC56" s="181" t="e">
        <f t="shared" si="13"/>
        <v>#N/A</v>
      </c>
      <c r="AD56" s="413"/>
      <c r="AE56" s="181"/>
      <c r="AF56" s="181"/>
      <c r="AG56" s="179"/>
      <c r="AH56" s="181" t="e">
        <f t="shared" si="14"/>
        <v>#N/A</v>
      </c>
      <c r="AI56" s="413"/>
      <c r="AJ56" s="181"/>
      <c r="AK56" s="181"/>
      <c r="AL56" s="179"/>
      <c r="AM56" s="181" t="e">
        <f t="shared" si="15"/>
        <v>#N/A</v>
      </c>
      <c r="AN56" s="413"/>
      <c r="AO56" s="181"/>
      <c r="AP56" s="181"/>
      <c r="AQ56" s="179"/>
      <c r="AR56" s="181" t="e">
        <f t="shared" si="16"/>
        <v>#N/A</v>
      </c>
      <c r="AS56" s="413"/>
      <c r="AT56" s="181"/>
      <c r="AU56" s="181"/>
      <c r="AV56" s="179"/>
      <c r="AW56" s="181" t="e">
        <f t="shared" si="17"/>
        <v>#N/A</v>
      </c>
      <c r="AX56" s="43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81"/>
      <c r="J57" s="181"/>
      <c r="K57" s="181"/>
      <c r="L57" s="413"/>
      <c r="M57" s="180" t="e">
        <f>RANK(K57, K$47:$K$61)</f>
        <v>#N/A</v>
      </c>
      <c r="N57" s="401"/>
      <c r="O57" s="401"/>
      <c r="P57" s="181"/>
      <c r="Q57" s="181"/>
      <c r="R57" s="181"/>
      <c r="S57" s="181" t="e">
        <f t="shared" si="11"/>
        <v>#N/A</v>
      </c>
      <c r="T57" s="413"/>
      <c r="U57" s="181"/>
      <c r="V57" s="181"/>
      <c r="W57" s="181"/>
      <c r="X57" s="181" t="e">
        <f t="shared" si="12"/>
        <v>#N/A</v>
      </c>
      <c r="Y57" s="413"/>
      <c r="Z57" s="181"/>
      <c r="AA57" s="181"/>
      <c r="AB57" s="181"/>
      <c r="AC57" s="181" t="e">
        <f t="shared" si="13"/>
        <v>#N/A</v>
      </c>
      <c r="AD57" s="413"/>
      <c r="AE57" s="181"/>
      <c r="AF57" s="181"/>
      <c r="AG57" s="181"/>
      <c r="AH57" s="181" t="e">
        <f t="shared" si="14"/>
        <v>#N/A</v>
      </c>
      <c r="AI57" s="413"/>
      <c r="AJ57" s="181"/>
      <c r="AK57" s="181"/>
      <c r="AL57" s="181"/>
      <c r="AM57" s="181" t="e">
        <f t="shared" si="15"/>
        <v>#N/A</v>
      </c>
      <c r="AN57" s="413"/>
      <c r="AO57" s="181"/>
      <c r="AP57" s="181"/>
      <c r="AQ57" s="181"/>
      <c r="AR57" s="181" t="e">
        <f t="shared" si="16"/>
        <v>#N/A</v>
      </c>
      <c r="AS57" s="413"/>
      <c r="AT57" s="181"/>
      <c r="AU57" s="181"/>
      <c r="AV57" s="181"/>
      <c r="AW57" s="181" t="e">
        <f t="shared" si="17"/>
        <v>#N/A</v>
      </c>
      <c r="AX57" s="43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81"/>
      <c r="J58" s="181"/>
      <c r="K58" s="181"/>
      <c r="L58" s="413"/>
      <c r="M58" s="180" t="e">
        <f>RANK(K58, K$47:$K$61)</f>
        <v>#N/A</v>
      </c>
      <c r="N58" s="401"/>
      <c r="O58" s="401"/>
      <c r="P58" s="181"/>
      <c r="Q58" s="181"/>
      <c r="R58" s="181"/>
      <c r="S58" s="181" t="e">
        <f t="shared" si="11"/>
        <v>#N/A</v>
      </c>
      <c r="T58" s="413"/>
      <c r="U58" s="181"/>
      <c r="V58" s="181"/>
      <c r="W58" s="181"/>
      <c r="X58" s="181" t="e">
        <f t="shared" si="12"/>
        <v>#N/A</v>
      </c>
      <c r="Y58" s="413"/>
      <c r="Z58" s="181"/>
      <c r="AA58" s="181"/>
      <c r="AB58" s="181"/>
      <c r="AC58" s="181" t="e">
        <f t="shared" si="13"/>
        <v>#N/A</v>
      </c>
      <c r="AD58" s="413"/>
      <c r="AE58" s="181"/>
      <c r="AF58" s="181"/>
      <c r="AG58" s="181"/>
      <c r="AH58" s="181" t="e">
        <f t="shared" si="14"/>
        <v>#N/A</v>
      </c>
      <c r="AI58" s="413"/>
      <c r="AJ58" s="181"/>
      <c r="AK58" s="181"/>
      <c r="AL58" s="181"/>
      <c r="AM58" s="181" t="e">
        <f t="shared" si="15"/>
        <v>#N/A</v>
      </c>
      <c r="AN58" s="413"/>
      <c r="AO58" s="181"/>
      <c r="AP58" s="181"/>
      <c r="AQ58" s="181"/>
      <c r="AR58" s="181" t="e">
        <f t="shared" si="16"/>
        <v>#N/A</v>
      </c>
      <c r="AS58" s="413"/>
      <c r="AT58" s="181"/>
      <c r="AU58" s="181"/>
      <c r="AV58" s="181"/>
      <c r="AW58" s="181" t="e">
        <f t="shared" si="17"/>
        <v>#N/A</v>
      </c>
      <c r="AX58" s="43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81"/>
      <c r="J59" s="181"/>
      <c r="K59" s="181"/>
      <c r="L59" s="413"/>
      <c r="M59" s="180" t="e">
        <f>RANK(K59, K$47:$K$61)</f>
        <v>#N/A</v>
      </c>
      <c r="N59" s="401"/>
      <c r="O59" s="401"/>
      <c r="P59" s="181"/>
      <c r="Q59" s="181"/>
      <c r="R59" s="181"/>
      <c r="S59" s="181" t="e">
        <f t="shared" si="11"/>
        <v>#N/A</v>
      </c>
      <c r="T59" s="413"/>
      <c r="U59" s="181"/>
      <c r="V59" s="181"/>
      <c r="W59" s="181"/>
      <c r="X59" s="181" t="e">
        <f t="shared" si="12"/>
        <v>#N/A</v>
      </c>
      <c r="Y59" s="413"/>
      <c r="Z59" s="181"/>
      <c r="AA59" s="181"/>
      <c r="AB59" s="181"/>
      <c r="AC59" s="181" t="e">
        <f t="shared" si="13"/>
        <v>#N/A</v>
      </c>
      <c r="AD59" s="413"/>
      <c r="AE59" s="181"/>
      <c r="AF59" s="181"/>
      <c r="AG59" s="181"/>
      <c r="AH59" s="181" t="e">
        <f t="shared" si="14"/>
        <v>#N/A</v>
      </c>
      <c r="AI59" s="413"/>
      <c r="AJ59" s="181"/>
      <c r="AK59" s="181"/>
      <c r="AL59" s="181"/>
      <c r="AM59" s="181" t="e">
        <f t="shared" si="15"/>
        <v>#N/A</v>
      </c>
      <c r="AN59" s="413"/>
      <c r="AO59" s="181"/>
      <c r="AP59" s="181"/>
      <c r="AQ59" s="181"/>
      <c r="AR59" s="181" t="e">
        <f t="shared" si="16"/>
        <v>#N/A</v>
      </c>
      <c r="AS59" s="413"/>
      <c r="AT59" s="181"/>
      <c r="AU59" s="181"/>
      <c r="AV59" s="181"/>
      <c r="AW59" s="181" t="e">
        <f t="shared" si="17"/>
        <v>#N/A</v>
      </c>
      <c r="AX59" s="43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81"/>
      <c r="J60" s="181"/>
      <c r="K60" s="181"/>
      <c r="L60" s="413"/>
      <c r="M60" s="180" t="e">
        <f>RANK(K60, K$47:$K$61)</f>
        <v>#N/A</v>
      </c>
      <c r="N60" s="401"/>
      <c r="O60" s="401"/>
      <c r="P60" s="181"/>
      <c r="Q60" s="181"/>
      <c r="R60" s="181"/>
      <c r="S60" s="181" t="e">
        <f t="shared" si="11"/>
        <v>#N/A</v>
      </c>
      <c r="T60" s="413"/>
      <c r="U60" s="181"/>
      <c r="V60" s="181"/>
      <c r="W60" s="181"/>
      <c r="X60" s="181" t="e">
        <f t="shared" si="12"/>
        <v>#N/A</v>
      </c>
      <c r="Y60" s="413"/>
      <c r="Z60" s="181"/>
      <c r="AA60" s="181"/>
      <c r="AB60" s="181"/>
      <c r="AC60" s="181" t="e">
        <f t="shared" si="13"/>
        <v>#N/A</v>
      </c>
      <c r="AD60" s="413"/>
      <c r="AE60" s="181"/>
      <c r="AF60" s="181"/>
      <c r="AG60" s="181"/>
      <c r="AH60" s="181" t="e">
        <f t="shared" si="14"/>
        <v>#N/A</v>
      </c>
      <c r="AI60" s="413"/>
      <c r="AJ60" s="181"/>
      <c r="AK60" s="181"/>
      <c r="AL60" s="181"/>
      <c r="AM60" s="181" t="e">
        <f t="shared" si="15"/>
        <v>#N/A</v>
      </c>
      <c r="AN60" s="413"/>
      <c r="AO60" s="181"/>
      <c r="AP60" s="181"/>
      <c r="AQ60" s="181"/>
      <c r="AR60" s="181" t="e">
        <f t="shared" si="16"/>
        <v>#N/A</v>
      </c>
      <c r="AS60" s="413"/>
      <c r="AT60" s="181"/>
      <c r="AU60" s="181"/>
      <c r="AV60" s="181"/>
      <c r="AW60" s="181" t="e">
        <f t="shared" si="17"/>
        <v>#N/A</v>
      </c>
      <c r="AX60" s="43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81"/>
      <c r="J61" s="181"/>
      <c r="K61" s="181"/>
      <c r="L61" s="414"/>
      <c r="M61" s="180" t="e">
        <f>RANK(K61, K$47:$K$61)</f>
        <v>#N/A</v>
      </c>
      <c r="N61" s="401"/>
      <c r="O61" s="401"/>
      <c r="P61" s="181"/>
      <c r="Q61" s="181"/>
      <c r="R61" s="181"/>
      <c r="S61" s="181" t="e">
        <f t="shared" si="11"/>
        <v>#N/A</v>
      </c>
      <c r="T61" s="414"/>
      <c r="U61" s="181"/>
      <c r="V61" s="181"/>
      <c r="W61" s="181"/>
      <c r="X61" s="181" t="e">
        <f t="shared" si="12"/>
        <v>#N/A</v>
      </c>
      <c r="Y61" s="414"/>
      <c r="Z61" s="181"/>
      <c r="AA61" s="181"/>
      <c r="AB61" s="181"/>
      <c r="AC61" s="181" t="e">
        <f t="shared" si="13"/>
        <v>#N/A</v>
      </c>
      <c r="AD61" s="414"/>
      <c r="AE61" s="181"/>
      <c r="AF61" s="181"/>
      <c r="AG61" s="181"/>
      <c r="AH61" s="181" t="e">
        <f t="shared" si="14"/>
        <v>#N/A</v>
      </c>
      <c r="AI61" s="414"/>
      <c r="AJ61" s="181"/>
      <c r="AK61" s="181"/>
      <c r="AL61" s="181"/>
      <c r="AM61" s="181" t="e">
        <f t="shared" si="15"/>
        <v>#N/A</v>
      </c>
      <c r="AN61" s="414"/>
      <c r="AO61" s="181"/>
      <c r="AP61" s="181"/>
      <c r="AQ61" s="181"/>
      <c r="AR61" s="181" t="e">
        <f t="shared" si="16"/>
        <v>#N/A</v>
      </c>
      <c r="AS61" s="414"/>
      <c r="AT61" s="181"/>
      <c r="AU61" s="181"/>
      <c r="AV61" s="181"/>
      <c r="AW61" s="181" t="e">
        <f t="shared" si="17"/>
        <v>#N/A</v>
      </c>
      <c r="AX61" s="430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01" t="s">
        <v>309</v>
      </c>
      <c r="C67" s="181">
        <v>1</v>
      </c>
      <c r="D67" s="196" t="s">
        <v>310</v>
      </c>
      <c r="E67" s="165">
        <v>21</v>
      </c>
      <c r="F67" s="181">
        <v>2400</v>
      </c>
      <c r="G67" s="179">
        <v>114.28571428571429</v>
      </c>
      <c r="H67" s="412">
        <f>AVERAGE(G67:G81)</f>
        <v>143.60275689223059</v>
      </c>
      <c r="I67" s="165">
        <f t="shared" ref="I67:K71" si="18">AVERAGE(P67,U67,Z67,AE67,AJ67,AO67,AT67)</f>
        <v>21</v>
      </c>
      <c r="J67" s="165">
        <f t="shared" si="18"/>
        <v>2188.8641761685749</v>
      </c>
      <c r="K67" s="179">
        <f t="shared" si="18"/>
        <v>104.23162743659881</v>
      </c>
      <c r="L67" s="412">
        <f>IFERROR(AVERAGE(K67:K81),"-")</f>
        <v>116.83869263250605</v>
      </c>
      <c r="M67" s="180">
        <f>RANK(K67, K$67:$K$81)</f>
        <v>5</v>
      </c>
      <c r="N67" s="401"/>
      <c r="O67" s="401"/>
      <c r="P67" s="181">
        <v>21</v>
      </c>
      <c r="Q67" s="179">
        <v>2168.0357142857142</v>
      </c>
      <c r="R67" s="179">
        <v>103.23979591836735</v>
      </c>
      <c r="S67" s="181">
        <f>RANK(R67, R$67:R$81)</f>
        <v>5</v>
      </c>
      <c r="T67" s="412">
        <f>AVERAGE(R67:R81)</f>
        <v>115.85796790111928</v>
      </c>
      <c r="U67" s="181">
        <v>21</v>
      </c>
      <c r="V67" s="179">
        <v>2241.1111111111109</v>
      </c>
      <c r="W67" s="179">
        <v>106.71957671957671</v>
      </c>
      <c r="X67" s="181">
        <f>RANK(W67, W$67:W$81)</f>
        <v>5</v>
      </c>
      <c r="Y67" s="412">
        <f>AVERAGE(W67:W81)</f>
        <v>117.26514493823288</v>
      </c>
      <c r="Z67" s="181">
        <v>21</v>
      </c>
      <c r="AA67" s="179">
        <v>2137.9245283018863</v>
      </c>
      <c r="AB67" s="179">
        <v>101.80592991913744</v>
      </c>
      <c r="AC67" s="181">
        <f>RANK(AB67, AB$67:AB$81)</f>
        <v>5</v>
      </c>
      <c r="AD67" s="412">
        <f>AVERAGE(AB67:AB81)</f>
        <v>117.99836710680142</v>
      </c>
      <c r="AE67" s="181">
        <v>21</v>
      </c>
      <c r="AF67" s="179">
        <v>2208.157894736843</v>
      </c>
      <c r="AG67" s="179">
        <v>105.15037593984967</v>
      </c>
      <c r="AH67" s="181">
        <f>RANK(AG67, AG$67:AG$81)</f>
        <v>5</v>
      </c>
      <c r="AI67" s="412">
        <f>AVERAGE(AG67:AG81)</f>
        <v>116.91423756647191</v>
      </c>
      <c r="AJ67" s="181">
        <v>21</v>
      </c>
      <c r="AK67" s="179">
        <v>2206.666666666667</v>
      </c>
      <c r="AL67" s="179">
        <v>105.07936507936509</v>
      </c>
      <c r="AM67" s="181">
        <f>RANK(AL67, AL$67:AL$81)</f>
        <v>5</v>
      </c>
      <c r="AN67" s="412">
        <f>AVERAGE(AL67:AL81)</f>
        <v>116.84623743069282</v>
      </c>
      <c r="AO67" s="181">
        <v>21</v>
      </c>
      <c r="AP67" s="179">
        <v>2211.521739130435</v>
      </c>
      <c r="AQ67" s="179">
        <v>105.31055900621119</v>
      </c>
      <c r="AR67" s="181">
        <f>RANK(AQ67, AQ$67:AQ$81)</f>
        <v>5</v>
      </c>
      <c r="AS67" s="412">
        <f>AVERAGE(AQ67:AQ81)</f>
        <v>117.18469265176427</v>
      </c>
      <c r="AT67" s="181">
        <v>21</v>
      </c>
      <c r="AU67" s="179">
        <v>2148.6315789473688</v>
      </c>
      <c r="AV67" s="179">
        <v>102.31578947368423</v>
      </c>
      <c r="AW67" s="181">
        <f>RANK(AV67, AV$67:AV$81)</f>
        <v>5</v>
      </c>
      <c r="AX67" s="430">
        <f>AVERAGE(AV67:AV81)</f>
        <v>115.8042008324599</v>
      </c>
    </row>
    <row r="68" spans="2:50">
      <c r="B68" s="400"/>
      <c r="C68" s="181">
        <v>2</v>
      </c>
      <c r="D68" s="196" t="s">
        <v>311</v>
      </c>
      <c r="E68" s="165">
        <v>18</v>
      </c>
      <c r="F68" s="181">
        <v>3000</v>
      </c>
      <c r="G68" s="179">
        <v>166.66666666666666</v>
      </c>
      <c r="H68" s="413"/>
      <c r="I68" s="165">
        <f t="shared" si="18"/>
        <v>20</v>
      </c>
      <c r="J68" s="165">
        <f t="shared" si="18"/>
        <v>2366.0348339337038</v>
      </c>
      <c r="K68" s="179">
        <f t="shared" si="18"/>
        <v>118.3017416966852</v>
      </c>
      <c r="L68" s="413"/>
      <c r="M68" s="180">
        <f>RANK(K68, K$67:$K$81)</f>
        <v>3</v>
      </c>
      <c r="N68" s="401"/>
      <c r="O68" s="401"/>
      <c r="P68" s="181">
        <v>20</v>
      </c>
      <c r="Q68" s="179">
        <v>2351.052631578948</v>
      </c>
      <c r="R68" s="179">
        <v>117.5526315789474</v>
      </c>
      <c r="S68" s="181">
        <f t="shared" ref="S68:S81" si="19">RANK(R68, R$67:R$81)</f>
        <v>3</v>
      </c>
      <c r="T68" s="413"/>
      <c r="U68" s="181">
        <v>20</v>
      </c>
      <c r="V68" s="179">
        <v>2387.027027027028</v>
      </c>
      <c r="W68" s="179">
        <v>119.3513513513514</v>
      </c>
      <c r="X68" s="181">
        <f t="shared" ref="X68:X81" si="20">RANK(W68, W$67:W$81)</f>
        <v>3</v>
      </c>
      <c r="Y68" s="413"/>
      <c r="Z68" s="181">
        <v>20</v>
      </c>
      <c r="AA68" s="179">
        <v>2383.0985915492961</v>
      </c>
      <c r="AB68" s="179">
        <v>119.1549295774648</v>
      </c>
      <c r="AC68" s="181">
        <f t="shared" ref="AC68:AC81" si="21">RANK(AB68, AB$67:AB$81)</f>
        <v>3</v>
      </c>
      <c r="AD68" s="413"/>
      <c r="AE68" s="181">
        <v>20</v>
      </c>
      <c r="AF68" s="179">
        <v>2353.6363636363635</v>
      </c>
      <c r="AG68" s="179">
        <v>117.68181818181817</v>
      </c>
      <c r="AH68" s="181">
        <f t="shared" ref="AH68:AH81" si="22">RANK(AG68, AG$67:AG$81)</f>
        <v>3</v>
      </c>
      <c r="AI68" s="413"/>
      <c r="AJ68" s="181">
        <v>20</v>
      </c>
      <c r="AK68" s="179">
        <v>2422.9999999999986</v>
      </c>
      <c r="AL68" s="179">
        <v>121.14999999999993</v>
      </c>
      <c r="AM68" s="181">
        <f t="shared" ref="AM68:AM81" si="23">RANK(AL68, AL$67:AL$81)</f>
        <v>3</v>
      </c>
      <c r="AN68" s="413"/>
      <c r="AO68" s="181">
        <v>20</v>
      </c>
      <c r="AP68" s="179">
        <v>2343.3333333333339</v>
      </c>
      <c r="AQ68" s="179">
        <v>117.1666666666667</v>
      </c>
      <c r="AR68" s="181">
        <f t="shared" ref="AR68:AR81" si="24">RANK(AQ68, AQ$67:AQ$81)</f>
        <v>3</v>
      </c>
      <c r="AS68" s="413"/>
      <c r="AT68" s="181">
        <v>20</v>
      </c>
      <c r="AU68" s="179">
        <v>2321.0958904109593</v>
      </c>
      <c r="AV68" s="179">
        <v>116.05479452054797</v>
      </c>
      <c r="AW68" s="181">
        <f t="shared" ref="AW68:AW81" si="25">RANK(AV68, AV$67:AV$81)</f>
        <v>3</v>
      </c>
      <c r="AX68" s="430"/>
    </row>
    <row r="69" spans="2:50">
      <c r="B69" s="400"/>
      <c r="C69" s="181">
        <v>3</v>
      </c>
      <c r="D69" s="196" t="s">
        <v>312</v>
      </c>
      <c r="E69" s="165">
        <v>20</v>
      </c>
      <c r="F69" s="181">
        <v>2250</v>
      </c>
      <c r="G69" s="179">
        <v>112.5</v>
      </c>
      <c r="H69" s="413"/>
      <c r="I69" s="165">
        <f t="shared" si="18"/>
        <v>20</v>
      </c>
      <c r="J69" s="165">
        <f t="shared" si="18"/>
        <v>2280.3700274263474</v>
      </c>
      <c r="K69" s="179">
        <f t="shared" si="18"/>
        <v>114.0185013713174</v>
      </c>
      <c r="L69" s="413"/>
      <c r="M69" s="180">
        <f>RANK(K69, K$67:$K$81)</f>
        <v>4</v>
      </c>
      <c r="N69" s="401"/>
      <c r="O69" s="401"/>
      <c r="P69" s="181">
        <v>20</v>
      </c>
      <c r="Q69" s="179">
        <v>2265.0000000000023</v>
      </c>
      <c r="R69" s="179">
        <v>113.25000000000011</v>
      </c>
      <c r="S69" s="181">
        <f t="shared" si="19"/>
        <v>4</v>
      </c>
      <c r="T69" s="413"/>
      <c r="U69" s="181">
        <v>20</v>
      </c>
      <c r="V69" s="179">
        <v>2289.8507462686539</v>
      </c>
      <c r="W69" s="179">
        <v>114.49253731343269</v>
      </c>
      <c r="X69" s="181">
        <f t="shared" si="20"/>
        <v>4</v>
      </c>
      <c r="Y69" s="413"/>
      <c r="Z69" s="181">
        <v>20</v>
      </c>
      <c r="AA69" s="179">
        <v>2344.0677966101684</v>
      </c>
      <c r="AB69" s="179">
        <v>117.20338983050843</v>
      </c>
      <c r="AC69" s="181">
        <f t="shared" si="21"/>
        <v>4</v>
      </c>
      <c r="AD69" s="413"/>
      <c r="AE69" s="181">
        <v>20</v>
      </c>
      <c r="AF69" s="179">
        <v>2298.1132075471673</v>
      </c>
      <c r="AG69" s="179">
        <v>114.90566037735837</v>
      </c>
      <c r="AH69" s="181">
        <f t="shared" si="22"/>
        <v>4</v>
      </c>
      <c r="AI69" s="413"/>
      <c r="AJ69" s="181">
        <v>20</v>
      </c>
      <c r="AK69" s="179">
        <v>2211.2727272727252</v>
      </c>
      <c r="AL69" s="179">
        <v>110.56363636363626</v>
      </c>
      <c r="AM69" s="181">
        <f t="shared" si="23"/>
        <v>4</v>
      </c>
      <c r="AN69" s="413"/>
      <c r="AO69" s="181">
        <v>20</v>
      </c>
      <c r="AP69" s="179">
        <v>2308.571428571428</v>
      </c>
      <c r="AQ69" s="179">
        <v>115.4285714285714</v>
      </c>
      <c r="AR69" s="181">
        <f t="shared" si="24"/>
        <v>4</v>
      </c>
      <c r="AS69" s="413"/>
      <c r="AT69" s="181">
        <v>20</v>
      </c>
      <c r="AU69" s="179">
        <v>2245.7142857142881</v>
      </c>
      <c r="AV69" s="179">
        <v>112.28571428571441</v>
      </c>
      <c r="AW69" s="181">
        <f t="shared" si="25"/>
        <v>4</v>
      </c>
      <c r="AX69" s="430"/>
    </row>
    <row r="70" spans="2:50">
      <c r="B70" s="400"/>
      <c r="C70" s="181">
        <v>4</v>
      </c>
      <c r="D70" s="196" t="s">
        <v>313</v>
      </c>
      <c r="E70" s="165">
        <v>18</v>
      </c>
      <c r="F70" s="181">
        <v>3000</v>
      </c>
      <c r="G70" s="179">
        <v>166.66666666666666</v>
      </c>
      <c r="H70" s="413"/>
      <c r="I70" s="165">
        <f t="shared" si="18"/>
        <v>20</v>
      </c>
      <c r="J70" s="165">
        <f t="shared" si="18"/>
        <v>2490.5829133191723</v>
      </c>
      <c r="K70" s="179">
        <f t="shared" si="18"/>
        <v>124.52914566595861</v>
      </c>
      <c r="L70" s="413"/>
      <c r="M70" s="180">
        <f>RANK(K70, K$67:$K$81)</f>
        <v>1</v>
      </c>
      <c r="N70" s="401"/>
      <c r="O70" s="401"/>
      <c r="P70" s="181">
        <v>20</v>
      </c>
      <c r="Q70" s="179">
        <v>2473.0434782608695</v>
      </c>
      <c r="R70" s="179">
        <v>123.65217391304347</v>
      </c>
      <c r="S70" s="181">
        <f t="shared" si="19"/>
        <v>1</v>
      </c>
      <c r="T70" s="413"/>
      <c r="U70" s="181">
        <v>20</v>
      </c>
      <c r="V70" s="179">
        <v>2417.6842105263158</v>
      </c>
      <c r="W70" s="179">
        <v>120.8842105263158</v>
      </c>
      <c r="X70" s="181">
        <f t="shared" si="20"/>
        <v>2</v>
      </c>
      <c r="Y70" s="413"/>
      <c r="Z70" s="181">
        <v>20</v>
      </c>
      <c r="AA70" s="179">
        <v>2510.3448275862065</v>
      </c>
      <c r="AB70" s="179">
        <v>125.51724137931032</v>
      </c>
      <c r="AC70" s="181">
        <f t="shared" si="21"/>
        <v>2</v>
      </c>
      <c r="AD70" s="413"/>
      <c r="AE70" s="181">
        <v>20</v>
      </c>
      <c r="AF70" s="179">
        <v>2519.9999999999986</v>
      </c>
      <c r="AG70" s="179">
        <v>125.99999999999993</v>
      </c>
      <c r="AH70" s="181">
        <f t="shared" si="22"/>
        <v>1</v>
      </c>
      <c r="AI70" s="413"/>
      <c r="AJ70" s="181">
        <v>20</v>
      </c>
      <c r="AK70" s="179">
        <v>2496.4864864864844</v>
      </c>
      <c r="AL70" s="179">
        <v>124.82432432432422</v>
      </c>
      <c r="AM70" s="181">
        <f t="shared" si="23"/>
        <v>1</v>
      </c>
      <c r="AN70" s="413"/>
      <c r="AO70" s="181">
        <v>20</v>
      </c>
      <c r="AP70" s="179">
        <v>2485.227272727273</v>
      </c>
      <c r="AQ70" s="179">
        <v>124.26136363636365</v>
      </c>
      <c r="AR70" s="181">
        <f t="shared" si="24"/>
        <v>1</v>
      </c>
      <c r="AS70" s="413"/>
      <c r="AT70" s="181">
        <v>20</v>
      </c>
      <c r="AU70" s="179">
        <v>2531.2941176470586</v>
      </c>
      <c r="AV70" s="179">
        <v>126.56470588235292</v>
      </c>
      <c r="AW70" s="181">
        <f t="shared" si="25"/>
        <v>1</v>
      </c>
      <c r="AX70" s="430"/>
    </row>
    <row r="71" spans="2:50">
      <c r="B71" s="400"/>
      <c r="C71" s="181">
        <v>5</v>
      </c>
      <c r="D71" s="196" t="s">
        <v>314</v>
      </c>
      <c r="E71" s="165">
        <v>19</v>
      </c>
      <c r="F71" s="181">
        <v>3000</v>
      </c>
      <c r="G71" s="179">
        <v>157.89473684210526</v>
      </c>
      <c r="H71" s="413"/>
      <c r="I71" s="165">
        <f t="shared" si="18"/>
        <v>20</v>
      </c>
      <c r="J71" s="165">
        <f t="shared" si="18"/>
        <v>2462.2489398394068</v>
      </c>
      <c r="K71" s="179">
        <f t="shared" si="18"/>
        <v>123.11244699197032</v>
      </c>
      <c r="L71" s="413"/>
      <c r="M71" s="180">
        <f>RANK(K71, K$67:$K$81)</f>
        <v>2</v>
      </c>
      <c r="N71" s="401"/>
      <c r="O71" s="401"/>
      <c r="P71" s="181">
        <v>20</v>
      </c>
      <c r="Q71" s="179">
        <v>2431.9047619047615</v>
      </c>
      <c r="R71" s="179">
        <v>121.59523809523807</v>
      </c>
      <c r="S71" s="181">
        <f t="shared" si="19"/>
        <v>2</v>
      </c>
      <c r="T71" s="413"/>
      <c r="U71" s="181">
        <v>20</v>
      </c>
      <c r="V71" s="179">
        <v>2497.5609756097551</v>
      </c>
      <c r="W71" s="179">
        <v>124.87804878048776</v>
      </c>
      <c r="X71" s="181">
        <f t="shared" si="20"/>
        <v>1</v>
      </c>
      <c r="Y71" s="413"/>
      <c r="Z71" s="181">
        <v>20</v>
      </c>
      <c r="AA71" s="179">
        <v>2526.2068965517224</v>
      </c>
      <c r="AB71" s="179">
        <v>126.31034482758612</v>
      </c>
      <c r="AC71" s="181">
        <f t="shared" si="21"/>
        <v>1</v>
      </c>
      <c r="AD71" s="413"/>
      <c r="AE71" s="181">
        <v>20</v>
      </c>
      <c r="AF71" s="179">
        <v>2416.6666666666679</v>
      </c>
      <c r="AG71" s="179">
        <v>120.8333333333334</v>
      </c>
      <c r="AH71" s="181">
        <f t="shared" si="22"/>
        <v>2</v>
      </c>
      <c r="AI71" s="413"/>
      <c r="AJ71" s="181">
        <v>20</v>
      </c>
      <c r="AK71" s="179">
        <v>2452.2772277227732</v>
      </c>
      <c r="AL71" s="179">
        <v>122.61386138613867</v>
      </c>
      <c r="AM71" s="181">
        <f t="shared" si="23"/>
        <v>2</v>
      </c>
      <c r="AN71" s="413"/>
      <c r="AO71" s="181">
        <v>20</v>
      </c>
      <c r="AP71" s="179">
        <v>2475.1260504201668</v>
      </c>
      <c r="AQ71" s="179">
        <v>123.75630252100834</v>
      </c>
      <c r="AR71" s="181">
        <f t="shared" si="24"/>
        <v>2</v>
      </c>
      <c r="AS71" s="413"/>
      <c r="AT71" s="181">
        <v>20</v>
      </c>
      <c r="AU71" s="179">
        <v>2435.9999999999986</v>
      </c>
      <c r="AV71" s="179">
        <v>121.79999999999993</v>
      </c>
      <c r="AW71" s="181">
        <f t="shared" si="25"/>
        <v>2</v>
      </c>
      <c r="AX71" s="430"/>
    </row>
    <row r="72" spans="2:50">
      <c r="B72" s="400"/>
      <c r="C72" s="181">
        <v>6</v>
      </c>
      <c r="D72" s="196"/>
      <c r="E72" s="165"/>
      <c r="F72" s="181"/>
      <c r="G72" s="179"/>
      <c r="H72" s="413"/>
      <c r="I72" s="165"/>
      <c r="J72" s="165"/>
      <c r="K72" s="179"/>
      <c r="L72" s="413"/>
      <c r="M72" s="180" t="e">
        <f>RANK(K72, K$67:$K$81)</f>
        <v>#N/A</v>
      </c>
      <c r="N72" s="401"/>
      <c r="O72" s="401"/>
      <c r="P72" s="181"/>
      <c r="Q72" s="179"/>
      <c r="R72" s="179"/>
      <c r="S72" s="181" t="e">
        <f t="shared" si="19"/>
        <v>#N/A</v>
      </c>
      <c r="T72" s="413"/>
      <c r="U72" s="181"/>
      <c r="V72" s="179"/>
      <c r="W72" s="179"/>
      <c r="X72" s="181" t="e">
        <f t="shared" si="20"/>
        <v>#N/A</v>
      </c>
      <c r="Y72" s="413"/>
      <c r="Z72" s="181"/>
      <c r="AA72" s="179"/>
      <c r="AB72" s="179"/>
      <c r="AC72" s="181" t="e">
        <f t="shared" si="21"/>
        <v>#N/A</v>
      </c>
      <c r="AD72" s="413"/>
      <c r="AE72" s="181"/>
      <c r="AF72" s="179"/>
      <c r="AG72" s="179"/>
      <c r="AH72" s="181" t="e">
        <f t="shared" si="22"/>
        <v>#N/A</v>
      </c>
      <c r="AI72" s="413"/>
      <c r="AJ72" s="181"/>
      <c r="AK72" s="179"/>
      <c r="AL72" s="179"/>
      <c r="AM72" s="181" t="e">
        <f t="shared" si="23"/>
        <v>#N/A</v>
      </c>
      <c r="AN72" s="413"/>
      <c r="AO72" s="181"/>
      <c r="AP72" s="179"/>
      <c r="AQ72" s="179"/>
      <c r="AR72" s="181" t="e">
        <f t="shared" si="24"/>
        <v>#N/A</v>
      </c>
      <c r="AS72" s="413"/>
      <c r="AT72" s="181"/>
      <c r="AU72" s="179"/>
      <c r="AV72" s="179"/>
      <c r="AW72" s="181" t="e">
        <f t="shared" si="25"/>
        <v>#N/A</v>
      </c>
      <c r="AX72" s="430"/>
    </row>
    <row r="73" spans="2:50">
      <c r="B73" s="400"/>
      <c r="C73" s="181">
        <v>7</v>
      </c>
      <c r="D73" s="196"/>
      <c r="E73" s="165"/>
      <c r="F73" s="181"/>
      <c r="G73" s="179"/>
      <c r="H73" s="413"/>
      <c r="I73" s="165"/>
      <c r="J73" s="165"/>
      <c r="K73" s="179"/>
      <c r="L73" s="413"/>
      <c r="M73" s="180" t="e">
        <f>RANK(K73, K$67:$K$81)</f>
        <v>#N/A</v>
      </c>
      <c r="N73" s="401"/>
      <c r="O73" s="401"/>
      <c r="P73" s="181"/>
      <c r="Q73" s="179"/>
      <c r="R73" s="179"/>
      <c r="S73" s="181" t="e">
        <f t="shared" si="19"/>
        <v>#N/A</v>
      </c>
      <c r="T73" s="413"/>
      <c r="U73" s="181"/>
      <c r="V73" s="179"/>
      <c r="W73" s="179"/>
      <c r="X73" s="181" t="e">
        <f t="shared" si="20"/>
        <v>#N/A</v>
      </c>
      <c r="Y73" s="413"/>
      <c r="Z73" s="181"/>
      <c r="AA73" s="179"/>
      <c r="AB73" s="179"/>
      <c r="AC73" s="181" t="e">
        <f t="shared" si="21"/>
        <v>#N/A</v>
      </c>
      <c r="AD73" s="413"/>
      <c r="AE73" s="181"/>
      <c r="AF73" s="179"/>
      <c r="AG73" s="179"/>
      <c r="AH73" s="181" t="e">
        <f t="shared" si="22"/>
        <v>#N/A</v>
      </c>
      <c r="AI73" s="413"/>
      <c r="AJ73" s="181"/>
      <c r="AK73" s="179"/>
      <c r="AL73" s="179"/>
      <c r="AM73" s="181" t="e">
        <f t="shared" si="23"/>
        <v>#N/A</v>
      </c>
      <c r="AN73" s="413"/>
      <c r="AO73" s="181"/>
      <c r="AP73" s="179"/>
      <c r="AQ73" s="179"/>
      <c r="AR73" s="181" t="e">
        <f t="shared" si="24"/>
        <v>#N/A</v>
      </c>
      <c r="AS73" s="413"/>
      <c r="AT73" s="181"/>
      <c r="AU73" s="179"/>
      <c r="AV73" s="179"/>
      <c r="AW73" s="181" t="e">
        <f t="shared" si="25"/>
        <v>#N/A</v>
      </c>
      <c r="AX73" s="430"/>
    </row>
    <row r="74" spans="2:50">
      <c r="B74" s="400"/>
      <c r="C74" s="181">
        <v>8</v>
      </c>
      <c r="D74" s="196"/>
      <c r="E74" s="165"/>
      <c r="F74" s="181"/>
      <c r="G74" s="179"/>
      <c r="H74" s="413"/>
      <c r="I74" s="165"/>
      <c r="J74" s="165"/>
      <c r="K74" s="179"/>
      <c r="L74" s="413"/>
      <c r="M74" s="180" t="e">
        <f>RANK(K74, K$67:$K$81)</f>
        <v>#N/A</v>
      </c>
      <c r="N74" s="401"/>
      <c r="O74" s="401"/>
      <c r="P74" s="181"/>
      <c r="Q74" s="179"/>
      <c r="R74" s="179"/>
      <c r="S74" s="181" t="e">
        <f t="shared" si="19"/>
        <v>#N/A</v>
      </c>
      <c r="T74" s="413"/>
      <c r="U74" s="181"/>
      <c r="V74" s="179"/>
      <c r="W74" s="179"/>
      <c r="X74" s="181" t="e">
        <f t="shared" si="20"/>
        <v>#N/A</v>
      </c>
      <c r="Y74" s="413"/>
      <c r="Z74" s="181"/>
      <c r="AA74" s="179"/>
      <c r="AB74" s="179"/>
      <c r="AC74" s="181" t="e">
        <f t="shared" si="21"/>
        <v>#N/A</v>
      </c>
      <c r="AD74" s="413"/>
      <c r="AE74" s="181"/>
      <c r="AF74" s="179"/>
      <c r="AG74" s="179"/>
      <c r="AH74" s="181" t="e">
        <f t="shared" si="22"/>
        <v>#N/A</v>
      </c>
      <c r="AI74" s="413"/>
      <c r="AJ74" s="181"/>
      <c r="AK74" s="179"/>
      <c r="AL74" s="179"/>
      <c r="AM74" s="181" t="e">
        <f t="shared" si="23"/>
        <v>#N/A</v>
      </c>
      <c r="AN74" s="413"/>
      <c r="AO74" s="181"/>
      <c r="AP74" s="179"/>
      <c r="AQ74" s="179"/>
      <c r="AR74" s="181" t="e">
        <f t="shared" si="24"/>
        <v>#N/A</v>
      </c>
      <c r="AS74" s="413"/>
      <c r="AT74" s="181"/>
      <c r="AU74" s="179"/>
      <c r="AV74" s="179"/>
      <c r="AW74" s="181" t="e">
        <f t="shared" si="25"/>
        <v>#N/A</v>
      </c>
      <c r="AX74" s="430"/>
    </row>
    <row r="75" spans="2:50">
      <c r="B75" s="400"/>
      <c r="C75" s="181">
        <v>9</v>
      </c>
      <c r="D75" s="196"/>
      <c r="E75" s="165"/>
      <c r="F75" s="181"/>
      <c r="G75" s="179"/>
      <c r="H75" s="413"/>
      <c r="I75" s="165"/>
      <c r="J75" s="165"/>
      <c r="K75" s="179"/>
      <c r="L75" s="413"/>
      <c r="M75" s="180" t="e">
        <f>RANK(K75, K$67:$K$81)</f>
        <v>#N/A</v>
      </c>
      <c r="N75" s="401"/>
      <c r="O75" s="401"/>
      <c r="P75" s="181"/>
      <c r="Q75" s="179"/>
      <c r="R75" s="179"/>
      <c r="S75" s="181" t="e">
        <f t="shared" si="19"/>
        <v>#N/A</v>
      </c>
      <c r="T75" s="413"/>
      <c r="U75" s="181"/>
      <c r="V75" s="179"/>
      <c r="W75" s="179"/>
      <c r="X75" s="181" t="e">
        <f t="shared" si="20"/>
        <v>#N/A</v>
      </c>
      <c r="Y75" s="413"/>
      <c r="Z75" s="181"/>
      <c r="AA75" s="179"/>
      <c r="AB75" s="179"/>
      <c r="AC75" s="181" t="e">
        <f t="shared" si="21"/>
        <v>#N/A</v>
      </c>
      <c r="AD75" s="413"/>
      <c r="AE75" s="181"/>
      <c r="AF75" s="179"/>
      <c r="AG75" s="179"/>
      <c r="AH75" s="181" t="e">
        <f t="shared" si="22"/>
        <v>#N/A</v>
      </c>
      <c r="AI75" s="413"/>
      <c r="AJ75" s="181"/>
      <c r="AK75" s="179"/>
      <c r="AL75" s="179"/>
      <c r="AM75" s="181" t="e">
        <f t="shared" si="23"/>
        <v>#N/A</v>
      </c>
      <c r="AN75" s="413"/>
      <c r="AO75" s="181"/>
      <c r="AP75" s="179"/>
      <c r="AQ75" s="179"/>
      <c r="AR75" s="181" t="e">
        <f t="shared" si="24"/>
        <v>#N/A</v>
      </c>
      <c r="AS75" s="413"/>
      <c r="AT75" s="181"/>
      <c r="AU75" s="179"/>
      <c r="AV75" s="179"/>
      <c r="AW75" s="181" t="e">
        <f t="shared" si="25"/>
        <v>#N/A</v>
      </c>
      <c r="AX75" s="430"/>
    </row>
    <row r="76" spans="2:50">
      <c r="B76" s="400"/>
      <c r="C76" s="181">
        <v>10</v>
      </c>
      <c r="D76" s="196"/>
      <c r="E76" s="165"/>
      <c r="F76" s="181"/>
      <c r="G76" s="179"/>
      <c r="H76" s="413"/>
      <c r="I76" s="165"/>
      <c r="J76" s="165"/>
      <c r="K76" s="179"/>
      <c r="L76" s="413"/>
      <c r="M76" s="180" t="e">
        <f>RANK(K76, K$67:$K$81)</f>
        <v>#N/A</v>
      </c>
      <c r="N76" s="401"/>
      <c r="O76" s="401"/>
      <c r="P76" s="181"/>
      <c r="Q76" s="181"/>
      <c r="R76" s="179"/>
      <c r="S76" s="181" t="e">
        <f t="shared" si="19"/>
        <v>#N/A</v>
      </c>
      <c r="T76" s="413"/>
      <c r="U76" s="181"/>
      <c r="V76" s="181"/>
      <c r="W76" s="179"/>
      <c r="X76" s="181" t="e">
        <f t="shared" si="20"/>
        <v>#N/A</v>
      </c>
      <c r="Y76" s="413"/>
      <c r="Z76" s="181"/>
      <c r="AA76" s="181"/>
      <c r="AB76" s="179"/>
      <c r="AC76" s="181" t="e">
        <f t="shared" si="21"/>
        <v>#N/A</v>
      </c>
      <c r="AD76" s="413"/>
      <c r="AE76" s="181"/>
      <c r="AF76" s="181"/>
      <c r="AG76" s="179"/>
      <c r="AH76" s="181" t="e">
        <f t="shared" si="22"/>
        <v>#N/A</v>
      </c>
      <c r="AI76" s="413"/>
      <c r="AJ76" s="181"/>
      <c r="AK76" s="181"/>
      <c r="AL76" s="179"/>
      <c r="AM76" s="181" t="e">
        <f t="shared" si="23"/>
        <v>#N/A</v>
      </c>
      <c r="AN76" s="413"/>
      <c r="AO76" s="181"/>
      <c r="AP76" s="181"/>
      <c r="AQ76" s="179"/>
      <c r="AR76" s="181" t="e">
        <f t="shared" si="24"/>
        <v>#N/A</v>
      </c>
      <c r="AS76" s="413"/>
      <c r="AT76" s="181"/>
      <c r="AU76" s="181"/>
      <c r="AV76" s="179"/>
      <c r="AW76" s="181" t="e">
        <f t="shared" si="25"/>
        <v>#N/A</v>
      </c>
      <c r="AX76" s="430"/>
    </row>
    <row r="77" spans="2:50">
      <c r="B77" s="400"/>
      <c r="C77" s="181">
        <v>11</v>
      </c>
      <c r="D77" s="196"/>
      <c r="E77" s="165"/>
      <c r="F77" s="181"/>
      <c r="G77" s="179"/>
      <c r="H77" s="413"/>
      <c r="I77" s="181"/>
      <c r="J77" s="181"/>
      <c r="K77" s="181"/>
      <c r="L77" s="413"/>
      <c r="M77" s="180" t="e">
        <f>RANK(K77, K$67:$K$81)</f>
        <v>#N/A</v>
      </c>
      <c r="N77" s="401"/>
      <c r="O77" s="401"/>
      <c r="P77" s="181"/>
      <c r="Q77" s="181"/>
      <c r="R77" s="181"/>
      <c r="S77" s="181" t="e">
        <f t="shared" si="19"/>
        <v>#N/A</v>
      </c>
      <c r="T77" s="413"/>
      <c r="U77" s="181"/>
      <c r="V77" s="181"/>
      <c r="W77" s="181"/>
      <c r="X77" s="181" t="e">
        <f t="shared" si="20"/>
        <v>#N/A</v>
      </c>
      <c r="Y77" s="413"/>
      <c r="Z77" s="181"/>
      <c r="AA77" s="181"/>
      <c r="AB77" s="181"/>
      <c r="AC77" s="181" t="e">
        <f t="shared" si="21"/>
        <v>#N/A</v>
      </c>
      <c r="AD77" s="413"/>
      <c r="AE77" s="181"/>
      <c r="AF77" s="181"/>
      <c r="AG77" s="181"/>
      <c r="AH77" s="181" t="e">
        <f t="shared" si="22"/>
        <v>#N/A</v>
      </c>
      <c r="AI77" s="413"/>
      <c r="AJ77" s="181"/>
      <c r="AK77" s="181"/>
      <c r="AL77" s="181"/>
      <c r="AM77" s="181" t="e">
        <f t="shared" si="23"/>
        <v>#N/A</v>
      </c>
      <c r="AN77" s="413"/>
      <c r="AO77" s="181"/>
      <c r="AP77" s="181"/>
      <c r="AQ77" s="181"/>
      <c r="AR77" s="181" t="e">
        <f t="shared" si="24"/>
        <v>#N/A</v>
      </c>
      <c r="AS77" s="413"/>
      <c r="AT77" s="181"/>
      <c r="AU77" s="181"/>
      <c r="AV77" s="181"/>
      <c r="AW77" s="181" t="e">
        <f t="shared" si="25"/>
        <v>#N/A</v>
      </c>
      <c r="AX77" s="43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81"/>
      <c r="J78" s="181"/>
      <c r="K78" s="181"/>
      <c r="L78" s="413"/>
      <c r="M78" s="180" t="e">
        <f>RANK(K78, K$67:$K$81)</f>
        <v>#N/A</v>
      </c>
      <c r="N78" s="401"/>
      <c r="O78" s="401"/>
      <c r="P78" s="181"/>
      <c r="Q78" s="181"/>
      <c r="R78" s="181"/>
      <c r="S78" s="181" t="e">
        <f t="shared" si="19"/>
        <v>#N/A</v>
      </c>
      <c r="T78" s="413"/>
      <c r="U78" s="181"/>
      <c r="V78" s="181"/>
      <c r="W78" s="181"/>
      <c r="X78" s="181" t="e">
        <f t="shared" si="20"/>
        <v>#N/A</v>
      </c>
      <c r="Y78" s="413"/>
      <c r="Z78" s="181"/>
      <c r="AA78" s="181"/>
      <c r="AB78" s="181"/>
      <c r="AC78" s="181" t="e">
        <f t="shared" si="21"/>
        <v>#N/A</v>
      </c>
      <c r="AD78" s="413"/>
      <c r="AE78" s="181"/>
      <c r="AF78" s="181"/>
      <c r="AG78" s="181"/>
      <c r="AH78" s="181" t="e">
        <f t="shared" si="22"/>
        <v>#N/A</v>
      </c>
      <c r="AI78" s="413"/>
      <c r="AJ78" s="181"/>
      <c r="AK78" s="181"/>
      <c r="AL78" s="181"/>
      <c r="AM78" s="181" t="e">
        <f t="shared" si="23"/>
        <v>#N/A</v>
      </c>
      <c r="AN78" s="413"/>
      <c r="AO78" s="181"/>
      <c r="AP78" s="181"/>
      <c r="AQ78" s="181"/>
      <c r="AR78" s="181" t="e">
        <f t="shared" si="24"/>
        <v>#N/A</v>
      </c>
      <c r="AS78" s="413"/>
      <c r="AT78" s="181"/>
      <c r="AU78" s="181"/>
      <c r="AV78" s="181"/>
      <c r="AW78" s="181" t="e">
        <f t="shared" si="25"/>
        <v>#N/A</v>
      </c>
      <c r="AX78" s="43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81"/>
      <c r="J79" s="181"/>
      <c r="K79" s="181"/>
      <c r="L79" s="413"/>
      <c r="M79" s="180" t="e">
        <f>RANK(K79, K$67:$K$81)</f>
        <v>#N/A</v>
      </c>
      <c r="N79" s="401"/>
      <c r="O79" s="401"/>
      <c r="P79" s="181"/>
      <c r="Q79" s="181"/>
      <c r="R79" s="181"/>
      <c r="S79" s="181" t="e">
        <f t="shared" si="19"/>
        <v>#N/A</v>
      </c>
      <c r="T79" s="413"/>
      <c r="U79" s="181"/>
      <c r="V79" s="181"/>
      <c r="W79" s="181"/>
      <c r="X79" s="181" t="e">
        <f t="shared" si="20"/>
        <v>#N/A</v>
      </c>
      <c r="Y79" s="413"/>
      <c r="Z79" s="181"/>
      <c r="AA79" s="181"/>
      <c r="AB79" s="181"/>
      <c r="AC79" s="181" t="e">
        <f t="shared" si="21"/>
        <v>#N/A</v>
      </c>
      <c r="AD79" s="413"/>
      <c r="AE79" s="181"/>
      <c r="AF79" s="181"/>
      <c r="AG79" s="181"/>
      <c r="AH79" s="181" t="e">
        <f t="shared" si="22"/>
        <v>#N/A</v>
      </c>
      <c r="AI79" s="413"/>
      <c r="AJ79" s="181"/>
      <c r="AK79" s="181"/>
      <c r="AL79" s="181"/>
      <c r="AM79" s="181" t="e">
        <f t="shared" si="23"/>
        <v>#N/A</v>
      </c>
      <c r="AN79" s="413"/>
      <c r="AO79" s="181"/>
      <c r="AP79" s="181"/>
      <c r="AQ79" s="181"/>
      <c r="AR79" s="181" t="e">
        <f t="shared" si="24"/>
        <v>#N/A</v>
      </c>
      <c r="AS79" s="413"/>
      <c r="AT79" s="181"/>
      <c r="AU79" s="181"/>
      <c r="AV79" s="181"/>
      <c r="AW79" s="181" t="e">
        <f t="shared" si="25"/>
        <v>#N/A</v>
      </c>
      <c r="AX79" s="43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81"/>
      <c r="J80" s="181"/>
      <c r="K80" s="181"/>
      <c r="L80" s="413"/>
      <c r="M80" s="180" t="e">
        <f>RANK(K80, K$67:$K$81)</f>
        <v>#N/A</v>
      </c>
      <c r="N80" s="401"/>
      <c r="O80" s="401"/>
      <c r="P80" s="181"/>
      <c r="Q80" s="181"/>
      <c r="R80" s="181"/>
      <c r="S80" s="181" t="e">
        <f t="shared" si="19"/>
        <v>#N/A</v>
      </c>
      <c r="T80" s="413"/>
      <c r="U80" s="181"/>
      <c r="V80" s="181"/>
      <c r="W80" s="181"/>
      <c r="X80" s="181" t="e">
        <f t="shared" si="20"/>
        <v>#N/A</v>
      </c>
      <c r="Y80" s="413"/>
      <c r="Z80" s="181"/>
      <c r="AA80" s="181"/>
      <c r="AB80" s="181"/>
      <c r="AC80" s="181" t="e">
        <f t="shared" si="21"/>
        <v>#N/A</v>
      </c>
      <c r="AD80" s="413"/>
      <c r="AE80" s="181"/>
      <c r="AF80" s="181"/>
      <c r="AG80" s="181"/>
      <c r="AH80" s="181" t="e">
        <f t="shared" si="22"/>
        <v>#N/A</v>
      </c>
      <c r="AI80" s="413"/>
      <c r="AJ80" s="181"/>
      <c r="AK80" s="181"/>
      <c r="AL80" s="181"/>
      <c r="AM80" s="181" t="e">
        <f t="shared" si="23"/>
        <v>#N/A</v>
      </c>
      <c r="AN80" s="413"/>
      <c r="AO80" s="181"/>
      <c r="AP80" s="181"/>
      <c r="AQ80" s="181"/>
      <c r="AR80" s="181" t="e">
        <f t="shared" si="24"/>
        <v>#N/A</v>
      </c>
      <c r="AS80" s="413"/>
      <c r="AT80" s="181"/>
      <c r="AU80" s="181"/>
      <c r="AV80" s="181"/>
      <c r="AW80" s="181" t="e">
        <f t="shared" si="25"/>
        <v>#N/A</v>
      </c>
      <c r="AX80" s="43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81"/>
      <c r="J81" s="181"/>
      <c r="K81" s="181"/>
      <c r="L81" s="414"/>
      <c r="M81" s="180" t="e">
        <f>RANK(K81, K$67:$K$81)</f>
        <v>#N/A</v>
      </c>
      <c r="N81" s="401"/>
      <c r="O81" s="401"/>
      <c r="P81" s="181"/>
      <c r="Q81" s="181"/>
      <c r="R81" s="181"/>
      <c r="S81" s="181" t="e">
        <f t="shared" si="19"/>
        <v>#N/A</v>
      </c>
      <c r="T81" s="414"/>
      <c r="U81" s="181"/>
      <c r="V81" s="181"/>
      <c r="W81" s="181"/>
      <c r="X81" s="181" t="e">
        <f t="shared" si="20"/>
        <v>#N/A</v>
      </c>
      <c r="Y81" s="414"/>
      <c r="Z81" s="181"/>
      <c r="AA81" s="181"/>
      <c r="AB81" s="181"/>
      <c r="AC81" s="181" t="e">
        <f t="shared" si="21"/>
        <v>#N/A</v>
      </c>
      <c r="AD81" s="414"/>
      <c r="AE81" s="181"/>
      <c r="AF81" s="181"/>
      <c r="AG81" s="181"/>
      <c r="AH81" s="181" t="e">
        <f t="shared" si="22"/>
        <v>#N/A</v>
      </c>
      <c r="AI81" s="414"/>
      <c r="AJ81" s="181"/>
      <c r="AK81" s="181"/>
      <c r="AL81" s="181"/>
      <c r="AM81" s="181" t="e">
        <f t="shared" si="23"/>
        <v>#N/A</v>
      </c>
      <c r="AN81" s="414"/>
      <c r="AO81" s="181"/>
      <c r="AP81" s="181"/>
      <c r="AQ81" s="181"/>
      <c r="AR81" s="181" t="e">
        <f t="shared" si="24"/>
        <v>#N/A</v>
      </c>
      <c r="AS81" s="414"/>
      <c r="AT81" s="181"/>
      <c r="AU81" s="181"/>
      <c r="AV81" s="181"/>
      <c r="AW81" s="181" t="e">
        <f t="shared" si="25"/>
        <v>#N/A</v>
      </c>
      <c r="AX81" s="430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01" t="s">
        <v>309</v>
      </c>
      <c r="C87" s="181">
        <v>1</v>
      </c>
      <c r="D87" s="196" t="s">
        <v>310</v>
      </c>
      <c r="E87" s="165">
        <v>21</v>
      </c>
      <c r="F87" s="181">
        <v>2400</v>
      </c>
      <c r="G87" s="179">
        <v>114.28571428571429</v>
      </c>
      <c r="H87" s="412">
        <f>AVERAGE(G87:G101)</f>
        <v>143.60275689223059</v>
      </c>
      <c r="I87" s="165">
        <f>AVERAGE(P87,U87,Z87,AE87,AJ87,AO87,AT87)</f>
        <v>21</v>
      </c>
      <c r="J87" s="165">
        <f>AVERAGE(Q87,V87,AA87,AF87,AK87,AP87,AU87)</f>
        <v>2166.2604263184426</v>
      </c>
      <c r="K87" s="179">
        <f>AVERAGE(R87,W87,AB87,AG87,AL87,AQ87,AV87)</f>
        <v>103.1552583961163</v>
      </c>
      <c r="L87" s="412">
        <f>IFERROR(AVERAGE(K87:K101),"-")</f>
        <v>116.17822354331399</v>
      </c>
      <c r="M87" s="180">
        <f>RANK(K87, K$87:$K$101)</f>
        <v>5</v>
      </c>
      <c r="N87" s="401"/>
      <c r="O87" s="401"/>
      <c r="P87" s="165">
        <v>21</v>
      </c>
      <c r="Q87" s="179">
        <v>2200.5512195121946</v>
      </c>
      <c r="R87" s="179">
        <v>104.78815331010451</v>
      </c>
      <c r="S87" s="181">
        <f>RANK(R87, R$87:R$101)</f>
        <v>5</v>
      </c>
      <c r="T87" s="412">
        <f>AVERAGE(R87:R101)</f>
        <v>115.74977793065946</v>
      </c>
      <c r="U87" s="165">
        <v>21</v>
      </c>
      <c r="V87" s="179">
        <v>2156.8831168831175</v>
      </c>
      <c r="W87" s="179">
        <v>102.70871985157703</v>
      </c>
      <c r="X87" s="181">
        <f>RANK(W87, W$87:W$101)</f>
        <v>5</v>
      </c>
      <c r="Y87" s="412">
        <f>AVERAGE(W87:W101)</f>
        <v>115.85160266878577</v>
      </c>
      <c r="Z87" s="165">
        <v>21</v>
      </c>
      <c r="AA87" s="179">
        <v>2190.0000000000009</v>
      </c>
      <c r="AB87" s="179">
        <v>104.28571428571433</v>
      </c>
      <c r="AC87" s="181">
        <f>RANK(AB87, AB$87:AB$101)</f>
        <v>5</v>
      </c>
      <c r="AD87" s="412">
        <f>AVERAGE(AB87:AB101)</f>
        <v>116.24145152666077</v>
      </c>
      <c r="AE87" s="165">
        <v>21</v>
      </c>
      <c r="AF87" s="179">
        <v>2167.3972602739727</v>
      </c>
      <c r="AG87" s="179">
        <v>103.20939334637966</v>
      </c>
      <c r="AH87" s="181">
        <f>RANK(AG87, AG$87:AG$101)</f>
        <v>5</v>
      </c>
      <c r="AI87" s="412">
        <f>AVERAGE(AG87:AG101)</f>
        <v>116.46979757367981</v>
      </c>
      <c r="AJ87" s="165">
        <v>21</v>
      </c>
      <c r="AK87" s="179">
        <v>2128.8000000000006</v>
      </c>
      <c r="AL87" s="179">
        <v>101.37142857142859</v>
      </c>
      <c r="AM87" s="181">
        <f>RANK(AL87, AL$87:AL$101)</f>
        <v>5</v>
      </c>
      <c r="AN87" s="412">
        <f>AVERAGE(AL87:AL101)</f>
        <v>115.91684248361166</v>
      </c>
      <c r="AO87" s="165">
        <v>21</v>
      </c>
      <c r="AP87" s="179">
        <v>2165.454545454545</v>
      </c>
      <c r="AQ87" s="179">
        <v>103.1168831168831</v>
      </c>
      <c r="AR87" s="181">
        <f>RANK(AQ87, AQ$87:AQ$101)</f>
        <v>4</v>
      </c>
      <c r="AS87" s="412">
        <f>AVERAGE(AQ87:AQ101)</f>
        <v>117.26896520035373</v>
      </c>
      <c r="AT87" s="165">
        <v>21</v>
      </c>
      <c r="AU87" s="179">
        <v>2154.7368421052629</v>
      </c>
      <c r="AV87" s="179">
        <v>102.6065162907268</v>
      </c>
      <c r="AW87" s="181">
        <f>RANK(AV87, AV$87:AV$101)</f>
        <v>4</v>
      </c>
      <c r="AX87" s="430">
        <f>AVERAGE(AV87:AV101)</f>
        <v>116.93459052970292</v>
      </c>
    </row>
    <row r="88" spans="2:50">
      <c r="B88" s="400"/>
      <c r="C88" s="181">
        <v>2</v>
      </c>
      <c r="D88" s="196" t="s">
        <v>311</v>
      </c>
      <c r="E88" s="165">
        <v>18</v>
      </c>
      <c r="F88" s="181">
        <v>3000</v>
      </c>
      <c r="G88" s="179">
        <v>166.66666666666666</v>
      </c>
      <c r="H88" s="413"/>
      <c r="I88" s="165">
        <f t="shared" ref="I88:K91" si="26">AVERAGE(P88,U88,Z88,AE88,AJ88,AO88,AT88)</f>
        <v>20</v>
      </c>
      <c r="J88" s="165">
        <f t="shared" si="26"/>
        <v>2361.2814600831302</v>
      </c>
      <c r="K88" s="179">
        <f t="shared" si="26"/>
        <v>118.06407300415653</v>
      </c>
      <c r="L88" s="413"/>
      <c r="M88" s="180">
        <f>RANK(K88, K$87:$K$101)</f>
        <v>3</v>
      </c>
      <c r="N88" s="401"/>
      <c r="O88" s="401"/>
      <c r="P88" s="181">
        <v>20</v>
      </c>
      <c r="Q88" s="179">
        <v>2346.7605633802823</v>
      </c>
      <c r="R88" s="179">
        <v>117.33802816901411</v>
      </c>
      <c r="S88" s="181">
        <f t="shared" ref="S88:S101" si="27">RANK(R88, R$87:R$101)</f>
        <v>3</v>
      </c>
      <c r="T88" s="413"/>
      <c r="U88" s="181">
        <v>20</v>
      </c>
      <c r="V88" s="179">
        <v>2315.3571428571445</v>
      </c>
      <c r="W88" s="179">
        <v>115.76785714285722</v>
      </c>
      <c r="X88" s="181">
        <f t="shared" ref="X88:X101" si="28">RANK(W88, W$87:W$101)</f>
        <v>3</v>
      </c>
      <c r="Y88" s="413"/>
      <c r="Z88" s="181">
        <v>20</v>
      </c>
      <c r="AA88" s="179">
        <v>2346.7924528301901</v>
      </c>
      <c r="AB88" s="179">
        <v>117.33962264150951</v>
      </c>
      <c r="AC88" s="181">
        <f t="shared" ref="AC88:AC101" si="29">RANK(AB88, AB$87:AB$101)</f>
        <v>3</v>
      </c>
      <c r="AD88" s="413"/>
      <c r="AE88" s="181">
        <v>20</v>
      </c>
      <c r="AF88" s="179">
        <v>2419.2857142857124</v>
      </c>
      <c r="AG88" s="179">
        <v>120.96428571428562</v>
      </c>
      <c r="AH88" s="181">
        <f t="shared" ref="AH88:AH101" si="30">RANK(AG88, AG$87:AG$101)</f>
        <v>2</v>
      </c>
      <c r="AI88" s="413"/>
      <c r="AJ88" s="181">
        <v>20</v>
      </c>
      <c r="AK88" s="179">
        <v>2364.4067796610157</v>
      </c>
      <c r="AL88" s="179">
        <v>118.22033898305078</v>
      </c>
      <c r="AM88" s="181">
        <f t="shared" ref="AM88:AM101" si="31">RANK(AL88, AL$87:AL$101)</f>
        <v>3</v>
      </c>
      <c r="AN88" s="413"/>
      <c r="AO88" s="181">
        <v>20</v>
      </c>
      <c r="AP88" s="179">
        <v>2368.8000000000011</v>
      </c>
      <c r="AQ88" s="179">
        <v>118.44000000000005</v>
      </c>
      <c r="AR88" s="181">
        <f t="shared" ref="AR88:AR101" si="32">RANK(AQ88, AQ$87:AQ$101)</f>
        <v>3</v>
      </c>
      <c r="AS88" s="413"/>
      <c r="AT88" s="181">
        <v>20</v>
      </c>
      <c r="AU88" s="179">
        <v>2367.5675675675684</v>
      </c>
      <c r="AV88" s="179">
        <v>118.37837837837841</v>
      </c>
      <c r="AW88" s="181">
        <f t="shared" ref="AW88:AW101" si="33">RANK(AV88, AV$87:AV$101)</f>
        <v>3</v>
      </c>
      <c r="AX88" s="430"/>
    </row>
    <row r="89" spans="2:50">
      <c r="B89" s="400"/>
      <c r="C89" s="181">
        <v>3</v>
      </c>
      <c r="D89" s="196" t="s">
        <v>312</v>
      </c>
      <c r="E89" s="165">
        <v>20</v>
      </c>
      <c r="F89" s="181">
        <v>2250</v>
      </c>
      <c r="G89" s="179">
        <v>112.5</v>
      </c>
      <c r="H89" s="413"/>
      <c r="I89" s="165">
        <f t="shared" si="26"/>
        <v>20</v>
      </c>
      <c r="J89" s="165">
        <f t="shared" si="26"/>
        <v>2282.7624017877561</v>
      </c>
      <c r="K89" s="179">
        <f t="shared" si="26"/>
        <v>114.13812008938783</v>
      </c>
      <c r="L89" s="413"/>
      <c r="M89" s="180">
        <f>RANK(K89, K$87:$K$101)</f>
        <v>4</v>
      </c>
      <c r="N89" s="401"/>
      <c r="O89" s="401"/>
      <c r="P89" s="181">
        <v>20</v>
      </c>
      <c r="Q89" s="179">
        <v>2279.9999999999991</v>
      </c>
      <c r="R89" s="179">
        <v>113.99999999999996</v>
      </c>
      <c r="S89" s="181">
        <f t="shared" si="27"/>
        <v>4</v>
      </c>
      <c r="T89" s="413"/>
      <c r="U89" s="181">
        <v>20</v>
      </c>
      <c r="V89" s="179">
        <v>2277.8947368421068</v>
      </c>
      <c r="W89" s="179">
        <v>113.89473684210535</v>
      </c>
      <c r="X89" s="181">
        <f t="shared" si="28"/>
        <v>4</v>
      </c>
      <c r="Y89" s="413"/>
      <c r="Z89" s="181">
        <v>20</v>
      </c>
      <c r="AA89" s="179">
        <v>2268.8372093023249</v>
      </c>
      <c r="AB89" s="179">
        <v>113.44186046511625</v>
      </c>
      <c r="AC89" s="181">
        <f t="shared" si="29"/>
        <v>4</v>
      </c>
      <c r="AD89" s="413"/>
      <c r="AE89" s="181">
        <v>20</v>
      </c>
      <c r="AF89" s="179">
        <v>2309.3877551020414</v>
      </c>
      <c r="AG89" s="179">
        <v>115.46938775510208</v>
      </c>
      <c r="AH89" s="181">
        <f t="shared" si="30"/>
        <v>4</v>
      </c>
      <c r="AI89" s="413"/>
      <c r="AJ89" s="181">
        <v>20</v>
      </c>
      <c r="AK89" s="179">
        <v>2277.692307692309</v>
      </c>
      <c r="AL89" s="179">
        <v>113.88461538461544</v>
      </c>
      <c r="AM89" s="181">
        <f t="shared" si="31"/>
        <v>4</v>
      </c>
      <c r="AN89" s="413"/>
      <c r="AO89" s="181"/>
      <c r="AP89" s="179"/>
      <c r="AQ89" s="179"/>
      <c r="AR89" s="181" t="e">
        <f t="shared" si="32"/>
        <v>#N/A</v>
      </c>
      <c r="AS89" s="413"/>
      <c r="AT89" s="181"/>
      <c r="AU89" s="179"/>
      <c r="AV89" s="179"/>
      <c r="AW89" s="181" t="e">
        <f t="shared" si="33"/>
        <v>#N/A</v>
      </c>
      <c r="AX89" s="430"/>
    </row>
    <row r="90" spans="2:50">
      <c r="B90" s="400"/>
      <c r="C90" s="181">
        <v>4</v>
      </c>
      <c r="D90" s="196" t="s">
        <v>313</v>
      </c>
      <c r="E90" s="165">
        <v>18</v>
      </c>
      <c r="F90" s="181">
        <v>3000</v>
      </c>
      <c r="G90" s="179">
        <v>166.66666666666666</v>
      </c>
      <c r="H90" s="413"/>
      <c r="I90" s="165">
        <f t="shared" si="26"/>
        <v>20</v>
      </c>
      <c r="J90" s="165">
        <f t="shared" si="26"/>
        <v>2444.9229101497731</v>
      </c>
      <c r="K90" s="179">
        <f t="shared" si="26"/>
        <v>122.24614550748866</v>
      </c>
      <c r="L90" s="413"/>
      <c r="M90" s="180">
        <f>RANK(K90, K$87:$K$101)</f>
        <v>2</v>
      </c>
      <c r="N90" s="401"/>
      <c r="O90" s="401"/>
      <c r="P90" s="181">
        <v>20</v>
      </c>
      <c r="Q90" s="179">
        <v>2425.227272727273</v>
      </c>
      <c r="R90" s="179">
        <v>121.26136363636365</v>
      </c>
      <c r="S90" s="181">
        <f t="shared" si="27"/>
        <v>2</v>
      </c>
      <c r="T90" s="413"/>
      <c r="U90" s="181">
        <v>20</v>
      </c>
      <c r="V90" s="179">
        <v>2454.2857142857169</v>
      </c>
      <c r="W90" s="179">
        <v>122.71428571428585</v>
      </c>
      <c r="X90" s="181">
        <f t="shared" si="28"/>
        <v>2</v>
      </c>
      <c r="Y90" s="413"/>
      <c r="Z90" s="181">
        <v>20</v>
      </c>
      <c r="AA90" s="179">
        <v>2437.4999999999991</v>
      </c>
      <c r="AB90" s="179">
        <v>121.87499999999996</v>
      </c>
      <c r="AC90" s="181">
        <f t="shared" si="29"/>
        <v>2</v>
      </c>
      <c r="AD90" s="413"/>
      <c r="AE90" s="181">
        <v>20</v>
      </c>
      <c r="AF90" s="179">
        <v>2346.7500000000023</v>
      </c>
      <c r="AG90" s="179">
        <v>117.33750000000012</v>
      </c>
      <c r="AH90" s="181">
        <f t="shared" si="30"/>
        <v>3</v>
      </c>
      <c r="AI90" s="413"/>
      <c r="AJ90" s="181">
        <v>20</v>
      </c>
      <c r="AK90" s="179">
        <v>2466.4864864864844</v>
      </c>
      <c r="AL90" s="179">
        <v>123.32432432432422</v>
      </c>
      <c r="AM90" s="181">
        <f t="shared" si="31"/>
        <v>1</v>
      </c>
      <c r="AN90" s="413"/>
      <c r="AO90" s="181">
        <v>20</v>
      </c>
      <c r="AP90" s="179">
        <v>2493.6448598130837</v>
      </c>
      <c r="AQ90" s="179">
        <v>124.68224299065419</v>
      </c>
      <c r="AR90" s="181">
        <f t="shared" si="32"/>
        <v>1</v>
      </c>
      <c r="AS90" s="413"/>
      <c r="AT90" s="181">
        <v>20</v>
      </c>
      <c r="AU90" s="179">
        <v>2490.5660377358504</v>
      </c>
      <c r="AV90" s="179">
        <v>124.52830188679252</v>
      </c>
      <c r="AW90" s="181">
        <f t="shared" si="33"/>
        <v>1</v>
      </c>
      <c r="AX90" s="430"/>
    </row>
    <row r="91" spans="2:50">
      <c r="B91" s="400"/>
      <c r="C91" s="181">
        <v>5</v>
      </c>
      <c r="D91" s="196" t="s">
        <v>314</v>
      </c>
      <c r="E91" s="165">
        <v>19</v>
      </c>
      <c r="F91" s="181">
        <v>3000</v>
      </c>
      <c r="G91" s="179">
        <v>157.89473684210526</v>
      </c>
      <c r="H91" s="413"/>
      <c r="I91" s="165">
        <f t="shared" si="26"/>
        <v>20</v>
      </c>
      <c r="J91" s="165">
        <f t="shared" si="26"/>
        <v>2465.7504143884134</v>
      </c>
      <c r="K91" s="179">
        <f t="shared" si="26"/>
        <v>123.28752071942067</v>
      </c>
      <c r="L91" s="413"/>
      <c r="M91" s="180">
        <f>RANK(K91, K$87:$K$101)</f>
        <v>1</v>
      </c>
      <c r="N91" s="401"/>
      <c r="O91" s="401"/>
      <c r="P91" s="181">
        <v>20</v>
      </c>
      <c r="Q91" s="179">
        <v>2427.2268907563016</v>
      </c>
      <c r="R91" s="179">
        <v>121.36134453781509</v>
      </c>
      <c r="S91" s="181">
        <f t="shared" si="27"/>
        <v>1</v>
      </c>
      <c r="T91" s="413"/>
      <c r="U91" s="181">
        <v>20</v>
      </c>
      <c r="V91" s="179">
        <v>2483.4482758620684</v>
      </c>
      <c r="W91" s="179">
        <v>124.17241379310342</v>
      </c>
      <c r="X91" s="181">
        <f t="shared" si="28"/>
        <v>1</v>
      </c>
      <c r="Y91" s="413"/>
      <c r="Z91" s="181">
        <v>20</v>
      </c>
      <c r="AA91" s="179">
        <v>2485.3012048192763</v>
      </c>
      <c r="AB91" s="179">
        <v>124.26506024096382</v>
      </c>
      <c r="AC91" s="181">
        <f t="shared" si="29"/>
        <v>1</v>
      </c>
      <c r="AD91" s="413"/>
      <c r="AE91" s="181">
        <v>20</v>
      </c>
      <c r="AF91" s="179">
        <v>2507.3684210526321</v>
      </c>
      <c r="AG91" s="179">
        <v>125.3684210526316</v>
      </c>
      <c r="AH91" s="181">
        <f t="shared" si="30"/>
        <v>1</v>
      </c>
      <c r="AI91" s="413"/>
      <c r="AJ91" s="181">
        <v>20</v>
      </c>
      <c r="AK91" s="179">
        <v>2455.6701030927843</v>
      </c>
      <c r="AL91" s="179">
        <v>122.78350515463922</v>
      </c>
      <c r="AM91" s="181">
        <f t="shared" si="31"/>
        <v>2</v>
      </c>
      <c r="AN91" s="413"/>
      <c r="AO91" s="181">
        <v>20</v>
      </c>
      <c r="AP91" s="179">
        <v>2456.7346938775518</v>
      </c>
      <c r="AQ91" s="179">
        <v>122.83673469387759</v>
      </c>
      <c r="AR91" s="181">
        <f t="shared" si="32"/>
        <v>2</v>
      </c>
      <c r="AS91" s="413"/>
      <c r="AT91" s="181">
        <v>20</v>
      </c>
      <c r="AU91" s="179">
        <v>2444.5033112582792</v>
      </c>
      <c r="AV91" s="179">
        <v>122.22516556291396</v>
      </c>
      <c r="AW91" s="181">
        <f t="shared" si="33"/>
        <v>2</v>
      </c>
      <c r="AX91" s="430"/>
    </row>
    <row r="92" spans="2:50">
      <c r="B92" s="400"/>
      <c r="C92" s="181">
        <v>6</v>
      </c>
      <c r="D92" s="196"/>
      <c r="E92" s="165"/>
      <c r="F92" s="181"/>
      <c r="G92" s="179"/>
      <c r="H92" s="413"/>
      <c r="I92" s="165"/>
      <c r="J92" s="165"/>
      <c r="K92" s="179"/>
      <c r="L92" s="413"/>
      <c r="M92" s="180" t="e">
        <f>RANK(K92, K$87:$K$101)</f>
        <v>#N/A</v>
      </c>
      <c r="N92" s="401"/>
      <c r="O92" s="401"/>
      <c r="P92" s="181"/>
      <c r="Q92" s="179"/>
      <c r="R92" s="179"/>
      <c r="S92" s="181" t="e">
        <f t="shared" si="27"/>
        <v>#N/A</v>
      </c>
      <c r="T92" s="413"/>
      <c r="U92" s="181"/>
      <c r="V92" s="179"/>
      <c r="W92" s="179"/>
      <c r="X92" s="181" t="e">
        <f t="shared" si="28"/>
        <v>#N/A</v>
      </c>
      <c r="Y92" s="413"/>
      <c r="Z92" s="181"/>
      <c r="AA92" s="179"/>
      <c r="AB92" s="179"/>
      <c r="AC92" s="181" t="e">
        <f t="shared" si="29"/>
        <v>#N/A</v>
      </c>
      <c r="AD92" s="413"/>
      <c r="AE92" s="181"/>
      <c r="AF92" s="179"/>
      <c r="AG92" s="179"/>
      <c r="AH92" s="181" t="e">
        <f t="shared" si="30"/>
        <v>#N/A</v>
      </c>
      <c r="AI92" s="413"/>
      <c r="AJ92" s="181"/>
      <c r="AK92" s="179"/>
      <c r="AL92" s="179"/>
      <c r="AM92" s="181" t="e">
        <f t="shared" si="31"/>
        <v>#N/A</v>
      </c>
      <c r="AN92" s="413"/>
      <c r="AO92" s="181"/>
      <c r="AP92" s="179"/>
      <c r="AQ92" s="179"/>
      <c r="AR92" s="181" t="e">
        <f t="shared" si="32"/>
        <v>#N/A</v>
      </c>
      <c r="AS92" s="413"/>
      <c r="AT92" s="181"/>
      <c r="AU92" s="179"/>
      <c r="AV92" s="179"/>
      <c r="AW92" s="181" t="e">
        <f t="shared" si="33"/>
        <v>#N/A</v>
      </c>
      <c r="AX92" s="430"/>
    </row>
    <row r="93" spans="2:50">
      <c r="B93" s="400"/>
      <c r="C93" s="181">
        <v>7</v>
      </c>
      <c r="D93" s="196"/>
      <c r="E93" s="165"/>
      <c r="F93" s="181"/>
      <c r="G93" s="179"/>
      <c r="H93" s="413"/>
      <c r="I93" s="165"/>
      <c r="J93" s="165"/>
      <c r="K93" s="179"/>
      <c r="L93" s="413"/>
      <c r="M93" s="180" t="e">
        <f>RANK(K93, K$87:$K$101)</f>
        <v>#N/A</v>
      </c>
      <c r="N93" s="401"/>
      <c r="O93" s="401"/>
      <c r="P93" s="181"/>
      <c r="Q93" s="179"/>
      <c r="R93" s="179"/>
      <c r="S93" s="181" t="e">
        <f t="shared" si="27"/>
        <v>#N/A</v>
      </c>
      <c r="T93" s="413"/>
      <c r="U93" s="181"/>
      <c r="V93" s="179"/>
      <c r="W93" s="179"/>
      <c r="X93" s="181" t="e">
        <f t="shared" si="28"/>
        <v>#N/A</v>
      </c>
      <c r="Y93" s="413"/>
      <c r="Z93" s="181"/>
      <c r="AA93" s="179"/>
      <c r="AB93" s="179"/>
      <c r="AC93" s="181" t="e">
        <f t="shared" si="29"/>
        <v>#N/A</v>
      </c>
      <c r="AD93" s="413"/>
      <c r="AE93" s="181"/>
      <c r="AF93" s="179"/>
      <c r="AG93" s="179"/>
      <c r="AH93" s="181" t="e">
        <f t="shared" si="30"/>
        <v>#N/A</v>
      </c>
      <c r="AI93" s="413"/>
      <c r="AJ93" s="181"/>
      <c r="AK93" s="179"/>
      <c r="AL93" s="179"/>
      <c r="AM93" s="181" t="e">
        <f t="shared" si="31"/>
        <v>#N/A</v>
      </c>
      <c r="AN93" s="413"/>
      <c r="AO93" s="181"/>
      <c r="AP93" s="179"/>
      <c r="AQ93" s="179"/>
      <c r="AR93" s="181" t="e">
        <f t="shared" si="32"/>
        <v>#N/A</v>
      </c>
      <c r="AS93" s="413"/>
      <c r="AT93" s="181"/>
      <c r="AU93" s="179"/>
      <c r="AV93" s="179"/>
      <c r="AW93" s="181" t="e">
        <f t="shared" si="33"/>
        <v>#N/A</v>
      </c>
      <c r="AX93" s="430"/>
    </row>
    <row r="94" spans="2:50">
      <c r="B94" s="400"/>
      <c r="C94" s="181">
        <v>8</v>
      </c>
      <c r="D94" s="196"/>
      <c r="E94" s="165"/>
      <c r="F94" s="181"/>
      <c r="G94" s="179"/>
      <c r="H94" s="413"/>
      <c r="I94" s="165"/>
      <c r="J94" s="165"/>
      <c r="K94" s="179"/>
      <c r="L94" s="413"/>
      <c r="M94" s="180" t="e">
        <f>RANK(K94, K$87:$K$101)</f>
        <v>#N/A</v>
      </c>
      <c r="N94" s="401"/>
      <c r="O94" s="401"/>
      <c r="P94" s="181"/>
      <c r="Q94" s="179"/>
      <c r="R94" s="179"/>
      <c r="S94" s="181" t="e">
        <f t="shared" si="27"/>
        <v>#N/A</v>
      </c>
      <c r="T94" s="413"/>
      <c r="U94" s="181"/>
      <c r="V94" s="179"/>
      <c r="W94" s="179"/>
      <c r="X94" s="181" t="e">
        <f t="shared" si="28"/>
        <v>#N/A</v>
      </c>
      <c r="Y94" s="413"/>
      <c r="Z94" s="181"/>
      <c r="AA94" s="179"/>
      <c r="AB94" s="179"/>
      <c r="AC94" s="181" t="e">
        <f t="shared" si="29"/>
        <v>#N/A</v>
      </c>
      <c r="AD94" s="413"/>
      <c r="AE94" s="181"/>
      <c r="AF94" s="179"/>
      <c r="AG94" s="179"/>
      <c r="AH94" s="181" t="e">
        <f t="shared" si="30"/>
        <v>#N/A</v>
      </c>
      <c r="AI94" s="413"/>
      <c r="AJ94" s="181"/>
      <c r="AK94" s="179"/>
      <c r="AL94" s="179"/>
      <c r="AM94" s="181" t="e">
        <f t="shared" si="31"/>
        <v>#N/A</v>
      </c>
      <c r="AN94" s="413"/>
      <c r="AO94" s="181"/>
      <c r="AP94" s="179"/>
      <c r="AQ94" s="179"/>
      <c r="AR94" s="181" t="e">
        <f t="shared" si="32"/>
        <v>#N/A</v>
      </c>
      <c r="AS94" s="413"/>
      <c r="AT94" s="181"/>
      <c r="AU94" s="179"/>
      <c r="AV94" s="179"/>
      <c r="AW94" s="181" t="e">
        <f t="shared" si="33"/>
        <v>#N/A</v>
      </c>
      <c r="AX94" s="430"/>
    </row>
    <row r="95" spans="2:50">
      <c r="B95" s="400"/>
      <c r="C95" s="181">
        <v>9</v>
      </c>
      <c r="D95" s="196"/>
      <c r="E95" s="165"/>
      <c r="F95" s="181"/>
      <c r="G95" s="179"/>
      <c r="H95" s="413"/>
      <c r="I95" s="165"/>
      <c r="J95" s="165"/>
      <c r="K95" s="179"/>
      <c r="L95" s="413"/>
      <c r="M95" s="180" t="e">
        <f>RANK(K95, K$87:$K$101)</f>
        <v>#N/A</v>
      </c>
      <c r="N95" s="401"/>
      <c r="O95" s="401"/>
      <c r="P95" s="181"/>
      <c r="Q95" s="179"/>
      <c r="R95" s="179"/>
      <c r="S95" s="181" t="e">
        <f t="shared" si="27"/>
        <v>#N/A</v>
      </c>
      <c r="T95" s="413"/>
      <c r="U95" s="181"/>
      <c r="V95" s="179"/>
      <c r="W95" s="179"/>
      <c r="X95" s="181" t="e">
        <f t="shared" si="28"/>
        <v>#N/A</v>
      </c>
      <c r="Y95" s="413"/>
      <c r="Z95" s="181"/>
      <c r="AA95" s="179"/>
      <c r="AB95" s="179"/>
      <c r="AC95" s="181" t="e">
        <f t="shared" si="29"/>
        <v>#N/A</v>
      </c>
      <c r="AD95" s="413"/>
      <c r="AE95" s="181"/>
      <c r="AF95" s="179"/>
      <c r="AG95" s="179"/>
      <c r="AH95" s="181" t="e">
        <f t="shared" si="30"/>
        <v>#N/A</v>
      </c>
      <c r="AI95" s="413"/>
      <c r="AJ95" s="181"/>
      <c r="AK95" s="179"/>
      <c r="AL95" s="179"/>
      <c r="AM95" s="181" t="e">
        <f t="shared" si="31"/>
        <v>#N/A</v>
      </c>
      <c r="AN95" s="413"/>
      <c r="AO95" s="181"/>
      <c r="AP95" s="179"/>
      <c r="AQ95" s="179"/>
      <c r="AR95" s="181" t="e">
        <f t="shared" si="32"/>
        <v>#N/A</v>
      </c>
      <c r="AS95" s="413"/>
      <c r="AT95" s="181"/>
      <c r="AU95" s="179"/>
      <c r="AV95" s="179"/>
      <c r="AW95" s="181" t="e">
        <f t="shared" si="33"/>
        <v>#N/A</v>
      </c>
      <c r="AX95" s="430"/>
    </row>
    <row r="96" spans="2:50">
      <c r="B96" s="400"/>
      <c r="C96" s="181">
        <v>10</v>
      </c>
      <c r="D96" s="196"/>
      <c r="E96" s="165"/>
      <c r="F96" s="181"/>
      <c r="G96" s="179"/>
      <c r="H96" s="413"/>
      <c r="I96" s="165"/>
      <c r="J96" s="165"/>
      <c r="K96" s="179"/>
      <c r="L96" s="413"/>
      <c r="M96" s="180" t="e">
        <f>RANK(K96, K$87:$K$101)</f>
        <v>#N/A</v>
      </c>
      <c r="N96" s="401"/>
      <c r="O96" s="401"/>
      <c r="P96" s="181"/>
      <c r="Q96" s="181"/>
      <c r="R96" s="179"/>
      <c r="S96" s="181" t="e">
        <f t="shared" si="27"/>
        <v>#N/A</v>
      </c>
      <c r="T96" s="413"/>
      <c r="U96" s="181"/>
      <c r="V96" s="181"/>
      <c r="W96" s="179"/>
      <c r="X96" s="181" t="e">
        <f t="shared" si="28"/>
        <v>#N/A</v>
      </c>
      <c r="Y96" s="413"/>
      <c r="Z96" s="181"/>
      <c r="AA96" s="181"/>
      <c r="AB96" s="179"/>
      <c r="AC96" s="181" t="e">
        <f t="shared" si="29"/>
        <v>#N/A</v>
      </c>
      <c r="AD96" s="413"/>
      <c r="AE96" s="181"/>
      <c r="AF96" s="181"/>
      <c r="AG96" s="179"/>
      <c r="AH96" s="181" t="e">
        <f t="shared" si="30"/>
        <v>#N/A</v>
      </c>
      <c r="AI96" s="413"/>
      <c r="AJ96" s="181"/>
      <c r="AK96" s="181"/>
      <c r="AL96" s="179"/>
      <c r="AM96" s="181" t="e">
        <f t="shared" si="31"/>
        <v>#N/A</v>
      </c>
      <c r="AN96" s="413"/>
      <c r="AO96" s="181"/>
      <c r="AP96" s="181"/>
      <c r="AQ96" s="179"/>
      <c r="AR96" s="181" t="e">
        <f t="shared" si="32"/>
        <v>#N/A</v>
      </c>
      <c r="AS96" s="413"/>
      <c r="AT96" s="181"/>
      <c r="AU96" s="181"/>
      <c r="AV96" s="179"/>
      <c r="AW96" s="181" t="e">
        <f t="shared" si="33"/>
        <v>#N/A</v>
      </c>
      <c r="AX96" s="430"/>
    </row>
    <row r="97" spans="2:50">
      <c r="B97" s="400"/>
      <c r="C97" s="181">
        <v>11</v>
      </c>
      <c r="D97" s="196"/>
      <c r="E97" s="165"/>
      <c r="F97" s="181"/>
      <c r="G97" s="179"/>
      <c r="H97" s="413"/>
      <c r="I97" s="181"/>
      <c r="J97" s="181"/>
      <c r="K97" s="181"/>
      <c r="L97" s="413"/>
      <c r="M97" s="180" t="e">
        <f>RANK(K97, K$87:$K$101)</f>
        <v>#N/A</v>
      </c>
      <c r="N97" s="401"/>
      <c r="O97" s="401"/>
      <c r="P97" s="181"/>
      <c r="Q97" s="181"/>
      <c r="R97" s="181"/>
      <c r="S97" s="181" t="e">
        <f t="shared" si="27"/>
        <v>#N/A</v>
      </c>
      <c r="T97" s="413"/>
      <c r="U97" s="181"/>
      <c r="V97" s="181"/>
      <c r="W97" s="181"/>
      <c r="X97" s="181" t="e">
        <f t="shared" si="28"/>
        <v>#N/A</v>
      </c>
      <c r="Y97" s="413"/>
      <c r="Z97" s="181"/>
      <c r="AA97" s="181"/>
      <c r="AB97" s="181"/>
      <c r="AC97" s="181" t="e">
        <f t="shared" si="29"/>
        <v>#N/A</v>
      </c>
      <c r="AD97" s="413"/>
      <c r="AE97" s="181"/>
      <c r="AF97" s="181"/>
      <c r="AG97" s="181"/>
      <c r="AH97" s="181" t="e">
        <f t="shared" si="30"/>
        <v>#N/A</v>
      </c>
      <c r="AI97" s="413"/>
      <c r="AJ97" s="181"/>
      <c r="AK97" s="181"/>
      <c r="AL97" s="181"/>
      <c r="AM97" s="181" t="e">
        <f t="shared" si="31"/>
        <v>#N/A</v>
      </c>
      <c r="AN97" s="413"/>
      <c r="AO97" s="181"/>
      <c r="AP97" s="181"/>
      <c r="AQ97" s="181"/>
      <c r="AR97" s="181" t="e">
        <f t="shared" si="32"/>
        <v>#N/A</v>
      </c>
      <c r="AS97" s="413"/>
      <c r="AT97" s="181"/>
      <c r="AU97" s="181"/>
      <c r="AV97" s="181"/>
      <c r="AW97" s="181" t="e">
        <f t="shared" si="33"/>
        <v>#N/A</v>
      </c>
      <c r="AX97" s="43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81"/>
      <c r="J98" s="181"/>
      <c r="K98" s="181"/>
      <c r="L98" s="413"/>
      <c r="M98" s="180" t="e">
        <f>RANK(K98, K$87:$K$101)</f>
        <v>#N/A</v>
      </c>
      <c r="N98" s="401"/>
      <c r="O98" s="401"/>
      <c r="P98" s="181"/>
      <c r="Q98" s="181"/>
      <c r="R98" s="181"/>
      <c r="S98" s="181" t="e">
        <f t="shared" si="27"/>
        <v>#N/A</v>
      </c>
      <c r="T98" s="413"/>
      <c r="U98" s="181"/>
      <c r="V98" s="181"/>
      <c r="W98" s="181"/>
      <c r="X98" s="181" t="e">
        <f t="shared" si="28"/>
        <v>#N/A</v>
      </c>
      <c r="Y98" s="413"/>
      <c r="Z98" s="181"/>
      <c r="AA98" s="181"/>
      <c r="AB98" s="181"/>
      <c r="AC98" s="181" t="e">
        <f t="shared" si="29"/>
        <v>#N/A</v>
      </c>
      <c r="AD98" s="413"/>
      <c r="AE98" s="181"/>
      <c r="AF98" s="181"/>
      <c r="AG98" s="181"/>
      <c r="AH98" s="181" t="e">
        <f t="shared" si="30"/>
        <v>#N/A</v>
      </c>
      <c r="AI98" s="413"/>
      <c r="AJ98" s="181"/>
      <c r="AK98" s="181"/>
      <c r="AL98" s="181"/>
      <c r="AM98" s="181" t="e">
        <f t="shared" si="31"/>
        <v>#N/A</v>
      </c>
      <c r="AN98" s="413"/>
      <c r="AO98" s="181"/>
      <c r="AP98" s="181"/>
      <c r="AQ98" s="181"/>
      <c r="AR98" s="181" t="e">
        <f t="shared" si="32"/>
        <v>#N/A</v>
      </c>
      <c r="AS98" s="413"/>
      <c r="AT98" s="181"/>
      <c r="AU98" s="181"/>
      <c r="AV98" s="181"/>
      <c r="AW98" s="181" t="e">
        <f t="shared" si="33"/>
        <v>#N/A</v>
      </c>
      <c r="AX98" s="43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81"/>
      <c r="J99" s="181"/>
      <c r="K99" s="181"/>
      <c r="L99" s="413"/>
      <c r="M99" s="180" t="e">
        <f>RANK(K99, K$87:$K$101)</f>
        <v>#N/A</v>
      </c>
      <c r="N99" s="401"/>
      <c r="O99" s="401"/>
      <c r="P99" s="181"/>
      <c r="Q99" s="181"/>
      <c r="R99" s="181"/>
      <c r="S99" s="181" t="e">
        <f t="shared" si="27"/>
        <v>#N/A</v>
      </c>
      <c r="T99" s="413"/>
      <c r="U99" s="181"/>
      <c r="V99" s="181"/>
      <c r="W99" s="181"/>
      <c r="X99" s="181" t="e">
        <f t="shared" si="28"/>
        <v>#N/A</v>
      </c>
      <c r="Y99" s="413"/>
      <c r="Z99" s="181"/>
      <c r="AA99" s="181"/>
      <c r="AB99" s="181"/>
      <c r="AC99" s="181" t="e">
        <f t="shared" si="29"/>
        <v>#N/A</v>
      </c>
      <c r="AD99" s="413"/>
      <c r="AE99" s="181"/>
      <c r="AF99" s="181"/>
      <c r="AG99" s="181"/>
      <c r="AH99" s="181" t="e">
        <f t="shared" si="30"/>
        <v>#N/A</v>
      </c>
      <c r="AI99" s="413"/>
      <c r="AJ99" s="181"/>
      <c r="AK99" s="181"/>
      <c r="AL99" s="181"/>
      <c r="AM99" s="181" t="e">
        <f t="shared" si="31"/>
        <v>#N/A</v>
      </c>
      <c r="AN99" s="413"/>
      <c r="AO99" s="181"/>
      <c r="AP99" s="181"/>
      <c r="AQ99" s="181"/>
      <c r="AR99" s="181" t="e">
        <f t="shared" si="32"/>
        <v>#N/A</v>
      </c>
      <c r="AS99" s="413"/>
      <c r="AT99" s="181"/>
      <c r="AU99" s="181"/>
      <c r="AV99" s="181"/>
      <c r="AW99" s="181" t="e">
        <f t="shared" si="33"/>
        <v>#N/A</v>
      </c>
      <c r="AX99" s="43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81"/>
      <c r="J100" s="181"/>
      <c r="K100" s="181"/>
      <c r="L100" s="413"/>
      <c r="M100" s="180" t="e">
        <f>RANK(K100, K$87:$K$101)</f>
        <v>#N/A</v>
      </c>
      <c r="N100" s="401"/>
      <c r="O100" s="401"/>
      <c r="P100" s="181"/>
      <c r="Q100" s="181"/>
      <c r="R100" s="181"/>
      <c r="S100" s="181" t="e">
        <f t="shared" si="27"/>
        <v>#N/A</v>
      </c>
      <c r="T100" s="413"/>
      <c r="U100" s="181"/>
      <c r="V100" s="181"/>
      <c r="W100" s="181"/>
      <c r="X100" s="181" t="e">
        <f t="shared" si="28"/>
        <v>#N/A</v>
      </c>
      <c r="Y100" s="413"/>
      <c r="Z100" s="181"/>
      <c r="AA100" s="181"/>
      <c r="AB100" s="181"/>
      <c r="AC100" s="181" t="e">
        <f t="shared" si="29"/>
        <v>#N/A</v>
      </c>
      <c r="AD100" s="413"/>
      <c r="AE100" s="181"/>
      <c r="AF100" s="181"/>
      <c r="AG100" s="181"/>
      <c r="AH100" s="181" t="e">
        <f t="shared" si="30"/>
        <v>#N/A</v>
      </c>
      <c r="AI100" s="413"/>
      <c r="AJ100" s="181"/>
      <c r="AK100" s="181"/>
      <c r="AL100" s="181"/>
      <c r="AM100" s="181" t="e">
        <f t="shared" si="31"/>
        <v>#N/A</v>
      </c>
      <c r="AN100" s="413"/>
      <c r="AO100" s="181"/>
      <c r="AP100" s="181"/>
      <c r="AQ100" s="181"/>
      <c r="AR100" s="181" t="e">
        <f t="shared" si="32"/>
        <v>#N/A</v>
      </c>
      <c r="AS100" s="413"/>
      <c r="AT100" s="181"/>
      <c r="AU100" s="181"/>
      <c r="AV100" s="181"/>
      <c r="AW100" s="181" t="e">
        <f t="shared" si="33"/>
        <v>#N/A</v>
      </c>
      <c r="AX100" s="43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81"/>
      <c r="J101" s="181"/>
      <c r="K101" s="181"/>
      <c r="L101" s="414"/>
      <c r="M101" s="165" t="e">
        <f>RANK(K101, K$87:$K$101)</f>
        <v>#N/A</v>
      </c>
      <c r="N101" s="401"/>
      <c r="O101" s="401"/>
      <c r="P101" s="181"/>
      <c r="Q101" s="181"/>
      <c r="R101" s="181"/>
      <c r="S101" s="181" t="e">
        <f t="shared" si="27"/>
        <v>#N/A</v>
      </c>
      <c r="T101" s="414"/>
      <c r="U101" s="181"/>
      <c r="V101" s="181"/>
      <c r="W101" s="181"/>
      <c r="X101" s="181" t="e">
        <f t="shared" si="28"/>
        <v>#N/A</v>
      </c>
      <c r="Y101" s="414"/>
      <c r="Z101" s="181"/>
      <c r="AA101" s="181"/>
      <c r="AB101" s="181"/>
      <c r="AC101" s="181" t="e">
        <f t="shared" si="29"/>
        <v>#N/A</v>
      </c>
      <c r="AD101" s="414"/>
      <c r="AE101" s="181"/>
      <c r="AF101" s="181"/>
      <c r="AG101" s="181"/>
      <c r="AH101" s="181" t="e">
        <f t="shared" si="30"/>
        <v>#N/A</v>
      </c>
      <c r="AI101" s="414"/>
      <c r="AJ101" s="181"/>
      <c r="AK101" s="181"/>
      <c r="AL101" s="181"/>
      <c r="AM101" s="181" t="e">
        <f t="shared" si="31"/>
        <v>#N/A</v>
      </c>
      <c r="AN101" s="414"/>
      <c r="AO101" s="181"/>
      <c r="AP101" s="181"/>
      <c r="AQ101" s="181"/>
      <c r="AR101" s="181" t="e">
        <f t="shared" si="32"/>
        <v>#N/A</v>
      </c>
      <c r="AS101" s="414"/>
      <c r="AT101" s="181"/>
      <c r="AU101" s="181"/>
      <c r="AV101" s="181"/>
      <c r="AW101" s="181" t="e">
        <f t="shared" si="33"/>
        <v>#N/A</v>
      </c>
      <c r="AX101" s="430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01" t="s">
        <v>309</v>
      </c>
      <c r="C107" s="181">
        <v>1</v>
      </c>
      <c r="D107" s="196" t="s">
        <v>310</v>
      </c>
      <c r="E107" s="165">
        <v>21</v>
      </c>
      <c r="F107" s="181">
        <v>2400</v>
      </c>
      <c r="G107" s="179">
        <v>114.28571428571429</v>
      </c>
      <c r="H107" s="412">
        <f>AVERAGE(G107:G121)</f>
        <v>151.37844611528823</v>
      </c>
      <c r="I107" s="165">
        <f>AVERAGE(P107,U107,Z107,AE107,AJ107,AO107,AT107)</f>
        <v>21</v>
      </c>
      <c r="J107" s="165">
        <f>AVERAGE(Q107,V107,AA107,AF107,AK107,AP107,AU107)</f>
        <v>2186.0000000000005</v>
      </c>
      <c r="K107" s="179">
        <f>AVERAGE(R107,W107,AB107,AG107,AL107,AQ107,AV107)</f>
        <v>104.09523809523812</v>
      </c>
      <c r="L107" s="412">
        <f>IFERROR(AVERAGE(K107:K121),"-")</f>
        <v>119.50701827242517</v>
      </c>
      <c r="M107" s="180">
        <f>RANK(K107, K$107:$K$121)</f>
        <v>4</v>
      </c>
      <c r="N107" s="401"/>
      <c r="O107" s="401"/>
      <c r="P107" s="165">
        <v>21</v>
      </c>
      <c r="Q107" s="179">
        <v>2186.0000000000005</v>
      </c>
      <c r="R107" s="179">
        <v>104.09523809523812</v>
      </c>
      <c r="S107" s="181">
        <f>RANK(R107, R$107:R$121)</f>
        <v>4</v>
      </c>
      <c r="T107" s="412">
        <f>AVERAGE(R107:R121)</f>
        <v>119.50701827242517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311</v>
      </c>
      <c r="E108" s="165">
        <v>18</v>
      </c>
      <c r="F108" s="181">
        <v>3000</v>
      </c>
      <c r="G108" s="179">
        <v>166.66666666666666</v>
      </c>
      <c r="H108" s="413"/>
      <c r="I108" s="165">
        <f t="shared" ref="I108:I110" si="34">AVERAGE(P108,U108,Z108,AE108,AJ108,AO108,AT108)</f>
        <v>20</v>
      </c>
      <c r="J108" s="165">
        <f t="shared" ref="J108:J110" si="35">AVERAGE(Q108,V108,AA108,AF108,AK108,AP108,AU108)</f>
        <v>2411.6666666666647</v>
      </c>
      <c r="K108" s="179">
        <f t="shared" ref="K108:K110" si="36">AVERAGE(R108,W108,AB108,AG108,AL108,AQ108,AV108)</f>
        <v>120.58333333333323</v>
      </c>
      <c r="L108" s="413"/>
      <c r="M108" s="180">
        <f>RANK(K108, K$107:$K$121)</f>
        <v>3</v>
      </c>
      <c r="N108" s="401"/>
      <c r="O108" s="401"/>
      <c r="P108" s="181">
        <v>20</v>
      </c>
      <c r="Q108" s="179">
        <v>2411.6666666666647</v>
      </c>
      <c r="R108" s="179">
        <v>120.58333333333323</v>
      </c>
      <c r="S108" s="181">
        <f t="shared" ref="S108:S121" si="37">RANK(R108, R$107:R$121)</f>
        <v>3</v>
      </c>
      <c r="T108" s="413"/>
      <c r="X108" s="103"/>
      <c r="AC108" s="103"/>
      <c r="AH108" s="103"/>
      <c r="AM108" s="103"/>
    </row>
    <row r="109" spans="2:50">
      <c r="B109" s="400"/>
      <c r="C109" s="181">
        <v>3</v>
      </c>
      <c r="D109" s="196" t="s">
        <v>313</v>
      </c>
      <c r="E109" s="165">
        <v>18</v>
      </c>
      <c r="F109" s="181">
        <v>3000</v>
      </c>
      <c r="G109" s="179">
        <v>166.66666666666666</v>
      </c>
      <c r="H109" s="413"/>
      <c r="I109" s="165">
        <f t="shared" si="34"/>
        <v>20</v>
      </c>
      <c r="J109" s="165">
        <f t="shared" si="35"/>
        <v>2528.5714285714257</v>
      </c>
      <c r="K109" s="179">
        <f t="shared" si="36"/>
        <v>126.42857142857129</v>
      </c>
      <c r="L109" s="413"/>
      <c r="M109" s="180">
        <f>RANK(K109, K$107:$K$121)</f>
        <v>2</v>
      </c>
      <c r="N109" s="401"/>
      <c r="O109" s="401"/>
      <c r="P109" s="181">
        <v>20</v>
      </c>
      <c r="Q109" s="179">
        <v>2528.5714285714257</v>
      </c>
      <c r="R109" s="179">
        <v>126.42857142857129</v>
      </c>
      <c r="S109" s="181">
        <f t="shared" si="37"/>
        <v>2</v>
      </c>
      <c r="T109" s="413"/>
      <c r="X109" s="103"/>
      <c r="AC109" s="103"/>
      <c r="AH109" s="103"/>
      <c r="AM109" s="103"/>
    </row>
    <row r="110" spans="2:50">
      <c r="B110" s="400"/>
      <c r="C110" s="181">
        <v>4</v>
      </c>
      <c r="D110" s="196" t="s">
        <v>314</v>
      </c>
      <c r="E110" s="165">
        <v>19</v>
      </c>
      <c r="F110" s="181">
        <v>3000</v>
      </c>
      <c r="G110" s="179">
        <v>157.89473684210526</v>
      </c>
      <c r="H110" s="413"/>
      <c r="I110" s="165">
        <f t="shared" si="34"/>
        <v>20</v>
      </c>
      <c r="J110" s="165">
        <f t="shared" si="35"/>
        <v>2538.4186046511622</v>
      </c>
      <c r="K110" s="179">
        <f t="shared" si="36"/>
        <v>126.92093023255811</v>
      </c>
      <c r="L110" s="413"/>
      <c r="M110" s="180">
        <f>RANK(K110, K$107:$K$121)</f>
        <v>1</v>
      </c>
      <c r="N110" s="401"/>
      <c r="O110" s="401"/>
      <c r="P110" s="181">
        <v>20</v>
      </c>
      <c r="Q110" s="179">
        <v>2538.4186046511622</v>
      </c>
      <c r="R110" s="179">
        <v>126.92093023255811</v>
      </c>
      <c r="S110" s="181">
        <f t="shared" si="37"/>
        <v>1</v>
      </c>
      <c r="T110" s="413"/>
      <c r="X110" s="103"/>
      <c r="AC110" s="103"/>
      <c r="AH110" s="103"/>
      <c r="AM110" s="103"/>
    </row>
    <row r="111" spans="2:50">
      <c r="B111" s="400"/>
      <c r="C111" s="181">
        <v>5</v>
      </c>
      <c r="D111" s="196"/>
      <c r="E111" s="165"/>
      <c r="F111" s="181"/>
      <c r="G111" s="179"/>
      <c r="H111" s="413"/>
      <c r="I111" s="165"/>
      <c r="J111" s="165"/>
      <c r="K111" s="179"/>
      <c r="L111" s="413"/>
      <c r="M111" s="180" t="e">
        <f>RANK(K111, K$107:$K$121)</f>
        <v>#N/A</v>
      </c>
      <c r="N111" s="401"/>
      <c r="O111" s="401"/>
      <c r="P111" s="181"/>
      <c r="Q111" s="179"/>
      <c r="R111" s="179"/>
      <c r="S111" s="181" t="e">
        <f t="shared" si="37"/>
        <v>#N/A</v>
      </c>
      <c r="T111" s="413"/>
      <c r="X111" s="103"/>
      <c r="AC111" s="103"/>
      <c r="AH111" s="103"/>
      <c r="AM111" s="103"/>
    </row>
    <row r="112" spans="2:50">
      <c r="B112" s="400"/>
      <c r="C112" s="181">
        <v>6</v>
      </c>
      <c r="D112" s="196"/>
      <c r="E112" s="165"/>
      <c r="F112" s="181"/>
      <c r="G112" s="179"/>
      <c r="H112" s="413"/>
      <c r="I112" s="165"/>
      <c r="J112" s="165"/>
      <c r="K112" s="179"/>
      <c r="L112" s="413"/>
      <c r="M112" s="180" t="e">
        <f>RANK(K112, K$107:$K$121)</f>
        <v>#N/A</v>
      </c>
      <c r="N112" s="401"/>
      <c r="O112" s="401"/>
      <c r="P112" s="181"/>
      <c r="Q112" s="179"/>
      <c r="R112" s="179"/>
      <c r="S112" s="181" t="e">
        <f t="shared" si="37"/>
        <v>#N/A</v>
      </c>
      <c r="T112" s="413"/>
      <c r="X112" s="103"/>
      <c r="AC112" s="103"/>
      <c r="AH112" s="103"/>
      <c r="AM112" s="103"/>
    </row>
    <row r="113" spans="2:39">
      <c r="B113" s="400"/>
      <c r="C113" s="181">
        <v>7</v>
      </c>
      <c r="D113" s="196"/>
      <c r="E113" s="165"/>
      <c r="F113" s="181"/>
      <c r="G113" s="179"/>
      <c r="H113" s="413"/>
      <c r="I113" s="165"/>
      <c r="J113" s="165"/>
      <c r="K113" s="179"/>
      <c r="L113" s="413"/>
      <c r="M113" s="180" t="e">
        <f>RANK(K113, K$107:$K$121)</f>
        <v>#N/A</v>
      </c>
      <c r="N113" s="401"/>
      <c r="O113" s="401"/>
      <c r="P113" s="181"/>
      <c r="Q113" s="179"/>
      <c r="R113" s="179"/>
      <c r="S113" s="181" t="e">
        <f t="shared" si="37"/>
        <v>#N/A</v>
      </c>
      <c r="T113" s="413"/>
      <c r="X113" s="103"/>
      <c r="AC113" s="103"/>
      <c r="AH113" s="103"/>
      <c r="AM113" s="103"/>
    </row>
    <row r="114" spans="2:39">
      <c r="B114" s="400"/>
      <c r="C114" s="181">
        <v>8</v>
      </c>
      <c r="D114" s="196"/>
      <c r="E114" s="165"/>
      <c r="F114" s="181"/>
      <c r="G114" s="179"/>
      <c r="H114" s="413"/>
      <c r="I114" s="165"/>
      <c r="J114" s="165"/>
      <c r="K114" s="179"/>
      <c r="L114" s="413"/>
      <c r="M114" s="180" t="e">
        <f>RANK(K114, K$107:$K$121)</f>
        <v>#N/A</v>
      </c>
      <c r="N114" s="401"/>
      <c r="O114" s="401"/>
      <c r="P114" s="181"/>
      <c r="Q114" s="179"/>
      <c r="R114" s="179"/>
      <c r="S114" s="181" t="e">
        <f t="shared" si="37"/>
        <v>#N/A</v>
      </c>
      <c r="T114" s="413"/>
      <c r="X114" s="103"/>
      <c r="AC114" s="103"/>
      <c r="AH114" s="103"/>
      <c r="AM114" s="103"/>
    </row>
    <row r="115" spans="2:39">
      <c r="B115" s="400"/>
      <c r="C115" s="181">
        <v>9</v>
      </c>
      <c r="D115" s="196"/>
      <c r="E115" s="165"/>
      <c r="F115" s="181"/>
      <c r="G115" s="179"/>
      <c r="H115" s="413"/>
      <c r="I115" s="165"/>
      <c r="J115" s="165"/>
      <c r="K115" s="179"/>
      <c r="L115" s="413"/>
      <c r="M115" s="180" t="e">
        <f>RANK(K115, K$107:$K$121)</f>
        <v>#N/A</v>
      </c>
      <c r="N115" s="401"/>
      <c r="O115" s="401"/>
      <c r="P115" s="181"/>
      <c r="Q115" s="179"/>
      <c r="R115" s="179"/>
      <c r="S115" s="181" t="e">
        <f t="shared" si="37"/>
        <v>#N/A</v>
      </c>
      <c r="T115" s="413"/>
      <c r="X115" s="103"/>
      <c r="AC115" s="103"/>
      <c r="AH115" s="103"/>
      <c r="AM115" s="103"/>
    </row>
    <row r="116" spans="2:39">
      <c r="B116" s="400"/>
      <c r="C116" s="181">
        <v>10</v>
      </c>
      <c r="D116" s="196"/>
      <c r="E116" s="165"/>
      <c r="F116" s="181"/>
      <c r="G116" s="179"/>
      <c r="H116" s="413"/>
      <c r="I116" s="165"/>
      <c r="J116" s="165"/>
      <c r="K116" s="179"/>
      <c r="L116" s="413"/>
      <c r="M116" s="180" t="e">
        <f>RANK(K116, K$107:$K$121)</f>
        <v>#N/A</v>
      </c>
      <c r="N116" s="401"/>
      <c r="O116" s="401"/>
      <c r="P116" s="181"/>
      <c r="Q116" s="181"/>
      <c r="R116" s="179"/>
      <c r="S116" s="181" t="e">
        <f t="shared" si="37"/>
        <v>#N/A</v>
      </c>
      <c r="T116" s="413"/>
      <c r="X116" s="103"/>
      <c r="AC116" s="103"/>
      <c r="AH116" s="103"/>
      <c r="AM116" s="103"/>
    </row>
    <row r="117" spans="2:39">
      <c r="B117" s="400"/>
      <c r="C117" s="181">
        <v>11</v>
      </c>
      <c r="D117" s="196"/>
      <c r="E117" s="165"/>
      <c r="F117" s="181"/>
      <c r="G117" s="179"/>
      <c r="H117" s="413"/>
      <c r="I117" s="181"/>
      <c r="J117" s="181"/>
      <c r="K117" s="181"/>
      <c r="L117" s="413"/>
      <c r="M117" s="180" t="e">
        <f>RANK(K117, K$107:$K$121)</f>
        <v>#N/A</v>
      </c>
      <c r="N117" s="401"/>
      <c r="O117" s="401"/>
      <c r="P117" s="181"/>
      <c r="Q117" s="181"/>
      <c r="R117" s="181"/>
      <c r="S117" s="181" t="e">
        <f t="shared" si="37"/>
        <v>#N/A</v>
      </c>
      <c r="T117" s="413"/>
      <c r="X117" s="103"/>
      <c r="AC117" s="103"/>
      <c r="AH117" s="103"/>
      <c r="AM117" s="103"/>
    </row>
    <row r="118" spans="2:39">
      <c r="B118" s="400"/>
      <c r="C118" s="181">
        <v>12</v>
      </c>
      <c r="D118" s="196"/>
      <c r="E118" s="165"/>
      <c r="F118" s="181"/>
      <c r="G118" s="179"/>
      <c r="H118" s="413"/>
      <c r="I118" s="181"/>
      <c r="J118" s="181"/>
      <c r="K118" s="181"/>
      <c r="L118" s="413"/>
      <c r="M118" s="180" t="e">
        <f>RANK(K118, K$107:$K$121)</f>
        <v>#N/A</v>
      </c>
      <c r="N118" s="401"/>
      <c r="O118" s="401"/>
      <c r="P118" s="181"/>
      <c r="Q118" s="181"/>
      <c r="R118" s="181"/>
      <c r="S118" s="181" t="e">
        <f t="shared" si="37"/>
        <v>#N/A</v>
      </c>
      <c r="T118" s="413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81"/>
      <c r="J119" s="181"/>
      <c r="K119" s="181"/>
      <c r="L119" s="413"/>
      <c r="M119" s="180" t="e">
        <f>RANK(K119, K$107:$K$121)</f>
        <v>#N/A</v>
      </c>
      <c r="N119" s="401"/>
      <c r="O119" s="401"/>
      <c r="P119" s="181"/>
      <c r="Q119" s="181"/>
      <c r="R119" s="181"/>
      <c r="S119" s="181" t="e">
        <f t="shared" si="37"/>
        <v>#N/A</v>
      </c>
      <c r="T119" s="413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81"/>
      <c r="J120" s="181"/>
      <c r="K120" s="181"/>
      <c r="L120" s="413"/>
      <c r="M120" s="180" t="e">
        <f>RANK(K120, K$107:$K$121)</f>
        <v>#N/A</v>
      </c>
      <c r="N120" s="401"/>
      <c r="O120" s="401"/>
      <c r="P120" s="181"/>
      <c r="Q120" s="181"/>
      <c r="R120" s="181"/>
      <c r="S120" s="181" t="e">
        <f t="shared" si="37"/>
        <v>#N/A</v>
      </c>
      <c r="T120" s="413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81"/>
      <c r="J121" s="181"/>
      <c r="K121" s="181"/>
      <c r="L121" s="414"/>
      <c r="M121" s="180" t="e">
        <f>RANK(K121, K$107:$K$121)</f>
        <v>#N/A</v>
      </c>
      <c r="N121" s="401"/>
      <c r="O121" s="401"/>
      <c r="P121" s="181"/>
      <c r="Q121" s="181"/>
      <c r="R121" s="181"/>
      <c r="S121" s="181" t="e">
        <f t="shared" si="37"/>
        <v>#N/A</v>
      </c>
      <c r="T121" s="414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3:13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3:13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3:13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3:13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3:1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3:13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3:13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3:13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3:13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3:13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3:13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3:13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3:13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3:13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FFFFCC"/>
  </sheetPr>
  <dimension ref="A1:AX142"/>
  <sheetViews>
    <sheetView zoomScale="55" zoomScaleNormal="55" workbookViewId="0">
      <selection activeCell="C1" sqref="C1"/>
    </sheetView>
  </sheetViews>
  <sheetFormatPr defaultColWidth="8.85546875" defaultRowHeight="12.75"/>
  <cols>
    <col min="1" max="1" width="5.5703125" style="103" customWidth="1"/>
    <col min="2" max="2" width="12.42578125" style="103" customWidth="1"/>
    <col min="3" max="3" width="8.85546875" style="102"/>
    <col min="4" max="4" width="26.42578125" style="102" customWidth="1"/>
    <col min="5" max="7" width="8.42578125" style="102" customWidth="1"/>
    <col min="8" max="8" width="11.140625" style="102" bestFit="1" customWidth="1"/>
    <col min="9" max="12" width="11.140625" style="102" customWidth="1"/>
    <col min="13" max="13" width="13.5703125" style="102" customWidth="1"/>
    <col min="14" max="14" width="9.85546875" style="102" customWidth="1"/>
    <col min="15" max="15" width="7.140625" style="102" customWidth="1"/>
    <col min="16" max="18" width="12.85546875" style="102" customWidth="1"/>
    <col min="19" max="19" width="5.42578125" style="102" customWidth="1"/>
    <col min="20" max="20" width="12.85546875" style="102" customWidth="1"/>
    <col min="21" max="23" width="12.85546875" style="103" customWidth="1"/>
    <col min="24" max="24" width="5.42578125" style="102" customWidth="1"/>
    <col min="25" max="28" width="12.85546875" style="103" customWidth="1"/>
    <col min="29" max="29" width="5.42578125" style="102" customWidth="1"/>
    <col min="30" max="30" width="12.85546875" style="103" customWidth="1"/>
    <col min="31" max="33" width="12.5703125" style="103" customWidth="1"/>
    <col min="34" max="34" width="5.42578125" style="102" customWidth="1"/>
    <col min="35" max="35" width="13" style="103" customWidth="1"/>
    <col min="36" max="38" width="12.5703125" style="103" customWidth="1"/>
    <col min="39" max="39" width="5.42578125" style="102" customWidth="1"/>
    <col min="40" max="40" width="13" style="103" customWidth="1"/>
    <col min="41" max="43" width="13.140625" style="103" customWidth="1"/>
    <col min="44" max="44" width="5.42578125" style="103" customWidth="1"/>
    <col min="45" max="48" width="13.140625" style="103" customWidth="1"/>
    <col min="49" max="49" width="5.42578125" style="103" customWidth="1"/>
    <col min="50" max="50" width="13.140625" style="103" customWidth="1"/>
    <col min="51" max="16384" width="8.85546875" style="103"/>
  </cols>
  <sheetData>
    <row r="1" spans="1:50" ht="21">
      <c r="A1" s="74"/>
      <c r="B1" s="194" t="s">
        <v>232</v>
      </c>
      <c r="C1" s="193">
        <f>AVERAGE(L7,L27,L47,L67,L87,L107)</f>
        <v>111.67402265160882</v>
      </c>
      <c r="P1" s="103"/>
      <c r="Q1" s="103"/>
      <c r="R1" s="103"/>
      <c r="S1" s="103"/>
      <c r="T1" s="103"/>
      <c r="X1" s="103"/>
      <c r="AC1" s="103"/>
      <c r="AH1" s="103"/>
      <c r="AM1" s="103"/>
    </row>
    <row r="2" spans="1:50" ht="15.75">
      <c r="A2" s="79"/>
      <c r="B2" s="394" t="s">
        <v>187</v>
      </c>
      <c r="C2" s="394"/>
      <c r="D2" s="394"/>
      <c r="E2" s="394"/>
      <c r="F2" s="394"/>
      <c r="G2" s="394"/>
      <c r="H2" s="394"/>
      <c r="I2" s="182"/>
      <c r="J2" s="182"/>
      <c r="K2" s="182"/>
      <c r="L2" s="182"/>
      <c r="M2" s="177"/>
      <c r="N2" s="397" t="s">
        <v>188</v>
      </c>
      <c r="O2" s="397" t="s">
        <v>135</v>
      </c>
      <c r="P2" s="103"/>
      <c r="Q2" s="103"/>
      <c r="R2" s="103"/>
      <c r="S2" s="103"/>
      <c r="T2" s="103"/>
      <c r="X2" s="103"/>
      <c r="AC2" s="103"/>
      <c r="AH2" s="103"/>
      <c r="AM2" s="103"/>
      <c r="AT2" s="399">
        <v>45901</v>
      </c>
      <c r="AU2" s="400"/>
      <c r="AV2" s="400"/>
      <c r="AW2" s="400"/>
      <c r="AX2" s="400"/>
    </row>
    <row r="3" spans="1:50" ht="15.75">
      <c r="A3" s="79"/>
      <c r="B3" s="417"/>
      <c r="C3" s="417"/>
      <c r="D3" s="417"/>
      <c r="E3" s="417"/>
      <c r="F3" s="417"/>
      <c r="G3" s="417"/>
      <c r="H3" s="417"/>
      <c r="I3" s="183"/>
      <c r="J3" s="183"/>
      <c r="K3" s="183"/>
      <c r="L3" s="183"/>
      <c r="M3" s="178"/>
      <c r="N3" s="398"/>
      <c r="O3" s="398"/>
      <c r="P3" s="103"/>
      <c r="Q3" s="103"/>
      <c r="R3" s="103"/>
      <c r="S3" s="103"/>
      <c r="T3" s="103"/>
      <c r="X3" s="103"/>
      <c r="AC3" s="103"/>
      <c r="AH3" s="103"/>
      <c r="AM3" s="103"/>
      <c r="AT3" s="426" t="s">
        <v>189</v>
      </c>
      <c r="AU3" s="427"/>
      <c r="AV3" s="427"/>
      <c r="AW3" s="427"/>
      <c r="AX3" s="428"/>
    </row>
    <row r="4" spans="1:50">
      <c r="A4" s="79"/>
      <c r="B4" s="401" t="s">
        <v>190</v>
      </c>
      <c r="C4" s="401" t="s">
        <v>191</v>
      </c>
      <c r="D4" s="401"/>
      <c r="E4" s="401" t="s">
        <v>192</v>
      </c>
      <c r="F4" s="401"/>
      <c r="G4" s="401"/>
      <c r="H4" s="402" t="s">
        <v>193</v>
      </c>
      <c r="I4" s="401" t="s">
        <v>194</v>
      </c>
      <c r="J4" s="401"/>
      <c r="K4" s="401"/>
      <c r="L4" s="402" t="s">
        <v>193</v>
      </c>
      <c r="M4" s="397" t="s">
        <v>195</v>
      </c>
      <c r="N4" s="401"/>
      <c r="O4" s="401" t="s">
        <v>196</v>
      </c>
      <c r="P4" s="103"/>
      <c r="Q4" s="103"/>
      <c r="R4" s="103"/>
      <c r="S4" s="103"/>
      <c r="T4" s="103"/>
      <c r="X4" s="103"/>
      <c r="AC4" s="103"/>
      <c r="AH4" s="103"/>
      <c r="AM4" s="103"/>
      <c r="AT4" s="406" t="s">
        <v>197</v>
      </c>
      <c r="AU4" s="407"/>
      <c r="AV4" s="407"/>
      <c r="AW4" s="408"/>
      <c r="AX4" s="401" t="s">
        <v>193</v>
      </c>
    </row>
    <row r="5" spans="1:50">
      <c r="A5" s="79"/>
      <c r="B5" s="401"/>
      <c r="C5" s="401"/>
      <c r="D5" s="401"/>
      <c r="E5" s="401" t="s">
        <v>198</v>
      </c>
      <c r="F5" s="401"/>
      <c r="G5" s="401"/>
      <c r="H5" s="403"/>
      <c r="I5" s="401" t="s">
        <v>198</v>
      </c>
      <c r="J5" s="401"/>
      <c r="K5" s="401"/>
      <c r="L5" s="403"/>
      <c r="M5" s="405"/>
      <c r="N5" s="401"/>
      <c r="O5" s="401"/>
      <c r="P5" s="103"/>
      <c r="Q5" s="103"/>
      <c r="R5" s="103"/>
      <c r="S5" s="103"/>
      <c r="T5" s="103"/>
      <c r="X5" s="103"/>
      <c r="AC5" s="103"/>
      <c r="AH5" s="103"/>
      <c r="AM5" s="103"/>
      <c r="AT5" s="406" t="s">
        <v>199</v>
      </c>
      <c r="AU5" s="407"/>
      <c r="AV5" s="407"/>
      <c r="AW5" s="408"/>
      <c r="AX5" s="401"/>
    </row>
    <row r="6" spans="1:50">
      <c r="A6" s="77"/>
      <c r="B6" s="401"/>
      <c r="C6" s="401"/>
      <c r="D6" s="401"/>
      <c r="E6" s="234" t="s">
        <v>200</v>
      </c>
      <c r="F6" s="234" t="s">
        <v>201</v>
      </c>
      <c r="G6" s="234" t="s">
        <v>202</v>
      </c>
      <c r="H6" s="404"/>
      <c r="I6" s="234" t="s">
        <v>200</v>
      </c>
      <c r="J6" s="234" t="s">
        <v>201</v>
      </c>
      <c r="K6" s="234" t="s">
        <v>202</v>
      </c>
      <c r="L6" s="404"/>
      <c r="M6" s="398"/>
      <c r="N6" s="401"/>
      <c r="O6" s="401"/>
      <c r="P6" s="103"/>
      <c r="Q6" s="103"/>
      <c r="R6" s="103"/>
      <c r="S6" s="103"/>
      <c r="T6" s="103"/>
      <c r="X6" s="103"/>
      <c r="AC6" s="103"/>
      <c r="AH6" s="103"/>
      <c r="AM6" s="103"/>
      <c r="AT6" s="234" t="s">
        <v>200</v>
      </c>
      <c r="AU6" s="234" t="s">
        <v>201</v>
      </c>
      <c r="AV6" s="234" t="s">
        <v>202</v>
      </c>
      <c r="AW6" s="234" t="s">
        <v>195</v>
      </c>
      <c r="AX6" s="401"/>
    </row>
    <row r="7" spans="1:50">
      <c r="A7" s="79"/>
      <c r="B7" s="401" t="s">
        <v>176</v>
      </c>
      <c r="C7" s="181">
        <v>1</v>
      </c>
      <c r="D7" s="196" t="s">
        <v>315</v>
      </c>
      <c r="E7" s="165">
        <v>8</v>
      </c>
      <c r="F7" s="181">
        <v>1500</v>
      </c>
      <c r="G7" s="179">
        <v>187.5</v>
      </c>
      <c r="H7" s="412">
        <f>AVERAGE(G7:G21)</f>
        <v>117.22222222222221</v>
      </c>
      <c r="I7" s="165">
        <f>AVERAGE(P7,U7,Z7,AE7,AJ7,AO7,AT7)</f>
        <v>7</v>
      </c>
      <c r="J7" s="165">
        <f>AVERAGE(Q7,V7,AA7,AF7,AK7,AP7,AU7)</f>
        <v>1178.4466019417475</v>
      </c>
      <c r="K7" s="179">
        <f>AVERAGE(R7,W7,AB7,AG7,AL7,AQ7,AV7)</f>
        <v>168.34951456310679</v>
      </c>
      <c r="L7" s="412">
        <f>IFERROR(AVERAGE(K7:K21),"-")</f>
        <v>111.57107763902093</v>
      </c>
      <c r="M7" s="180">
        <f>RANK(K7, K$7:$K$21)</f>
        <v>2</v>
      </c>
      <c r="N7" s="401"/>
      <c r="O7" s="401"/>
      <c r="P7" s="103"/>
      <c r="Q7" s="103"/>
      <c r="R7" s="103"/>
      <c r="S7" s="103"/>
      <c r="T7" s="103"/>
      <c r="X7" s="103"/>
      <c r="AC7" s="103"/>
      <c r="AH7" s="103"/>
      <c r="AM7" s="103"/>
      <c r="AT7" s="181">
        <v>7</v>
      </c>
      <c r="AU7" s="165">
        <v>1178.4466019417475</v>
      </c>
      <c r="AV7" s="179">
        <v>168.34951456310679</v>
      </c>
      <c r="AW7" s="181">
        <f t="shared" ref="AW7:AW21" si="0">RANK(AV7, AV$7:AV$21)</f>
        <v>2</v>
      </c>
      <c r="AX7" s="409">
        <f>AVERAGE(AV7:AV21)</f>
        <v>111.57107763902093</v>
      </c>
    </row>
    <row r="8" spans="1:50" ht="15" customHeight="1">
      <c r="A8" s="79"/>
      <c r="B8" s="400"/>
      <c r="C8" s="181">
        <v>2</v>
      </c>
      <c r="D8" s="196" t="s">
        <v>316</v>
      </c>
      <c r="E8" s="165">
        <v>15</v>
      </c>
      <c r="F8" s="181">
        <v>1500</v>
      </c>
      <c r="G8" s="179">
        <v>100</v>
      </c>
      <c r="H8" s="413"/>
      <c r="I8" s="165">
        <f t="shared" ref="I8:K12" si="1">AVERAGE(P8,U8,Z8,AE8,AJ8,AO8,AT8)</f>
        <v>15</v>
      </c>
      <c r="J8" s="165">
        <f t="shared" si="1"/>
        <v>1159.7687861271675</v>
      </c>
      <c r="K8" s="179">
        <f t="shared" si="1"/>
        <v>77.317919075144502</v>
      </c>
      <c r="L8" s="413"/>
      <c r="M8" s="180">
        <f>RANK(K8, K$7:$K$21)</f>
        <v>4</v>
      </c>
      <c r="N8" s="401"/>
      <c r="O8" s="401"/>
      <c r="P8" s="103"/>
      <c r="Q8" s="103"/>
      <c r="R8" s="103"/>
      <c r="S8" s="103"/>
      <c r="T8" s="103"/>
      <c r="X8" s="103"/>
      <c r="AC8" s="103"/>
      <c r="AH8" s="103"/>
      <c r="AM8" s="103"/>
      <c r="AT8" s="181">
        <v>15</v>
      </c>
      <c r="AU8" s="165">
        <v>1159.7687861271675</v>
      </c>
      <c r="AV8" s="179">
        <v>77.317919075144502</v>
      </c>
      <c r="AW8" s="181">
        <f t="shared" si="0"/>
        <v>4</v>
      </c>
      <c r="AX8" s="410"/>
    </row>
    <row r="9" spans="1:50">
      <c r="A9" s="79"/>
      <c r="B9" s="400"/>
      <c r="C9" s="181">
        <v>3</v>
      </c>
      <c r="D9" s="196" t="s">
        <v>317</v>
      </c>
      <c r="E9" s="165">
        <v>18</v>
      </c>
      <c r="F9" s="181">
        <v>1500</v>
      </c>
      <c r="G9" s="179">
        <v>83.333333333333329</v>
      </c>
      <c r="H9" s="413"/>
      <c r="I9" s="165">
        <f t="shared" si="1"/>
        <v>18</v>
      </c>
      <c r="J9" s="165">
        <f t="shared" si="1"/>
        <v>1276.3999999999978</v>
      </c>
      <c r="K9" s="179">
        <f t="shared" si="1"/>
        <v>70.911111111110984</v>
      </c>
      <c r="L9" s="413"/>
      <c r="M9" s="180">
        <f>RANK(K9, K$7:$K$21)</f>
        <v>5</v>
      </c>
      <c r="N9" s="401"/>
      <c r="O9" s="401"/>
      <c r="P9" s="103"/>
      <c r="Q9" s="103"/>
      <c r="R9" s="103"/>
      <c r="S9" s="103"/>
      <c r="T9" s="103"/>
      <c r="X9" s="103"/>
      <c r="AC9" s="103"/>
      <c r="AH9" s="103"/>
      <c r="AM9" s="103"/>
      <c r="AT9" s="181">
        <v>18</v>
      </c>
      <c r="AU9" s="165">
        <v>1276.3999999999978</v>
      </c>
      <c r="AV9" s="179">
        <v>70.911111111110984</v>
      </c>
      <c r="AW9" s="181">
        <f t="shared" si="0"/>
        <v>5</v>
      </c>
      <c r="AX9" s="410"/>
    </row>
    <row r="10" spans="1:50">
      <c r="A10" s="79"/>
      <c r="B10" s="400"/>
      <c r="C10" s="181">
        <v>4</v>
      </c>
      <c r="D10" s="196" t="s">
        <v>318</v>
      </c>
      <c r="E10" s="165">
        <v>20</v>
      </c>
      <c r="F10" s="181">
        <v>1300</v>
      </c>
      <c r="G10" s="179">
        <v>65</v>
      </c>
      <c r="H10" s="413"/>
      <c r="I10" s="165">
        <f t="shared" si="1"/>
        <v>20</v>
      </c>
      <c r="J10" s="165">
        <f t="shared" si="1"/>
        <v>1119.4736842105267</v>
      </c>
      <c r="K10" s="179">
        <f t="shared" si="1"/>
        <v>55.973684210526336</v>
      </c>
      <c r="L10" s="413"/>
      <c r="M10" s="180">
        <f>RANK(K10, K$7:$K$21)</f>
        <v>6</v>
      </c>
      <c r="N10" s="401"/>
      <c r="O10" s="401"/>
      <c r="P10" s="103"/>
      <c r="Q10" s="103"/>
      <c r="R10" s="103"/>
      <c r="S10" s="103"/>
      <c r="T10" s="103"/>
      <c r="X10" s="103"/>
      <c r="AC10" s="103"/>
      <c r="AH10" s="103"/>
      <c r="AM10" s="103"/>
      <c r="AT10" s="181">
        <v>20</v>
      </c>
      <c r="AU10" s="165">
        <v>1119.4736842105267</v>
      </c>
      <c r="AV10" s="179">
        <v>55.973684210526336</v>
      </c>
      <c r="AW10" s="181">
        <f t="shared" si="0"/>
        <v>6</v>
      </c>
      <c r="AX10" s="410"/>
    </row>
    <row r="11" spans="1:50">
      <c r="A11" s="79"/>
      <c r="B11" s="400"/>
      <c r="C11" s="181">
        <v>5</v>
      </c>
      <c r="D11" s="196" t="s">
        <v>319</v>
      </c>
      <c r="E11" s="165">
        <v>18</v>
      </c>
      <c r="F11" s="181">
        <v>1440</v>
      </c>
      <c r="G11" s="179">
        <v>80</v>
      </c>
      <c r="H11" s="413"/>
      <c r="I11" s="165">
        <f t="shared" si="1"/>
        <v>18</v>
      </c>
      <c r="J11" s="165">
        <f t="shared" si="1"/>
        <v>1424.2857142857138</v>
      </c>
      <c r="K11" s="179">
        <f t="shared" si="1"/>
        <v>79.126984126984098</v>
      </c>
      <c r="L11" s="413"/>
      <c r="M11" s="180">
        <f>RANK(K11, K$7:$K$21)</f>
        <v>3</v>
      </c>
      <c r="N11" s="401"/>
      <c r="O11" s="401"/>
      <c r="P11" s="103"/>
      <c r="Q11" s="103"/>
      <c r="R11" s="103"/>
      <c r="S11" s="103"/>
      <c r="T11" s="103"/>
      <c r="X11" s="103"/>
      <c r="AC11" s="103"/>
      <c r="AH11" s="103"/>
      <c r="AM11" s="103"/>
      <c r="AT11" s="181">
        <v>18</v>
      </c>
      <c r="AU11" s="165">
        <v>1424.2857142857138</v>
      </c>
      <c r="AV11" s="179">
        <v>79.126984126984098</v>
      </c>
      <c r="AW11" s="181">
        <f t="shared" si="0"/>
        <v>3</v>
      </c>
      <c r="AX11" s="410"/>
    </row>
    <row r="12" spans="1:50">
      <c r="A12" s="79"/>
      <c r="B12" s="400"/>
      <c r="C12" s="181">
        <v>6</v>
      </c>
      <c r="D12" s="196" t="s">
        <v>320</v>
      </c>
      <c r="E12" s="165">
        <v>8</v>
      </c>
      <c r="F12" s="181">
        <v>1500</v>
      </c>
      <c r="G12" s="179">
        <v>187.5</v>
      </c>
      <c r="H12" s="413"/>
      <c r="I12" s="165">
        <f t="shared" si="1"/>
        <v>7</v>
      </c>
      <c r="J12" s="165">
        <f t="shared" si="1"/>
        <v>1524.2307692307695</v>
      </c>
      <c r="K12" s="179">
        <f t="shared" si="1"/>
        <v>217.74725274725279</v>
      </c>
      <c r="L12" s="413"/>
      <c r="M12" s="180">
        <f>RANK(K12, K$7:$K$21)</f>
        <v>1</v>
      </c>
      <c r="N12" s="401"/>
      <c r="O12" s="401"/>
      <c r="P12" s="103"/>
      <c r="Q12" s="103"/>
      <c r="R12" s="103"/>
      <c r="S12" s="103"/>
      <c r="T12" s="103"/>
      <c r="X12" s="103"/>
      <c r="AC12" s="103"/>
      <c r="AH12" s="103"/>
      <c r="AM12" s="103"/>
      <c r="AT12" s="181">
        <v>7</v>
      </c>
      <c r="AU12" s="165">
        <v>1524.2307692307695</v>
      </c>
      <c r="AV12" s="179">
        <v>217.74725274725279</v>
      </c>
      <c r="AW12" s="181">
        <f t="shared" si="0"/>
        <v>1</v>
      </c>
      <c r="AX12" s="410"/>
    </row>
    <row r="13" spans="1:50">
      <c r="A13" s="79"/>
      <c r="B13" s="400"/>
      <c r="C13" s="181">
        <v>7</v>
      </c>
      <c r="D13" s="196"/>
      <c r="E13" s="165"/>
      <c r="F13" s="181"/>
      <c r="G13" s="179"/>
      <c r="H13" s="413"/>
      <c r="I13" s="165"/>
      <c r="J13" s="165"/>
      <c r="K13" s="179"/>
      <c r="L13" s="413"/>
      <c r="M13" s="180" t="e">
        <f>RANK(K13, K$7:$K$21)</f>
        <v>#N/A</v>
      </c>
      <c r="N13" s="401"/>
      <c r="O13" s="401"/>
      <c r="P13" s="103"/>
      <c r="Q13" s="103"/>
      <c r="R13" s="103"/>
      <c r="S13" s="103"/>
      <c r="T13" s="103"/>
      <c r="X13" s="103"/>
      <c r="AC13" s="103"/>
      <c r="AH13" s="103"/>
      <c r="AM13" s="103"/>
      <c r="AT13" s="181"/>
      <c r="AU13" s="181"/>
      <c r="AV13" s="181"/>
      <c r="AW13" s="181" t="e">
        <f t="shared" si="0"/>
        <v>#N/A</v>
      </c>
      <c r="AX13" s="410"/>
    </row>
    <row r="14" spans="1:50">
      <c r="A14" s="79"/>
      <c r="B14" s="400"/>
      <c r="C14" s="181">
        <v>8</v>
      </c>
      <c r="D14" s="196"/>
      <c r="E14" s="165"/>
      <c r="F14" s="181"/>
      <c r="G14" s="179"/>
      <c r="H14" s="413"/>
      <c r="I14" s="165"/>
      <c r="J14" s="165"/>
      <c r="K14" s="179"/>
      <c r="L14" s="413"/>
      <c r="M14" s="180" t="e">
        <f>RANK(K14, K$7:$K$21)</f>
        <v>#N/A</v>
      </c>
      <c r="N14" s="401"/>
      <c r="O14" s="401"/>
      <c r="P14" s="103"/>
      <c r="Q14" s="103"/>
      <c r="R14" s="103"/>
      <c r="S14" s="103"/>
      <c r="T14" s="103"/>
      <c r="X14" s="103"/>
      <c r="AC14" s="103"/>
      <c r="AH14" s="103"/>
      <c r="AM14" s="103"/>
      <c r="AT14" s="181"/>
      <c r="AU14" s="181"/>
      <c r="AV14" s="181"/>
      <c r="AW14" s="181" t="e">
        <f t="shared" si="0"/>
        <v>#N/A</v>
      </c>
      <c r="AX14" s="410"/>
    </row>
    <row r="15" spans="1:50">
      <c r="A15" s="79"/>
      <c r="B15" s="400"/>
      <c r="C15" s="181">
        <v>9</v>
      </c>
      <c r="D15" s="196"/>
      <c r="E15" s="165"/>
      <c r="F15" s="181"/>
      <c r="G15" s="179"/>
      <c r="H15" s="413"/>
      <c r="I15" s="165"/>
      <c r="J15" s="165"/>
      <c r="K15" s="179"/>
      <c r="L15" s="413"/>
      <c r="M15" s="180" t="e">
        <f>RANK(K15, K$7:$K$21)</f>
        <v>#N/A</v>
      </c>
      <c r="N15" s="401"/>
      <c r="O15" s="401"/>
      <c r="P15" s="103"/>
      <c r="Q15" s="103"/>
      <c r="R15" s="103"/>
      <c r="S15" s="103"/>
      <c r="T15" s="103"/>
      <c r="X15" s="103"/>
      <c r="AC15" s="103"/>
      <c r="AH15" s="103"/>
      <c r="AM15" s="103"/>
      <c r="AT15" s="181"/>
      <c r="AU15" s="181"/>
      <c r="AV15" s="181"/>
      <c r="AW15" s="181" t="e">
        <f t="shared" si="0"/>
        <v>#N/A</v>
      </c>
      <c r="AX15" s="410"/>
    </row>
    <row r="16" spans="1:50">
      <c r="A16" s="79"/>
      <c r="B16" s="400"/>
      <c r="C16" s="181">
        <v>10</v>
      </c>
      <c r="D16" s="196"/>
      <c r="E16" s="165"/>
      <c r="F16" s="181"/>
      <c r="G16" s="179"/>
      <c r="H16" s="413"/>
      <c r="I16" s="165"/>
      <c r="J16" s="165"/>
      <c r="K16" s="179"/>
      <c r="L16" s="413"/>
      <c r="M16" s="180" t="e">
        <f>RANK(K16, K$7:$K$21)</f>
        <v>#N/A</v>
      </c>
      <c r="N16" s="401"/>
      <c r="O16" s="401"/>
      <c r="P16" s="103"/>
      <c r="Q16" s="103"/>
      <c r="R16" s="103"/>
      <c r="S16" s="103"/>
      <c r="T16" s="103"/>
      <c r="X16" s="103"/>
      <c r="AC16" s="103"/>
      <c r="AH16" s="103"/>
      <c r="AM16" s="103"/>
      <c r="AT16" s="181"/>
      <c r="AU16" s="181"/>
      <c r="AV16" s="181"/>
      <c r="AW16" s="181" t="e">
        <f t="shared" si="0"/>
        <v>#N/A</v>
      </c>
      <c r="AX16" s="410"/>
    </row>
    <row r="17" spans="2:50">
      <c r="B17" s="400"/>
      <c r="C17" s="181">
        <v>11</v>
      </c>
      <c r="D17" s="196"/>
      <c r="E17" s="165"/>
      <c r="F17" s="181"/>
      <c r="G17" s="179"/>
      <c r="H17" s="413"/>
      <c r="I17" s="165"/>
      <c r="J17" s="165"/>
      <c r="K17" s="179"/>
      <c r="L17" s="413"/>
      <c r="M17" s="180" t="e">
        <f>RANK(K17, K$7:$K$21)</f>
        <v>#N/A</v>
      </c>
      <c r="N17" s="401"/>
      <c r="O17" s="401"/>
      <c r="P17" s="103"/>
      <c r="Q17" s="103"/>
      <c r="R17" s="103"/>
      <c r="S17" s="103"/>
      <c r="T17" s="103"/>
      <c r="X17" s="103"/>
      <c r="AC17" s="103"/>
      <c r="AH17" s="103"/>
      <c r="AM17" s="103"/>
      <c r="AT17" s="181"/>
      <c r="AU17" s="181"/>
      <c r="AV17" s="181"/>
      <c r="AW17" s="181" t="e">
        <f t="shared" si="0"/>
        <v>#N/A</v>
      </c>
      <c r="AX17" s="410"/>
    </row>
    <row r="18" spans="2:50">
      <c r="B18" s="400"/>
      <c r="C18" s="181">
        <v>12</v>
      </c>
      <c r="D18" s="196"/>
      <c r="E18" s="165"/>
      <c r="F18" s="181"/>
      <c r="G18" s="179"/>
      <c r="H18" s="413"/>
      <c r="I18" s="165"/>
      <c r="J18" s="165"/>
      <c r="K18" s="179"/>
      <c r="L18" s="413"/>
      <c r="M18" s="180" t="e">
        <f>RANK(K18, K$7:$K$21)</f>
        <v>#N/A</v>
      </c>
      <c r="N18" s="401"/>
      <c r="O18" s="401"/>
      <c r="P18" s="103"/>
      <c r="Q18" s="103"/>
      <c r="R18" s="103"/>
      <c r="S18" s="103"/>
      <c r="T18" s="103"/>
      <c r="X18" s="103"/>
      <c r="AC18" s="103"/>
      <c r="AH18" s="103"/>
      <c r="AM18" s="103"/>
      <c r="AT18" s="181"/>
      <c r="AU18" s="181"/>
      <c r="AV18" s="181"/>
      <c r="AW18" s="181" t="e">
        <f t="shared" si="0"/>
        <v>#N/A</v>
      </c>
      <c r="AX18" s="410"/>
    </row>
    <row r="19" spans="2:50">
      <c r="B19" s="400"/>
      <c r="C19" s="181">
        <v>13</v>
      </c>
      <c r="D19" s="196"/>
      <c r="E19" s="165"/>
      <c r="F19" s="181"/>
      <c r="G19" s="179"/>
      <c r="H19" s="413"/>
      <c r="I19" s="165"/>
      <c r="J19" s="165"/>
      <c r="K19" s="179"/>
      <c r="L19" s="413"/>
      <c r="M19" s="180" t="e">
        <f>RANK(K19, K$7:$K$21)</f>
        <v>#N/A</v>
      </c>
      <c r="N19" s="401"/>
      <c r="O19" s="401"/>
      <c r="P19" s="103"/>
      <c r="Q19" s="103"/>
      <c r="R19" s="103"/>
      <c r="S19" s="103"/>
      <c r="T19" s="103"/>
      <c r="X19" s="103"/>
      <c r="AC19" s="103"/>
      <c r="AH19" s="103"/>
      <c r="AM19" s="103"/>
      <c r="AT19" s="181"/>
      <c r="AU19" s="181"/>
      <c r="AV19" s="181"/>
      <c r="AW19" s="181" t="e">
        <f t="shared" si="0"/>
        <v>#N/A</v>
      </c>
      <c r="AX19" s="410"/>
    </row>
    <row r="20" spans="2:50">
      <c r="B20" s="400"/>
      <c r="C20" s="181">
        <v>14</v>
      </c>
      <c r="D20" s="196"/>
      <c r="E20" s="165"/>
      <c r="F20" s="181"/>
      <c r="G20" s="179"/>
      <c r="H20" s="413"/>
      <c r="I20" s="165"/>
      <c r="J20" s="165"/>
      <c r="K20" s="179"/>
      <c r="L20" s="413"/>
      <c r="M20" s="180" t="e">
        <f>RANK(K20, K$7:$K$21)</f>
        <v>#N/A</v>
      </c>
      <c r="N20" s="401"/>
      <c r="O20" s="401"/>
      <c r="P20" s="103"/>
      <c r="Q20" s="103"/>
      <c r="R20" s="103"/>
      <c r="S20" s="103"/>
      <c r="T20" s="103"/>
      <c r="X20" s="103"/>
      <c r="AC20" s="103"/>
      <c r="AH20" s="103"/>
      <c r="AM20" s="103"/>
      <c r="AT20" s="181"/>
      <c r="AU20" s="181"/>
      <c r="AV20" s="181"/>
      <c r="AW20" s="181" t="e">
        <f t="shared" si="0"/>
        <v>#N/A</v>
      </c>
      <c r="AX20" s="410"/>
    </row>
    <row r="21" spans="2:50">
      <c r="B21" s="400"/>
      <c r="C21" s="181">
        <v>15</v>
      </c>
      <c r="D21" s="196"/>
      <c r="E21" s="165"/>
      <c r="F21" s="181"/>
      <c r="G21" s="179"/>
      <c r="H21" s="414"/>
      <c r="I21" s="165"/>
      <c r="J21" s="165"/>
      <c r="K21" s="179"/>
      <c r="L21" s="414"/>
      <c r="M21" s="165" t="e">
        <f>RANK(K21, K$7:$K$21)</f>
        <v>#N/A</v>
      </c>
      <c r="N21" s="401"/>
      <c r="O21" s="401"/>
      <c r="P21" s="103"/>
      <c r="Q21" s="103"/>
      <c r="R21" s="103"/>
      <c r="S21" s="103"/>
      <c r="T21" s="103"/>
      <c r="X21" s="103"/>
      <c r="AC21" s="103"/>
      <c r="AH21" s="103"/>
      <c r="AM21" s="103"/>
      <c r="AT21" s="181"/>
      <c r="AU21" s="181"/>
      <c r="AV21" s="181"/>
      <c r="AW21" s="181" t="e">
        <f t="shared" si="0"/>
        <v>#N/A</v>
      </c>
      <c r="AX21" s="411"/>
    </row>
    <row r="22" spans="2:50" ht="15.75">
      <c r="B22" s="424" t="s">
        <v>187</v>
      </c>
      <c r="C22" s="425"/>
      <c r="D22" s="425"/>
      <c r="E22" s="425"/>
      <c r="F22" s="425"/>
      <c r="G22" s="425"/>
      <c r="H22" s="425"/>
      <c r="I22" s="182"/>
      <c r="J22" s="182"/>
      <c r="K22" s="182"/>
      <c r="L22" s="182"/>
      <c r="M22" s="177"/>
      <c r="N22" s="397" t="s">
        <v>188</v>
      </c>
      <c r="O22" s="397" t="s">
        <v>135</v>
      </c>
      <c r="P22" s="415">
        <f>AT2+1</f>
        <v>45902</v>
      </c>
      <c r="Q22" s="416"/>
      <c r="R22" s="416"/>
      <c r="S22" s="416"/>
      <c r="T22" s="416"/>
      <c r="U22" s="399">
        <f>P22+1</f>
        <v>45903</v>
      </c>
      <c r="V22" s="400"/>
      <c r="W22" s="400"/>
      <c r="X22" s="400"/>
      <c r="Y22" s="400"/>
      <c r="Z22" s="399">
        <f>U22+1</f>
        <v>45904</v>
      </c>
      <c r="AA22" s="400"/>
      <c r="AB22" s="400"/>
      <c r="AC22" s="400"/>
      <c r="AD22" s="400"/>
      <c r="AE22" s="399">
        <f>Z22+1</f>
        <v>45905</v>
      </c>
      <c r="AF22" s="400"/>
      <c r="AG22" s="400"/>
      <c r="AH22" s="400"/>
      <c r="AI22" s="400"/>
      <c r="AJ22" s="399">
        <f>AE22+1</f>
        <v>45906</v>
      </c>
      <c r="AK22" s="400"/>
      <c r="AL22" s="400"/>
      <c r="AM22" s="400"/>
      <c r="AN22" s="400"/>
      <c r="AO22" s="399">
        <f>AJ22+1</f>
        <v>45907</v>
      </c>
      <c r="AP22" s="400"/>
      <c r="AQ22" s="400"/>
      <c r="AR22" s="400"/>
      <c r="AS22" s="400"/>
      <c r="AT22" s="399">
        <f>AO22+1</f>
        <v>45908</v>
      </c>
      <c r="AU22" s="400"/>
      <c r="AV22" s="400"/>
      <c r="AW22" s="400"/>
      <c r="AX22" s="400"/>
    </row>
    <row r="23" spans="2:50" ht="15.75">
      <c r="B23" s="396"/>
      <c r="C23" s="396"/>
      <c r="D23" s="396"/>
      <c r="E23" s="396"/>
      <c r="F23" s="396"/>
      <c r="G23" s="396"/>
      <c r="H23" s="396"/>
      <c r="I23" s="183"/>
      <c r="J23" s="183"/>
      <c r="K23" s="183"/>
      <c r="L23" s="183"/>
      <c r="M23" s="178"/>
      <c r="N23" s="398"/>
      <c r="O23" s="398"/>
      <c r="P23" s="399" t="s">
        <v>223</v>
      </c>
      <c r="Q23" s="400"/>
      <c r="R23" s="400"/>
      <c r="S23" s="400"/>
      <c r="T23" s="400"/>
      <c r="U23" s="399" t="s">
        <v>224</v>
      </c>
      <c r="V23" s="400"/>
      <c r="W23" s="400"/>
      <c r="X23" s="400"/>
      <c r="Y23" s="400"/>
      <c r="Z23" s="399" t="s">
        <v>225</v>
      </c>
      <c r="AA23" s="400"/>
      <c r="AB23" s="400"/>
      <c r="AC23" s="400"/>
      <c r="AD23" s="400"/>
      <c r="AE23" s="399" t="s">
        <v>226</v>
      </c>
      <c r="AF23" s="400"/>
      <c r="AG23" s="400"/>
      <c r="AH23" s="400"/>
      <c r="AI23" s="400"/>
      <c r="AJ23" s="399" t="s">
        <v>227</v>
      </c>
      <c r="AK23" s="400"/>
      <c r="AL23" s="400"/>
      <c r="AM23" s="400"/>
      <c r="AN23" s="400"/>
      <c r="AO23" s="399" t="s">
        <v>142</v>
      </c>
      <c r="AP23" s="400"/>
      <c r="AQ23" s="400"/>
      <c r="AR23" s="400"/>
      <c r="AS23" s="400"/>
      <c r="AT23" s="399" t="s">
        <v>189</v>
      </c>
      <c r="AU23" s="400"/>
      <c r="AV23" s="400"/>
      <c r="AW23" s="400"/>
      <c r="AX23" s="400"/>
    </row>
    <row r="24" spans="2:50">
      <c r="B24" s="401" t="s">
        <v>190</v>
      </c>
      <c r="C24" s="401" t="s">
        <v>191</v>
      </c>
      <c r="D24" s="401"/>
      <c r="E24" s="401" t="s">
        <v>192</v>
      </c>
      <c r="F24" s="401"/>
      <c r="G24" s="401"/>
      <c r="H24" s="402" t="s">
        <v>193</v>
      </c>
      <c r="I24" s="401" t="s">
        <v>194</v>
      </c>
      <c r="J24" s="401"/>
      <c r="K24" s="401"/>
      <c r="L24" s="402" t="s">
        <v>193</v>
      </c>
      <c r="M24" s="397" t="s">
        <v>195</v>
      </c>
      <c r="N24" s="401"/>
      <c r="O24" s="401" t="s">
        <v>196</v>
      </c>
      <c r="P24" s="406" t="s">
        <v>197</v>
      </c>
      <c r="Q24" s="407"/>
      <c r="R24" s="407"/>
      <c r="S24" s="408"/>
      <c r="T24" s="401" t="s">
        <v>193</v>
      </c>
      <c r="U24" s="406" t="s">
        <v>197</v>
      </c>
      <c r="V24" s="407"/>
      <c r="W24" s="407"/>
      <c r="X24" s="408"/>
      <c r="Y24" s="401" t="s">
        <v>193</v>
      </c>
      <c r="Z24" s="406" t="s">
        <v>197</v>
      </c>
      <c r="AA24" s="407"/>
      <c r="AB24" s="407"/>
      <c r="AC24" s="408"/>
      <c r="AD24" s="401" t="s">
        <v>193</v>
      </c>
      <c r="AE24" s="406" t="s">
        <v>197</v>
      </c>
      <c r="AF24" s="407"/>
      <c r="AG24" s="407"/>
      <c r="AH24" s="408"/>
      <c r="AI24" s="401" t="s">
        <v>193</v>
      </c>
      <c r="AJ24" s="406" t="s">
        <v>197</v>
      </c>
      <c r="AK24" s="407"/>
      <c r="AL24" s="407"/>
      <c r="AM24" s="408"/>
      <c r="AN24" s="401" t="s">
        <v>193</v>
      </c>
      <c r="AO24" s="406" t="s">
        <v>197</v>
      </c>
      <c r="AP24" s="407"/>
      <c r="AQ24" s="407"/>
      <c r="AR24" s="408"/>
      <c r="AS24" s="401" t="s">
        <v>193</v>
      </c>
      <c r="AT24" s="406" t="s">
        <v>197</v>
      </c>
      <c r="AU24" s="407"/>
      <c r="AV24" s="407"/>
      <c r="AW24" s="408"/>
      <c r="AX24" s="401" t="s">
        <v>193</v>
      </c>
    </row>
    <row r="25" spans="2:50">
      <c r="B25" s="401"/>
      <c r="C25" s="401"/>
      <c r="D25" s="401"/>
      <c r="E25" s="401" t="s">
        <v>198</v>
      </c>
      <c r="F25" s="401"/>
      <c r="G25" s="401"/>
      <c r="H25" s="403"/>
      <c r="I25" s="401" t="s">
        <v>198</v>
      </c>
      <c r="J25" s="401"/>
      <c r="K25" s="401"/>
      <c r="L25" s="403"/>
      <c r="M25" s="405"/>
      <c r="N25" s="401"/>
      <c r="O25" s="401"/>
      <c r="P25" s="406" t="s">
        <v>199</v>
      </c>
      <c r="Q25" s="407"/>
      <c r="R25" s="407"/>
      <c r="S25" s="408"/>
      <c r="T25" s="401"/>
      <c r="U25" s="406" t="s">
        <v>199</v>
      </c>
      <c r="V25" s="407"/>
      <c r="W25" s="407"/>
      <c r="X25" s="408"/>
      <c r="Y25" s="401"/>
      <c r="Z25" s="406" t="s">
        <v>199</v>
      </c>
      <c r="AA25" s="407"/>
      <c r="AB25" s="407"/>
      <c r="AC25" s="408"/>
      <c r="AD25" s="401"/>
      <c r="AE25" s="406" t="s">
        <v>199</v>
      </c>
      <c r="AF25" s="407"/>
      <c r="AG25" s="407"/>
      <c r="AH25" s="408"/>
      <c r="AI25" s="401"/>
      <c r="AJ25" s="406" t="s">
        <v>199</v>
      </c>
      <c r="AK25" s="407"/>
      <c r="AL25" s="407"/>
      <c r="AM25" s="408"/>
      <c r="AN25" s="401"/>
      <c r="AO25" s="406" t="s">
        <v>199</v>
      </c>
      <c r="AP25" s="407"/>
      <c r="AQ25" s="407"/>
      <c r="AR25" s="408"/>
      <c r="AS25" s="401"/>
      <c r="AT25" s="406" t="s">
        <v>199</v>
      </c>
      <c r="AU25" s="407"/>
      <c r="AV25" s="407"/>
      <c r="AW25" s="408"/>
      <c r="AX25" s="401"/>
    </row>
    <row r="26" spans="2:50">
      <c r="B26" s="401"/>
      <c r="C26" s="401"/>
      <c r="D26" s="401"/>
      <c r="E26" s="234" t="s">
        <v>200</v>
      </c>
      <c r="F26" s="234" t="s">
        <v>201</v>
      </c>
      <c r="G26" s="234" t="s">
        <v>202</v>
      </c>
      <c r="H26" s="404"/>
      <c r="I26" s="234" t="s">
        <v>200</v>
      </c>
      <c r="J26" s="234" t="s">
        <v>201</v>
      </c>
      <c r="K26" s="234" t="s">
        <v>202</v>
      </c>
      <c r="L26" s="404"/>
      <c r="M26" s="398"/>
      <c r="N26" s="401"/>
      <c r="O26" s="401"/>
      <c r="P26" s="234" t="s">
        <v>200</v>
      </c>
      <c r="Q26" s="234" t="s">
        <v>201</v>
      </c>
      <c r="R26" s="234" t="s">
        <v>202</v>
      </c>
      <c r="S26" s="234" t="s">
        <v>195</v>
      </c>
      <c r="T26" s="401"/>
      <c r="U26" s="234" t="s">
        <v>200</v>
      </c>
      <c r="V26" s="234" t="s">
        <v>201</v>
      </c>
      <c r="W26" s="234" t="s">
        <v>202</v>
      </c>
      <c r="X26" s="234" t="s">
        <v>195</v>
      </c>
      <c r="Y26" s="401"/>
      <c r="Z26" s="234" t="s">
        <v>200</v>
      </c>
      <c r="AA26" s="234" t="s">
        <v>201</v>
      </c>
      <c r="AB26" s="234" t="s">
        <v>202</v>
      </c>
      <c r="AC26" s="234" t="s">
        <v>195</v>
      </c>
      <c r="AD26" s="401"/>
      <c r="AE26" s="234" t="s">
        <v>200</v>
      </c>
      <c r="AF26" s="234" t="s">
        <v>201</v>
      </c>
      <c r="AG26" s="234" t="s">
        <v>202</v>
      </c>
      <c r="AH26" s="234" t="s">
        <v>195</v>
      </c>
      <c r="AI26" s="401"/>
      <c r="AJ26" s="234" t="s">
        <v>200</v>
      </c>
      <c r="AK26" s="234" t="s">
        <v>201</v>
      </c>
      <c r="AL26" s="234" t="s">
        <v>202</v>
      </c>
      <c r="AM26" s="234" t="s">
        <v>195</v>
      </c>
      <c r="AN26" s="401"/>
      <c r="AO26" s="234" t="s">
        <v>200</v>
      </c>
      <c r="AP26" s="234" t="s">
        <v>201</v>
      </c>
      <c r="AQ26" s="234" t="s">
        <v>202</v>
      </c>
      <c r="AR26" s="234" t="s">
        <v>195</v>
      </c>
      <c r="AS26" s="401"/>
      <c r="AT26" s="234" t="s">
        <v>200</v>
      </c>
      <c r="AU26" s="234" t="s">
        <v>201</v>
      </c>
      <c r="AV26" s="234" t="s">
        <v>202</v>
      </c>
      <c r="AW26" s="234" t="s">
        <v>195</v>
      </c>
      <c r="AX26" s="401"/>
    </row>
    <row r="27" spans="2:50">
      <c r="B27" s="401" t="s">
        <v>176</v>
      </c>
      <c r="C27" s="181">
        <v>1</v>
      </c>
      <c r="D27" s="196" t="s">
        <v>315</v>
      </c>
      <c r="E27" s="165">
        <v>7</v>
      </c>
      <c r="F27" s="181">
        <v>1500</v>
      </c>
      <c r="G27" s="179">
        <v>214.28571428571428</v>
      </c>
      <c r="H27" s="412">
        <f>AVERAGE(G27:G41)</f>
        <v>126.56015037593984</v>
      </c>
      <c r="I27" s="165">
        <f t="shared" ref="I27:K32" si="2">AVERAGE(P27,U27,Z27,AE27,AJ27,AO27,AT27)</f>
        <v>6.7142857142857144</v>
      </c>
      <c r="J27" s="165">
        <f t="shared" si="2"/>
        <v>1291.9497073343416</v>
      </c>
      <c r="K27" s="179">
        <f t="shared" si="2"/>
        <v>193.36398081320735</v>
      </c>
      <c r="L27" s="412">
        <f>IFERROR(AVERAGE(K27:K41),"-")</f>
        <v>111.59971562096058</v>
      </c>
      <c r="M27" s="180">
        <f>RANK(K27, K$27:$K$41)</f>
        <v>2</v>
      </c>
      <c r="N27" s="401"/>
      <c r="O27" s="401"/>
      <c r="P27" s="181">
        <v>7</v>
      </c>
      <c r="Q27" s="165">
        <v>1288.7234042553187</v>
      </c>
      <c r="R27" s="179">
        <v>184.10334346504553</v>
      </c>
      <c r="S27" s="181">
        <f t="shared" ref="S27:S41" si="3">RANK(R27, R$27:R$41)</f>
        <v>2</v>
      </c>
      <c r="T27" s="409">
        <f>AVERAGE(R27:R41)</f>
        <v>108.9760738330953</v>
      </c>
      <c r="U27" s="181">
        <v>7</v>
      </c>
      <c r="V27" s="165">
        <v>1287.7894736842102</v>
      </c>
      <c r="W27" s="179">
        <v>183.96992481203003</v>
      </c>
      <c r="X27" s="181">
        <f t="shared" ref="X27:X41" si="4">RANK(W27, W$27:W$41)</f>
        <v>2</v>
      </c>
      <c r="Y27" s="409">
        <f>AVERAGE(W27:W41)</f>
        <v>108.66983136765418</v>
      </c>
      <c r="Z27" s="181">
        <v>7</v>
      </c>
      <c r="AA27" s="165">
        <v>1295.8695652173915</v>
      </c>
      <c r="AB27" s="179">
        <v>185.12422360248451</v>
      </c>
      <c r="AC27" s="181">
        <f t="shared" ref="AC27:AC41" si="5">RANK(AB27, AB$27:AB$41)</f>
        <v>1</v>
      </c>
      <c r="AD27" s="409">
        <f>AVERAGE(AB27:AB41)</f>
        <v>108.63256457289846</v>
      </c>
      <c r="AE27" s="181">
        <v>7</v>
      </c>
      <c r="AF27" s="165">
        <v>1287</v>
      </c>
      <c r="AG27" s="179">
        <v>183.85714285714286</v>
      </c>
      <c r="AH27" s="181">
        <f t="shared" ref="AH27:AH41" si="6">RANK(AG27, AG$27:AG$41)</f>
        <v>2</v>
      </c>
      <c r="AI27" s="409">
        <f>AVERAGE(AG27:AG41)</f>
        <v>119.18314458181274</v>
      </c>
      <c r="AJ27" s="181">
        <v>7</v>
      </c>
      <c r="AK27" s="165">
        <v>1297.1428571428573</v>
      </c>
      <c r="AL27" s="179">
        <v>185.30612244897961</v>
      </c>
      <c r="AM27" s="181">
        <f t="shared" ref="AM27:AM41" si="7">RANK(AL27, AL$27:AL$41)</f>
        <v>1</v>
      </c>
      <c r="AN27" s="409">
        <f>AVERAGE(AL27:AL41)</f>
        <v>119.66177919196352</v>
      </c>
      <c r="AO27" s="181">
        <v>6</v>
      </c>
      <c r="AP27" s="165">
        <v>1287.3267326732673</v>
      </c>
      <c r="AQ27" s="179">
        <v>214.55445544554456</v>
      </c>
      <c r="AR27" s="181">
        <f t="shared" ref="AR27:AR41" si="8">RANK(AQ27, AQ$27:AQ$41)</f>
        <v>2</v>
      </c>
      <c r="AS27" s="409">
        <f>AVERAGE(AQ27:AQ41)</f>
        <v>131.77267440646273</v>
      </c>
      <c r="AT27" s="181">
        <v>6</v>
      </c>
      <c r="AU27" s="165">
        <v>1299.7959183673468</v>
      </c>
      <c r="AV27" s="179">
        <v>216.63265306122446</v>
      </c>
      <c r="AW27" s="181">
        <f t="shared" ref="AW27:AW41" si="9">RANK(AV27, AV$27:AV$41)</f>
        <v>1</v>
      </c>
      <c r="AX27" s="409">
        <f>AVERAGE(AV27:AV41)</f>
        <v>131.79907894871977</v>
      </c>
    </row>
    <row r="28" spans="2:50">
      <c r="B28" s="400"/>
      <c r="C28" s="181">
        <v>2</v>
      </c>
      <c r="D28" s="196" t="s">
        <v>316</v>
      </c>
      <c r="E28" s="165">
        <v>15</v>
      </c>
      <c r="F28" s="181">
        <v>1500</v>
      </c>
      <c r="G28" s="179">
        <v>100</v>
      </c>
      <c r="H28" s="413"/>
      <c r="I28" s="165">
        <f t="shared" si="2"/>
        <v>15</v>
      </c>
      <c r="J28" s="165">
        <f t="shared" si="2"/>
        <v>1287.9243469262692</v>
      </c>
      <c r="K28" s="179">
        <f t="shared" si="2"/>
        <v>85.861623128417961</v>
      </c>
      <c r="L28" s="413"/>
      <c r="M28" s="180">
        <f>RANK(K28, K$27:$K$41)</f>
        <v>3</v>
      </c>
      <c r="N28" s="401"/>
      <c r="O28" s="401"/>
      <c r="P28" s="181">
        <v>15</v>
      </c>
      <c r="Q28" s="165">
        <v>1277.9591836734692</v>
      </c>
      <c r="R28" s="179">
        <v>85.197278911564609</v>
      </c>
      <c r="S28" s="181">
        <f t="shared" si="3"/>
        <v>3</v>
      </c>
      <c r="T28" s="410"/>
      <c r="U28" s="181">
        <v>15</v>
      </c>
      <c r="V28" s="165">
        <v>1291.7894736842115</v>
      </c>
      <c r="W28" s="179">
        <v>86.119298245614104</v>
      </c>
      <c r="X28" s="181">
        <f t="shared" si="4"/>
        <v>3</v>
      </c>
      <c r="Y28" s="410"/>
      <c r="Z28" s="181">
        <v>15</v>
      </c>
      <c r="AA28" s="165">
        <v>1264.6153846153848</v>
      </c>
      <c r="AB28" s="179">
        <v>84.307692307692321</v>
      </c>
      <c r="AC28" s="181">
        <f t="shared" si="5"/>
        <v>3</v>
      </c>
      <c r="AD28" s="410"/>
      <c r="AE28" s="181">
        <v>15</v>
      </c>
      <c r="AF28" s="165">
        <v>1312.4369747899161</v>
      </c>
      <c r="AG28" s="179">
        <v>87.495798319327747</v>
      </c>
      <c r="AH28" s="181">
        <f t="shared" si="6"/>
        <v>3</v>
      </c>
      <c r="AI28" s="410"/>
      <c r="AJ28" s="181">
        <v>15</v>
      </c>
      <c r="AK28" s="165">
        <v>1293.8709677419349</v>
      </c>
      <c r="AL28" s="179">
        <v>86.258064516128997</v>
      </c>
      <c r="AM28" s="181">
        <f t="shared" si="7"/>
        <v>3</v>
      </c>
      <c r="AN28" s="410"/>
      <c r="AO28" s="181">
        <v>15</v>
      </c>
      <c r="AP28" s="165">
        <v>1307.919463087248</v>
      </c>
      <c r="AQ28" s="179">
        <v>87.194630872483202</v>
      </c>
      <c r="AR28" s="181">
        <f t="shared" si="8"/>
        <v>3</v>
      </c>
      <c r="AS28" s="410"/>
      <c r="AT28" s="181">
        <v>15</v>
      </c>
      <c r="AU28" s="165">
        <v>1266.8789808917197</v>
      </c>
      <c r="AV28" s="179">
        <v>84.458598726114644</v>
      </c>
      <c r="AW28" s="181">
        <f t="shared" si="9"/>
        <v>3</v>
      </c>
      <c r="AX28" s="410"/>
    </row>
    <row r="29" spans="2:50">
      <c r="B29" s="400"/>
      <c r="C29" s="181">
        <v>3</v>
      </c>
      <c r="D29" s="196" t="s">
        <v>317</v>
      </c>
      <c r="E29" s="165">
        <v>20</v>
      </c>
      <c r="F29" s="181">
        <v>1500</v>
      </c>
      <c r="G29" s="179">
        <v>75</v>
      </c>
      <c r="H29" s="413"/>
      <c r="I29" s="165">
        <f t="shared" si="2"/>
        <v>18</v>
      </c>
      <c r="J29" s="165">
        <f t="shared" si="2"/>
        <v>1286.1599679502906</v>
      </c>
      <c r="K29" s="179">
        <f t="shared" si="2"/>
        <v>71.453331552793912</v>
      </c>
      <c r="L29" s="413"/>
      <c r="M29" s="180">
        <f>RANK(K29, K$27:$K$41)</f>
        <v>4</v>
      </c>
      <c r="N29" s="401"/>
      <c r="O29" s="401"/>
      <c r="P29" s="181">
        <v>18</v>
      </c>
      <c r="Q29" s="165">
        <v>1283.1081081081079</v>
      </c>
      <c r="R29" s="179">
        <v>71.283783783783775</v>
      </c>
      <c r="S29" s="181">
        <f t="shared" si="3"/>
        <v>5</v>
      </c>
      <c r="T29" s="410"/>
      <c r="U29" s="181">
        <v>18</v>
      </c>
      <c r="V29" s="165">
        <v>1311.1888111888106</v>
      </c>
      <c r="W29" s="179">
        <v>72.843822843822807</v>
      </c>
      <c r="X29" s="181">
        <f t="shared" si="4"/>
        <v>4</v>
      </c>
      <c r="Y29" s="410"/>
      <c r="Z29" s="181">
        <v>18</v>
      </c>
      <c r="AA29" s="165">
        <v>1301.7777777777778</v>
      </c>
      <c r="AB29" s="179">
        <v>72.320987654320987</v>
      </c>
      <c r="AC29" s="181">
        <f t="shared" si="5"/>
        <v>4</v>
      </c>
      <c r="AD29" s="410"/>
      <c r="AE29" s="181">
        <v>18</v>
      </c>
      <c r="AF29" s="165">
        <v>1260.5128205128208</v>
      </c>
      <c r="AG29" s="179">
        <v>70.02849002849004</v>
      </c>
      <c r="AH29" s="181">
        <f t="shared" si="6"/>
        <v>4</v>
      </c>
      <c r="AI29" s="410"/>
      <c r="AJ29" s="181">
        <v>18</v>
      </c>
      <c r="AK29" s="165">
        <v>1279.5000000000005</v>
      </c>
      <c r="AL29" s="179">
        <v>71.083333333333357</v>
      </c>
      <c r="AM29" s="181">
        <f t="shared" si="7"/>
        <v>4</v>
      </c>
      <c r="AN29" s="410"/>
      <c r="AO29" s="181">
        <v>18</v>
      </c>
      <c r="AP29" s="165">
        <v>1289.9999999999998</v>
      </c>
      <c r="AQ29" s="179">
        <v>71.666666666666657</v>
      </c>
      <c r="AR29" s="181">
        <f t="shared" si="8"/>
        <v>4</v>
      </c>
      <c r="AS29" s="410"/>
      <c r="AT29" s="181">
        <v>18</v>
      </c>
      <c r="AU29" s="165">
        <v>1277.0322580645161</v>
      </c>
      <c r="AV29" s="179">
        <v>70.946236559139777</v>
      </c>
      <c r="AW29" s="181">
        <f t="shared" si="9"/>
        <v>4</v>
      </c>
      <c r="AX29" s="410"/>
    </row>
    <row r="30" spans="2:50">
      <c r="B30" s="400"/>
      <c r="C30" s="181">
        <v>4</v>
      </c>
      <c r="D30" s="196" t="s">
        <v>318</v>
      </c>
      <c r="E30" s="165">
        <v>19</v>
      </c>
      <c r="F30" s="181">
        <v>1440</v>
      </c>
      <c r="G30" s="179">
        <v>75.78947368421052</v>
      </c>
      <c r="H30" s="413"/>
      <c r="I30" s="165">
        <f t="shared" si="2"/>
        <v>20</v>
      </c>
      <c r="J30" s="165">
        <f t="shared" si="2"/>
        <v>1087.1692589683164</v>
      </c>
      <c r="K30" s="179">
        <f t="shared" si="2"/>
        <v>54.358462948415827</v>
      </c>
      <c r="L30" s="413"/>
      <c r="M30" s="180">
        <f>RANK(K30, K$27:$K$41)</f>
        <v>6</v>
      </c>
      <c r="N30" s="401"/>
      <c r="O30" s="401"/>
      <c r="P30" s="181">
        <v>20</v>
      </c>
      <c r="Q30" s="165">
        <v>1092.8000000000004</v>
      </c>
      <c r="R30" s="179">
        <v>54.640000000000022</v>
      </c>
      <c r="S30" s="181">
        <f t="shared" si="3"/>
        <v>6</v>
      </c>
      <c r="T30" s="410"/>
      <c r="U30" s="181">
        <v>20</v>
      </c>
      <c r="V30" s="165">
        <v>1061.8421052631581</v>
      </c>
      <c r="W30" s="179">
        <v>53.092105263157904</v>
      </c>
      <c r="X30" s="181">
        <f t="shared" si="4"/>
        <v>6</v>
      </c>
      <c r="Y30" s="410"/>
      <c r="Z30" s="181">
        <v>20</v>
      </c>
      <c r="AA30" s="165">
        <v>1106.8656716417911</v>
      </c>
      <c r="AB30" s="179">
        <v>55.343283582089555</v>
      </c>
      <c r="AC30" s="181">
        <f t="shared" si="5"/>
        <v>6</v>
      </c>
      <c r="AD30" s="410"/>
      <c r="AE30" s="181"/>
      <c r="AF30" s="165"/>
      <c r="AG30" s="179"/>
      <c r="AH30" s="181" t="e">
        <f t="shared" si="6"/>
        <v>#N/A</v>
      </c>
      <c r="AI30" s="410"/>
      <c r="AJ30" s="181"/>
      <c r="AK30" s="165"/>
      <c r="AL30" s="179"/>
      <c r="AM30" s="181" t="e">
        <f t="shared" si="7"/>
        <v>#N/A</v>
      </c>
      <c r="AN30" s="410"/>
      <c r="AO30" s="181"/>
      <c r="AP30" s="165"/>
      <c r="AQ30" s="179"/>
      <c r="AR30" s="181" t="e">
        <f t="shared" si="8"/>
        <v>#N/A</v>
      </c>
      <c r="AS30" s="410"/>
      <c r="AT30" s="181"/>
      <c r="AU30" s="165"/>
      <c r="AV30" s="179"/>
      <c r="AW30" s="181" t="e">
        <f t="shared" si="9"/>
        <v>#N/A</v>
      </c>
      <c r="AX30" s="410"/>
    </row>
    <row r="31" spans="2:50">
      <c r="B31" s="400"/>
      <c r="C31" s="181">
        <v>5</v>
      </c>
      <c r="D31" s="196" t="s">
        <v>319</v>
      </c>
      <c r="E31" s="165">
        <v>18</v>
      </c>
      <c r="F31" s="181">
        <v>1440</v>
      </c>
      <c r="G31" s="179">
        <v>80</v>
      </c>
      <c r="H31" s="413"/>
      <c r="I31" s="165">
        <f t="shared" si="2"/>
        <v>18</v>
      </c>
      <c r="J31" s="165">
        <f t="shared" si="2"/>
        <v>1272.3919411983111</v>
      </c>
      <c r="K31" s="179">
        <f t="shared" si="2"/>
        <v>70.688441177683941</v>
      </c>
      <c r="L31" s="413"/>
      <c r="M31" s="180">
        <f>RANK(K31, K$27:$K$41)</f>
        <v>5</v>
      </c>
      <c r="N31" s="401"/>
      <c r="O31" s="401"/>
      <c r="P31" s="181">
        <v>18</v>
      </c>
      <c r="Q31" s="165">
        <v>1317.4468085106384</v>
      </c>
      <c r="R31" s="179">
        <v>73.191489361702139</v>
      </c>
      <c r="S31" s="181">
        <f t="shared" si="3"/>
        <v>4</v>
      </c>
      <c r="T31" s="410"/>
      <c r="U31" s="181">
        <v>18</v>
      </c>
      <c r="V31" s="165">
        <v>1276.5957446808513</v>
      </c>
      <c r="W31" s="179">
        <v>70.921985815602852</v>
      </c>
      <c r="X31" s="181">
        <f t="shared" si="4"/>
        <v>5</v>
      </c>
      <c r="Y31" s="410"/>
      <c r="Z31" s="181">
        <v>18</v>
      </c>
      <c r="AA31" s="165">
        <v>1262.1428571428582</v>
      </c>
      <c r="AB31" s="179">
        <v>70.119047619047677</v>
      </c>
      <c r="AC31" s="181">
        <f t="shared" si="5"/>
        <v>5</v>
      </c>
      <c r="AD31" s="410"/>
      <c r="AE31" s="181">
        <v>18</v>
      </c>
      <c r="AF31" s="165">
        <v>1254.2857142857138</v>
      </c>
      <c r="AG31" s="179">
        <v>69.682539682539655</v>
      </c>
      <c r="AH31" s="181">
        <f t="shared" si="6"/>
        <v>5</v>
      </c>
      <c r="AI31" s="410"/>
      <c r="AJ31" s="181">
        <v>18</v>
      </c>
      <c r="AK31" s="165">
        <v>1269.3333333333333</v>
      </c>
      <c r="AL31" s="179">
        <v>70.518518518518519</v>
      </c>
      <c r="AM31" s="181">
        <f t="shared" si="7"/>
        <v>5</v>
      </c>
      <c r="AN31" s="410"/>
      <c r="AO31" s="181">
        <v>18</v>
      </c>
      <c r="AP31" s="165">
        <v>1255.2000000000003</v>
      </c>
      <c r="AQ31" s="179">
        <v>69.733333333333348</v>
      </c>
      <c r="AR31" s="181">
        <f t="shared" si="8"/>
        <v>5</v>
      </c>
      <c r="AS31" s="410"/>
      <c r="AT31" s="181">
        <v>18</v>
      </c>
      <c r="AU31" s="165">
        <v>1271.7391304347825</v>
      </c>
      <c r="AV31" s="179">
        <v>70.65217391304347</v>
      </c>
      <c r="AW31" s="181">
        <f t="shared" si="9"/>
        <v>5</v>
      </c>
      <c r="AX31" s="410"/>
    </row>
    <row r="32" spans="2:50">
      <c r="B32" s="400"/>
      <c r="C32" s="181">
        <v>6</v>
      </c>
      <c r="D32" s="196" t="s">
        <v>320</v>
      </c>
      <c r="E32" s="165">
        <v>7</v>
      </c>
      <c r="F32" s="181">
        <v>1500</v>
      </c>
      <c r="G32" s="179">
        <v>214.28571428571428</v>
      </c>
      <c r="H32" s="413"/>
      <c r="I32" s="165">
        <f t="shared" si="2"/>
        <v>6.7142857142857144</v>
      </c>
      <c r="J32" s="165">
        <f t="shared" si="2"/>
        <v>1295.3900332798025</v>
      </c>
      <c r="K32" s="179">
        <f t="shared" si="2"/>
        <v>193.87245410524449</v>
      </c>
      <c r="L32" s="413"/>
      <c r="M32" s="180">
        <f>RANK(K32, K$27:$K$41)</f>
        <v>1</v>
      </c>
      <c r="N32" s="401"/>
      <c r="O32" s="401"/>
      <c r="P32" s="181">
        <v>7</v>
      </c>
      <c r="Q32" s="181">
        <v>1298.0838323353294</v>
      </c>
      <c r="R32" s="181">
        <v>185.44054747647561</v>
      </c>
      <c r="S32" s="181">
        <f t="shared" si="3"/>
        <v>1</v>
      </c>
      <c r="T32" s="410"/>
      <c r="U32" s="181">
        <v>7</v>
      </c>
      <c r="V32" s="165">
        <v>1295.5029585798816</v>
      </c>
      <c r="W32" s="179">
        <v>185.07185122569737</v>
      </c>
      <c r="X32" s="181">
        <f t="shared" si="4"/>
        <v>1</v>
      </c>
      <c r="Y32" s="410"/>
      <c r="Z32" s="181">
        <v>7</v>
      </c>
      <c r="AA32" s="165">
        <v>1292.0610687022902</v>
      </c>
      <c r="AB32" s="179">
        <v>184.58015267175574</v>
      </c>
      <c r="AC32" s="181">
        <f t="shared" si="5"/>
        <v>2</v>
      </c>
      <c r="AD32" s="410"/>
      <c r="AE32" s="181">
        <v>7</v>
      </c>
      <c r="AF32" s="165">
        <v>1293.9622641509434</v>
      </c>
      <c r="AG32" s="179">
        <v>184.85175202156333</v>
      </c>
      <c r="AH32" s="181">
        <f t="shared" si="6"/>
        <v>1</v>
      </c>
      <c r="AI32" s="410"/>
      <c r="AJ32" s="181">
        <v>7</v>
      </c>
      <c r="AK32" s="165">
        <v>1296</v>
      </c>
      <c r="AL32" s="179">
        <v>185.14285714285714</v>
      </c>
      <c r="AM32" s="181">
        <f t="shared" si="7"/>
        <v>2</v>
      </c>
      <c r="AN32" s="410"/>
      <c r="AO32" s="181">
        <v>6</v>
      </c>
      <c r="AP32" s="165">
        <v>1294.2857142857144</v>
      </c>
      <c r="AQ32" s="179">
        <v>215.71428571428575</v>
      </c>
      <c r="AR32" s="181">
        <f t="shared" si="8"/>
        <v>1</v>
      </c>
      <c r="AS32" s="410"/>
      <c r="AT32" s="181">
        <v>6</v>
      </c>
      <c r="AU32" s="165">
        <v>1297.8343949044588</v>
      </c>
      <c r="AV32" s="179">
        <v>216.30573248407646</v>
      </c>
      <c r="AW32" s="181">
        <f t="shared" si="9"/>
        <v>2</v>
      </c>
      <c r="AX32" s="410"/>
    </row>
    <row r="33" spans="2:50">
      <c r="B33" s="400"/>
      <c r="C33" s="181">
        <v>7</v>
      </c>
      <c r="D33" s="196"/>
      <c r="E33" s="165"/>
      <c r="F33" s="181"/>
      <c r="G33" s="179"/>
      <c r="H33" s="413"/>
      <c r="I33" s="165"/>
      <c r="J33" s="165"/>
      <c r="K33" s="179"/>
      <c r="L33" s="413"/>
      <c r="M33" s="180" t="e">
        <f>RANK(K33, K$27:$K$41)</f>
        <v>#N/A</v>
      </c>
      <c r="N33" s="401"/>
      <c r="O33" s="401"/>
      <c r="P33" s="181"/>
      <c r="Q33" s="181"/>
      <c r="R33" s="181"/>
      <c r="S33" s="181" t="e">
        <f t="shared" si="3"/>
        <v>#N/A</v>
      </c>
      <c r="T33" s="410"/>
      <c r="U33" s="181"/>
      <c r="V33" s="181"/>
      <c r="W33" s="181"/>
      <c r="X33" s="181" t="e">
        <f t="shared" si="4"/>
        <v>#N/A</v>
      </c>
      <c r="Y33" s="410"/>
      <c r="Z33" s="181"/>
      <c r="AA33" s="181"/>
      <c r="AB33" s="181"/>
      <c r="AC33" s="181" t="e">
        <f t="shared" si="5"/>
        <v>#N/A</v>
      </c>
      <c r="AD33" s="410"/>
      <c r="AE33" s="181"/>
      <c r="AF33" s="181"/>
      <c r="AG33" s="181"/>
      <c r="AH33" s="181" t="e">
        <f t="shared" si="6"/>
        <v>#N/A</v>
      </c>
      <c r="AI33" s="410"/>
      <c r="AJ33" s="181"/>
      <c r="AK33" s="181"/>
      <c r="AL33" s="181"/>
      <c r="AM33" s="181" t="e">
        <f t="shared" si="7"/>
        <v>#N/A</v>
      </c>
      <c r="AN33" s="410"/>
      <c r="AO33" s="181"/>
      <c r="AP33" s="181"/>
      <c r="AQ33" s="181"/>
      <c r="AR33" s="181" t="e">
        <f t="shared" si="8"/>
        <v>#N/A</v>
      </c>
      <c r="AS33" s="410"/>
      <c r="AT33" s="181"/>
      <c r="AU33" s="181"/>
      <c r="AV33" s="181"/>
      <c r="AW33" s="181" t="e">
        <f t="shared" si="9"/>
        <v>#N/A</v>
      </c>
      <c r="AX33" s="410"/>
    </row>
    <row r="34" spans="2:50">
      <c r="B34" s="400"/>
      <c r="C34" s="181">
        <v>8</v>
      </c>
      <c r="D34" s="196"/>
      <c r="E34" s="165"/>
      <c r="F34" s="181"/>
      <c r="G34" s="179"/>
      <c r="H34" s="413"/>
      <c r="I34" s="165"/>
      <c r="J34" s="165"/>
      <c r="K34" s="179"/>
      <c r="L34" s="413"/>
      <c r="M34" s="180" t="e">
        <f>RANK(K34, K$27:$K$41)</f>
        <v>#N/A</v>
      </c>
      <c r="N34" s="401"/>
      <c r="O34" s="401"/>
      <c r="P34" s="181"/>
      <c r="Q34" s="181"/>
      <c r="R34" s="181"/>
      <c r="S34" s="181" t="e">
        <f t="shared" si="3"/>
        <v>#N/A</v>
      </c>
      <c r="T34" s="410"/>
      <c r="U34" s="181"/>
      <c r="V34" s="181"/>
      <c r="W34" s="181"/>
      <c r="X34" s="181" t="e">
        <f t="shared" si="4"/>
        <v>#N/A</v>
      </c>
      <c r="Y34" s="410"/>
      <c r="Z34" s="181"/>
      <c r="AA34" s="181"/>
      <c r="AB34" s="181"/>
      <c r="AC34" s="181" t="e">
        <f t="shared" si="5"/>
        <v>#N/A</v>
      </c>
      <c r="AD34" s="410"/>
      <c r="AE34" s="181"/>
      <c r="AF34" s="181"/>
      <c r="AG34" s="181"/>
      <c r="AH34" s="181" t="e">
        <f t="shared" si="6"/>
        <v>#N/A</v>
      </c>
      <c r="AI34" s="410"/>
      <c r="AJ34" s="181"/>
      <c r="AK34" s="181"/>
      <c r="AL34" s="181"/>
      <c r="AM34" s="181" t="e">
        <f t="shared" si="7"/>
        <v>#N/A</v>
      </c>
      <c r="AN34" s="410"/>
      <c r="AO34" s="181"/>
      <c r="AP34" s="181"/>
      <c r="AQ34" s="181"/>
      <c r="AR34" s="181" t="e">
        <f t="shared" si="8"/>
        <v>#N/A</v>
      </c>
      <c r="AS34" s="410"/>
      <c r="AT34" s="181"/>
      <c r="AU34" s="181"/>
      <c r="AV34" s="181"/>
      <c r="AW34" s="181" t="e">
        <f t="shared" si="9"/>
        <v>#N/A</v>
      </c>
      <c r="AX34" s="410"/>
    </row>
    <row r="35" spans="2:50">
      <c r="B35" s="400"/>
      <c r="C35" s="181">
        <v>9</v>
      </c>
      <c r="D35" s="196"/>
      <c r="E35" s="165"/>
      <c r="F35" s="181"/>
      <c r="G35" s="179"/>
      <c r="H35" s="413"/>
      <c r="I35" s="165"/>
      <c r="J35" s="165"/>
      <c r="K35" s="179"/>
      <c r="L35" s="413"/>
      <c r="M35" s="180" t="e">
        <f>RANK(K35, K$27:$K$41)</f>
        <v>#N/A</v>
      </c>
      <c r="N35" s="401"/>
      <c r="O35" s="401"/>
      <c r="P35" s="181"/>
      <c r="Q35" s="181"/>
      <c r="R35" s="181"/>
      <c r="S35" s="181" t="e">
        <f t="shared" si="3"/>
        <v>#N/A</v>
      </c>
      <c r="T35" s="410"/>
      <c r="U35" s="181"/>
      <c r="V35" s="181"/>
      <c r="W35" s="181"/>
      <c r="X35" s="181" t="e">
        <f t="shared" si="4"/>
        <v>#N/A</v>
      </c>
      <c r="Y35" s="410"/>
      <c r="Z35" s="181"/>
      <c r="AA35" s="181"/>
      <c r="AB35" s="181"/>
      <c r="AC35" s="181" t="e">
        <f t="shared" si="5"/>
        <v>#N/A</v>
      </c>
      <c r="AD35" s="410"/>
      <c r="AE35" s="181"/>
      <c r="AF35" s="181"/>
      <c r="AG35" s="181"/>
      <c r="AH35" s="181" t="e">
        <f t="shared" si="6"/>
        <v>#N/A</v>
      </c>
      <c r="AI35" s="410"/>
      <c r="AJ35" s="181"/>
      <c r="AK35" s="181"/>
      <c r="AL35" s="181"/>
      <c r="AM35" s="181" t="e">
        <f t="shared" si="7"/>
        <v>#N/A</v>
      </c>
      <c r="AN35" s="410"/>
      <c r="AO35" s="181"/>
      <c r="AP35" s="181"/>
      <c r="AQ35" s="181"/>
      <c r="AR35" s="181" t="e">
        <f t="shared" si="8"/>
        <v>#N/A</v>
      </c>
      <c r="AS35" s="410"/>
      <c r="AT35" s="181"/>
      <c r="AU35" s="181"/>
      <c r="AV35" s="181"/>
      <c r="AW35" s="181" t="e">
        <f t="shared" si="9"/>
        <v>#N/A</v>
      </c>
      <c r="AX35" s="410"/>
    </row>
    <row r="36" spans="2:50">
      <c r="B36" s="400"/>
      <c r="C36" s="181">
        <v>10</v>
      </c>
      <c r="D36" s="196"/>
      <c r="E36" s="165"/>
      <c r="F36" s="181"/>
      <c r="G36" s="179"/>
      <c r="H36" s="413"/>
      <c r="I36" s="165"/>
      <c r="J36" s="165"/>
      <c r="K36" s="179"/>
      <c r="L36" s="413"/>
      <c r="M36" s="180" t="e">
        <f>RANK(K36, K$27:$K$41)</f>
        <v>#N/A</v>
      </c>
      <c r="N36" s="401"/>
      <c r="O36" s="401"/>
      <c r="P36" s="181"/>
      <c r="Q36" s="181"/>
      <c r="R36" s="181"/>
      <c r="S36" s="181" t="e">
        <f t="shared" si="3"/>
        <v>#N/A</v>
      </c>
      <c r="T36" s="410"/>
      <c r="U36" s="181"/>
      <c r="V36" s="181"/>
      <c r="W36" s="181"/>
      <c r="X36" s="181" t="e">
        <f t="shared" si="4"/>
        <v>#N/A</v>
      </c>
      <c r="Y36" s="410"/>
      <c r="Z36" s="181"/>
      <c r="AA36" s="181"/>
      <c r="AB36" s="181"/>
      <c r="AC36" s="181" t="e">
        <f t="shared" si="5"/>
        <v>#N/A</v>
      </c>
      <c r="AD36" s="410"/>
      <c r="AE36" s="181"/>
      <c r="AF36" s="181"/>
      <c r="AG36" s="181"/>
      <c r="AH36" s="181" t="e">
        <f t="shared" si="6"/>
        <v>#N/A</v>
      </c>
      <c r="AI36" s="410"/>
      <c r="AJ36" s="181"/>
      <c r="AK36" s="181"/>
      <c r="AL36" s="181"/>
      <c r="AM36" s="181" t="e">
        <f t="shared" si="7"/>
        <v>#N/A</v>
      </c>
      <c r="AN36" s="410"/>
      <c r="AO36" s="181"/>
      <c r="AP36" s="181"/>
      <c r="AQ36" s="181"/>
      <c r="AR36" s="181" t="e">
        <f t="shared" si="8"/>
        <v>#N/A</v>
      </c>
      <c r="AS36" s="410"/>
      <c r="AT36" s="181"/>
      <c r="AU36" s="181"/>
      <c r="AV36" s="181"/>
      <c r="AW36" s="181" t="e">
        <f t="shared" si="9"/>
        <v>#N/A</v>
      </c>
      <c r="AX36" s="410"/>
    </row>
    <row r="37" spans="2:50">
      <c r="B37" s="400"/>
      <c r="C37" s="181">
        <v>11</v>
      </c>
      <c r="D37" s="196"/>
      <c r="E37" s="165"/>
      <c r="F37" s="181"/>
      <c r="G37" s="179"/>
      <c r="H37" s="413"/>
      <c r="I37" s="165"/>
      <c r="J37" s="165"/>
      <c r="K37" s="179"/>
      <c r="L37" s="413"/>
      <c r="M37" s="180" t="e">
        <f>RANK(K37, K$27:$K$41)</f>
        <v>#N/A</v>
      </c>
      <c r="N37" s="401"/>
      <c r="O37" s="401"/>
      <c r="P37" s="181"/>
      <c r="Q37" s="181"/>
      <c r="R37" s="181"/>
      <c r="S37" s="181" t="e">
        <f t="shared" si="3"/>
        <v>#N/A</v>
      </c>
      <c r="T37" s="410"/>
      <c r="U37" s="181"/>
      <c r="V37" s="181"/>
      <c r="W37" s="181"/>
      <c r="X37" s="181" t="e">
        <f t="shared" si="4"/>
        <v>#N/A</v>
      </c>
      <c r="Y37" s="410"/>
      <c r="Z37" s="181"/>
      <c r="AA37" s="181"/>
      <c r="AB37" s="181"/>
      <c r="AC37" s="181" t="e">
        <f t="shared" si="5"/>
        <v>#N/A</v>
      </c>
      <c r="AD37" s="410"/>
      <c r="AE37" s="181"/>
      <c r="AF37" s="181"/>
      <c r="AG37" s="181"/>
      <c r="AH37" s="181" t="e">
        <f t="shared" si="6"/>
        <v>#N/A</v>
      </c>
      <c r="AI37" s="410"/>
      <c r="AJ37" s="181"/>
      <c r="AK37" s="181"/>
      <c r="AL37" s="181"/>
      <c r="AM37" s="181" t="e">
        <f t="shared" si="7"/>
        <v>#N/A</v>
      </c>
      <c r="AN37" s="410"/>
      <c r="AO37" s="181"/>
      <c r="AP37" s="181"/>
      <c r="AQ37" s="181"/>
      <c r="AR37" s="181" t="e">
        <f t="shared" si="8"/>
        <v>#N/A</v>
      </c>
      <c r="AS37" s="410"/>
      <c r="AT37" s="181"/>
      <c r="AU37" s="181"/>
      <c r="AV37" s="181"/>
      <c r="AW37" s="181" t="e">
        <f t="shared" si="9"/>
        <v>#N/A</v>
      </c>
      <c r="AX37" s="410"/>
    </row>
    <row r="38" spans="2:50">
      <c r="B38" s="400"/>
      <c r="C38" s="181">
        <v>12</v>
      </c>
      <c r="D38" s="196"/>
      <c r="E38" s="165"/>
      <c r="F38" s="181"/>
      <c r="G38" s="179"/>
      <c r="H38" s="413"/>
      <c r="I38" s="165"/>
      <c r="J38" s="165"/>
      <c r="K38" s="179"/>
      <c r="L38" s="413"/>
      <c r="M38" s="180" t="e">
        <f>RANK(K38, K$27:$K$41)</f>
        <v>#N/A</v>
      </c>
      <c r="N38" s="401"/>
      <c r="O38" s="401"/>
      <c r="P38" s="181"/>
      <c r="Q38" s="181"/>
      <c r="R38" s="181"/>
      <c r="S38" s="181" t="e">
        <f t="shared" si="3"/>
        <v>#N/A</v>
      </c>
      <c r="T38" s="410"/>
      <c r="U38" s="181"/>
      <c r="V38" s="181"/>
      <c r="W38" s="181"/>
      <c r="X38" s="181" t="e">
        <f t="shared" si="4"/>
        <v>#N/A</v>
      </c>
      <c r="Y38" s="410"/>
      <c r="Z38" s="181"/>
      <c r="AA38" s="181"/>
      <c r="AB38" s="181"/>
      <c r="AC38" s="181" t="e">
        <f t="shared" si="5"/>
        <v>#N/A</v>
      </c>
      <c r="AD38" s="410"/>
      <c r="AE38" s="181"/>
      <c r="AF38" s="181"/>
      <c r="AG38" s="181"/>
      <c r="AH38" s="181" t="e">
        <f t="shared" si="6"/>
        <v>#N/A</v>
      </c>
      <c r="AI38" s="410"/>
      <c r="AJ38" s="181"/>
      <c r="AK38" s="181"/>
      <c r="AL38" s="181"/>
      <c r="AM38" s="181" t="e">
        <f t="shared" si="7"/>
        <v>#N/A</v>
      </c>
      <c r="AN38" s="410"/>
      <c r="AO38" s="181"/>
      <c r="AP38" s="181"/>
      <c r="AQ38" s="181"/>
      <c r="AR38" s="181" t="e">
        <f t="shared" si="8"/>
        <v>#N/A</v>
      </c>
      <c r="AS38" s="410"/>
      <c r="AT38" s="181"/>
      <c r="AU38" s="181"/>
      <c r="AV38" s="181"/>
      <c r="AW38" s="181" t="e">
        <f t="shared" si="9"/>
        <v>#N/A</v>
      </c>
      <c r="AX38" s="410"/>
    </row>
    <row r="39" spans="2:50">
      <c r="B39" s="400"/>
      <c r="C39" s="181">
        <v>13</v>
      </c>
      <c r="D39" s="196"/>
      <c r="E39" s="165"/>
      <c r="F39" s="181"/>
      <c r="G39" s="179"/>
      <c r="H39" s="413"/>
      <c r="I39" s="165"/>
      <c r="J39" s="165"/>
      <c r="K39" s="179"/>
      <c r="L39" s="413"/>
      <c r="M39" s="180" t="e">
        <f>RANK(K39, K$27:$K$41)</f>
        <v>#N/A</v>
      </c>
      <c r="N39" s="401"/>
      <c r="O39" s="401"/>
      <c r="P39" s="181"/>
      <c r="Q39" s="181"/>
      <c r="R39" s="181"/>
      <c r="S39" s="181" t="e">
        <f t="shared" si="3"/>
        <v>#N/A</v>
      </c>
      <c r="T39" s="410"/>
      <c r="U39" s="181"/>
      <c r="V39" s="181"/>
      <c r="W39" s="181"/>
      <c r="X39" s="181" t="e">
        <f t="shared" si="4"/>
        <v>#N/A</v>
      </c>
      <c r="Y39" s="410"/>
      <c r="Z39" s="181"/>
      <c r="AA39" s="181"/>
      <c r="AB39" s="181"/>
      <c r="AC39" s="181" t="e">
        <f t="shared" si="5"/>
        <v>#N/A</v>
      </c>
      <c r="AD39" s="410"/>
      <c r="AE39" s="181"/>
      <c r="AF39" s="181"/>
      <c r="AG39" s="181"/>
      <c r="AH39" s="181" t="e">
        <f t="shared" si="6"/>
        <v>#N/A</v>
      </c>
      <c r="AI39" s="410"/>
      <c r="AJ39" s="181"/>
      <c r="AK39" s="181"/>
      <c r="AL39" s="181"/>
      <c r="AM39" s="181" t="e">
        <f t="shared" si="7"/>
        <v>#N/A</v>
      </c>
      <c r="AN39" s="410"/>
      <c r="AO39" s="181"/>
      <c r="AP39" s="181"/>
      <c r="AQ39" s="181"/>
      <c r="AR39" s="181" t="e">
        <f t="shared" si="8"/>
        <v>#N/A</v>
      </c>
      <c r="AS39" s="410"/>
      <c r="AT39" s="181"/>
      <c r="AU39" s="181"/>
      <c r="AV39" s="181"/>
      <c r="AW39" s="181" t="e">
        <f t="shared" si="9"/>
        <v>#N/A</v>
      </c>
      <c r="AX39" s="410"/>
    </row>
    <row r="40" spans="2:50">
      <c r="B40" s="400"/>
      <c r="C40" s="181">
        <v>14</v>
      </c>
      <c r="D40" s="196"/>
      <c r="E40" s="165"/>
      <c r="F40" s="181"/>
      <c r="G40" s="179"/>
      <c r="H40" s="413"/>
      <c r="I40" s="165"/>
      <c r="J40" s="165"/>
      <c r="K40" s="179"/>
      <c r="L40" s="413"/>
      <c r="M40" s="180" t="e">
        <f>RANK(K40, K$27:$K$41)</f>
        <v>#N/A</v>
      </c>
      <c r="N40" s="401"/>
      <c r="O40" s="401"/>
      <c r="P40" s="181"/>
      <c r="Q40" s="181"/>
      <c r="R40" s="181"/>
      <c r="S40" s="181" t="e">
        <f t="shared" si="3"/>
        <v>#N/A</v>
      </c>
      <c r="T40" s="410"/>
      <c r="U40" s="181"/>
      <c r="V40" s="181"/>
      <c r="W40" s="181"/>
      <c r="X40" s="181" t="e">
        <f t="shared" si="4"/>
        <v>#N/A</v>
      </c>
      <c r="Y40" s="410"/>
      <c r="Z40" s="181"/>
      <c r="AA40" s="181"/>
      <c r="AB40" s="181"/>
      <c r="AC40" s="181" t="e">
        <f t="shared" si="5"/>
        <v>#N/A</v>
      </c>
      <c r="AD40" s="410"/>
      <c r="AE40" s="181"/>
      <c r="AF40" s="181"/>
      <c r="AG40" s="181"/>
      <c r="AH40" s="181" t="e">
        <f t="shared" si="6"/>
        <v>#N/A</v>
      </c>
      <c r="AI40" s="410"/>
      <c r="AJ40" s="181"/>
      <c r="AK40" s="181"/>
      <c r="AL40" s="181"/>
      <c r="AM40" s="181" t="e">
        <f t="shared" si="7"/>
        <v>#N/A</v>
      </c>
      <c r="AN40" s="410"/>
      <c r="AO40" s="181"/>
      <c r="AP40" s="181"/>
      <c r="AQ40" s="181"/>
      <c r="AR40" s="181" t="e">
        <f t="shared" si="8"/>
        <v>#N/A</v>
      </c>
      <c r="AS40" s="410"/>
      <c r="AT40" s="181"/>
      <c r="AU40" s="181"/>
      <c r="AV40" s="181"/>
      <c r="AW40" s="181" t="e">
        <f t="shared" si="9"/>
        <v>#N/A</v>
      </c>
      <c r="AX40" s="410"/>
    </row>
    <row r="41" spans="2:50">
      <c r="B41" s="400"/>
      <c r="C41" s="181">
        <v>15</v>
      </c>
      <c r="D41" s="196"/>
      <c r="E41" s="165"/>
      <c r="F41" s="181"/>
      <c r="G41" s="179"/>
      <c r="H41" s="414"/>
      <c r="I41" s="165"/>
      <c r="J41" s="165"/>
      <c r="K41" s="179"/>
      <c r="L41" s="414"/>
      <c r="M41" s="165" t="e">
        <f>RANK(K41, K$27:$K$41)</f>
        <v>#N/A</v>
      </c>
      <c r="N41" s="401"/>
      <c r="O41" s="401"/>
      <c r="P41" s="181"/>
      <c r="Q41" s="181"/>
      <c r="R41" s="181"/>
      <c r="S41" s="181" t="e">
        <f t="shared" si="3"/>
        <v>#N/A</v>
      </c>
      <c r="T41" s="411"/>
      <c r="U41" s="181"/>
      <c r="V41" s="181"/>
      <c r="W41" s="181"/>
      <c r="X41" s="181" t="e">
        <f t="shared" si="4"/>
        <v>#N/A</v>
      </c>
      <c r="Y41" s="411"/>
      <c r="Z41" s="181"/>
      <c r="AA41" s="181"/>
      <c r="AB41" s="181"/>
      <c r="AC41" s="181" t="e">
        <f t="shared" si="5"/>
        <v>#N/A</v>
      </c>
      <c r="AD41" s="411"/>
      <c r="AE41" s="181"/>
      <c r="AF41" s="181"/>
      <c r="AG41" s="181"/>
      <c r="AH41" s="181" t="e">
        <f t="shared" si="6"/>
        <v>#N/A</v>
      </c>
      <c r="AI41" s="411"/>
      <c r="AJ41" s="181"/>
      <c r="AK41" s="181"/>
      <c r="AL41" s="181"/>
      <c r="AM41" s="181" t="e">
        <f t="shared" si="7"/>
        <v>#N/A</v>
      </c>
      <c r="AN41" s="411"/>
      <c r="AO41" s="181"/>
      <c r="AP41" s="181"/>
      <c r="AQ41" s="181"/>
      <c r="AR41" s="181" t="e">
        <f t="shared" si="8"/>
        <v>#N/A</v>
      </c>
      <c r="AS41" s="411"/>
      <c r="AT41" s="181"/>
      <c r="AU41" s="181"/>
      <c r="AV41" s="181"/>
      <c r="AW41" s="181" t="e">
        <f t="shared" si="9"/>
        <v>#N/A</v>
      </c>
      <c r="AX41" s="411"/>
    </row>
    <row r="42" spans="2:50" ht="15.75">
      <c r="B42" s="424" t="s">
        <v>187</v>
      </c>
      <c r="C42" s="425"/>
      <c r="D42" s="425"/>
      <c r="E42" s="425"/>
      <c r="F42" s="425"/>
      <c r="G42" s="425"/>
      <c r="H42" s="425"/>
      <c r="I42" s="185"/>
      <c r="J42" s="182"/>
      <c r="K42" s="185"/>
      <c r="L42" s="185"/>
      <c r="M42" s="177"/>
      <c r="N42" s="397" t="s">
        <v>188</v>
      </c>
      <c r="O42" s="397" t="s">
        <v>135</v>
      </c>
      <c r="P42" s="399">
        <f>P22+7</f>
        <v>45909</v>
      </c>
      <c r="Q42" s="400"/>
      <c r="R42" s="400"/>
      <c r="S42" s="400"/>
      <c r="T42" s="400"/>
      <c r="U42" s="426">
        <f>P42+1</f>
        <v>45910</v>
      </c>
      <c r="V42" s="427"/>
      <c r="W42" s="427"/>
      <c r="X42" s="427"/>
      <c r="Y42" s="428"/>
      <c r="Z42" s="426">
        <f>U42+1</f>
        <v>45911</v>
      </c>
      <c r="AA42" s="427"/>
      <c r="AB42" s="427"/>
      <c r="AC42" s="427"/>
      <c r="AD42" s="428"/>
      <c r="AE42" s="426">
        <f>Z42+1</f>
        <v>45912</v>
      </c>
      <c r="AF42" s="427"/>
      <c r="AG42" s="427"/>
      <c r="AH42" s="427"/>
      <c r="AI42" s="428"/>
      <c r="AJ42" s="426">
        <f>AE42+1</f>
        <v>45913</v>
      </c>
      <c r="AK42" s="427"/>
      <c r="AL42" s="427"/>
      <c r="AM42" s="427"/>
      <c r="AN42" s="428"/>
      <c r="AO42" s="426">
        <f>AJ42+1</f>
        <v>45914</v>
      </c>
      <c r="AP42" s="427"/>
      <c r="AQ42" s="427"/>
      <c r="AR42" s="427"/>
      <c r="AS42" s="428"/>
      <c r="AT42" s="426">
        <f>AO42+1</f>
        <v>45915</v>
      </c>
      <c r="AU42" s="427"/>
      <c r="AV42" s="427"/>
      <c r="AW42" s="427"/>
      <c r="AX42" s="428"/>
    </row>
    <row r="43" spans="2:50" ht="15.75">
      <c r="B43" s="396"/>
      <c r="C43" s="396"/>
      <c r="D43" s="396"/>
      <c r="E43" s="396"/>
      <c r="F43" s="396"/>
      <c r="G43" s="396"/>
      <c r="H43" s="396"/>
      <c r="I43" s="183"/>
      <c r="J43" s="183"/>
      <c r="K43" s="183"/>
      <c r="L43" s="183"/>
      <c r="M43" s="178"/>
      <c r="N43" s="398"/>
      <c r="O43" s="398"/>
      <c r="P43" s="399" t="s">
        <v>223</v>
      </c>
      <c r="Q43" s="400"/>
      <c r="R43" s="400"/>
      <c r="S43" s="400"/>
      <c r="T43" s="400"/>
      <c r="U43" s="399" t="s">
        <v>224</v>
      </c>
      <c r="V43" s="400"/>
      <c r="W43" s="400"/>
      <c r="X43" s="400"/>
      <c r="Y43" s="400"/>
      <c r="Z43" s="399" t="s">
        <v>225</v>
      </c>
      <c r="AA43" s="400"/>
      <c r="AB43" s="400"/>
      <c r="AC43" s="400"/>
      <c r="AD43" s="400"/>
      <c r="AE43" s="399" t="s">
        <v>226</v>
      </c>
      <c r="AF43" s="400"/>
      <c r="AG43" s="400"/>
      <c r="AH43" s="400"/>
      <c r="AI43" s="400"/>
      <c r="AJ43" s="399" t="s">
        <v>227</v>
      </c>
      <c r="AK43" s="400"/>
      <c r="AL43" s="400"/>
      <c r="AM43" s="400"/>
      <c r="AN43" s="400"/>
      <c r="AO43" s="399" t="s">
        <v>142</v>
      </c>
      <c r="AP43" s="400"/>
      <c r="AQ43" s="400"/>
      <c r="AR43" s="400"/>
      <c r="AS43" s="400"/>
      <c r="AT43" s="399" t="s">
        <v>189</v>
      </c>
      <c r="AU43" s="400"/>
      <c r="AV43" s="400"/>
      <c r="AW43" s="400"/>
      <c r="AX43" s="400"/>
    </row>
    <row r="44" spans="2:50">
      <c r="B44" s="401" t="s">
        <v>190</v>
      </c>
      <c r="C44" s="401" t="s">
        <v>191</v>
      </c>
      <c r="D44" s="401"/>
      <c r="E44" s="401" t="s">
        <v>192</v>
      </c>
      <c r="F44" s="401"/>
      <c r="G44" s="401"/>
      <c r="H44" s="402" t="s">
        <v>193</v>
      </c>
      <c r="I44" s="401" t="s">
        <v>194</v>
      </c>
      <c r="J44" s="401"/>
      <c r="K44" s="401"/>
      <c r="L44" s="402" t="s">
        <v>193</v>
      </c>
      <c r="M44" s="397" t="s">
        <v>195</v>
      </c>
      <c r="N44" s="401"/>
      <c r="O44" s="401" t="s">
        <v>196</v>
      </c>
      <c r="P44" s="406" t="s">
        <v>197</v>
      </c>
      <c r="Q44" s="407"/>
      <c r="R44" s="407"/>
      <c r="S44" s="408"/>
      <c r="T44" s="401" t="s">
        <v>193</v>
      </c>
      <c r="U44" s="406" t="s">
        <v>197</v>
      </c>
      <c r="V44" s="407"/>
      <c r="W44" s="407"/>
      <c r="X44" s="408"/>
      <c r="Y44" s="401" t="s">
        <v>193</v>
      </c>
      <c r="Z44" s="406" t="s">
        <v>197</v>
      </c>
      <c r="AA44" s="407"/>
      <c r="AB44" s="407"/>
      <c r="AC44" s="408"/>
      <c r="AD44" s="401" t="s">
        <v>193</v>
      </c>
      <c r="AE44" s="406" t="s">
        <v>197</v>
      </c>
      <c r="AF44" s="407"/>
      <c r="AG44" s="407"/>
      <c r="AH44" s="408"/>
      <c r="AI44" s="401" t="s">
        <v>193</v>
      </c>
      <c r="AJ44" s="406" t="s">
        <v>197</v>
      </c>
      <c r="AK44" s="407"/>
      <c r="AL44" s="407"/>
      <c r="AM44" s="408"/>
      <c r="AN44" s="401" t="s">
        <v>193</v>
      </c>
      <c r="AO44" s="406" t="s">
        <v>197</v>
      </c>
      <c r="AP44" s="407"/>
      <c r="AQ44" s="407"/>
      <c r="AR44" s="408"/>
      <c r="AS44" s="401" t="s">
        <v>193</v>
      </c>
      <c r="AT44" s="406" t="s">
        <v>197</v>
      </c>
      <c r="AU44" s="407"/>
      <c r="AV44" s="407"/>
      <c r="AW44" s="408"/>
      <c r="AX44" s="401" t="s">
        <v>193</v>
      </c>
    </row>
    <row r="45" spans="2:50">
      <c r="B45" s="401"/>
      <c r="C45" s="401"/>
      <c r="D45" s="401"/>
      <c r="E45" s="401" t="s">
        <v>198</v>
      </c>
      <c r="F45" s="401"/>
      <c r="G45" s="401"/>
      <c r="H45" s="403"/>
      <c r="I45" s="401" t="s">
        <v>198</v>
      </c>
      <c r="J45" s="401"/>
      <c r="K45" s="401"/>
      <c r="L45" s="403"/>
      <c r="M45" s="405"/>
      <c r="N45" s="401"/>
      <c r="O45" s="401"/>
      <c r="P45" s="406" t="s">
        <v>199</v>
      </c>
      <c r="Q45" s="407"/>
      <c r="R45" s="407"/>
      <c r="S45" s="408"/>
      <c r="T45" s="401"/>
      <c r="U45" s="406" t="s">
        <v>199</v>
      </c>
      <c r="V45" s="407"/>
      <c r="W45" s="407"/>
      <c r="X45" s="408"/>
      <c r="Y45" s="401"/>
      <c r="Z45" s="406" t="s">
        <v>199</v>
      </c>
      <c r="AA45" s="407"/>
      <c r="AB45" s="407"/>
      <c r="AC45" s="408"/>
      <c r="AD45" s="401"/>
      <c r="AE45" s="406" t="s">
        <v>199</v>
      </c>
      <c r="AF45" s="407"/>
      <c r="AG45" s="407"/>
      <c r="AH45" s="408"/>
      <c r="AI45" s="401"/>
      <c r="AJ45" s="406" t="s">
        <v>199</v>
      </c>
      <c r="AK45" s="407"/>
      <c r="AL45" s="407"/>
      <c r="AM45" s="408"/>
      <c r="AN45" s="401"/>
      <c r="AO45" s="406" t="s">
        <v>199</v>
      </c>
      <c r="AP45" s="407"/>
      <c r="AQ45" s="407"/>
      <c r="AR45" s="408"/>
      <c r="AS45" s="401"/>
      <c r="AT45" s="406" t="s">
        <v>199</v>
      </c>
      <c r="AU45" s="407"/>
      <c r="AV45" s="407"/>
      <c r="AW45" s="408"/>
      <c r="AX45" s="401"/>
    </row>
    <row r="46" spans="2:50">
      <c r="B46" s="401"/>
      <c r="C46" s="401"/>
      <c r="D46" s="401"/>
      <c r="E46" s="234" t="s">
        <v>200</v>
      </c>
      <c r="F46" s="234" t="s">
        <v>201</v>
      </c>
      <c r="G46" s="234" t="s">
        <v>202</v>
      </c>
      <c r="H46" s="404"/>
      <c r="I46" s="234" t="s">
        <v>200</v>
      </c>
      <c r="J46" s="234" t="s">
        <v>201</v>
      </c>
      <c r="K46" s="234" t="s">
        <v>202</v>
      </c>
      <c r="L46" s="404"/>
      <c r="M46" s="398"/>
      <c r="N46" s="401"/>
      <c r="O46" s="401"/>
      <c r="P46" s="234" t="s">
        <v>200</v>
      </c>
      <c r="Q46" s="234" t="s">
        <v>201</v>
      </c>
      <c r="R46" s="234" t="s">
        <v>202</v>
      </c>
      <c r="S46" s="234" t="s">
        <v>195</v>
      </c>
      <c r="T46" s="401"/>
      <c r="U46" s="234" t="s">
        <v>200</v>
      </c>
      <c r="V46" s="234" t="s">
        <v>201</v>
      </c>
      <c r="W46" s="234" t="s">
        <v>202</v>
      </c>
      <c r="X46" s="234" t="s">
        <v>195</v>
      </c>
      <c r="Y46" s="401"/>
      <c r="Z46" s="234" t="s">
        <v>200</v>
      </c>
      <c r="AA46" s="234" t="s">
        <v>201</v>
      </c>
      <c r="AB46" s="234" t="s">
        <v>202</v>
      </c>
      <c r="AC46" s="234" t="s">
        <v>195</v>
      </c>
      <c r="AD46" s="401"/>
      <c r="AE46" s="234" t="s">
        <v>200</v>
      </c>
      <c r="AF46" s="234" t="s">
        <v>201</v>
      </c>
      <c r="AG46" s="234" t="s">
        <v>202</v>
      </c>
      <c r="AH46" s="234" t="s">
        <v>195</v>
      </c>
      <c r="AI46" s="401"/>
      <c r="AJ46" s="234" t="s">
        <v>200</v>
      </c>
      <c r="AK46" s="234" t="s">
        <v>201</v>
      </c>
      <c r="AL46" s="234" t="s">
        <v>202</v>
      </c>
      <c r="AM46" s="234" t="s">
        <v>195</v>
      </c>
      <c r="AN46" s="401"/>
      <c r="AO46" s="234" t="s">
        <v>200</v>
      </c>
      <c r="AP46" s="234" t="s">
        <v>201</v>
      </c>
      <c r="AQ46" s="234" t="s">
        <v>202</v>
      </c>
      <c r="AR46" s="234" t="s">
        <v>195</v>
      </c>
      <c r="AS46" s="401"/>
      <c r="AT46" s="234" t="s">
        <v>200</v>
      </c>
      <c r="AU46" s="234" t="s">
        <v>201</v>
      </c>
      <c r="AV46" s="234" t="s">
        <v>202</v>
      </c>
      <c r="AW46" s="234" t="s">
        <v>195</v>
      </c>
      <c r="AX46" s="401"/>
    </row>
    <row r="47" spans="2:50">
      <c r="B47" s="401" t="s">
        <v>176</v>
      </c>
      <c r="C47" s="181">
        <v>1</v>
      </c>
      <c r="D47" s="196" t="s">
        <v>315</v>
      </c>
      <c r="E47" s="165">
        <v>7</v>
      </c>
      <c r="F47" s="181">
        <v>1500</v>
      </c>
      <c r="G47" s="179">
        <v>214.28571428571428</v>
      </c>
      <c r="H47" s="412">
        <f>AVERAGE(G47:G61)</f>
        <v>136.71428571428572</v>
      </c>
      <c r="I47" s="165">
        <f t="shared" ref="I47:K51" si="10">AVERAGE(P47,U47,Z47,AE47,AJ47,AO47,AT47)</f>
        <v>7</v>
      </c>
      <c r="J47" s="165">
        <f t="shared" si="10"/>
        <v>1291.8157878097895</v>
      </c>
      <c r="K47" s="179">
        <f t="shared" si="10"/>
        <v>184.5451125442556</v>
      </c>
      <c r="L47" s="412">
        <f>IFERROR(AVERAGE(K47:K61),"-")</f>
        <v>119.41587210258157</v>
      </c>
      <c r="M47" s="180">
        <f>RANK(K47, K$47:$K$61)</f>
        <v>2</v>
      </c>
      <c r="N47" s="401"/>
      <c r="O47" s="401"/>
      <c r="P47" s="181">
        <v>7</v>
      </c>
      <c r="Q47" s="165">
        <v>1297.6595744680849</v>
      </c>
      <c r="R47" s="179">
        <v>185.37993920972642</v>
      </c>
      <c r="S47" s="181">
        <f>RANK(R47, R$47:R$61)</f>
        <v>1</v>
      </c>
      <c r="T47" s="409">
        <f>AVERAGE(R47:R61)</f>
        <v>119.68491881571939</v>
      </c>
      <c r="U47" s="181">
        <v>7</v>
      </c>
      <c r="V47" s="165">
        <v>1295.6043956043957</v>
      </c>
      <c r="W47" s="179">
        <v>185.08634222919937</v>
      </c>
      <c r="X47" s="181">
        <f>RANK(W47, W$47:W$61)</f>
        <v>2</v>
      </c>
      <c r="Y47" s="409">
        <f>AVERAGE(W47:W61)</f>
        <v>119.48777323795824</v>
      </c>
      <c r="Z47" s="181">
        <v>7</v>
      </c>
      <c r="AA47" s="165">
        <v>1289.6703296703295</v>
      </c>
      <c r="AB47" s="179">
        <v>184.23861852433279</v>
      </c>
      <c r="AC47" s="181">
        <f>RANK(AB47, AB$47:AB$61)</f>
        <v>2</v>
      </c>
      <c r="AD47" s="409">
        <f>AVERAGE(AB47:AB61)</f>
        <v>119.92717051646143</v>
      </c>
      <c r="AE47" s="181">
        <v>7</v>
      </c>
      <c r="AF47" s="165">
        <v>1288.6046511627906</v>
      </c>
      <c r="AG47" s="179">
        <v>184.08637873754151</v>
      </c>
      <c r="AH47" s="181">
        <f>RANK(AG47, AG$47:AG$61)</f>
        <v>2</v>
      </c>
      <c r="AI47" s="409">
        <f>AVERAGE(AG47:AG61)</f>
        <v>119.43337388491932</v>
      </c>
      <c r="AJ47" s="181">
        <v>7</v>
      </c>
      <c r="AK47" s="165">
        <v>1292.0930232558137</v>
      </c>
      <c r="AL47" s="179">
        <v>184.58471760797337</v>
      </c>
      <c r="AM47" s="181">
        <f>RANK(AL47, AL$47:AL$61)</f>
        <v>2</v>
      </c>
      <c r="AN47" s="409">
        <f>AVERAGE(AL47:AL61)</f>
        <v>119.45377979833302</v>
      </c>
      <c r="AO47" s="181">
        <v>7</v>
      </c>
      <c r="AP47" s="165">
        <v>1290.30303030303</v>
      </c>
      <c r="AQ47" s="179">
        <v>184.32900432900428</v>
      </c>
      <c r="AR47" s="181">
        <f>RANK(AQ47, AQ$47:AQ$61)</f>
        <v>2</v>
      </c>
      <c r="AS47" s="409">
        <f>AVERAGE(AQ47:AQ61)</f>
        <v>119.61803613548663</v>
      </c>
      <c r="AT47" s="181">
        <v>7</v>
      </c>
      <c r="AU47" s="165">
        <v>1288.7755102040815</v>
      </c>
      <c r="AV47" s="179">
        <v>184.11078717201164</v>
      </c>
      <c r="AW47" s="181">
        <f>RANK(AV47, AV$47:AV$61)</f>
        <v>2</v>
      </c>
      <c r="AX47" s="409">
        <f>AVERAGE(AV47:AV61)</f>
        <v>118.30605232919307</v>
      </c>
    </row>
    <row r="48" spans="2:50">
      <c r="B48" s="400"/>
      <c r="C48" s="181">
        <v>2</v>
      </c>
      <c r="D48" s="196" t="s">
        <v>316</v>
      </c>
      <c r="E48" s="165">
        <v>15</v>
      </c>
      <c r="F48" s="181">
        <v>1500</v>
      </c>
      <c r="G48" s="179">
        <v>100</v>
      </c>
      <c r="H48" s="413"/>
      <c r="I48" s="165">
        <f t="shared" si="10"/>
        <v>15.142857142857142</v>
      </c>
      <c r="J48" s="165">
        <f t="shared" si="10"/>
        <v>1284.6397769146149</v>
      </c>
      <c r="K48" s="179">
        <f t="shared" si="10"/>
        <v>84.877606201602489</v>
      </c>
      <c r="L48" s="413"/>
      <c r="M48" s="180">
        <f>RANK(K48, K$47:$K$61)</f>
        <v>3</v>
      </c>
      <c r="N48" s="401"/>
      <c r="O48" s="401"/>
      <c r="P48" s="181">
        <v>15</v>
      </c>
      <c r="Q48" s="165">
        <v>1284.6575342465744</v>
      </c>
      <c r="R48" s="179">
        <v>85.643835616438295</v>
      </c>
      <c r="S48" s="181">
        <f t="shared" ref="S48:S61" si="11">RANK(R48, R$47:R$61)</f>
        <v>3</v>
      </c>
      <c r="T48" s="410"/>
      <c r="U48" s="181">
        <v>15</v>
      </c>
      <c r="V48" s="165">
        <v>1256.9491525423741</v>
      </c>
      <c r="W48" s="179">
        <v>83.796610169491615</v>
      </c>
      <c r="X48" s="181">
        <f t="shared" ref="X48:X61" si="12">RANK(W48, W$47:W$61)</f>
        <v>3</v>
      </c>
      <c r="Y48" s="410"/>
      <c r="Z48" s="181">
        <v>15</v>
      </c>
      <c r="AA48" s="165">
        <v>1311.1111111111111</v>
      </c>
      <c r="AB48" s="179">
        <v>87.407407407407405</v>
      </c>
      <c r="AC48" s="181">
        <f t="shared" ref="AC48:AC61" si="13">RANK(AB48, AB$47:AB$61)</f>
        <v>3</v>
      </c>
      <c r="AD48" s="410"/>
      <c r="AE48" s="181">
        <v>15</v>
      </c>
      <c r="AF48" s="165">
        <v>1276.062992125984</v>
      </c>
      <c r="AG48" s="179">
        <v>85.070866141732267</v>
      </c>
      <c r="AH48" s="181">
        <f t="shared" ref="AH48:AH61" si="14">RANK(AG48, AG$47:AG$61)</f>
        <v>3</v>
      </c>
      <c r="AI48" s="410"/>
      <c r="AJ48" s="181">
        <v>15</v>
      </c>
      <c r="AK48" s="165">
        <v>1269.4736842105265</v>
      </c>
      <c r="AL48" s="179">
        <v>84.631578947368425</v>
      </c>
      <c r="AM48" s="181">
        <f t="shared" ref="AM48:AM61" si="15">RANK(AL48, AL$47:AL$61)</f>
        <v>3</v>
      </c>
      <c r="AN48" s="410"/>
      <c r="AO48" s="181">
        <v>15</v>
      </c>
      <c r="AP48" s="165">
        <v>1308.9473684210532</v>
      </c>
      <c r="AQ48" s="179">
        <v>87.263157894736878</v>
      </c>
      <c r="AR48" s="181">
        <f t="shared" ref="AR48:AR61" si="16">RANK(AQ48, AQ$47:AQ$61)</f>
        <v>3</v>
      </c>
      <c r="AS48" s="410"/>
      <c r="AT48" s="181">
        <v>16</v>
      </c>
      <c r="AU48" s="165">
        <v>1285.2765957446809</v>
      </c>
      <c r="AV48" s="179">
        <v>80.329787234042556</v>
      </c>
      <c r="AW48" s="181">
        <f t="shared" ref="AW48:AW61" si="17">RANK(AV48, AV$47:AV$61)</f>
        <v>3</v>
      </c>
      <c r="AX48" s="410"/>
    </row>
    <row r="49" spans="2:50">
      <c r="B49" s="400"/>
      <c r="C49" s="181">
        <v>3</v>
      </c>
      <c r="D49" s="196" t="s">
        <v>317</v>
      </c>
      <c r="E49" s="165">
        <v>20</v>
      </c>
      <c r="F49" s="181">
        <v>1500</v>
      </c>
      <c r="G49" s="179">
        <v>75</v>
      </c>
      <c r="H49" s="413"/>
      <c r="I49" s="165">
        <f t="shared" si="10"/>
        <v>18</v>
      </c>
      <c r="J49" s="165">
        <f t="shared" si="10"/>
        <v>1275.9162199617551</v>
      </c>
      <c r="K49" s="179">
        <f t="shared" si="10"/>
        <v>70.884234442319737</v>
      </c>
      <c r="L49" s="413"/>
      <c r="M49" s="180">
        <f>RANK(K49, K$47:$K$61)</f>
        <v>5</v>
      </c>
      <c r="N49" s="401"/>
      <c r="O49" s="401"/>
      <c r="P49" s="181">
        <v>18</v>
      </c>
      <c r="Q49" s="165">
        <v>1256.1290322580644</v>
      </c>
      <c r="R49" s="179">
        <v>69.784946236559136</v>
      </c>
      <c r="S49" s="181">
        <f t="shared" si="11"/>
        <v>5</v>
      </c>
      <c r="T49" s="410"/>
      <c r="U49" s="181">
        <v>18</v>
      </c>
      <c r="V49" s="165">
        <v>1265.5263157894733</v>
      </c>
      <c r="W49" s="179">
        <v>70.307017543859629</v>
      </c>
      <c r="X49" s="181">
        <f t="shared" si="12"/>
        <v>5</v>
      </c>
      <c r="Y49" s="410"/>
      <c r="Z49" s="181">
        <v>18</v>
      </c>
      <c r="AA49" s="165">
        <v>1276.5957446808513</v>
      </c>
      <c r="AB49" s="179">
        <v>70.921985815602852</v>
      </c>
      <c r="AC49" s="181">
        <f t="shared" si="13"/>
        <v>5</v>
      </c>
      <c r="AD49" s="410"/>
      <c r="AE49" s="181">
        <v>18</v>
      </c>
      <c r="AF49" s="165">
        <v>1265.042016806723</v>
      </c>
      <c r="AG49" s="179">
        <v>70.28011204481794</v>
      </c>
      <c r="AH49" s="181">
        <f t="shared" si="14"/>
        <v>5</v>
      </c>
      <c r="AI49" s="410"/>
      <c r="AJ49" s="181">
        <v>18</v>
      </c>
      <c r="AK49" s="165">
        <v>1309.0000000000005</v>
      </c>
      <c r="AL49" s="179">
        <v>72.722222222222243</v>
      </c>
      <c r="AM49" s="181">
        <f t="shared" si="15"/>
        <v>4</v>
      </c>
      <c r="AN49" s="410"/>
      <c r="AO49" s="181">
        <v>18</v>
      </c>
      <c r="AP49" s="165">
        <v>1299.8657718120803</v>
      </c>
      <c r="AQ49" s="179">
        <v>72.21476510067113</v>
      </c>
      <c r="AR49" s="181">
        <f t="shared" si="16"/>
        <v>4</v>
      </c>
      <c r="AS49" s="410"/>
      <c r="AT49" s="181">
        <v>18</v>
      </c>
      <c r="AU49" s="165">
        <v>1259.2546583850931</v>
      </c>
      <c r="AV49" s="179">
        <v>69.958592132505174</v>
      </c>
      <c r="AW49" s="181">
        <f t="shared" si="17"/>
        <v>5</v>
      </c>
      <c r="AX49" s="410"/>
    </row>
    <row r="50" spans="2:50">
      <c r="B50" s="400"/>
      <c r="C50" s="181">
        <v>4</v>
      </c>
      <c r="D50" s="196" t="s">
        <v>319</v>
      </c>
      <c r="E50" s="165">
        <v>18</v>
      </c>
      <c r="F50" s="181">
        <v>1440</v>
      </c>
      <c r="G50" s="179">
        <v>80</v>
      </c>
      <c r="H50" s="413"/>
      <c r="I50" s="165">
        <f t="shared" si="10"/>
        <v>18</v>
      </c>
      <c r="J50" s="165">
        <f t="shared" si="10"/>
        <v>1284.7471127986075</v>
      </c>
      <c r="K50" s="179">
        <f t="shared" si="10"/>
        <v>71.374839599922637</v>
      </c>
      <c r="L50" s="413"/>
      <c r="M50" s="180">
        <f>RANK(K50, K$47:$K$61)</f>
        <v>4</v>
      </c>
      <c r="N50" s="401"/>
      <c r="O50" s="401"/>
      <c r="P50" s="181">
        <v>18</v>
      </c>
      <c r="Q50" s="165">
        <v>1301.4285714285709</v>
      </c>
      <c r="R50" s="179">
        <v>72.301587301587276</v>
      </c>
      <c r="S50" s="181">
        <f t="shared" si="11"/>
        <v>4</v>
      </c>
      <c r="T50" s="410"/>
      <c r="U50" s="181">
        <v>18</v>
      </c>
      <c r="V50" s="165">
        <v>1315.4999999999995</v>
      </c>
      <c r="W50" s="179">
        <v>73.083333333333314</v>
      </c>
      <c r="X50" s="181">
        <f t="shared" si="12"/>
        <v>4</v>
      </c>
      <c r="Y50" s="410"/>
      <c r="Z50" s="181">
        <v>18</v>
      </c>
      <c r="AA50" s="165">
        <v>1290</v>
      </c>
      <c r="AB50" s="179">
        <v>71.666666666666671</v>
      </c>
      <c r="AC50" s="181">
        <f t="shared" si="13"/>
        <v>4</v>
      </c>
      <c r="AD50" s="410"/>
      <c r="AE50" s="181">
        <v>18</v>
      </c>
      <c r="AF50" s="165">
        <v>1296.6666666666656</v>
      </c>
      <c r="AG50" s="179">
        <v>72.037037037036981</v>
      </c>
      <c r="AH50" s="181">
        <f t="shared" si="14"/>
        <v>4</v>
      </c>
      <c r="AI50" s="410"/>
      <c r="AJ50" s="181">
        <v>18</v>
      </c>
      <c r="AK50" s="165">
        <v>1254.2857142857138</v>
      </c>
      <c r="AL50" s="179">
        <v>69.682539682539655</v>
      </c>
      <c r="AM50" s="181">
        <f t="shared" si="15"/>
        <v>5</v>
      </c>
      <c r="AN50" s="410"/>
      <c r="AO50" s="181">
        <v>18</v>
      </c>
      <c r="AP50" s="165">
        <v>1241.8604651162789</v>
      </c>
      <c r="AQ50" s="179">
        <v>68.992248062015491</v>
      </c>
      <c r="AR50" s="181">
        <f t="shared" si="16"/>
        <v>5</v>
      </c>
      <c r="AS50" s="410"/>
      <c r="AT50" s="181">
        <v>18</v>
      </c>
      <c r="AU50" s="165">
        <v>1293.4883720930231</v>
      </c>
      <c r="AV50" s="179">
        <v>71.860465116279059</v>
      </c>
      <c r="AW50" s="181">
        <f t="shared" si="17"/>
        <v>4</v>
      </c>
      <c r="AX50" s="410"/>
    </row>
    <row r="51" spans="2:50">
      <c r="B51" s="400"/>
      <c r="C51" s="181">
        <v>5</v>
      </c>
      <c r="D51" s="196" t="s">
        <v>320</v>
      </c>
      <c r="E51" s="165">
        <v>7</v>
      </c>
      <c r="F51" s="181">
        <v>1500</v>
      </c>
      <c r="G51" s="179">
        <v>214.28571428571428</v>
      </c>
      <c r="H51" s="413"/>
      <c r="I51" s="165">
        <f t="shared" si="10"/>
        <v>7</v>
      </c>
      <c r="J51" s="165">
        <f t="shared" si="10"/>
        <v>1297.782974073652</v>
      </c>
      <c r="K51" s="179">
        <f t="shared" si="10"/>
        <v>185.3975677248074</v>
      </c>
      <c r="L51" s="413"/>
      <c r="M51" s="180">
        <f>RANK(K51, K$47:$K$61)</f>
        <v>1</v>
      </c>
      <c r="N51" s="401"/>
      <c r="O51" s="401"/>
      <c r="P51" s="181">
        <v>7</v>
      </c>
      <c r="Q51" s="165">
        <v>1297.2</v>
      </c>
      <c r="R51" s="179">
        <v>185.31428571428572</v>
      </c>
      <c r="S51" s="181">
        <f t="shared" si="11"/>
        <v>2</v>
      </c>
      <c r="T51" s="410"/>
      <c r="U51" s="181">
        <v>7</v>
      </c>
      <c r="V51" s="165">
        <v>1296.1589403973508</v>
      </c>
      <c r="W51" s="179">
        <v>185.16556291390725</v>
      </c>
      <c r="X51" s="181">
        <f t="shared" si="12"/>
        <v>1</v>
      </c>
      <c r="Y51" s="410"/>
      <c r="Z51" s="181">
        <v>7</v>
      </c>
      <c r="AA51" s="165">
        <v>1297.808219178082</v>
      </c>
      <c r="AB51" s="179">
        <v>185.40117416829744</v>
      </c>
      <c r="AC51" s="181">
        <f t="shared" si="13"/>
        <v>1</v>
      </c>
      <c r="AD51" s="410"/>
      <c r="AE51" s="181">
        <v>7</v>
      </c>
      <c r="AF51" s="165">
        <v>1299.8473282442746</v>
      </c>
      <c r="AG51" s="179">
        <v>185.69247546346782</v>
      </c>
      <c r="AH51" s="181">
        <f t="shared" si="14"/>
        <v>1</v>
      </c>
      <c r="AI51" s="410"/>
      <c r="AJ51" s="181">
        <v>7</v>
      </c>
      <c r="AK51" s="165">
        <v>1299.5348837209299</v>
      </c>
      <c r="AL51" s="179">
        <v>185.6478405315614</v>
      </c>
      <c r="AM51" s="181">
        <f t="shared" si="15"/>
        <v>1</v>
      </c>
      <c r="AN51" s="410"/>
      <c r="AO51" s="181">
        <v>7</v>
      </c>
      <c r="AP51" s="165">
        <v>1297.0370370370372</v>
      </c>
      <c r="AQ51" s="179">
        <v>185.29100529100532</v>
      </c>
      <c r="AR51" s="181">
        <f t="shared" si="16"/>
        <v>1</v>
      </c>
      <c r="AS51" s="410"/>
      <c r="AT51" s="181">
        <v>7</v>
      </c>
      <c r="AU51" s="165">
        <v>1296.8944099378882</v>
      </c>
      <c r="AV51" s="179">
        <v>185.2706299911269</v>
      </c>
      <c r="AW51" s="181">
        <f t="shared" si="17"/>
        <v>1</v>
      </c>
      <c r="AX51" s="410"/>
    </row>
    <row r="52" spans="2:50">
      <c r="B52" s="400"/>
      <c r="C52" s="181">
        <v>6</v>
      </c>
      <c r="D52" s="196"/>
      <c r="E52" s="165"/>
      <c r="F52" s="181"/>
      <c r="G52" s="179"/>
      <c r="H52" s="413"/>
      <c r="I52" s="165"/>
      <c r="J52" s="165"/>
      <c r="K52" s="179"/>
      <c r="L52" s="413"/>
      <c r="M52" s="180" t="e">
        <f>RANK(K52, K$47:$K$61)</f>
        <v>#N/A</v>
      </c>
      <c r="N52" s="401"/>
      <c r="O52" s="401"/>
      <c r="P52" s="181" t="str">
        <f>'[1]（５-9）品群別人時生產性(微波小吃)'!P52</f>
        <v/>
      </c>
      <c r="Q52" s="181" t="str">
        <f>'[1]（５-9）品群別人時生產性(微波小吃)'!Q52</f>
        <v/>
      </c>
      <c r="R52" s="181" t="str">
        <f>'[1]（５-9）品群別人時生產性(微波小吃)'!R52</f>
        <v/>
      </c>
      <c r="S52" s="181" t="e">
        <f t="shared" si="11"/>
        <v>#VALUE!</v>
      </c>
      <c r="T52" s="410"/>
      <c r="U52" s="181"/>
      <c r="V52" s="181"/>
      <c r="W52" s="181"/>
      <c r="X52" s="181" t="e">
        <f t="shared" si="12"/>
        <v>#N/A</v>
      </c>
      <c r="Y52" s="410"/>
      <c r="Z52" s="181"/>
      <c r="AA52" s="181"/>
      <c r="AB52" s="181"/>
      <c r="AC52" s="181" t="e">
        <f t="shared" si="13"/>
        <v>#N/A</v>
      </c>
      <c r="AD52" s="410"/>
      <c r="AE52" s="181"/>
      <c r="AF52" s="181"/>
      <c r="AG52" s="181"/>
      <c r="AH52" s="181" t="e">
        <f t="shared" si="14"/>
        <v>#N/A</v>
      </c>
      <c r="AI52" s="410"/>
      <c r="AJ52" s="181"/>
      <c r="AK52" s="181"/>
      <c r="AL52" s="181"/>
      <c r="AM52" s="181" t="e">
        <f t="shared" si="15"/>
        <v>#N/A</v>
      </c>
      <c r="AN52" s="410"/>
      <c r="AO52" s="181"/>
      <c r="AP52" s="181"/>
      <c r="AQ52" s="181"/>
      <c r="AR52" s="181" t="e">
        <f t="shared" si="16"/>
        <v>#N/A</v>
      </c>
      <c r="AS52" s="410"/>
      <c r="AT52" s="181"/>
      <c r="AU52" s="181"/>
      <c r="AV52" s="181"/>
      <c r="AW52" s="181" t="e">
        <f t="shared" si="17"/>
        <v>#N/A</v>
      </c>
      <c r="AX52" s="410"/>
    </row>
    <row r="53" spans="2:50">
      <c r="B53" s="400"/>
      <c r="C53" s="181">
        <v>7</v>
      </c>
      <c r="D53" s="196"/>
      <c r="E53" s="165"/>
      <c r="F53" s="181"/>
      <c r="G53" s="179"/>
      <c r="H53" s="413"/>
      <c r="I53" s="165"/>
      <c r="J53" s="165"/>
      <c r="K53" s="179"/>
      <c r="L53" s="413"/>
      <c r="M53" s="180" t="e">
        <f>RANK(K53, K$47:$K$61)</f>
        <v>#N/A</v>
      </c>
      <c r="N53" s="401"/>
      <c r="O53" s="401"/>
      <c r="P53" s="181"/>
      <c r="Q53" s="181"/>
      <c r="R53" s="181"/>
      <c r="S53" s="181" t="e">
        <f t="shared" si="11"/>
        <v>#N/A</v>
      </c>
      <c r="T53" s="410"/>
      <c r="U53" s="181"/>
      <c r="V53" s="181"/>
      <c r="W53" s="181"/>
      <c r="X53" s="181" t="e">
        <f t="shared" si="12"/>
        <v>#N/A</v>
      </c>
      <c r="Y53" s="410"/>
      <c r="Z53" s="181"/>
      <c r="AA53" s="181"/>
      <c r="AB53" s="181"/>
      <c r="AC53" s="181" t="e">
        <f t="shared" si="13"/>
        <v>#N/A</v>
      </c>
      <c r="AD53" s="410"/>
      <c r="AE53" s="181"/>
      <c r="AF53" s="181"/>
      <c r="AG53" s="181"/>
      <c r="AH53" s="181" t="e">
        <f t="shared" si="14"/>
        <v>#N/A</v>
      </c>
      <c r="AI53" s="410"/>
      <c r="AJ53" s="181"/>
      <c r="AK53" s="181"/>
      <c r="AL53" s="181"/>
      <c r="AM53" s="181" t="e">
        <f t="shared" si="15"/>
        <v>#N/A</v>
      </c>
      <c r="AN53" s="410"/>
      <c r="AO53" s="181"/>
      <c r="AP53" s="181"/>
      <c r="AQ53" s="181"/>
      <c r="AR53" s="181" t="e">
        <f t="shared" si="16"/>
        <v>#N/A</v>
      </c>
      <c r="AS53" s="410"/>
      <c r="AT53" s="181"/>
      <c r="AU53" s="181"/>
      <c r="AV53" s="181"/>
      <c r="AW53" s="181" t="e">
        <f t="shared" si="17"/>
        <v>#N/A</v>
      </c>
      <c r="AX53" s="410"/>
    </row>
    <row r="54" spans="2:50">
      <c r="B54" s="400"/>
      <c r="C54" s="181">
        <v>8</v>
      </c>
      <c r="D54" s="196"/>
      <c r="E54" s="165"/>
      <c r="F54" s="181"/>
      <c r="G54" s="179"/>
      <c r="H54" s="413"/>
      <c r="I54" s="165"/>
      <c r="J54" s="165"/>
      <c r="K54" s="179"/>
      <c r="L54" s="413"/>
      <c r="M54" s="180" t="e">
        <f>RANK(K54, K$47:$K$61)</f>
        <v>#N/A</v>
      </c>
      <c r="N54" s="401"/>
      <c r="O54" s="401"/>
      <c r="P54" s="181"/>
      <c r="Q54" s="181"/>
      <c r="R54" s="181"/>
      <c r="S54" s="181" t="e">
        <f t="shared" si="11"/>
        <v>#N/A</v>
      </c>
      <c r="T54" s="410"/>
      <c r="U54" s="181"/>
      <c r="V54" s="181"/>
      <c r="W54" s="181"/>
      <c r="X54" s="181" t="e">
        <f t="shared" si="12"/>
        <v>#N/A</v>
      </c>
      <c r="Y54" s="410"/>
      <c r="Z54" s="181"/>
      <c r="AA54" s="181"/>
      <c r="AB54" s="181"/>
      <c r="AC54" s="181" t="e">
        <f t="shared" si="13"/>
        <v>#N/A</v>
      </c>
      <c r="AD54" s="410"/>
      <c r="AE54" s="181"/>
      <c r="AF54" s="181"/>
      <c r="AG54" s="181"/>
      <c r="AH54" s="181" t="e">
        <f t="shared" si="14"/>
        <v>#N/A</v>
      </c>
      <c r="AI54" s="410"/>
      <c r="AJ54" s="181"/>
      <c r="AK54" s="181"/>
      <c r="AL54" s="181"/>
      <c r="AM54" s="181" t="e">
        <f t="shared" si="15"/>
        <v>#N/A</v>
      </c>
      <c r="AN54" s="410"/>
      <c r="AO54" s="181"/>
      <c r="AP54" s="181"/>
      <c r="AQ54" s="181"/>
      <c r="AR54" s="181" t="e">
        <f t="shared" si="16"/>
        <v>#N/A</v>
      </c>
      <c r="AS54" s="410"/>
      <c r="AT54" s="181"/>
      <c r="AU54" s="181"/>
      <c r="AV54" s="181"/>
      <c r="AW54" s="181" t="e">
        <f t="shared" si="17"/>
        <v>#N/A</v>
      </c>
      <c r="AX54" s="410"/>
    </row>
    <row r="55" spans="2:50">
      <c r="B55" s="400"/>
      <c r="C55" s="181">
        <v>9</v>
      </c>
      <c r="D55" s="196"/>
      <c r="E55" s="165"/>
      <c r="F55" s="181"/>
      <c r="G55" s="179"/>
      <c r="H55" s="413"/>
      <c r="I55" s="165"/>
      <c r="J55" s="165"/>
      <c r="K55" s="179"/>
      <c r="L55" s="413"/>
      <c r="M55" s="180" t="e">
        <f>RANK(K55, K$47:$K$61)</f>
        <v>#N/A</v>
      </c>
      <c r="N55" s="401"/>
      <c r="O55" s="401"/>
      <c r="P55" s="181"/>
      <c r="Q55" s="181"/>
      <c r="R55" s="181"/>
      <c r="S55" s="181" t="e">
        <f t="shared" si="11"/>
        <v>#N/A</v>
      </c>
      <c r="T55" s="410"/>
      <c r="U55" s="181"/>
      <c r="V55" s="181"/>
      <c r="W55" s="181"/>
      <c r="X55" s="181" t="e">
        <f t="shared" si="12"/>
        <v>#N/A</v>
      </c>
      <c r="Y55" s="410"/>
      <c r="Z55" s="181"/>
      <c r="AA55" s="181"/>
      <c r="AB55" s="181"/>
      <c r="AC55" s="181" t="e">
        <f t="shared" si="13"/>
        <v>#N/A</v>
      </c>
      <c r="AD55" s="410"/>
      <c r="AE55" s="181"/>
      <c r="AF55" s="181"/>
      <c r="AG55" s="181"/>
      <c r="AH55" s="181" t="e">
        <f t="shared" si="14"/>
        <v>#N/A</v>
      </c>
      <c r="AI55" s="410"/>
      <c r="AJ55" s="181"/>
      <c r="AK55" s="181"/>
      <c r="AL55" s="181"/>
      <c r="AM55" s="181" t="e">
        <f t="shared" si="15"/>
        <v>#N/A</v>
      </c>
      <c r="AN55" s="410"/>
      <c r="AO55" s="181"/>
      <c r="AP55" s="181"/>
      <c r="AQ55" s="181"/>
      <c r="AR55" s="181" t="e">
        <f t="shared" si="16"/>
        <v>#N/A</v>
      </c>
      <c r="AS55" s="410"/>
      <c r="AT55" s="181"/>
      <c r="AU55" s="181"/>
      <c r="AV55" s="181"/>
      <c r="AW55" s="181" t="e">
        <f t="shared" si="17"/>
        <v>#N/A</v>
      </c>
      <c r="AX55" s="410"/>
    </row>
    <row r="56" spans="2:50">
      <c r="B56" s="400"/>
      <c r="C56" s="181">
        <v>10</v>
      </c>
      <c r="D56" s="196"/>
      <c r="E56" s="165"/>
      <c r="F56" s="181"/>
      <c r="G56" s="179"/>
      <c r="H56" s="413"/>
      <c r="I56" s="165"/>
      <c r="J56" s="165"/>
      <c r="K56" s="179"/>
      <c r="L56" s="413"/>
      <c r="M56" s="180" t="e">
        <f>RANK(K56, K$47:$K$61)</f>
        <v>#N/A</v>
      </c>
      <c r="N56" s="401"/>
      <c r="O56" s="401"/>
      <c r="P56" s="181"/>
      <c r="Q56" s="181"/>
      <c r="R56" s="181"/>
      <c r="S56" s="181" t="e">
        <f t="shared" si="11"/>
        <v>#N/A</v>
      </c>
      <c r="T56" s="410"/>
      <c r="U56" s="181"/>
      <c r="V56" s="181"/>
      <c r="W56" s="181"/>
      <c r="X56" s="181" t="e">
        <f t="shared" si="12"/>
        <v>#N/A</v>
      </c>
      <c r="Y56" s="410"/>
      <c r="Z56" s="181"/>
      <c r="AA56" s="181"/>
      <c r="AB56" s="181"/>
      <c r="AC56" s="181" t="e">
        <f t="shared" si="13"/>
        <v>#N/A</v>
      </c>
      <c r="AD56" s="410"/>
      <c r="AE56" s="181"/>
      <c r="AF56" s="181"/>
      <c r="AG56" s="181"/>
      <c r="AH56" s="181" t="e">
        <f t="shared" si="14"/>
        <v>#N/A</v>
      </c>
      <c r="AI56" s="410"/>
      <c r="AJ56" s="181"/>
      <c r="AK56" s="181"/>
      <c r="AL56" s="181"/>
      <c r="AM56" s="181" t="e">
        <f t="shared" si="15"/>
        <v>#N/A</v>
      </c>
      <c r="AN56" s="410"/>
      <c r="AO56" s="181"/>
      <c r="AP56" s="181"/>
      <c r="AQ56" s="181"/>
      <c r="AR56" s="181" t="e">
        <f t="shared" si="16"/>
        <v>#N/A</v>
      </c>
      <c r="AS56" s="410"/>
      <c r="AT56" s="181"/>
      <c r="AU56" s="181"/>
      <c r="AV56" s="181"/>
      <c r="AW56" s="181" t="e">
        <f t="shared" si="17"/>
        <v>#N/A</v>
      </c>
      <c r="AX56" s="410"/>
    </row>
    <row r="57" spans="2:50">
      <c r="B57" s="400"/>
      <c r="C57" s="181">
        <v>11</v>
      </c>
      <c r="D57" s="196"/>
      <c r="E57" s="165"/>
      <c r="F57" s="181"/>
      <c r="G57" s="179"/>
      <c r="H57" s="413"/>
      <c r="I57" s="165"/>
      <c r="J57" s="165"/>
      <c r="K57" s="179"/>
      <c r="L57" s="413"/>
      <c r="M57" s="180" t="e">
        <f>RANK(K57, K$47:$K$61)</f>
        <v>#N/A</v>
      </c>
      <c r="N57" s="401"/>
      <c r="O57" s="401"/>
      <c r="P57" s="181"/>
      <c r="Q57" s="181"/>
      <c r="R57" s="181"/>
      <c r="S57" s="181" t="e">
        <f t="shared" si="11"/>
        <v>#N/A</v>
      </c>
      <c r="T57" s="410"/>
      <c r="U57" s="181"/>
      <c r="V57" s="181"/>
      <c r="W57" s="181"/>
      <c r="X57" s="181" t="e">
        <f t="shared" si="12"/>
        <v>#N/A</v>
      </c>
      <c r="Y57" s="410"/>
      <c r="Z57" s="181"/>
      <c r="AA57" s="181"/>
      <c r="AB57" s="181"/>
      <c r="AC57" s="181" t="e">
        <f t="shared" si="13"/>
        <v>#N/A</v>
      </c>
      <c r="AD57" s="410"/>
      <c r="AE57" s="181"/>
      <c r="AF57" s="181"/>
      <c r="AG57" s="181"/>
      <c r="AH57" s="181" t="e">
        <f t="shared" si="14"/>
        <v>#N/A</v>
      </c>
      <c r="AI57" s="410"/>
      <c r="AJ57" s="181"/>
      <c r="AK57" s="181"/>
      <c r="AL57" s="181"/>
      <c r="AM57" s="181" t="e">
        <f t="shared" si="15"/>
        <v>#N/A</v>
      </c>
      <c r="AN57" s="410"/>
      <c r="AO57" s="181"/>
      <c r="AP57" s="181"/>
      <c r="AQ57" s="181"/>
      <c r="AR57" s="181" t="e">
        <f t="shared" si="16"/>
        <v>#N/A</v>
      </c>
      <c r="AS57" s="410"/>
      <c r="AT57" s="181"/>
      <c r="AU57" s="181"/>
      <c r="AV57" s="181"/>
      <c r="AW57" s="181" t="e">
        <f t="shared" si="17"/>
        <v>#N/A</v>
      </c>
      <c r="AX57" s="410"/>
    </row>
    <row r="58" spans="2:50">
      <c r="B58" s="400"/>
      <c r="C58" s="181">
        <v>12</v>
      </c>
      <c r="D58" s="196"/>
      <c r="E58" s="165"/>
      <c r="F58" s="181"/>
      <c r="G58" s="179"/>
      <c r="H58" s="413"/>
      <c r="I58" s="165"/>
      <c r="J58" s="165"/>
      <c r="K58" s="179"/>
      <c r="L58" s="413"/>
      <c r="M58" s="180" t="e">
        <f>RANK(K58, K$47:$K$61)</f>
        <v>#N/A</v>
      </c>
      <c r="N58" s="401"/>
      <c r="O58" s="401"/>
      <c r="P58" s="181"/>
      <c r="Q58" s="181"/>
      <c r="R58" s="181"/>
      <c r="S58" s="181" t="e">
        <f t="shared" si="11"/>
        <v>#N/A</v>
      </c>
      <c r="T58" s="410"/>
      <c r="U58" s="181"/>
      <c r="V58" s="181"/>
      <c r="W58" s="181"/>
      <c r="X58" s="181" t="e">
        <f t="shared" si="12"/>
        <v>#N/A</v>
      </c>
      <c r="Y58" s="410"/>
      <c r="Z58" s="181"/>
      <c r="AA58" s="181"/>
      <c r="AB58" s="181"/>
      <c r="AC58" s="181" t="e">
        <f t="shared" si="13"/>
        <v>#N/A</v>
      </c>
      <c r="AD58" s="410"/>
      <c r="AE58" s="181"/>
      <c r="AF58" s="181"/>
      <c r="AG58" s="181"/>
      <c r="AH58" s="181" t="e">
        <f t="shared" si="14"/>
        <v>#N/A</v>
      </c>
      <c r="AI58" s="410"/>
      <c r="AJ58" s="181"/>
      <c r="AK58" s="181"/>
      <c r="AL58" s="181"/>
      <c r="AM58" s="181" t="e">
        <f t="shared" si="15"/>
        <v>#N/A</v>
      </c>
      <c r="AN58" s="410"/>
      <c r="AO58" s="181"/>
      <c r="AP58" s="181"/>
      <c r="AQ58" s="181"/>
      <c r="AR58" s="181" t="e">
        <f t="shared" si="16"/>
        <v>#N/A</v>
      </c>
      <c r="AS58" s="410"/>
      <c r="AT58" s="181"/>
      <c r="AU58" s="181"/>
      <c r="AV58" s="181"/>
      <c r="AW58" s="181" t="e">
        <f t="shared" si="17"/>
        <v>#N/A</v>
      </c>
      <c r="AX58" s="410"/>
    </row>
    <row r="59" spans="2:50">
      <c r="B59" s="400"/>
      <c r="C59" s="181">
        <v>13</v>
      </c>
      <c r="D59" s="196"/>
      <c r="E59" s="165"/>
      <c r="F59" s="181"/>
      <c r="G59" s="179"/>
      <c r="H59" s="413"/>
      <c r="I59" s="165"/>
      <c r="J59" s="165"/>
      <c r="K59" s="179"/>
      <c r="L59" s="413"/>
      <c r="M59" s="180" t="e">
        <f>RANK(K59, K$47:$K$61)</f>
        <v>#N/A</v>
      </c>
      <c r="N59" s="401"/>
      <c r="O59" s="401"/>
      <c r="P59" s="181"/>
      <c r="Q59" s="181"/>
      <c r="R59" s="181"/>
      <c r="S59" s="181" t="e">
        <f t="shared" si="11"/>
        <v>#N/A</v>
      </c>
      <c r="T59" s="410"/>
      <c r="U59" s="181"/>
      <c r="V59" s="181"/>
      <c r="W59" s="181"/>
      <c r="X59" s="181" t="e">
        <f t="shared" si="12"/>
        <v>#N/A</v>
      </c>
      <c r="Y59" s="410"/>
      <c r="Z59" s="181"/>
      <c r="AA59" s="181"/>
      <c r="AB59" s="181"/>
      <c r="AC59" s="181" t="e">
        <f t="shared" si="13"/>
        <v>#N/A</v>
      </c>
      <c r="AD59" s="410"/>
      <c r="AE59" s="181"/>
      <c r="AF59" s="181"/>
      <c r="AG59" s="181"/>
      <c r="AH59" s="181" t="e">
        <f t="shared" si="14"/>
        <v>#N/A</v>
      </c>
      <c r="AI59" s="410"/>
      <c r="AJ59" s="181"/>
      <c r="AK59" s="181"/>
      <c r="AL59" s="181"/>
      <c r="AM59" s="181" t="e">
        <f t="shared" si="15"/>
        <v>#N/A</v>
      </c>
      <c r="AN59" s="410"/>
      <c r="AO59" s="181"/>
      <c r="AP59" s="181"/>
      <c r="AQ59" s="181"/>
      <c r="AR59" s="181" t="e">
        <f t="shared" si="16"/>
        <v>#N/A</v>
      </c>
      <c r="AS59" s="410"/>
      <c r="AT59" s="181"/>
      <c r="AU59" s="181"/>
      <c r="AV59" s="181"/>
      <c r="AW59" s="181" t="e">
        <f t="shared" si="17"/>
        <v>#N/A</v>
      </c>
      <c r="AX59" s="410"/>
    </row>
    <row r="60" spans="2:50">
      <c r="B60" s="400"/>
      <c r="C60" s="181">
        <v>14</v>
      </c>
      <c r="D60" s="196"/>
      <c r="E60" s="165"/>
      <c r="F60" s="181"/>
      <c r="G60" s="179"/>
      <c r="H60" s="413"/>
      <c r="I60" s="165"/>
      <c r="J60" s="165"/>
      <c r="K60" s="179"/>
      <c r="L60" s="413"/>
      <c r="M60" s="180" t="e">
        <f>RANK(K60, K$47:$K$61)</f>
        <v>#N/A</v>
      </c>
      <c r="N60" s="401"/>
      <c r="O60" s="401"/>
      <c r="P60" s="181"/>
      <c r="Q60" s="181"/>
      <c r="R60" s="181"/>
      <c r="S60" s="181" t="e">
        <f t="shared" si="11"/>
        <v>#N/A</v>
      </c>
      <c r="T60" s="410"/>
      <c r="U60" s="181"/>
      <c r="V60" s="181"/>
      <c r="W60" s="181"/>
      <c r="X60" s="181" t="e">
        <f t="shared" si="12"/>
        <v>#N/A</v>
      </c>
      <c r="Y60" s="410"/>
      <c r="Z60" s="181"/>
      <c r="AA60" s="181"/>
      <c r="AB60" s="181"/>
      <c r="AC60" s="181" t="e">
        <f t="shared" si="13"/>
        <v>#N/A</v>
      </c>
      <c r="AD60" s="410"/>
      <c r="AE60" s="181"/>
      <c r="AF60" s="181"/>
      <c r="AG60" s="181"/>
      <c r="AH60" s="181" t="e">
        <f t="shared" si="14"/>
        <v>#N/A</v>
      </c>
      <c r="AI60" s="410"/>
      <c r="AJ60" s="181"/>
      <c r="AK60" s="181"/>
      <c r="AL60" s="181"/>
      <c r="AM60" s="181" t="e">
        <f t="shared" si="15"/>
        <v>#N/A</v>
      </c>
      <c r="AN60" s="410"/>
      <c r="AO60" s="181"/>
      <c r="AP60" s="181"/>
      <c r="AQ60" s="181"/>
      <c r="AR60" s="181" t="e">
        <f t="shared" si="16"/>
        <v>#N/A</v>
      </c>
      <c r="AS60" s="410"/>
      <c r="AT60" s="181"/>
      <c r="AU60" s="181"/>
      <c r="AV60" s="181"/>
      <c r="AW60" s="181" t="e">
        <f t="shared" si="17"/>
        <v>#N/A</v>
      </c>
      <c r="AX60" s="410"/>
    </row>
    <row r="61" spans="2:50">
      <c r="B61" s="400"/>
      <c r="C61" s="181">
        <v>15</v>
      </c>
      <c r="D61" s="196"/>
      <c r="E61" s="165"/>
      <c r="F61" s="181"/>
      <c r="G61" s="179"/>
      <c r="H61" s="414"/>
      <c r="I61" s="165"/>
      <c r="J61" s="165"/>
      <c r="K61" s="179"/>
      <c r="L61" s="414"/>
      <c r="M61" s="180" t="e">
        <f>RANK(K61, K$47:$K$61)</f>
        <v>#N/A</v>
      </c>
      <c r="N61" s="401"/>
      <c r="O61" s="401"/>
      <c r="P61" s="181"/>
      <c r="Q61" s="181"/>
      <c r="R61" s="181"/>
      <c r="S61" s="181" t="e">
        <f t="shared" si="11"/>
        <v>#N/A</v>
      </c>
      <c r="T61" s="411"/>
      <c r="U61" s="181"/>
      <c r="V61" s="181"/>
      <c r="W61" s="181"/>
      <c r="X61" s="181" t="e">
        <f t="shared" si="12"/>
        <v>#N/A</v>
      </c>
      <c r="Y61" s="411"/>
      <c r="Z61" s="181"/>
      <c r="AA61" s="181"/>
      <c r="AB61" s="181"/>
      <c r="AC61" s="181" t="e">
        <f t="shared" si="13"/>
        <v>#N/A</v>
      </c>
      <c r="AD61" s="411"/>
      <c r="AE61" s="181"/>
      <c r="AF61" s="181"/>
      <c r="AG61" s="181"/>
      <c r="AH61" s="181" t="e">
        <f t="shared" si="14"/>
        <v>#N/A</v>
      </c>
      <c r="AI61" s="411"/>
      <c r="AJ61" s="181"/>
      <c r="AK61" s="181"/>
      <c r="AL61" s="181"/>
      <c r="AM61" s="181" t="e">
        <f t="shared" si="15"/>
        <v>#N/A</v>
      </c>
      <c r="AN61" s="411"/>
      <c r="AO61" s="181"/>
      <c r="AP61" s="181"/>
      <c r="AQ61" s="181"/>
      <c r="AR61" s="181" t="e">
        <f t="shared" si="16"/>
        <v>#N/A</v>
      </c>
      <c r="AS61" s="411"/>
      <c r="AT61" s="181"/>
      <c r="AU61" s="181"/>
      <c r="AV61" s="181"/>
      <c r="AW61" s="181" t="e">
        <f t="shared" si="17"/>
        <v>#N/A</v>
      </c>
      <c r="AX61" s="411"/>
    </row>
    <row r="62" spans="2:50" ht="15.75">
      <c r="B62" s="394" t="s">
        <v>187</v>
      </c>
      <c r="C62" s="395"/>
      <c r="D62" s="395"/>
      <c r="E62" s="395"/>
      <c r="F62" s="395"/>
      <c r="G62" s="395"/>
      <c r="H62" s="395"/>
      <c r="I62" s="185"/>
      <c r="J62" s="185"/>
      <c r="K62" s="185"/>
      <c r="L62" s="185"/>
      <c r="M62" s="184"/>
      <c r="N62" s="397" t="s">
        <v>188</v>
      </c>
      <c r="O62" s="397" t="s">
        <v>135</v>
      </c>
      <c r="P62" s="399">
        <f>P42+7</f>
        <v>45916</v>
      </c>
      <c r="Q62" s="400"/>
      <c r="R62" s="400"/>
      <c r="S62" s="400"/>
      <c r="T62" s="400"/>
      <c r="U62" s="426">
        <f>P62+1</f>
        <v>45917</v>
      </c>
      <c r="V62" s="427"/>
      <c r="W62" s="427"/>
      <c r="X62" s="427"/>
      <c r="Y62" s="428"/>
      <c r="Z62" s="426">
        <f>U62+1</f>
        <v>45918</v>
      </c>
      <c r="AA62" s="427"/>
      <c r="AB62" s="427"/>
      <c r="AC62" s="427"/>
      <c r="AD62" s="428"/>
      <c r="AE62" s="426">
        <f>Z62+1</f>
        <v>45919</v>
      </c>
      <c r="AF62" s="427"/>
      <c r="AG62" s="427"/>
      <c r="AH62" s="427"/>
      <c r="AI62" s="428"/>
      <c r="AJ62" s="426">
        <f>AE62+1</f>
        <v>45920</v>
      </c>
      <c r="AK62" s="427"/>
      <c r="AL62" s="427"/>
      <c r="AM62" s="427"/>
      <c r="AN62" s="428"/>
      <c r="AO62" s="426">
        <f>AJ62+1</f>
        <v>45921</v>
      </c>
      <c r="AP62" s="427"/>
      <c r="AQ62" s="427"/>
      <c r="AR62" s="427"/>
      <c r="AS62" s="428"/>
      <c r="AT62" s="426">
        <f>AO62+1</f>
        <v>45922</v>
      </c>
      <c r="AU62" s="427"/>
      <c r="AV62" s="427"/>
      <c r="AW62" s="427"/>
      <c r="AX62" s="428"/>
    </row>
    <row r="63" spans="2:50" ht="15.75">
      <c r="B63" s="396"/>
      <c r="C63" s="396"/>
      <c r="D63" s="396"/>
      <c r="E63" s="396"/>
      <c r="F63" s="396"/>
      <c r="G63" s="396"/>
      <c r="H63" s="396"/>
      <c r="I63" s="183"/>
      <c r="J63" s="183"/>
      <c r="K63" s="183"/>
      <c r="L63" s="183"/>
      <c r="M63" s="178"/>
      <c r="N63" s="398"/>
      <c r="O63" s="398"/>
      <c r="P63" s="399" t="s">
        <v>223</v>
      </c>
      <c r="Q63" s="400"/>
      <c r="R63" s="400"/>
      <c r="S63" s="400"/>
      <c r="T63" s="400"/>
      <c r="U63" s="399" t="s">
        <v>224</v>
      </c>
      <c r="V63" s="400"/>
      <c r="W63" s="400"/>
      <c r="X63" s="400"/>
      <c r="Y63" s="400"/>
      <c r="Z63" s="399" t="s">
        <v>225</v>
      </c>
      <c r="AA63" s="400"/>
      <c r="AB63" s="400"/>
      <c r="AC63" s="400"/>
      <c r="AD63" s="400"/>
      <c r="AE63" s="399" t="s">
        <v>226</v>
      </c>
      <c r="AF63" s="400"/>
      <c r="AG63" s="400"/>
      <c r="AH63" s="400"/>
      <c r="AI63" s="400"/>
      <c r="AJ63" s="399" t="s">
        <v>227</v>
      </c>
      <c r="AK63" s="400"/>
      <c r="AL63" s="400"/>
      <c r="AM63" s="400"/>
      <c r="AN63" s="400"/>
      <c r="AO63" s="399" t="s">
        <v>142</v>
      </c>
      <c r="AP63" s="400"/>
      <c r="AQ63" s="400"/>
      <c r="AR63" s="400"/>
      <c r="AS63" s="400"/>
      <c r="AT63" s="399" t="s">
        <v>189</v>
      </c>
      <c r="AU63" s="400"/>
      <c r="AV63" s="400"/>
      <c r="AW63" s="400"/>
      <c r="AX63" s="400"/>
    </row>
    <row r="64" spans="2:50">
      <c r="B64" s="401" t="s">
        <v>190</v>
      </c>
      <c r="C64" s="401" t="s">
        <v>191</v>
      </c>
      <c r="D64" s="401"/>
      <c r="E64" s="401" t="s">
        <v>192</v>
      </c>
      <c r="F64" s="401"/>
      <c r="G64" s="401"/>
      <c r="H64" s="402" t="s">
        <v>193</v>
      </c>
      <c r="I64" s="401" t="s">
        <v>194</v>
      </c>
      <c r="J64" s="401"/>
      <c r="K64" s="401"/>
      <c r="L64" s="402" t="s">
        <v>193</v>
      </c>
      <c r="M64" s="397" t="s">
        <v>195</v>
      </c>
      <c r="N64" s="401"/>
      <c r="O64" s="401" t="s">
        <v>196</v>
      </c>
      <c r="P64" s="406" t="s">
        <v>197</v>
      </c>
      <c r="Q64" s="407"/>
      <c r="R64" s="407"/>
      <c r="S64" s="408"/>
      <c r="T64" s="401" t="s">
        <v>193</v>
      </c>
      <c r="U64" s="406" t="s">
        <v>197</v>
      </c>
      <c r="V64" s="407"/>
      <c r="W64" s="407"/>
      <c r="X64" s="408"/>
      <c r="Y64" s="401" t="s">
        <v>193</v>
      </c>
      <c r="Z64" s="406" t="s">
        <v>197</v>
      </c>
      <c r="AA64" s="407"/>
      <c r="AB64" s="407"/>
      <c r="AC64" s="408"/>
      <c r="AD64" s="401" t="s">
        <v>193</v>
      </c>
      <c r="AE64" s="406" t="s">
        <v>197</v>
      </c>
      <c r="AF64" s="407"/>
      <c r="AG64" s="407"/>
      <c r="AH64" s="408"/>
      <c r="AI64" s="401" t="s">
        <v>193</v>
      </c>
      <c r="AJ64" s="406" t="s">
        <v>197</v>
      </c>
      <c r="AK64" s="407"/>
      <c r="AL64" s="407"/>
      <c r="AM64" s="408"/>
      <c r="AN64" s="401" t="s">
        <v>193</v>
      </c>
      <c r="AO64" s="406" t="s">
        <v>197</v>
      </c>
      <c r="AP64" s="407"/>
      <c r="AQ64" s="407"/>
      <c r="AR64" s="408"/>
      <c r="AS64" s="401" t="s">
        <v>193</v>
      </c>
      <c r="AT64" s="406" t="s">
        <v>197</v>
      </c>
      <c r="AU64" s="407"/>
      <c r="AV64" s="407"/>
      <c r="AW64" s="408"/>
      <c r="AX64" s="401" t="s">
        <v>193</v>
      </c>
    </row>
    <row r="65" spans="2:50">
      <c r="B65" s="401"/>
      <c r="C65" s="401"/>
      <c r="D65" s="401"/>
      <c r="E65" s="401" t="s">
        <v>198</v>
      </c>
      <c r="F65" s="401"/>
      <c r="G65" s="401"/>
      <c r="H65" s="403"/>
      <c r="I65" s="401" t="s">
        <v>198</v>
      </c>
      <c r="J65" s="401"/>
      <c r="K65" s="401"/>
      <c r="L65" s="403"/>
      <c r="M65" s="405"/>
      <c r="N65" s="401"/>
      <c r="O65" s="401"/>
      <c r="P65" s="406" t="s">
        <v>199</v>
      </c>
      <c r="Q65" s="407"/>
      <c r="R65" s="407"/>
      <c r="S65" s="408"/>
      <c r="T65" s="401"/>
      <c r="U65" s="406" t="s">
        <v>199</v>
      </c>
      <c r="V65" s="407"/>
      <c r="W65" s="407"/>
      <c r="X65" s="408"/>
      <c r="Y65" s="401"/>
      <c r="Z65" s="406" t="s">
        <v>199</v>
      </c>
      <c r="AA65" s="407"/>
      <c r="AB65" s="407"/>
      <c r="AC65" s="408"/>
      <c r="AD65" s="401"/>
      <c r="AE65" s="406" t="s">
        <v>199</v>
      </c>
      <c r="AF65" s="407"/>
      <c r="AG65" s="407"/>
      <c r="AH65" s="408"/>
      <c r="AI65" s="401"/>
      <c r="AJ65" s="406" t="s">
        <v>199</v>
      </c>
      <c r="AK65" s="407"/>
      <c r="AL65" s="407"/>
      <c r="AM65" s="408"/>
      <c r="AN65" s="401"/>
      <c r="AO65" s="406" t="s">
        <v>199</v>
      </c>
      <c r="AP65" s="407"/>
      <c r="AQ65" s="407"/>
      <c r="AR65" s="408"/>
      <c r="AS65" s="401"/>
      <c r="AT65" s="406" t="s">
        <v>199</v>
      </c>
      <c r="AU65" s="407"/>
      <c r="AV65" s="407"/>
      <c r="AW65" s="408"/>
      <c r="AX65" s="401"/>
    </row>
    <row r="66" spans="2:50">
      <c r="B66" s="401"/>
      <c r="C66" s="401"/>
      <c r="D66" s="401"/>
      <c r="E66" s="234" t="s">
        <v>200</v>
      </c>
      <c r="F66" s="234" t="s">
        <v>201</v>
      </c>
      <c r="G66" s="234" t="s">
        <v>202</v>
      </c>
      <c r="H66" s="404"/>
      <c r="I66" s="234" t="s">
        <v>200</v>
      </c>
      <c r="J66" s="234" t="s">
        <v>201</v>
      </c>
      <c r="K66" s="234" t="s">
        <v>202</v>
      </c>
      <c r="L66" s="404"/>
      <c r="M66" s="398"/>
      <c r="N66" s="401"/>
      <c r="O66" s="401"/>
      <c r="P66" s="234" t="s">
        <v>200</v>
      </c>
      <c r="Q66" s="234" t="s">
        <v>201</v>
      </c>
      <c r="R66" s="234" t="s">
        <v>202</v>
      </c>
      <c r="S66" s="234" t="s">
        <v>195</v>
      </c>
      <c r="T66" s="401"/>
      <c r="U66" s="234" t="s">
        <v>200</v>
      </c>
      <c r="V66" s="234" t="s">
        <v>201</v>
      </c>
      <c r="W66" s="234" t="s">
        <v>202</v>
      </c>
      <c r="X66" s="234" t="s">
        <v>195</v>
      </c>
      <c r="Y66" s="401"/>
      <c r="Z66" s="234" t="s">
        <v>200</v>
      </c>
      <c r="AA66" s="234" t="s">
        <v>201</v>
      </c>
      <c r="AB66" s="234" t="s">
        <v>202</v>
      </c>
      <c r="AC66" s="234" t="s">
        <v>195</v>
      </c>
      <c r="AD66" s="401"/>
      <c r="AE66" s="234" t="s">
        <v>200</v>
      </c>
      <c r="AF66" s="234" t="s">
        <v>201</v>
      </c>
      <c r="AG66" s="234" t="s">
        <v>202</v>
      </c>
      <c r="AH66" s="234" t="s">
        <v>195</v>
      </c>
      <c r="AI66" s="401"/>
      <c r="AJ66" s="234" t="s">
        <v>200</v>
      </c>
      <c r="AK66" s="234" t="s">
        <v>201</v>
      </c>
      <c r="AL66" s="234" t="s">
        <v>202</v>
      </c>
      <c r="AM66" s="234" t="s">
        <v>195</v>
      </c>
      <c r="AN66" s="401"/>
      <c r="AO66" s="234" t="s">
        <v>200</v>
      </c>
      <c r="AP66" s="234" t="s">
        <v>201</v>
      </c>
      <c r="AQ66" s="234" t="s">
        <v>202</v>
      </c>
      <c r="AR66" s="234" t="s">
        <v>195</v>
      </c>
      <c r="AS66" s="401"/>
      <c r="AT66" s="234" t="s">
        <v>200</v>
      </c>
      <c r="AU66" s="234" t="s">
        <v>201</v>
      </c>
      <c r="AV66" s="234" t="s">
        <v>202</v>
      </c>
      <c r="AW66" s="234" t="s">
        <v>195</v>
      </c>
      <c r="AX66" s="401"/>
    </row>
    <row r="67" spans="2:50">
      <c r="B67" s="401" t="s">
        <v>176</v>
      </c>
      <c r="C67" s="181">
        <v>1</v>
      </c>
      <c r="D67" s="196" t="s">
        <v>315</v>
      </c>
      <c r="E67" s="165">
        <v>7</v>
      </c>
      <c r="F67" s="181">
        <v>1500</v>
      </c>
      <c r="G67" s="179">
        <v>214.28571428571428</v>
      </c>
      <c r="H67" s="412">
        <f>AVERAGE(G67:G81)</f>
        <v>125.92857142857143</v>
      </c>
      <c r="I67" s="165">
        <f t="shared" ref="I67:K72" si="18">AVERAGE(P67,U67,Z67,AE67,AJ67,AO67,AT67)</f>
        <v>6.8571428571428568</v>
      </c>
      <c r="J67" s="165">
        <f t="shared" si="18"/>
        <v>1276.9388042389314</v>
      </c>
      <c r="K67" s="179">
        <f t="shared" si="18"/>
        <v>186.75119330158742</v>
      </c>
      <c r="L67" s="412">
        <f>IFERROR(AVERAGE(K67:K81),"-")</f>
        <v>112.98461818075162</v>
      </c>
      <c r="M67" s="180">
        <f>RANK(K67, K$67:$K$81)</f>
        <v>2</v>
      </c>
      <c r="N67" s="401"/>
      <c r="O67" s="401"/>
      <c r="P67" s="181">
        <v>7</v>
      </c>
      <c r="Q67" s="165">
        <v>1306.9565217391305</v>
      </c>
      <c r="R67" s="179">
        <v>186.70807453416151</v>
      </c>
      <c r="S67" s="181">
        <f>RANK(R67, R$67:R$81)</f>
        <v>2</v>
      </c>
      <c r="T67" s="409">
        <f>AVERAGE(R67:R81)</f>
        <v>116.45119000790578</v>
      </c>
      <c r="U67" s="181">
        <v>7</v>
      </c>
      <c r="V67" s="165">
        <v>1272.3711340206182</v>
      </c>
      <c r="W67" s="179">
        <v>181.76730486008833</v>
      </c>
      <c r="X67" s="181">
        <f>RANK(W67, W$67:W$81)</f>
        <v>2</v>
      </c>
      <c r="Y67" s="409">
        <f>AVERAGE(W67:W81)</f>
        <v>110.97709610343948</v>
      </c>
      <c r="Z67" s="181">
        <v>7</v>
      </c>
      <c r="AA67" s="165">
        <v>1258.7096774193544</v>
      </c>
      <c r="AB67" s="179">
        <v>179.81566820276493</v>
      </c>
      <c r="AC67" s="181">
        <f>RANK(AB67, AB$67:AB$81)</f>
        <v>2</v>
      </c>
      <c r="AD67" s="409">
        <f>AVERAGE(AB67:AB81)</f>
        <v>111.18607308221446</v>
      </c>
      <c r="AE67" s="181">
        <v>6</v>
      </c>
      <c r="AF67" s="165">
        <v>1273.4210526315787</v>
      </c>
      <c r="AG67" s="179">
        <v>212.23684210526312</v>
      </c>
      <c r="AH67" s="181">
        <f>RANK(AG67, AG$67:AG$81)</f>
        <v>2</v>
      </c>
      <c r="AI67" s="409">
        <f>AVERAGE(AG67:AG81)</f>
        <v>120.41446425236079</v>
      </c>
      <c r="AJ67" s="181">
        <v>7</v>
      </c>
      <c r="AK67" s="165">
        <v>1262.9629629629633</v>
      </c>
      <c r="AL67" s="179">
        <v>180.42328042328046</v>
      </c>
      <c r="AM67" s="181">
        <f>RANK(AL67, AL$67:AL$81)</f>
        <v>2</v>
      </c>
      <c r="AN67" s="409">
        <f>AVERAGE(AL67:AL81)</f>
        <v>110.63126785138957</v>
      </c>
      <c r="AO67" s="181">
        <v>7</v>
      </c>
      <c r="AP67" s="165">
        <v>1299.7752808988764</v>
      </c>
      <c r="AQ67" s="179">
        <v>185.68218298555377</v>
      </c>
      <c r="AR67" s="181">
        <f>RANK(AQ67, AQ$67:AQ$81)</f>
        <v>1</v>
      </c>
      <c r="AS67" s="409">
        <f>AVERAGE(AQ67:AQ81)</f>
        <v>110.92918967763869</v>
      </c>
      <c r="AT67" s="181">
        <v>7</v>
      </c>
      <c r="AU67" s="165">
        <v>1264.3749999999998</v>
      </c>
      <c r="AV67" s="179">
        <v>180.62499999999997</v>
      </c>
      <c r="AW67" s="181">
        <f>RANK(AV67, AV$67:AV$81)</f>
        <v>2</v>
      </c>
      <c r="AX67" s="409">
        <f>AVERAGE(AV67:AV81)</f>
        <v>110.30304629031264</v>
      </c>
    </row>
    <row r="68" spans="2:50">
      <c r="B68" s="400"/>
      <c r="C68" s="181">
        <v>2</v>
      </c>
      <c r="D68" s="196" t="s">
        <v>316</v>
      </c>
      <c r="E68" s="165">
        <v>15</v>
      </c>
      <c r="F68" s="181">
        <v>1500</v>
      </c>
      <c r="G68" s="179">
        <v>100</v>
      </c>
      <c r="H68" s="413"/>
      <c r="I68" s="165">
        <f t="shared" si="18"/>
        <v>15</v>
      </c>
      <c r="J68" s="165">
        <f t="shared" si="18"/>
        <v>1290.336951260264</v>
      </c>
      <c r="K68" s="179">
        <f t="shared" si="18"/>
        <v>86.02246341735092</v>
      </c>
      <c r="L68" s="413"/>
      <c r="M68" s="180">
        <f>RANK(K68, K$67:$K$81)</f>
        <v>3</v>
      </c>
      <c r="N68" s="401"/>
      <c r="O68" s="401"/>
      <c r="P68" s="181">
        <v>15</v>
      </c>
      <c r="Q68" s="165">
        <v>1264.1515151515146</v>
      </c>
      <c r="R68" s="179">
        <v>84.276767676767633</v>
      </c>
      <c r="S68" s="181">
        <f t="shared" ref="S68:S81" si="19">RANK(R68, R$67:R$81)</f>
        <v>3</v>
      </c>
      <c r="T68" s="410"/>
      <c r="U68" s="181">
        <v>15</v>
      </c>
      <c r="V68" s="165">
        <v>1310.2040816326528</v>
      </c>
      <c r="W68" s="179">
        <v>87.346938775510182</v>
      </c>
      <c r="X68" s="181">
        <f t="shared" ref="X68:X81" si="20">RANK(W68, W$67:W$81)</f>
        <v>3</v>
      </c>
      <c r="Y68" s="410"/>
      <c r="Z68" s="181">
        <v>15</v>
      </c>
      <c r="AA68" s="165">
        <v>1271.6666666666661</v>
      </c>
      <c r="AB68" s="179">
        <v>84.777777777777743</v>
      </c>
      <c r="AC68" s="181">
        <f t="shared" ref="AC68:AC81" si="21">RANK(AB68, AB$67:AB$81)</f>
        <v>3</v>
      </c>
      <c r="AD68" s="410"/>
      <c r="AE68" s="181">
        <v>15</v>
      </c>
      <c r="AF68" s="165">
        <v>1259.9999999999998</v>
      </c>
      <c r="AG68" s="179">
        <v>83.999999999999986</v>
      </c>
      <c r="AH68" s="181">
        <f t="shared" ref="AH68:AH81" si="22">RANK(AG68, AG$67:AG$81)</f>
        <v>3</v>
      </c>
      <c r="AI68" s="410"/>
      <c r="AJ68" s="181">
        <v>15</v>
      </c>
      <c r="AK68" s="165">
        <v>1312.0930232558137</v>
      </c>
      <c r="AL68" s="179">
        <v>87.472868217054241</v>
      </c>
      <c r="AM68" s="181">
        <f t="shared" ref="AM68:AM81" si="23">RANK(AL68, AL$67:AL$81)</f>
        <v>3</v>
      </c>
      <c r="AN68" s="410"/>
      <c r="AO68" s="181">
        <v>15</v>
      </c>
      <c r="AP68" s="165">
        <v>1322.4489795918364</v>
      </c>
      <c r="AQ68" s="179">
        <v>88.163265306122426</v>
      </c>
      <c r="AR68" s="181">
        <f t="shared" ref="AR68:AR81" si="24">RANK(AQ68, AQ$67:AQ$81)</f>
        <v>3</v>
      </c>
      <c r="AS68" s="410"/>
      <c r="AT68" s="181">
        <v>15</v>
      </c>
      <c r="AU68" s="165">
        <v>1291.7943925233642</v>
      </c>
      <c r="AV68" s="179">
        <v>86.119626168224286</v>
      </c>
      <c r="AW68" s="181">
        <f t="shared" ref="AW68:AW81" si="25">RANK(AV68, AV$67:AV$81)</f>
        <v>3</v>
      </c>
      <c r="AX68" s="410"/>
    </row>
    <row r="69" spans="2:50">
      <c r="B69" s="400"/>
      <c r="C69" s="181">
        <v>3</v>
      </c>
      <c r="D69" s="196" t="s">
        <v>317</v>
      </c>
      <c r="E69" s="165">
        <v>20</v>
      </c>
      <c r="F69" s="181">
        <v>1500</v>
      </c>
      <c r="G69" s="179">
        <v>75</v>
      </c>
      <c r="H69" s="413"/>
      <c r="I69" s="165">
        <f t="shared" si="18"/>
        <v>18</v>
      </c>
      <c r="J69" s="165">
        <f t="shared" si="18"/>
        <v>1281.1232141780126</v>
      </c>
      <c r="K69" s="179">
        <f t="shared" si="18"/>
        <v>71.1735118987785</v>
      </c>
      <c r="L69" s="413"/>
      <c r="M69" s="180">
        <f>RANK(K69, K$67:$K$81)</f>
        <v>5</v>
      </c>
      <c r="N69" s="401"/>
      <c r="O69" s="401"/>
      <c r="P69" s="181">
        <v>18</v>
      </c>
      <c r="Q69" s="165">
        <v>1305.5172413793098</v>
      </c>
      <c r="R69" s="179">
        <v>72.528735632183881</v>
      </c>
      <c r="S69" s="181">
        <f t="shared" si="19"/>
        <v>4</v>
      </c>
      <c r="T69" s="410"/>
      <c r="U69" s="181">
        <v>18</v>
      </c>
      <c r="V69" s="165">
        <v>1283.7410071942445</v>
      </c>
      <c r="W69" s="179">
        <v>71.318944844124701</v>
      </c>
      <c r="X69" s="181">
        <f t="shared" si="20"/>
        <v>5</v>
      </c>
      <c r="Y69" s="410"/>
      <c r="Z69" s="181">
        <v>18</v>
      </c>
      <c r="AA69" s="165">
        <v>1304.6715328467153</v>
      </c>
      <c r="AB69" s="179">
        <v>72.481751824817522</v>
      </c>
      <c r="AC69" s="181">
        <f t="shared" si="21"/>
        <v>4</v>
      </c>
      <c r="AD69" s="410"/>
      <c r="AE69" s="181">
        <v>18</v>
      </c>
      <c r="AF69" s="165">
        <v>1258.4070796460178</v>
      </c>
      <c r="AG69" s="179">
        <v>69.911504424778769</v>
      </c>
      <c r="AH69" s="181">
        <f t="shared" si="22"/>
        <v>6</v>
      </c>
      <c r="AI69" s="410"/>
      <c r="AJ69" s="181">
        <v>18</v>
      </c>
      <c r="AK69" s="165">
        <v>1297.8151260504205</v>
      </c>
      <c r="AL69" s="179">
        <v>72.100840336134468</v>
      </c>
      <c r="AM69" s="181">
        <f t="shared" si="23"/>
        <v>5</v>
      </c>
      <c r="AN69" s="410"/>
      <c r="AO69" s="181">
        <v>18</v>
      </c>
      <c r="AP69" s="165">
        <v>1263.3962264150944</v>
      </c>
      <c r="AQ69" s="179">
        <v>70.188679245283026</v>
      </c>
      <c r="AR69" s="181">
        <f t="shared" si="24"/>
        <v>5</v>
      </c>
      <c r="AS69" s="410"/>
      <c r="AT69" s="181">
        <v>18</v>
      </c>
      <c r="AU69" s="165">
        <v>1254.3142857142861</v>
      </c>
      <c r="AV69" s="179">
        <v>69.684126984127005</v>
      </c>
      <c r="AW69" s="181">
        <f t="shared" si="25"/>
        <v>6</v>
      </c>
      <c r="AX69" s="410"/>
    </row>
    <row r="70" spans="2:50">
      <c r="B70" s="400"/>
      <c r="C70" s="181">
        <v>4</v>
      </c>
      <c r="D70" s="196" t="s">
        <v>319</v>
      </c>
      <c r="E70" s="165">
        <v>18</v>
      </c>
      <c r="F70" s="181">
        <v>1440</v>
      </c>
      <c r="G70" s="179">
        <v>80</v>
      </c>
      <c r="H70" s="413"/>
      <c r="I70" s="165">
        <f t="shared" si="18"/>
        <v>18</v>
      </c>
      <c r="J70" s="165">
        <f t="shared" si="18"/>
        <v>1260.0847551225488</v>
      </c>
      <c r="K70" s="179">
        <f t="shared" si="18"/>
        <v>70.004708617919377</v>
      </c>
      <c r="L70" s="413"/>
      <c r="M70" s="180">
        <f>RANK(K70, K$67:$K$81)</f>
        <v>6</v>
      </c>
      <c r="N70" s="401"/>
      <c r="O70" s="401"/>
      <c r="P70" s="181">
        <v>18</v>
      </c>
      <c r="Q70" s="165">
        <v>1240.4999999999995</v>
      </c>
      <c r="R70" s="179">
        <v>68.916666666666643</v>
      </c>
      <c r="S70" s="181">
        <f t="shared" si="19"/>
        <v>6</v>
      </c>
      <c r="T70" s="410"/>
      <c r="U70" s="181">
        <v>18</v>
      </c>
      <c r="V70" s="165">
        <v>1286.1538461538455</v>
      </c>
      <c r="W70" s="179">
        <v>71.452991452991412</v>
      </c>
      <c r="X70" s="181">
        <f t="shared" si="20"/>
        <v>4</v>
      </c>
      <c r="Y70" s="410"/>
      <c r="Z70" s="181">
        <v>18</v>
      </c>
      <c r="AA70" s="165">
        <v>1247.3684210526305</v>
      </c>
      <c r="AB70" s="179">
        <v>69.298245614035025</v>
      </c>
      <c r="AC70" s="181">
        <f t="shared" si="21"/>
        <v>6</v>
      </c>
      <c r="AD70" s="410"/>
      <c r="AE70" s="181">
        <v>18</v>
      </c>
      <c r="AF70" s="165">
        <v>1267.0588235294103</v>
      </c>
      <c r="AG70" s="179">
        <v>70.392156862745026</v>
      </c>
      <c r="AH70" s="181">
        <f t="shared" si="22"/>
        <v>5</v>
      </c>
      <c r="AI70" s="410"/>
      <c r="AJ70" s="181">
        <v>18</v>
      </c>
      <c r="AK70" s="165">
        <v>1260.0000000000018</v>
      </c>
      <c r="AL70" s="179">
        <v>70.000000000000099</v>
      </c>
      <c r="AM70" s="181">
        <f t="shared" si="23"/>
        <v>6</v>
      </c>
      <c r="AN70" s="410"/>
      <c r="AO70" s="181">
        <v>18</v>
      </c>
      <c r="AP70" s="165">
        <v>1239.5121951219533</v>
      </c>
      <c r="AQ70" s="179">
        <v>68.86178861788629</v>
      </c>
      <c r="AR70" s="181">
        <f t="shared" si="24"/>
        <v>6</v>
      </c>
      <c r="AS70" s="410"/>
      <c r="AT70" s="181">
        <v>18</v>
      </c>
      <c r="AU70" s="165">
        <v>1279.9999999999995</v>
      </c>
      <c r="AV70" s="179">
        <v>71.111111111111086</v>
      </c>
      <c r="AW70" s="181">
        <f t="shared" si="25"/>
        <v>4</v>
      </c>
      <c r="AX70" s="410"/>
    </row>
    <row r="71" spans="2:50">
      <c r="B71" s="400"/>
      <c r="C71" s="181">
        <v>5</v>
      </c>
      <c r="D71" s="196" t="s">
        <v>320</v>
      </c>
      <c r="E71" s="165">
        <v>7</v>
      </c>
      <c r="F71" s="181">
        <v>1500</v>
      </c>
      <c r="G71" s="179">
        <v>214.28571428571428</v>
      </c>
      <c r="H71" s="413"/>
      <c r="I71" s="165">
        <f t="shared" si="18"/>
        <v>6.7142857142857144</v>
      </c>
      <c r="J71" s="165">
        <f t="shared" si="18"/>
        <v>1287.326470344389</v>
      </c>
      <c r="K71" s="179">
        <f t="shared" si="18"/>
        <v>192.6253546313269</v>
      </c>
      <c r="L71" s="413"/>
      <c r="M71" s="180">
        <f>RANK(K71, K$67:$K$81)</f>
        <v>1</v>
      </c>
      <c r="N71" s="401"/>
      <c r="O71" s="401"/>
      <c r="P71" s="181">
        <v>6</v>
      </c>
      <c r="Q71" s="165">
        <v>1284.3037974683543</v>
      </c>
      <c r="R71" s="179">
        <v>214.0506329113924</v>
      </c>
      <c r="S71" s="181">
        <f t="shared" si="19"/>
        <v>1</v>
      </c>
      <c r="T71" s="410"/>
      <c r="U71" s="181">
        <v>7</v>
      </c>
      <c r="V71" s="165">
        <v>1291.5189873417723</v>
      </c>
      <c r="W71" s="179">
        <v>184.50271247739605</v>
      </c>
      <c r="X71" s="181">
        <f t="shared" si="20"/>
        <v>1</v>
      </c>
      <c r="Y71" s="410"/>
      <c r="Z71" s="181">
        <v>7</v>
      </c>
      <c r="AA71" s="165">
        <v>1322.0689655172412</v>
      </c>
      <c r="AB71" s="179">
        <v>188.86699507389159</v>
      </c>
      <c r="AC71" s="181">
        <f t="shared" si="21"/>
        <v>1</v>
      </c>
      <c r="AD71" s="410"/>
      <c r="AE71" s="181">
        <v>6</v>
      </c>
      <c r="AF71" s="165">
        <v>1279.8387096774195</v>
      </c>
      <c r="AG71" s="179">
        <v>213.30645161290326</v>
      </c>
      <c r="AH71" s="181">
        <f t="shared" si="22"/>
        <v>1</v>
      </c>
      <c r="AI71" s="410"/>
      <c r="AJ71" s="181">
        <v>7</v>
      </c>
      <c r="AK71" s="165">
        <v>1267.0312500000002</v>
      </c>
      <c r="AL71" s="179">
        <v>181.00446428571431</v>
      </c>
      <c r="AM71" s="181">
        <f t="shared" si="23"/>
        <v>1</v>
      </c>
      <c r="AN71" s="410"/>
      <c r="AO71" s="181">
        <v>7</v>
      </c>
      <c r="AP71" s="165">
        <v>1274.9019607843134</v>
      </c>
      <c r="AQ71" s="179">
        <v>182.12885154061618</v>
      </c>
      <c r="AR71" s="181">
        <f t="shared" si="24"/>
        <v>2</v>
      </c>
      <c r="AS71" s="410"/>
      <c r="AT71" s="181">
        <v>7</v>
      </c>
      <c r="AU71" s="165">
        <v>1291.6216216216217</v>
      </c>
      <c r="AV71" s="179">
        <v>184.51737451737452</v>
      </c>
      <c r="AW71" s="181">
        <f t="shared" si="25"/>
        <v>1</v>
      </c>
      <c r="AX71" s="410"/>
    </row>
    <row r="72" spans="2:50">
      <c r="B72" s="400"/>
      <c r="C72" s="181">
        <v>6</v>
      </c>
      <c r="D72" s="196" t="s">
        <v>321</v>
      </c>
      <c r="E72" s="165">
        <v>20</v>
      </c>
      <c r="F72" s="181">
        <v>1440</v>
      </c>
      <c r="G72" s="179">
        <v>72</v>
      </c>
      <c r="H72" s="413"/>
      <c r="I72" s="165">
        <f t="shared" si="18"/>
        <v>18</v>
      </c>
      <c r="J72" s="165">
        <f t="shared" si="18"/>
        <v>1283.9485899158401</v>
      </c>
      <c r="K72" s="179">
        <f t="shared" si="18"/>
        <v>71.330477217546644</v>
      </c>
      <c r="L72" s="413"/>
      <c r="M72" s="180">
        <f>RANK(K72, K$67:$K$81)</f>
        <v>4</v>
      </c>
      <c r="N72" s="401"/>
      <c r="O72" s="401"/>
      <c r="P72" s="181">
        <v>18</v>
      </c>
      <c r="Q72" s="165">
        <v>1300.0727272727268</v>
      </c>
      <c r="R72" s="179">
        <v>72.226262626262596</v>
      </c>
      <c r="S72" s="181">
        <f t="shared" si="19"/>
        <v>5</v>
      </c>
      <c r="T72" s="410"/>
      <c r="U72" s="181">
        <v>18</v>
      </c>
      <c r="V72" s="165">
        <v>1250.5263157894728</v>
      </c>
      <c r="W72" s="179">
        <v>69.473684210526272</v>
      </c>
      <c r="X72" s="181">
        <f t="shared" si="20"/>
        <v>6</v>
      </c>
      <c r="Y72" s="410"/>
      <c r="Z72" s="181">
        <v>18</v>
      </c>
      <c r="AA72" s="165">
        <v>1293.7679999999998</v>
      </c>
      <c r="AB72" s="179">
        <v>71.875999999999991</v>
      </c>
      <c r="AC72" s="181">
        <f t="shared" si="21"/>
        <v>5</v>
      </c>
      <c r="AD72" s="410"/>
      <c r="AE72" s="181">
        <v>18</v>
      </c>
      <c r="AF72" s="165">
        <v>1307.5169491525428</v>
      </c>
      <c r="AG72" s="179">
        <v>72.639830508474603</v>
      </c>
      <c r="AH72" s="181">
        <f t="shared" si="22"/>
        <v>4</v>
      </c>
      <c r="AI72" s="410"/>
      <c r="AJ72" s="181">
        <v>18</v>
      </c>
      <c r="AK72" s="165">
        <v>1310.1507692307689</v>
      </c>
      <c r="AL72" s="179">
        <v>72.786153846153823</v>
      </c>
      <c r="AM72" s="181">
        <f t="shared" si="23"/>
        <v>4</v>
      </c>
      <c r="AN72" s="410"/>
      <c r="AO72" s="181">
        <v>18</v>
      </c>
      <c r="AP72" s="165">
        <v>1269.9066666666665</v>
      </c>
      <c r="AQ72" s="179">
        <v>70.550370370370359</v>
      </c>
      <c r="AR72" s="181">
        <f t="shared" si="24"/>
        <v>4</v>
      </c>
      <c r="AS72" s="410"/>
      <c r="AT72" s="181">
        <v>18</v>
      </c>
      <c r="AU72" s="165">
        <v>1255.6987012987013</v>
      </c>
      <c r="AV72" s="179">
        <v>69.761038961038963</v>
      </c>
      <c r="AW72" s="181">
        <f t="shared" si="25"/>
        <v>5</v>
      </c>
      <c r="AX72" s="410"/>
    </row>
    <row r="73" spans="2:50">
      <c r="B73" s="400"/>
      <c r="C73" s="181">
        <v>7</v>
      </c>
      <c r="D73" s="196"/>
      <c r="E73" s="165"/>
      <c r="F73" s="181"/>
      <c r="G73" s="179"/>
      <c r="H73" s="413"/>
      <c r="I73" s="165"/>
      <c r="J73" s="165"/>
      <c r="K73" s="179"/>
      <c r="L73" s="413"/>
      <c r="M73" s="180" t="e">
        <f>RANK(K73, K$67:$K$81)</f>
        <v>#N/A</v>
      </c>
      <c r="N73" s="401"/>
      <c r="O73" s="401"/>
      <c r="P73" s="181"/>
      <c r="Q73" s="165"/>
      <c r="R73" s="179"/>
      <c r="S73" s="181" t="e">
        <f t="shared" si="19"/>
        <v>#N/A</v>
      </c>
      <c r="T73" s="410"/>
      <c r="U73" s="181"/>
      <c r="V73" s="165"/>
      <c r="W73" s="179"/>
      <c r="X73" s="181" t="e">
        <f t="shared" si="20"/>
        <v>#N/A</v>
      </c>
      <c r="Y73" s="410"/>
      <c r="Z73" s="181"/>
      <c r="AA73" s="165"/>
      <c r="AB73" s="179"/>
      <c r="AC73" s="181" t="e">
        <f t="shared" si="21"/>
        <v>#N/A</v>
      </c>
      <c r="AD73" s="410"/>
      <c r="AE73" s="181"/>
      <c r="AF73" s="165"/>
      <c r="AG73" s="179"/>
      <c r="AH73" s="181" t="e">
        <f t="shared" si="22"/>
        <v>#N/A</v>
      </c>
      <c r="AI73" s="410"/>
      <c r="AJ73" s="181"/>
      <c r="AK73" s="165"/>
      <c r="AL73" s="179"/>
      <c r="AM73" s="181" t="e">
        <f t="shared" si="23"/>
        <v>#N/A</v>
      </c>
      <c r="AN73" s="410"/>
      <c r="AO73" s="181"/>
      <c r="AP73" s="165"/>
      <c r="AQ73" s="179"/>
      <c r="AR73" s="181" t="e">
        <f t="shared" si="24"/>
        <v>#N/A</v>
      </c>
      <c r="AS73" s="410"/>
      <c r="AT73" s="181"/>
      <c r="AU73" s="165"/>
      <c r="AV73" s="179"/>
      <c r="AW73" s="181" t="e">
        <f t="shared" si="25"/>
        <v>#N/A</v>
      </c>
      <c r="AX73" s="410"/>
    </row>
    <row r="74" spans="2:50">
      <c r="B74" s="400"/>
      <c r="C74" s="181">
        <v>8</v>
      </c>
      <c r="D74" s="196"/>
      <c r="E74" s="165"/>
      <c r="F74" s="181"/>
      <c r="G74" s="179"/>
      <c r="H74" s="413"/>
      <c r="I74" s="165"/>
      <c r="J74" s="165"/>
      <c r="K74" s="179"/>
      <c r="L74" s="413"/>
      <c r="M74" s="180" t="e">
        <f>RANK(K74, K$67:$K$81)</f>
        <v>#N/A</v>
      </c>
      <c r="N74" s="401"/>
      <c r="O74" s="401"/>
      <c r="P74" s="181"/>
      <c r="Q74" s="165"/>
      <c r="R74" s="179"/>
      <c r="S74" s="181" t="e">
        <f t="shared" si="19"/>
        <v>#N/A</v>
      </c>
      <c r="T74" s="410"/>
      <c r="U74" s="181"/>
      <c r="V74" s="165"/>
      <c r="W74" s="179"/>
      <c r="X74" s="181" t="e">
        <f t="shared" si="20"/>
        <v>#N/A</v>
      </c>
      <c r="Y74" s="410"/>
      <c r="Z74" s="181"/>
      <c r="AA74" s="165"/>
      <c r="AB74" s="179"/>
      <c r="AC74" s="181" t="e">
        <f t="shared" si="21"/>
        <v>#N/A</v>
      </c>
      <c r="AD74" s="410"/>
      <c r="AE74" s="181"/>
      <c r="AF74" s="165"/>
      <c r="AG74" s="179"/>
      <c r="AH74" s="181" t="e">
        <f t="shared" si="22"/>
        <v>#N/A</v>
      </c>
      <c r="AI74" s="410"/>
      <c r="AJ74" s="181"/>
      <c r="AK74" s="165"/>
      <c r="AL74" s="179"/>
      <c r="AM74" s="181" t="e">
        <f t="shared" si="23"/>
        <v>#N/A</v>
      </c>
      <c r="AN74" s="410"/>
      <c r="AO74" s="181"/>
      <c r="AP74" s="165"/>
      <c r="AQ74" s="179"/>
      <c r="AR74" s="181" t="e">
        <f t="shared" si="24"/>
        <v>#N/A</v>
      </c>
      <c r="AS74" s="410"/>
      <c r="AT74" s="181"/>
      <c r="AU74" s="165"/>
      <c r="AV74" s="179"/>
      <c r="AW74" s="181" t="e">
        <f t="shared" si="25"/>
        <v>#N/A</v>
      </c>
      <c r="AX74" s="410"/>
    </row>
    <row r="75" spans="2:50">
      <c r="B75" s="400"/>
      <c r="C75" s="181">
        <v>9</v>
      </c>
      <c r="D75" s="196"/>
      <c r="E75" s="165"/>
      <c r="F75" s="181"/>
      <c r="G75" s="179"/>
      <c r="H75" s="413"/>
      <c r="I75" s="165"/>
      <c r="J75" s="165"/>
      <c r="K75" s="179"/>
      <c r="L75" s="413"/>
      <c r="M75" s="180" t="e">
        <f>RANK(K75, K$67:$K$81)</f>
        <v>#N/A</v>
      </c>
      <c r="N75" s="401"/>
      <c r="O75" s="401"/>
      <c r="P75" s="181"/>
      <c r="Q75" s="165"/>
      <c r="R75" s="179"/>
      <c r="S75" s="181" t="e">
        <f t="shared" si="19"/>
        <v>#N/A</v>
      </c>
      <c r="T75" s="410"/>
      <c r="U75" s="181"/>
      <c r="V75" s="165"/>
      <c r="W75" s="179"/>
      <c r="X75" s="181" t="e">
        <f t="shared" si="20"/>
        <v>#N/A</v>
      </c>
      <c r="Y75" s="410"/>
      <c r="Z75" s="181"/>
      <c r="AA75" s="165"/>
      <c r="AB75" s="179"/>
      <c r="AC75" s="181" t="e">
        <f t="shared" si="21"/>
        <v>#N/A</v>
      </c>
      <c r="AD75" s="410"/>
      <c r="AE75" s="181"/>
      <c r="AF75" s="165"/>
      <c r="AG75" s="179"/>
      <c r="AH75" s="181" t="e">
        <f t="shared" si="22"/>
        <v>#N/A</v>
      </c>
      <c r="AI75" s="410"/>
      <c r="AJ75" s="181"/>
      <c r="AK75" s="165"/>
      <c r="AL75" s="179"/>
      <c r="AM75" s="181" t="e">
        <f t="shared" si="23"/>
        <v>#N/A</v>
      </c>
      <c r="AN75" s="410"/>
      <c r="AO75" s="181"/>
      <c r="AP75" s="165"/>
      <c r="AQ75" s="179"/>
      <c r="AR75" s="181" t="e">
        <f t="shared" si="24"/>
        <v>#N/A</v>
      </c>
      <c r="AS75" s="410"/>
      <c r="AT75" s="181"/>
      <c r="AU75" s="165"/>
      <c r="AV75" s="179"/>
      <c r="AW75" s="181" t="e">
        <f t="shared" si="25"/>
        <v>#N/A</v>
      </c>
      <c r="AX75" s="410"/>
    </row>
    <row r="76" spans="2:50">
      <c r="B76" s="400"/>
      <c r="C76" s="181">
        <v>10</v>
      </c>
      <c r="D76" s="196"/>
      <c r="E76" s="165"/>
      <c r="F76" s="181"/>
      <c r="G76" s="179"/>
      <c r="H76" s="413"/>
      <c r="I76" s="165"/>
      <c r="J76" s="165"/>
      <c r="K76" s="179"/>
      <c r="L76" s="413"/>
      <c r="M76" s="180" t="e">
        <f>RANK(K76, K$67:$K$81)</f>
        <v>#N/A</v>
      </c>
      <c r="N76" s="401"/>
      <c r="O76" s="401"/>
      <c r="P76" s="181"/>
      <c r="Q76" s="165"/>
      <c r="R76" s="179"/>
      <c r="S76" s="181" t="e">
        <f t="shared" si="19"/>
        <v>#N/A</v>
      </c>
      <c r="T76" s="410"/>
      <c r="U76" s="181"/>
      <c r="V76" s="165"/>
      <c r="W76" s="179"/>
      <c r="X76" s="181" t="e">
        <f t="shared" si="20"/>
        <v>#N/A</v>
      </c>
      <c r="Y76" s="410"/>
      <c r="Z76" s="181"/>
      <c r="AA76" s="165"/>
      <c r="AB76" s="179"/>
      <c r="AC76" s="181" t="e">
        <f t="shared" si="21"/>
        <v>#N/A</v>
      </c>
      <c r="AD76" s="410"/>
      <c r="AE76" s="181"/>
      <c r="AF76" s="165"/>
      <c r="AG76" s="179"/>
      <c r="AH76" s="181" t="e">
        <f t="shared" si="22"/>
        <v>#N/A</v>
      </c>
      <c r="AI76" s="410"/>
      <c r="AJ76" s="181"/>
      <c r="AK76" s="165"/>
      <c r="AL76" s="179"/>
      <c r="AM76" s="181" t="e">
        <f t="shared" si="23"/>
        <v>#N/A</v>
      </c>
      <c r="AN76" s="410"/>
      <c r="AO76" s="181"/>
      <c r="AP76" s="165"/>
      <c r="AQ76" s="179"/>
      <c r="AR76" s="181" t="e">
        <f t="shared" si="24"/>
        <v>#N/A</v>
      </c>
      <c r="AS76" s="410"/>
      <c r="AT76" s="181"/>
      <c r="AU76" s="165"/>
      <c r="AV76" s="179"/>
      <c r="AW76" s="181" t="e">
        <f t="shared" si="25"/>
        <v>#N/A</v>
      </c>
      <c r="AX76" s="410"/>
    </row>
    <row r="77" spans="2:50">
      <c r="B77" s="400"/>
      <c r="C77" s="181">
        <v>11</v>
      </c>
      <c r="D77" s="196"/>
      <c r="E77" s="165"/>
      <c r="F77" s="181"/>
      <c r="G77" s="179"/>
      <c r="H77" s="413"/>
      <c r="I77" s="165"/>
      <c r="J77" s="165"/>
      <c r="K77" s="179"/>
      <c r="L77" s="413"/>
      <c r="M77" s="180" t="e">
        <f>RANK(K77, K$67:$K$81)</f>
        <v>#N/A</v>
      </c>
      <c r="N77" s="401"/>
      <c r="O77" s="401"/>
      <c r="P77" s="181"/>
      <c r="Q77" s="165"/>
      <c r="R77" s="179"/>
      <c r="S77" s="181" t="e">
        <f t="shared" si="19"/>
        <v>#N/A</v>
      </c>
      <c r="T77" s="410"/>
      <c r="U77" s="181"/>
      <c r="V77" s="165"/>
      <c r="W77" s="179"/>
      <c r="X77" s="181" t="e">
        <f t="shared" si="20"/>
        <v>#N/A</v>
      </c>
      <c r="Y77" s="410"/>
      <c r="Z77" s="181"/>
      <c r="AA77" s="165"/>
      <c r="AB77" s="179"/>
      <c r="AC77" s="181" t="e">
        <f t="shared" si="21"/>
        <v>#N/A</v>
      </c>
      <c r="AD77" s="410"/>
      <c r="AE77" s="181"/>
      <c r="AF77" s="165"/>
      <c r="AG77" s="179"/>
      <c r="AH77" s="181" t="e">
        <f t="shared" si="22"/>
        <v>#N/A</v>
      </c>
      <c r="AI77" s="410"/>
      <c r="AJ77" s="181"/>
      <c r="AK77" s="165"/>
      <c r="AL77" s="179"/>
      <c r="AM77" s="181" t="e">
        <f t="shared" si="23"/>
        <v>#N/A</v>
      </c>
      <c r="AN77" s="410"/>
      <c r="AO77" s="181"/>
      <c r="AP77" s="165"/>
      <c r="AQ77" s="179"/>
      <c r="AR77" s="181" t="e">
        <f t="shared" si="24"/>
        <v>#N/A</v>
      </c>
      <c r="AS77" s="410"/>
      <c r="AT77" s="181"/>
      <c r="AU77" s="165"/>
      <c r="AV77" s="179"/>
      <c r="AW77" s="181" t="e">
        <f t="shared" si="25"/>
        <v>#N/A</v>
      </c>
      <c r="AX77" s="410"/>
    </row>
    <row r="78" spans="2:50">
      <c r="B78" s="400"/>
      <c r="C78" s="181">
        <v>12</v>
      </c>
      <c r="D78" s="196"/>
      <c r="E78" s="165"/>
      <c r="F78" s="181"/>
      <c r="G78" s="179"/>
      <c r="H78" s="413"/>
      <c r="I78" s="165"/>
      <c r="J78" s="165"/>
      <c r="K78" s="179"/>
      <c r="L78" s="413"/>
      <c r="M78" s="180" t="e">
        <f>RANK(K78, K$67:$K$81)</f>
        <v>#N/A</v>
      </c>
      <c r="N78" s="401"/>
      <c r="O78" s="401"/>
      <c r="P78" s="181"/>
      <c r="Q78" s="165"/>
      <c r="R78" s="179"/>
      <c r="S78" s="181" t="e">
        <f t="shared" si="19"/>
        <v>#N/A</v>
      </c>
      <c r="T78" s="410"/>
      <c r="U78" s="181"/>
      <c r="V78" s="165"/>
      <c r="W78" s="179"/>
      <c r="X78" s="181" t="e">
        <f t="shared" si="20"/>
        <v>#N/A</v>
      </c>
      <c r="Y78" s="410"/>
      <c r="Z78" s="181"/>
      <c r="AA78" s="165"/>
      <c r="AB78" s="179"/>
      <c r="AC78" s="181" t="e">
        <f t="shared" si="21"/>
        <v>#N/A</v>
      </c>
      <c r="AD78" s="410"/>
      <c r="AE78" s="181"/>
      <c r="AF78" s="165"/>
      <c r="AG78" s="179"/>
      <c r="AH78" s="181" t="e">
        <f t="shared" si="22"/>
        <v>#N/A</v>
      </c>
      <c r="AI78" s="410"/>
      <c r="AJ78" s="181"/>
      <c r="AK78" s="165"/>
      <c r="AL78" s="179"/>
      <c r="AM78" s="181" t="e">
        <f t="shared" si="23"/>
        <v>#N/A</v>
      </c>
      <c r="AN78" s="410"/>
      <c r="AO78" s="181"/>
      <c r="AP78" s="165"/>
      <c r="AQ78" s="179"/>
      <c r="AR78" s="181" t="e">
        <f t="shared" si="24"/>
        <v>#N/A</v>
      </c>
      <c r="AS78" s="410"/>
      <c r="AT78" s="181"/>
      <c r="AU78" s="165"/>
      <c r="AV78" s="179"/>
      <c r="AW78" s="181" t="e">
        <f t="shared" si="25"/>
        <v>#N/A</v>
      </c>
      <c r="AX78" s="410"/>
    </row>
    <row r="79" spans="2:50">
      <c r="B79" s="400"/>
      <c r="C79" s="181">
        <v>13</v>
      </c>
      <c r="D79" s="196"/>
      <c r="E79" s="165"/>
      <c r="F79" s="181"/>
      <c r="G79" s="179"/>
      <c r="H79" s="413"/>
      <c r="I79" s="165"/>
      <c r="J79" s="165"/>
      <c r="K79" s="179"/>
      <c r="L79" s="413"/>
      <c r="M79" s="180" t="e">
        <f>RANK(K79, K$67:$K$81)</f>
        <v>#N/A</v>
      </c>
      <c r="N79" s="401"/>
      <c r="O79" s="401"/>
      <c r="P79" s="181"/>
      <c r="Q79" s="165"/>
      <c r="R79" s="179"/>
      <c r="S79" s="181" t="e">
        <f t="shared" si="19"/>
        <v>#N/A</v>
      </c>
      <c r="T79" s="410"/>
      <c r="U79" s="181"/>
      <c r="V79" s="165"/>
      <c r="W79" s="179"/>
      <c r="X79" s="181" t="e">
        <f t="shared" si="20"/>
        <v>#N/A</v>
      </c>
      <c r="Y79" s="410"/>
      <c r="Z79" s="181"/>
      <c r="AA79" s="165"/>
      <c r="AB79" s="179"/>
      <c r="AC79" s="181" t="e">
        <f t="shared" si="21"/>
        <v>#N/A</v>
      </c>
      <c r="AD79" s="410"/>
      <c r="AE79" s="181"/>
      <c r="AF79" s="165"/>
      <c r="AG79" s="179"/>
      <c r="AH79" s="181" t="e">
        <f t="shared" si="22"/>
        <v>#N/A</v>
      </c>
      <c r="AI79" s="410"/>
      <c r="AJ79" s="181"/>
      <c r="AK79" s="165"/>
      <c r="AL79" s="179"/>
      <c r="AM79" s="181" t="e">
        <f t="shared" si="23"/>
        <v>#N/A</v>
      </c>
      <c r="AN79" s="410"/>
      <c r="AO79" s="181"/>
      <c r="AP79" s="165"/>
      <c r="AQ79" s="179"/>
      <c r="AR79" s="181" t="e">
        <f t="shared" si="24"/>
        <v>#N/A</v>
      </c>
      <c r="AS79" s="410"/>
      <c r="AT79" s="181"/>
      <c r="AU79" s="165"/>
      <c r="AV79" s="179"/>
      <c r="AW79" s="181" t="e">
        <f t="shared" si="25"/>
        <v>#N/A</v>
      </c>
      <c r="AX79" s="410"/>
    </row>
    <row r="80" spans="2:50">
      <c r="B80" s="400"/>
      <c r="C80" s="181">
        <v>14</v>
      </c>
      <c r="D80" s="196"/>
      <c r="E80" s="165"/>
      <c r="F80" s="181"/>
      <c r="G80" s="179"/>
      <c r="H80" s="413"/>
      <c r="I80" s="165"/>
      <c r="J80" s="165"/>
      <c r="K80" s="179"/>
      <c r="L80" s="413"/>
      <c r="M80" s="180" t="e">
        <f>RANK(K80, K$67:$K$81)</f>
        <v>#N/A</v>
      </c>
      <c r="N80" s="401"/>
      <c r="O80" s="401"/>
      <c r="P80" s="181"/>
      <c r="Q80" s="165"/>
      <c r="R80" s="179"/>
      <c r="S80" s="181" t="e">
        <f t="shared" si="19"/>
        <v>#N/A</v>
      </c>
      <c r="T80" s="410"/>
      <c r="U80" s="181"/>
      <c r="V80" s="165"/>
      <c r="W80" s="179"/>
      <c r="X80" s="181" t="e">
        <f t="shared" si="20"/>
        <v>#N/A</v>
      </c>
      <c r="Y80" s="410"/>
      <c r="Z80" s="181"/>
      <c r="AA80" s="165"/>
      <c r="AB80" s="179"/>
      <c r="AC80" s="181" t="e">
        <f t="shared" si="21"/>
        <v>#N/A</v>
      </c>
      <c r="AD80" s="410"/>
      <c r="AE80" s="181"/>
      <c r="AF80" s="165"/>
      <c r="AG80" s="179"/>
      <c r="AH80" s="181" t="e">
        <f t="shared" si="22"/>
        <v>#N/A</v>
      </c>
      <c r="AI80" s="410"/>
      <c r="AJ80" s="181"/>
      <c r="AK80" s="165"/>
      <c r="AL80" s="179"/>
      <c r="AM80" s="181" t="e">
        <f t="shared" si="23"/>
        <v>#N/A</v>
      </c>
      <c r="AN80" s="410"/>
      <c r="AO80" s="181"/>
      <c r="AP80" s="165"/>
      <c r="AQ80" s="179"/>
      <c r="AR80" s="181" t="e">
        <f t="shared" si="24"/>
        <v>#N/A</v>
      </c>
      <c r="AS80" s="410"/>
      <c r="AT80" s="181"/>
      <c r="AU80" s="165"/>
      <c r="AV80" s="179"/>
      <c r="AW80" s="181" t="e">
        <f t="shared" si="25"/>
        <v>#N/A</v>
      </c>
      <c r="AX80" s="410"/>
    </row>
    <row r="81" spans="2:50">
      <c r="B81" s="400"/>
      <c r="C81" s="181">
        <v>15</v>
      </c>
      <c r="D81" s="196"/>
      <c r="E81" s="165"/>
      <c r="F81" s="181"/>
      <c r="G81" s="179"/>
      <c r="H81" s="414"/>
      <c r="I81" s="165"/>
      <c r="J81" s="165"/>
      <c r="K81" s="179"/>
      <c r="L81" s="414"/>
      <c r="M81" s="180" t="e">
        <f>RANK(K81, K$67:$K$81)</f>
        <v>#N/A</v>
      </c>
      <c r="N81" s="401"/>
      <c r="O81" s="401"/>
      <c r="P81" s="181"/>
      <c r="Q81" s="165"/>
      <c r="R81" s="179"/>
      <c r="S81" s="181" t="e">
        <f t="shared" si="19"/>
        <v>#N/A</v>
      </c>
      <c r="T81" s="411"/>
      <c r="U81" s="181"/>
      <c r="V81" s="165"/>
      <c r="W81" s="179"/>
      <c r="X81" s="181" t="e">
        <f t="shared" si="20"/>
        <v>#N/A</v>
      </c>
      <c r="Y81" s="411"/>
      <c r="Z81" s="181"/>
      <c r="AA81" s="165"/>
      <c r="AB81" s="179"/>
      <c r="AC81" s="181" t="e">
        <f t="shared" si="21"/>
        <v>#N/A</v>
      </c>
      <c r="AD81" s="411"/>
      <c r="AE81" s="181"/>
      <c r="AF81" s="165"/>
      <c r="AG81" s="179"/>
      <c r="AH81" s="181" t="e">
        <f t="shared" si="22"/>
        <v>#N/A</v>
      </c>
      <c r="AI81" s="411"/>
      <c r="AJ81" s="181"/>
      <c r="AK81" s="165"/>
      <c r="AL81" s="179"/>
      <c r="AM81" s="181" t="e">
        <f t="shared" si="23"/>
        <v>#N/A</v>
      </c>
      <c r="AN81" s="411"/>
      <c r="AO81" s="181"/>
      <c r="AP81" s="165"/>
      <c r="AQ81" s="179"/>
      <c r="AR81" s="181" t="e">
        <f t="shared" si="24"/>
        <v>#N/A</v>
      </c>
      <c r="AS81" s="411"/>
      <c r="AT81" s="181"/>
      <c r="AU81" s="165"/>
      <c r="AV81" s="179"/>
      <c r="AW81" s="181" t="e">
        <f t="shared" si="25"/>
        <v>#N/A</v>
      </c>
      <c r="AX81" s="411"/>
    </row>
    <row r="82" spans="2:50" ht="15.75">
      <c r="B82" s="394" t="s">
        <v>187</v>
      </c>
      <c r="C82" s="395"/>
      <c r="D82" s="395"/>
      <c r="E82" s="395"/>
      <c r="F82" s="395"/>
      <c r="G82" s="395"/>
      <c r="H82" s="395"/>
      <c r="I82" s="185"/>
      <c r="J82" s="185"/>
      <c r="K82" s="185"/>
      <c r="L82" s="185"/>
      <c r="M82" s="184"/>
      <c r="N82" s="397" t="s">
        <v>188</v>
      </c>
      <c r="O82" s="397" t="s">
        <v>135</v>
      </c>
      <c r="P82" s="399">
        <f>P62+7</f>
        <v>45923</v>
      </c>
      <c r="Q82" s="400"/>
      <c r="R82" s="400"/>
      <c r="S82" s="400"/>
      <c r="T82" s="400"/>
      <c r="U82" s="426">
        <f>P82+1</f>
        <v>45924</v>
      </c>
      <c r="V82" s="427"/>
      <c r="W82" s="427"/>
      <c r="X82" s="427"/>
      <c r="Y82" s="428"/>
      <c r="Z82" s="426">
        <f>U82+1</f>
        <v>45925</v>
      </c>
      <c r="AA82" s="427"/>
      <c r="AB82" s="427"/>
      <c r="AC82" s="427"/>
      <c r="AD82" s="428"/>
      <c r="AE82" s="426">
        <f>Z82+1</f>
        <v>45926</v>
      </c>
      <c r="AF82" s="427"/>
      <c r="AG82" s="427"/>
      <c r="AH82" s="427"/>
      <c r="AI82" s="428"/>
      <c r="AJ82" s="426">
        <f>AE82+1</f>
        <v>45927</v>
      </c>
      <c r="AK82" s="427"/>
      <c r="AL82" s="427"/>
      <c r="AM82" s="427"/>
      <c r="AN82" s="428"/>
      <c r="AO82" s="426">
        <f>AJ82+1</f>
        <v>45928</v>
      </c>
      <c r="AP82" s="427"/>
      <c r="AQ82" s="427"/>
      <c r="AR82" s="427"/>
      <c r="AS82" s="428"/>
      <c r="AT82" s="426">
        <f>AO82+1</f>
        <v>45929</v>
      </c>
      <c r="AU82" s="427"/>
      <c r="AV82" s="427"/>
      <c r="AW82" s="427"/>
      <c r="AX82" s="428"/>
    </row>
    <row r="83" spans="2:50" ht="15.75">
      <c r="B83" s="396"/>
      <c r="C83" s="396"/>
      <c r="D83" s="396"/>
      <c r="E83" s="396"/>
      <c r="F83" s="396"/>
      <c r="G83" s="396"/>
      <c r="H83" s="396"/>
      <c r="I83" s="183"/>
      <c r="J83" s="183"/>
      <c r="K83" s="183"/>
      <c r="L83" s="183"/>
      <c r="M83" s="178"/>
      <c r="N83" s="398"/>
      <c r="O83" s="398"/>
      <c r="P83" s="399" t="s">
        <v>223</v>
      </c>
      <c r="Q83" s="400"/>
      <c r="R83" s="400"/>
      <c r="S83" s="400"/>
      <c r="T83" s="400"/>
      <c r="U83" s="399" t="s">
        <v>224</v>
      </c>
      <c r="V83" s="400"/>
      <c r="W83" s="400"/>
      <c r="X83" s="400"/>
      <c r="Y83" s="400"/>
      <c r="Z83" s="399" t="s">
        <v>225</v>
      </c>
      <c r="AA83" s="400"/>
      <c r="AB83" s="400"/>
      <c r="AC83" s="400"/>
      <c r="AD83" s="400"/>
      <c r="AE83" s="399" t="s">
        <v>226</v>
      </c>
      <c r="AF83" s="400"/>
      <c r="AG83" s="400"/>
      <c r="AH83" s="400"/>
      <c r="AI83" s="400"/>
      <c r="AJ83" s="399" t="s">
        <v>227</v>
      </c>
      <c r="AK83" s="400"/>
      <c r="AL83" s="400"/>
      <c r="AM83" s="400"/>
      <c r="AN83" s="400"/>
      <c r="AO83" s="399" t="s">
        <v>142</v>
      </c>
      <c r="AP83" s="400"/>
      <c r="AQ83" s="400"/>
      <c r="AR83" s="400"/>
      <c r="AS83" s="400"/>
      <c r="AT83" s="399" t="s">
        <v>189</v>
      </c>
      <c r="AU83" s="400"/>
      <c r="AV83" s="400"/>
      <c r="AW83" s="400"/>
      <c r="AX83" s="400"/>
    </row>
    <row r="84" spans="2:50">
      <c r="B84" s="401" t="s">
        <v>190</v>
      </c>
      <c r="C84" s="401" t="s">
        <v>191</v>
      </c>
      <c r="D84" s="401"/>
      <c r="E84" s="401" t="s">
        <v>192</v>
      </c>
      <c r="F84" s="401"/>
      <c r="G84" s="401"/>
      <c r="H84" s="402" t="s">
        <v>193</v>
      </c>
      <c r="I84" s="401" t="s">
        <v>194</v>
      </c>
      <c r="J84" s="401"/>
      <c r="K84" s="401"/>
      <c r="L84" s="402" t="s">
        <v>193</v>
      </c>
      <c r="M84" s="397" t="s">
        <v>195</v>
      </c>
      <c r="N84" s="401"/>
      <c r="O84" s="401" t="s">
        <v>196</v>
      </c>
      <c r="P84" s="406" t="s">
        <v>197</v>
      </c>
      <c r="Q84" s="407"/>
      <c r="R84" s="407"/>
      <c r="S84" s="408"/>
      <c r="T84" s="401" t="s">
        <v>193</v>
      </c>
      <c r="U84" s="406" t="s">
        <v>197</v>
      </c>
      <c r="V84" s="407"/>
      <c r="W84" s="407"/>
      <c r="X84" s="408"/>
      <c r="Y84" s="401" t="s">
        <v>193</v>
      </c>
      <c r="Z84" s="406" t="s">
        <v>197</v>
      </c>
      <c r="AA84" s="407"/>
      <c r="AB84" s="407"/>
      <c r="AC84" s="408"/>
      <c r="AD84" s="401" t="s">
        <v>193</v>
      </c>
      <c r="AE84" s="406" t="s">
        <v>197</v>
      </c>
      <c r="AF84" s="407"/>
      <c r="AG84" s="407"/>
      <c r="AH84" s="408"/>
      <c r="AI84" s="401" t="s">
        <v>193</v>
      </c>
      <c r="AJ84" s="406" t="s">
        <v>197</v>
      </c>
      <c r="AK84" s="407"/>
      <c r="AL84" s="407"/>
      <c r="AM84" s="408"/>
      <c r="AN84" s="401" t="s">
        <v>193</v>
      </c>
      <c r="AO84" s="406" t="s">
        <v>197</v>
      </c>
      <c r="AP84" s="407"/>
      <c r="AQ84" s="407"/>
      <c r="AR84" s="408"/>
      <c r="AS84" s="401" t="s">
        <v>193</v>
      </c>
      <c r="AT84" s="406" t="s">
        <v>197</v>
      </c>
      <c r="AU84" s="407"/>
      <c r="AV84" s="407"/>
      <c r="AW84" s="408"/>
      <c r="AX84" s="401" t="s">
        <v>193</v>
      </c>
    </row>
    <row r="85" spans="2:50">
      <c r="B85" s="401"/>
      <c r="C85" s="401"/>
      <c r="D85" s="401"/>
      <c r="E85" s="401" t="s">
        <v>198</v>
      </c>
      <c r="F85" s="401"/>
      <c r="G85" s="401"/>
      <c r="H85" s="403"/>
      <c r="I85" s="401" t="s">
        <v>198</v>
      </c>
      <c r="J85" s="401"/>
      <c r="K85" s="401"/>
      <c r="L85" s="403"/>
      <c r="M85" s="405"/>
      <c r="N85" s="401"/>
      <c r="O85" s="401"/>
      <c r="P85" s="406" t="s">
        <v>199</v>
      </c>
      <c r="Q85" s="407"/>
      <c r="R85" s="407"/>
      <c r="S85" s="408"/>
      <c r="T85" s="401"/>
      <c r="U85" s="406" t="s">
        <v>199</v>
      </c>
      <c r="V85" s="407"/>
      <c r="W85" s="407"/>
      <c r="X85" s="408"/>
      <c r="Y85" s="401"/>
      <c r="Z85" s="406" t="s">
        <v>199</v>
      </c>
      <c r="AA85" s="407"/>
      <c r="AB85" s="407"/>
      <c r="AC85" s="408"/>
      <c r="AD85" s="401"/>
      <c r="AE85" s="406" t="s">
        <v>199</v>
      </c>
      <c r="AF85" s="407"/>
      <c r="AG85" s="407"/>
      <c r="AH85" s="408"/>
      <c r="AI85" s="401"/>
      <c r="AJ85" s="406" t="s">
        <v>199</v>
      </c>
      <c r="AK85" s="407"/>
      <c r="AL85" s="407"/>
      <c r="AM85" s="408"/>
      <c r="AN85" s="401"/>
      <c r="AO85" s="406" t="s">
        <v>199</v>
      </c>
      <c r="AP85" s="407"/>
      <c r="AQ85" s="407"/>
      <c r="AR85" s="408"/>
      <c r="AS85" s="401"/>
      <c r="AT85" s="406" t="s">
        <v>199</v>
      </c>
      <c r="AU85" s="407"/>
      <c r="AV85" s="407"/>
      <c r="AW85" s="408"/>
      <c r="AX85" s="401"/>
    </row>
    <row r="86" spans="2:50">
      <c r="B86" s="401"/>
      <c r="C86" s="401"/>
      <c r="D86" s="401"/>
      <c r="E86" s="234" t="s">
        <v>200</v>
      </c>
      <c r="F86" s="234" t="s">
        <v>201</v>
      </c>
      <c r="G86" s="234" t="s">
        <v>202</v>
      </c>
      <c r="H86" s="404"/>
      <c r="I86" s="234" t="s">
        <v>200</v>
      </c>
      <c r="J86" s="234" t="s">
        <v>201</v>
      </c>
      <c r="K86" s="234" t="s">
        <v>202</v>
      </c>
      <c r="L86" s="404"/>
      <c r="M86" s="398"/>
      <c r="N86" s="401"/>
      <c r="O86" s="401"/>
      <c r="P86" s="234" t="s">
        <v>200</v>
      </c>
      <c r="Q86" s="234" t="s">
        <v>201</v>
      </c>
      <c r="R86" s="234" t="s">
        <v>202</v>
      </c>
      <c r="S86" s="234" t="s">
        <v>195</v>
      </c>
      <c r="T86" s="401"/>
      <c r="U86" s="234" t="s">
        <v>200</v>
      </c>
      <c r="V86" s="234" t="s">
        <v>201</v>
      </c>
      <c r="W86" s="234" t="s">
        <v>202</v>
      </c>
      <c r="X86" s="234" t="s">
        <v>195</v>
      </c>
      <c r="Y86" s="401"/>
      <c r="Z86" s="234" t="s">
        <v>200</v>
      </c>
      <c r="AA86" s="234" t="s">
        <v>201</v>
      </c>
      <c r="AB86" s="234" t="s">
        <v>202</v>
      </c>
      <c r="AC86" s="234" t="s">
        <v>195</v>
      </c>
      <c r="AD86" s="401"/>
      <c r="AE86" s="234" t="s">
        <v>200</v>
      </c>
      <c r="AF86" s="234" t="s">
        <v>201</v>
      </c>
      <c r="AG86" s="234" t="s">
        <v>202</v>
      </c>
      <c r="AH86" s="234" t="s">
        <v>195</v>
      </c>
      <c r="AI86" s="401"/>
      <c r="AJ86" s="234" t="s">
        <v>200</v>
      </c>
      <c r="AK86" s="234" t="s">
        <v>201</v>
      </c>
      <c r="AL86" s="234" t="s">
        <v>202</v>
      </c>
      <c r="AM86" s="234" t="s">
        <v>195</v>
      </c>
      <c r="AN86" s="401"/>
      <c r="AO86" s="234" t="s">
        <v>200</v>
      </c>
      <c r="AP86" s="234" t="s">
        <v>201</v>
      </c>
      <c r="AQ86" s="234" t="s">
        <v>202</v>
      </c>
      <c r="AR86" s="234" t="s">
        <v>195</v>
      </c>
      <c r="AS86" s="401"/>
      <c r="AT86" s="234" t="s">
        <v>200</v>
      </c>
      <c r="AU86" s="234" t="s">
        <v>201</v>
      </c>
      <c r="AV86" s="234" t="s">
        <v>202</v>
      </c>
      <c r="AW86" s="234" t="s">
        <v>195</v>
      </c>
      <c r="AX86" s="401"/>
    </row>
    <row r="87" spans="2:50">
      <c r="B87" s="401" t="s">
        <v>176</v>
      </c>
      <c r="C87" s="181">
        <v>1</v>
      </c>
      <c r="D87" s="196" t="s">
        <v>315</v>
      </c>
      <c r="E87" s="165">
        <v>7</v>
      </c>
      <c r="F87" s="181">
        <v>1500</v>
      </c>
      <c r="G87" s="179">
        <v>214.28571428571428</v>
      </c>
      <c r="H87" s="412">
        <f>AVERAGE(G87:G101)</f>
        <v>125.92857142857143</v>
      </c>
      <c r="I87" s="165">
        <f>AVERAGE(P87,U87,Z87,AE87,AJ87,AO87,AT87)</f>
        <v>7</v>
      </c>
      <c r="J87" s="165">
        <f>AVERAGE(Q87,V87,AA87,AF87,AK87,AP87,AU87)</f>
        <v>1293.1720726763999</v>
      </c>
      <c r="K87" s="179">
        <f>AVERAGE(R87,W87,AB87,AG87,AL87,AQ87,AV87)</f>
        <v>184.73886752520002</v>
      </c>
      <c r="L87" s="412">
        <f>IFERROR(AVERAGE(K87:K101),"-")</f>
        <v>111.51629535157457</v>
      </c>
      <c r="M87" s="180">
        <f>RANK(K87, K$87:$K$101)</f>
        <v>2</v>
      </c>
      <c r="N87" s="401"/>
      <c r="O87" s="401"/>
      <c r="P87" s="165">
        <v>7</v>
      </c>
      <c r="Q87" s="165">
        <v>1298.4269662921347</v>
      </c>
      <c r="R87" s="179">
        <v>185.48956661316211</v>
      </c>
      <c r="S87" s="181">
        <f>RANK(R87, R$87:R$101)</f>
        <v>1</v>
      </c>
      <c r="T87" s="409">
        <f>AVERAGE(R87:R101)</f>
        <v>110.45623624349075</v>
      </c>
      <c r="U87" s="165">
        <v>7</v>
      </c>
      <c r="V87" s="165">
        <v>1288.9887640449438</v>
      </c>
      <c r="W87" s="179">
        <v>184.14125200642053</v>
      </c>
      <c r="X87" s="181">
        <f>RANK(W87, W$87:W$101)</f>
        <v>2</v>
      </c>
      <c r="Y87" s="409">
        <f>AVERAGE(W87:W101)</f>
        <v>111.85910870362402</v>
      </c>
      <c r="Z87" s="165">
        <v>7</v>
      </c>
      <c r="AA87" s="165">
        <v>1299.5294117647063</v>
      </c>
      <c r="AB87" s="179">
        <v>185.64705882352948</v>
      </c>
      <c r="AC87" s="181">
        <f>RANK(AB87, AB$87:AB$101)</f>
        <v>2</v>
      </c>
      <c r="AD87" s="409">
        <f>AVERAGE(AB87:AB101)</f>
        <v>111.96754536077361</v>
      </c>
      <c r="AE87" s="165">
        <v>7</v>
      </c>
      <c r="AF87" s="165">
        <v>1294.782608695652</v>
      </c>
      <c r="AG87" s="179">
        <v>184.96894409937886</v>
      </c>
      <c r="AH87" s="181">
        <f>RANK(AG87, AG$87:AG$101)</f>
        <v>1</v>
      </c>
      <c r="AI87" s="409">
        <f>AVERAGE(AG87:AG101)</f>
        <v>111.67431829489463</v>
      </c>
      <c r="AJ87" s="165">
        <v>7</v>
      </c>
      <c r="AK87" s="165">
        <v>1256.8831168831168</v>
      </c>
      <c r="AL87" s="179">
        <v>179.55473098330239</v>
      </c>
      <c r="AM87" s="181">
        <f>RANK(AL87, AL$87:AL$101)</f>
        <v>2</v>
      </c>
      <c r="AN87" s="409">
        <f>AVERAGE(AL87:AL101)</f>
        <v>110.60008688755634</v>
      </c>
      <c r="AO87" s="165">
        <v>7</v>
      </c>
      <c r="AP87" s="165">
        <v>1303.0985915492961</v>
      </c>
      <c r="AQ87" s="179">
        <v>186.15694164989944</v>
      </c>
      <c r="AR87" s="181">
        <f>RANK(AQ87, AQ$87:AQ$101)</f>
        <v>1</v>
      </c>
      <c r="AS87" s="409">
        <f>AVERAGE(AQ87:AQ101)</f>
        <v>111.30364323602517</v>
      </c>
      <c r="AT87" s="165">
        <v>7</v>
      </c>
      <c r="AU87" s="165">
        <v>1310.4950495049504</v>
      </c>
      <c r="AV87" s="179">
        <v>187.2135785007072</v>
      </c>
      <c r="AW87" s="181">
        <f>RANK(AV87, AV$87:AV$101)</f>
        <v>2</v>
      </c>
      <c r="AX87" s="409">
        <f>AVERAGE(AV87:AV101)</f>
        <v>112.75312873465748</v>
      </c>
    </row>
    <row r="88" spans="2:50">
      <c r="B88" s="400"/>
      <c r="C88" s="181">
        <v>2</v>
      </c>
      <c r="D88" s="196" t="s">
        <v>316</v>
      </c>
      <c r="E88" s="165">
        <v>15</v>
      </c>
      <c r="F88" s="181">
        <v>1500</v>
      </c>
      <c r="G88" s="179">
        <v>100</v>
      </c>
      <c r="H88" s="413"/>
      <c r="I88" s="165">
        <f t="shared" ref="I88:K92" si="26">AVERAGE(P88,U88,Z88,AE88,AJ88,AO88,AT88)</f>
        <v>15</v>
      </c>
      <c r="J88" s="165">
        <f t="shared" si="26"/>
        <v>1293.9737118749667</v>
      </c>
      <c r="K88" s="179">
        <f t="shared" si="26"/>
        <v>86.264914124997787</v>
      </c>
      <c r="L88" s="413"/>
      <c r="M88" s="180">
        <f>RANK(K88, K$87:$K$101)</f>
        <v>3</v>
      </c>
      <c r="N88" s="401"/>
      <c r="O88" s="401"/>
      <c r="P88" s="181">
        <v>15</v>
      </c>
      <c r="Q88" s="165">
        <v>1286.0294117647054</v>
      </c>
      <c r="R88" s="179">
        <v>85.73529411764703</v>
      </c>
      <c r="S88" s="181">
        <f t="shared" ref="S88:S101" si="27">RANK(R88, R$87:R$101)</f>
        <v>3</v>
      </c>
      <c r="T88" s="410"/>
      <c r="U88" s="181">
        <v>15</v>
      </c>
      <c r="V88" s="165">
        <v>1302.8155339805821</v>
      </c>
      <c r="W88" s="179">
        <v>86.85436893203881</v>
      </c>
      <c r="X88" s="181">
        <f t="shared" ref="X88:X101" si="28">RANK(W88, W$87:W$101)</f>
        <v>3</v>
      </c>
      <c r="Y88" s="410"/>
      <c r="Z88" s="181">
        <v>15</v>
      </c>
      <c r="AA88" s="165">
        <v>1302.2448979591841</v>
      </c>
      <c r="AB88" s="179">
        <v>86.816326530612272</v>
      </c>
      <c r="AC88" s="181">
        <f t="shared" ref="AC88:AC101" si="29">RANK(AB88, AB$87:AB$101)</f>
        <v>3</v>
      </c>
      <c r="AD88" s="410"/>
      <c r="AE88" s="181">
        <v>15</v>
      </c>
      <c r="AF88" s="165">
        <v>1311.9642857142856</v>
      </c>
      <c r="AG88" s="179">
        <v>87.464285714285708</v>
      </c>
      <c r="AH88" s="181">
        <f t="shared" ref="AH88:AH101" si="30">RANK(AG88, AG$87:AG$101)</f>
        <v>3</v>
      </c>
      <c r="AI88" s="410"/>
      <c r="AJ88" s="181">
        <v>15</v>
      </c>
      <c r="AK88" s="165">
        <v>1261.0619469026549</v>
      </c>
      <c r="AL88" s="179">
        <v>84.070796460176993</v>
      </c>
      <c r="AM88" s="181">
        <f t="shared" ref="AM88:AM101" si="31">RANK(AL88, AL$87:AL$101)</f>
        <v>3</v>
      </c>
      <c r="AN88" s="410"/>
      <c r="AO88" s="181">
        <v>15</v>
      </c>
      <c r="AP88" s="165">
        <v>1285.8620689655181</v>
      </c>
      <c r="AQ88" s="179">
        <v>85.724137931034548</v>
      </c>
      <c r="AR88" s="181">
        <f t="shared" ref="AR88:AR101" si="32">RANK(AQ88, AQ$87:AQ$101)</f>
        <v>3</v>
      </c>
      <c r="AS88" s="410"/>
      <c r="AT88" s="181">
        <v>15</v>
      </c>
      <c r="AU88" s="165">
        <v>1307.8378378378368</v>
      </c>
      <c r="AV88" s="179">
        <v>87.189189189189122</v>
      </c>
      <c r="AW88" s="181">
        <f t="shared" ref="AW88:AW101" si="33">RANK(AV88, AV$87:AV$101)</f>
        <v>3</v>
      </c>
      <c r="AX88" s="410"/>
    </row>
    <row r="89" spans="2:50">
      <c r="B89" s="400"/>
      <c r="C89" s="181">
        <v>3</v>
      </c>
      <c r="D89" s="196" t="s">
        <v>317</v>
      </c>
      <c r="E89" s="165">
        <v>20</v>
      </c>
      <c r="F89" s="181">
        <v>1500</v>
      </c>
      <c r="G89" s="179">
        <v>75</v>
      </c>
      <c r="H89" s="413"/>
      <c r="I89" s="165">
        <f t="shared" si="26"/>
        <v>18</v>
      </c>
      <c r="J89" s="165">
        <f t="shared" si="26"/>
        <v>1282.6808107323463</v>
      </c>
      <c r="K89" s="179">
        <f t="shared" si="26"/>
        <v>71.260045040685895</v>
      </c>
      <c r="L89" s="413"/>
      <c r="M89" s="180">
        <f>RANK(K89, K$87:$K$101)</f>
        <v>5</v>
      </c>
      <c r="N89" s="401"/>
      <c r="O89" s="401"/>
      <c r="P89" s="181">
        <v>18</v>
      </c>
      <c r="Q89" s="165">
        <v>1276.4347826086957</v>
      </c>
      <c r="R89" s="179">
        <v>70.913043478260875</v>
      </c>
      <c r="S89" s="181">
        <f t="shared" si="27"/>
        <v>4</v>
      </c>
      <c r="T89" s="410"/>
      <c r="U89" s="181">
        <v>18</v>
      </c>
      <c r="V89" s="165">
        <v>1257.2608695652175</v>
      </c>
      <c r="W89" s="179">
        <v>69.84782608695653</v>
      </c>
      <c r="X89" s="181">
        <f t="shared" si="28"/>
        <v>5</v>
      </c>
      <c r="Y89" s="410"/>
      <c r="Z89" s="181">
        <v>18</v>
      </c>
      <c r="AA89" s="165">
        <v>1288.2857142857138</v>
      </c>
      <c r="AB89" s="179">
        <v>71.571428571428541</v>
      </c>
      <c r="AC89" s="181">
        <f t="shared" si="29"/>
        <v>4</v>
      </c>
      <c r="AD89" s="410"/>
      <c r="AE89" s="181">
        <v>18</v>
      </c>
      <c r="AF89" s="165">
        <v>1297.4999999999995</v>
      </c>
      <c r="AG89" s="179">
        <v>72.083333333333314</v>
      </c>
      <c r="AH89" s="181">
        <f t="shared" si="30"/>
        <v>5</v>
      </c>
      <c r="AI89" s="410"/>
      <c r="AJ89" s="181">
        <v>18</v>
      </c>
      <c r="AK89" s="165">
        <v>1312.4324324324323</v>
      </c>
      <c r="AL89" s="179">
        <v>72.912912912912901</v>
      </c>
      <c r="AM89" s="181">
        <f t="shared" si="31"/>
        <v>4</v>
      </c>
      <c r="AN89" s="410"/>
      <c r="AO89" s="181">
        <v>18</v>
      </c>
      <c r="AP89" s="165">
        <v>1257.0967741935481</v>
      </c>
      <c r="AQ89" s="179">
        <v>69.838709677419331</v>
      </c>
      <c r="AR89" s="181">
        <f t="shared" si="32"/>
        <v>6</v>
      </c>
      <c r="AS89" s="410"/>
      <c r="AT89" s="181">
        <v>18</v>
      </c>
      <c r="AU89" s="165">
        <v>1289.7551020408168</v>
      </c>
      <c r="AV89" s="179">
        <v>71.653061224489818</v>
      </c>
      <c r="AW89" s="181">
        <f t="shared" si="33"/>
        <v>5</v>
      </c>
      <c r="AX89" s="410"/>
    </row>
    <row r="90" spans="2:50">
      <c r="B90" s="400"/>
      <c r="C90" s="181">
        <v>4</v>
      </c>
      <c r="D90" s="196" t="s">
        <v>319</v>
      </c>
      <c r="E90" s="165">
        <v>18</v>
      </c>
      <c r="F90" s="181">
        <v>1440</v>
      </c>
      <c r="G90" s="179">
        <v>80</v>
      </c>
      <c r="H90" s="413"/>
      <c r="I90" s="165">
        <f t="shared" si="26"/>
        <v>18</v>
      </c>
      <c r="J90" s="165">
        <f t="shared" si="26"/>
        <v>1272.7045414043221</v>
      </c>
      <c r="K90" s="179">
        <f t="shared" si="26"/>
        <v>70.705807855795669</v>
      </c>
      <c r="L90" s="413"/>
      <c r="M90" s="180">
        <f>RANK(K90, K$87:$K$101)</f>
        <v>6</v>
      </c>
      <c r="N90" s="401"/>
      <c r="O90" s="401"/>
      <c r="P90" s="181">
        <v>18</v>
      </c>
      <c r="Q90" s="165">
        <v>1268.7804878048776</v>
      </c>
      <c r="R90" s="179">
        <v>70.487804878048749</v>
      </c>
      <c r="S90" s="181">
        <f t="shared" si="27"/>
        <v>5</v>
      </c>
      <c r="T90" s="410"/>
      <c r="U90" s="181">
        <v>18</v>
      </c>
      <c r="V90" s="165">
        <v>1243.9024390243897</v>
      </c>
      <c r="W90" s="179">
        <v>69.10569105691053</v>
      </c>
      <c r="X90" s="181">
        <f t="shared" si="28"/>
        <v>6</v>
      </c>
      <c r="Y90" s="410"/>
      <c r="Z90" s="181">
        <v>18</v>
      </c>
      <c r="AA90" s="165">
        <v>1277.8378378378368</v>
      </c>
      <c r="AB90" s="179">
        <v>70.990990990990937</v>
      </c>
      <c r="AC90" s="181">
        <f t="shared" si="29"/>
        <v>5</v>
      </c>
      <c r="AD90" s="410"/>
      <c r="AE90" s="181">
        <v>18</v>
      </c>
      <c r="AF90" s="165">
        <v>1306.2857142857131</v>
      </c>
      <c r="AG90" s="179">
        <v>72.571428571428498</v>
      </c>
      <c r="AH90" s="181">
        <f t="shared" si="30"/>
        <v>4</v>
      </c>
      <c r="AI90" s="410"/>
      <c r="AJ90" s="181">
        <v>18</v>
      </c>
      <c r="AK90" s="165">
        <v>1261.4634146341459</v>
      </c>
      <c r="AL90" s="179">
        <v>70.081300813008113</v>
      </c>
      <c r="AM90" s="181">
        <f t="shared" si="31"/>
        <v>6</v>
      </c>
      <c r="AN90" s="410"/>
      <c r="AO90" s="181">
        <v>18</v>
      </c>
      <c r="AP90" s="165">
        <v>1304.6153846153838</v>
      </c>
      <c r="AQ90" s="179">
        <v>72.478632478632434</v>
      </c>
      <c r="AR90" s="181">
        <f t="shared" si="32"/>
        <v>5</v>
      </c>
      <c r="AS90" s="410"/>
      <c r="AT90" s="181">
        <v>18</v>
      </c>
      <c r="AU90" s="165">
        <v>1246.0465116279067</v>
      </c>
      <c r="AV90" s="179">
        <v>69.224806201550379</v>
      </c>
      <c r="AW90" s="181">
        <f t="shared" si="33"/>
        <v>6</v>
      </c>
      <c r="AX90" s="410"/>
    </row>
    <row r="91" spans="2:50">
      <c r="B91" s="400"/>
      <c r="C91" s="181">
        <v>5</v>
      </c>
      <c r="D91" s="196" t="s">
        <v>320</v>
      </c>
      <c r="E91" s="165">
        <v>7</v>
      </c>
      <c r="F91" s="181">
        <v>1500</v>
      </c>
      <c r="G91" s="179">
        <v>214.28571428571428</v>
      </c>
      <c r="H91" s="413"/>
      <c r="I91" s="165">
        <f t="shared" si="26"/>
        <v>7</v>
      </c>
      <c r="J91" s="165">
        <f t="shared" si="26"/>
        <v>1293.7022291145809</v>
      </c>
      <c r="K91" s="179">
        <f t="shared" si="26"/>
        <v>184.81460415922581</v>
      </c>
      <c r="L91" s="413"/>
      <c r="M91" s="180">
        <f>RANK(K91, K$87:$K$101)</f>
        <v>1</v>
      </c>
      <c r="N91" s="401"/>
      <c r="O91" s="401"/>
      <c r="P91" s="181">
        <v>7</v>
      </c>
      <c r="Q91" s="165">
        <v>1261.6326530612243</v>
      </c>
      <c r="R91" s="179">
        <v>180.23323615160348</v>
      </c>
      <c r="S91" s="181">
        <f t="shared" si="27"/>
        <v>2</v>
      </c>
      <c r="T91" s="410"/>
      <c r="U91" s="181">
        <v>7</v>
      </c>
      <c r="V91" s="165">
        <v>1320.8759124087592</v>
      </c>
      <c r="W91" s="179">
        <v>188.69655891553703</v>
      </c>
      <c r="X91" s="181">
        <f t="shared" si="28"/>
        <v>1</v>
      </c>
      <c r="Y91" s="410"/>
      <c r="Z91" s="181">
        <v>7</v>
      </c>
      <c r="AA91" s="165">
        <v>1308.1818181818187</v>
      </c>
      <c r="AB91" s="179">
        <v>186.88311688311697</v>
      </c>
      <c r="AC91" s="181">
        <f t="shared" si="29"/>
        <v>1</v>
      </c>
      <c r="AD91" s="410"/>
      <c r="AE91" s="181">
        <v>7</v>
      </c>
      <c r="AF91" s="165">
        <v>1278.6000000000004</v>
      </c>
      <c r="AG91" s="179">
        <v>182.6571428571429</v>
      </c>
      <c r="AH91" s="181">
        <f t="shared" si="30"/>
        <v>2</v>
      </c>
      <c r="AI91" s="410"/>
      <c r="AJ91" s="181">
        <v>7</v>
      </c>
      <c r="AK91" s="165">
        <v>1300.3960396039604</v>
      </c>
      <c r="AL91" s="179">
        <v>185.77086280056577</v>
      </c>
      <c r="AM91" s="181">
        <f t="shared" si="31"/>
        <v>1</v>
      </c>
      <c r="AN91" s="410"/>
      <c r="AO91" s="181">
        <v>7</v>
      </c>
      <c r="AP91" s="165">
        <v>1267.3684210526317</v>
      </c>
      <c r="AQ91" s="179">
        <v>181.05263157894737</v>
      </c>
      <c r="AR91" s="181">
        <f t="shared" si="32"/>
        <v>2</v>
      </c>
      <c r="AS91" s="410"/>
      <c r="AT91" s="181">
        <v>7</v>
      </c>
      <c r="AU91" s="165">
        <v>1318.8607594936711</v>
      </c>
      <c r="AV91" s="179">
        <v>188.40867992766729</v>
      </c>
      <c r="AW91" s="181">
        <f t="shared" si="33"/>
        <v>1</v>
      </c>
      <c r="AX91" s="410"/>
    </row>
    <row r="92" spans="2:50">
      <c r="B92" s="400"/>
      <c r="C92" s="181">
        <v>6</v>
      </c>
      <c r="D92" s="196" t="s">
        <v>321</v>
      </c>
      <c r="E92" s="165">
        <v>20</v>
      </c>
      <c r="F92" s="181">
        <v>1440</v>
      </c>
      <c r="G92" s="179">
        <v>72</v>
      </c>
      <c r="H92" s="413"/>
      <c r="I92" s="165">
        <f t="shared" si="26"/>
        <v>18</v>
      </c>
      <c r="J92" s="165">
        <f t="shared" si="26"/>
        <v>1283.64360126376</v>
      </c>
      <c r="K92" s="179">
        <f t="shared" si="26"/>
        <v>71.313533403542223</v>
      </c>
      <c r="L92" s="413"/>
      <c r="M92" s="180">
        <f>RANK(K92, K$87:$K$101)</f>
        <v>4</v>
      </c>
      <c r="N92" s="401"/>
      <c r="O92" s="401"/>
      <c r="P92" s="181">
        <v>18</v>
      </c>
      <c r="Q92" s="165">
        <v>1257.8124999999995</v>
      </c>
      <c r="R92" s="179">
        <v>69.8784722222222</v>
      </c>
      <c r="S92" s="181">
        <f t="shared" si="27"/>
        <v>6</v>
      </c>
      <c r="T92" s="410"/>
      <c r="U92" s="181">
        <v>18</v>
      </c>
      <c r="V92" s="165">
        <v>1305.1611940298508</v>
      </c>
      <c r="W92" s="179">
        <v>72.508955223880605</v>
      </c>
      <c r="X92" s="181">
        <f t="shared" si="28"/>
        <v>4</v>
      </c>
      <c r="Y92" s="410"/>
      <c r="Z92" s="181">
        <v>18</v>
      </c>
      <c r="AA92" s="165">
        <v>1258.1343065693432</v>
      </c>
      <c r="AB92" s="179">
        <v>69.89635036496351</v>
      </c>
      <c r="AC92" s="181">
        <f t="shared" si="29"/>
        <v>6</v>
      </c>
      <c r="AD92" s="410"/>
      <c r="AE92" s="181">
        <v>18</v>
      </c>
      <c r="AF92" s="165">
        <v>1265.4139534883718</v>
      </c>
      <c r="AG92" s="179">
        <v>70.30077519379843</v>
      </c>
      <c r="AH92" s="181">
        <f t="shared" si="30"/>
        <v>6</v>
      </c>
      <c r="AI92" s="410"/>
      <c r="AJ92" s="181">
        <v>18</v>
      </c>
      <c r="AK92" s="165">
        <v>1281.7785123966946</v>
      </c>
      <c r="AL92" s="179">
        <v>71.209917355371928</v>
      </c>
      <c r="AM92" s="181">
        <f t="shared" si="31"/>
        <v>5</v>
      </c>
      <c r="AN92" s="410"/>
      <c r="AO92" s="181">
        <v>18</v>
      </c>
      <c r="AP92" s="165">
        <v>1306.2745098039213</v>
      </c>
      <c r="AQ92" s="179">
        <v>72.570806100217851</v>
      </c>
      <c r="AR92" s="181">
        <f t="shared" si="32"/>
        <v>4</v>
      </c>
      <c r="AS92" s="410"/>
      <c r="AT92" s="181">
        <v>18</v>
      </c>
      <c r="AU92" s="165">
        <v>1310.9302325581393</v>
      </c>
      <c r="AV92" s="179">
        <v>72.829457364341067</v>
      </c>
      <c r="AW92" s="181">
        <f t="shared" si="33"/>
        <v>4</v>
      </c>
      <c r="AX92" s="410"/>
    </row>
    <row r="93" spans="2:50">
      <c r="B93" s="400"/>
      <c r="C93" s="181">
        <v>7</v>
      </c>
      <c r="D93" s="196"/>
      <c r="E93" s="165"/>
      <c r="F93" s="181"/>
      <c r="G93" s="179"/>
      <c r="H93" s="413"/>
      <c r="I93" s="165"/>
      <c r="J93" s="165"/>
      <c r="K93" s="179"/>
      <c r="L93" s="413"/>
      <c r="M93" s="180" t="e">
        <f>RANK(K93, K$87:$K$101)</f>
        <v>#N/A</v>
      </c>
      <c r="N93" s="401"/>
      <c r="O93" s="401"/>
      <c r="P93" s="181"/>
      <c r="Q93" s="165"/>
      <c r="R93" s="179"/>
      <c r="S93" s="181" t="e">
        <f t="shared" si="27"/>
        <v>#N/A</v>
      </c>
      <c r="T93" s="410"/>
      <c r="U93" s="181"/>
      <c r="V93" s="181"/>
      <c r="W93" s="181"/>
      <c r="X93" s="181" t="e">
        <f t="shared" si="28"/>
        <v>#N/A</v>
      </c>
      <c r="Y93" s="410"/>
      <c r="Z93" s="181"/>
      <c r="AA93" s="181"/>
      <c r="AB93" s="181"/>
      <c r="AC93" s="181" t="e">
        <f t="shared" si="29"/>
        <v>#N/A</v>
      </c>
      <c r="AD93" s="410"/>
      <c r="AE93" s="181"/>
      <c r="AF93" s="181"/>
      <c r="AG93" s="181"/>
      <c r="AH93" s="181" t="e">
        <f t="shared" si="30"/>
        <v>#N/A</v>
      </c>
      <c r="AI93" s="410"/>
      <c r="AJ93" s="181"/>
      <c r="AK93" s="181"/>
      <c r="AL93" s="181"/>
      <c r="AM93" s="181" t="e">
        <f t="shared" si="31"/>
        <v>#N/A</v>
      </c>
      <c r="AN93" s="410"/>
      <c r="AO93" s="181"/>
      <c r="AP93" s="181"/>
      <c r="AQ93" s="181"/>
      <c r="AR93" s="181" t="e">
        <f t="shared" si="32"/>
        <v>#N/A</v>
      </c>
      <c r="AS93" s="410"/>
      <c r="AT93" s="181"/>
      <c r="AU93" s="181"/>
      <c r="AV93" s="181"/>
      <c r="AW93" s="181" t="e">
        <f t="shared" si="33"/>
        <v>#N/A</v>
      </c>
      <c r="AX93" s="410"/>
    </row>
    <row r="94" spans="2:50">
      <c r="B94" s="400"/>
      <c r="C94" s="181">
        <v>8</v>
      </c>
      <c r="D94" s="196"/>
      <c r="E94" s="165"/>
      <c r="F94" s="181"/>
      <c r="G94" s="179"/>
      <c r="H94" s="413"/>
      <c r="I94" s="165"/>
      <c r="J94" s="165"/>
      <c r="K94" s="179"/>
      <c r="L94" s="413"/>
      <c r="M94" s="180" t="e">
        <f>RANK(K94, K$87:$K$101)</f>
        <v>#N/A</v>
      </c>
      <c r="N94" s="401"/>
      <c r="O94" s="401"/>
      <c r="P94" s="181"/>
      <c r="Q94" s="165"/>
      <c r="R94" s="179"/>
      <c r="S94" s="181" t="e">
        <f t="shared" si="27"/>
        <v>#N/A</v>
      </c>
      <c r="T94" s="410"/>
      <c r="U94" s="181"/>
      <c r="V94" s="181"/>
      <c r="W94" s="181"/>
      <c r="X94" s="181" t="e">
        <f t="shared" si="28"/>
        <v>#N/A</v>
      </c>
      <c r="Y94" s="410"/>
      <c r="Z94" s="181"/>
      <c r="AA94" s="181"/>
      <c r="AB94" s="181"/>
      <c r="AC94" s="181" t="e">
        <f t="shared" si="29"/>
        <v>#N/A</v>
      </c>
      <c r="AD94" s="410"/>
      <c r="AE94" s="181"/>
      <c r="AF94" s="181"/>
      <c r="AG94" s="181"/>
      <c r="AH94" s="181" t="e">
        <f t="shared" si="30"/>
        <v>#N/A</v>
      </c>
      <c r="AI94" s="410"/>
      <c r="AJ94" s="181"/>
      <c r="AK94" s="181"/>
      <c r="AL94" s="181"/>
      <c r="AM94" s="181" t="e">
        <f t="shared" si="31"/>
        <v>#N/A</v>
      </c>
      <c r="AN94" s="410"/>
      <c r="AO94" s="181"/>
      <c r="AP94" s="181"/>
      <c r="AQ94" s="181"/>
      <c r="AR94" s="181" t="e">
        <f t="shared" si="32"/>
        <v>#N/A</v>
      </c>
      <c r="AS94" s="410"/>
      <c r="AT94" s="181"/>
      <c r="AU94" s="181"/>
      <c r="AV94" s="181"/>
      <c r="AW94" s="181" t="e">
        <f t="shared" si="33"/>
        <v>#N/A</v>
      </c>
      <c r="AX94" s="410"/>
    </row>
    <row r="95" spans="2:50">
      <c r="B95" s="400"/>
      <c r="C95" s="181">
        <v>9</v>
      </c>
      <c r="D95" s="196"/>
      <c r="E95" s="165"/>
      <c r="F95" s="181"/>
      <c r="G95" s="179"/>
      <c r="H95" s="413"/>
      <c r="I95" s="165"/>
      <c r="J95" s="165"/>
      <c r="K95" s="179"/>
      <c r="L95" s="413"/>
      <c r="M95" s="180" t="e">
        <f>RANK(K95, K$87:$K$101)</f>
        <v>#N/A</v>
      </c>
      <c r="N95" s="401"/>
      <c r="O95" s="401"/>
      <c r="P95" s="181"/>
      <c r="Q95" s="165"/>
      <c r="R95" s="179"/>
      <c r="S95" s="181" t="e">
        <f t="shared" si="27"/>
        <v>#N/A</v>
      </c>
      <c r="T95" s="410"/>
      <c r="U95" s="181"/>
      <c r="V95" s="181"/>
      <c r="W95" s="181"/>
      <c r="X95" s="181" t="e">
        <f t="shared" si="28"/>
        <v>#N/A</v>
      </c>
      <c r="Y95" s="410"/>
      <c r="Z95" s="181"/>
      <c r="AA95" s="181"/>
      <c r="AB95" s="181"/>
      <c r="AC95" s="181" t="e">
        <f t="shared" si="29"/>
        <v>#N/A</v>
      </c>
      <c r="AD95" s="410"/>
      <c r="AE95" s="181"/>
      <c r="AF95" s="181"/>
      <c r="AG95" s="181"/>
      <c r="AH95" s="181" t="e">
        <f t="shared" si="30"/>
        <v>#N/A</v>
      </c>
      <c r="AI95" s="410"/>
      <c r="AJ95" s="181"/>
      <c r="AK95" s="181"/>
      <c r="AL95" s="181"/>
      <c r="AM95" s="181" t="e">
        <f t="shared" si="31"/>
        <v>#N/A</v>
      </c>
      <c r="AN95" s="410"/>
      <c r="AO95" s="181"/>
      <c r="AP95" s="181"/>
      <c r="AQ95" s="181"/>
      <c r="AR95" s="181" t="e">
        <f t="shared" si="32"/>
        <v>#N/A</v>
      </c>
      <c r="AS95" s="410"/>
      <c r="AT95" s="181"/>
      <c r="AU95" s="181"/>
      <c r="AV95" s="181"/>
      <c r="AW95" s="181" t="e">
        <f t="shared" si="33"/>
        <v>#N/A</v>
      </c>
      <c r="AX95" s="410"/>
    </row>
    <row r="96" spans="2:50">
      <c r="B96" s="400"/>
      <c r="C96" s="181">
        <v>10</v>
      </c>
      <c r="D96" s="196"/>
      <c r="E96" s="165"/>
      <c r="F96" s="181"/>
      <c r="G96" s="179"/>
      <c r="H96" s="413"/>
      <c r="I96" s="165"/>
      <c r="J96" s="165"/>
      <c r="K96" s="179"/>
      <c r="L96" s="413"/>
      <c r="M96" s="180" t="e">
        <f>RANK(K96, K$87:$K$101)</f>
        <v>#N/A</v>
      </c>
      <c r="N96" s="401"/>
      <c r="O96" s="401"/>
      <c r="P96" s="181"/>
      <c r="Q96" s="165"/>
      <c r="R96" s="179"/>
      <c r="S96" s="181" t="e">
        <f t="shared" si="27"/>
        <v>#N/A</v>
      </c>
      <c r="T96" s="410"/>
      <c r="U96" s="181"/>
      <c r="V96" s="181"/>
      <c r="W96" s="181"/>
      <c r="X96" s="181" t="e">
        <f t="shared" si="28"/>
        <v>#N/A</v>
      </c>
      <c r="Y96" s="410"/>
      <c r="Z96" s="181"/>
      <c r="AA96" s="181"/>
      <c r="AB96" s="181"/>
      <c r="AC96" s="181" t="e">
        <f t="shared" si="29"/>
        <v>#N/A</v>
      </c>
      <c r="AD96" s="410"/>
      <c r="AE96" s="181"/>
      <c r="AF96" s="181"/>
      <c r="AG96" s="181"/>
      <c r="AH96" s="181" t="e">
        <f t="shared" si="30"/>
        <v>#N/A</v>
      </c>
      <c r="AI96" s="410"/>
      <c r="AJ96" s="181"/>
      <c r="AK96" s="181"/>
      <c r="AL96" s="181"/>
      <c r="AM96" s="181" t="e">
        <f t="shared" si="31"/>
        <v>#N/A</v>
      </c>
      <c r="AN96" s="410"/>
      <c r="AO96" s="181"/>
      <c r="AP96" s="181"/>
      <c r="AQ96" s="181"/>
      <c r="AR96" s="181" t="e">
        <f t="shared" si="32"/>
        <v>#N/A</v>
      </c>
      <c r="AS96" s="410"/>
      <c r="AT96" s="181"/>
      <c r="AU96" s="181"/>
      <c r="AV96" s="181"/>
      <c r="AW96" s="181" t="e">
        <f t="shared" si="33"/>
        <v>#N/A</v>
      </c>
      <c r="AX96" s="410"/>
    </row>
    <row r="97" spans="2:50">
      <c r="B97" s="400"/>
      <c r="C97" s="181">
        <v>11</v>
      </c>
      <c r="D97" s="196"/>
      <c r="E97" s="165"/>
      <c r="F97" s="181"/>
      <c r="G97" s="179"/>
      <c r="H97" s="413"/>
      <c r="I97" s="165"/>
      <c r="J97" s="165"/>
      <c r="K97" s="179"/>
      <c r="L97" s="413"/>
      <c r="M97" s="180" t="e">
        <f>RANK(K97, K$87:$K$101)</f>
        <v>#N/A</v>
      </c>
      <c r="N97" s="401"/>
      <c r="O97" s="401"/>
      <c r="P97" s="181"/>
      <c r="Q97" s="165"/>
      <c r="R97" s="179"/>
      <c r="S97" s="181" t="e">
        <f t="shared" si="27"/>
        <v>#N/A</v>
      </c>
      <c r="T97" s="410"/>
      <c r="U97" s="181"/>
      <c r="V97" s="181"/>
      <c r="W97" s="181"/>
      <c r="X97" s="181" t="e">
        <f t="shared" si="28"/>
        <v>#N/A</v>
      </c>
      <c r="Y97" s="410"/>
      <c r="Z97" s="181"/>
      <c r="AA97" s="181"/>
      <c r="AB97" s="181"/>
      <c r="AC97" s="181" t="e">
        <f t="shared" si="29"/>
        <v>#N/A</v>
      </c>
      <c r="AD97" s="410"/>
      <c r="AE97" s="181"/>
      <c r="AF97" s="181"/>
      <c r="AG97" s="181"/>
      <c r="AH97" s="181" t="e">
        <f t="shared" si="30"/>
        <v>#N/A</v>
      </c>
      <c r="AI97" s="410"/>
      <c r="AJ97" s="181"/>
      <c r="AK97" s="181"/>
      <c r="AL97" s="181"/>
      <c r="AM97" s="181" t="e">
        <f t="shared" si="31"/>
        <v>#N/A</v>
      </c>
      <c r="AN97" s="410"/>
      <c r="AO97" s="181"/>
      <c r="AP97" s="181"/>
      <c r="AQ97" s="181"/>
      <c r="AR97" s="181" t="e">
        <f t="shared" si="32"/>
        <v>#N/A</v>
      </c>
      <c r="AS97" s="410"/>
      <c r="AT97" s="181"/>
      <c r="AU97" s="181"/>
      <c r="AV97" s="181"/>
      <c r="AW97" s="181" t="e">
        <f t="shared" si="33"/>
        <v>#N/A</v>
      </c>
      <c r="AX97" s="410"/>
    </row>
    <row r="98" spans="2:50">
      <c r="B98" s="400"/>
      <c r="C98" s="181">
        <v>12</v>
      </c>
      <c r="D98" s="196"/>
      <c r="E98" s="165"/>
      <c r="F98" s="181"/>
      <c r="G98" s="179"/>
      <c r="H98" s="413"/>
      <c r="I98" s="165"/>
      <c r="J98" s="165"/>
      <c r="K98" s="179"/>
      <c r="L98" s="413"/>
      <c r="M98" s="180" t="e">
        <f>RANK(K98, K$87:$K$101)</f>
        <v>#N/A</v>
      </c>
      <c r="N98" s="401"/>
      <c r="O98" s="401"/>
      <c r="P98" s="181"/>
      <c r="Q98" s="165"/>
      <c r="R98" s="179"/>
      <c r="S98" s="181" t="e">
        <f t="shared" si="27"/>
        <v>#N/A</v>
      </c>
      <c r="T98" s="410"/>
      <c r="U98" s="181"/>
      <c r="V98" s="181"/>
      <c r="W98" s="181"/>
      <c r="X98" s="181" t="e">
        <f t="shared" si="28"/>
        <v>#N/A</v>
      </c>
      <c r="Y98" s="410"/>
      <c r="Z98" s="181"/>
      <c r="AA98" s="181"/>
      <c r="AB98" s="181"/>
      <c r="AC98" s="181" t="e">
        <f t="shared" si="29"/>
        <v>#N/A</v>
      </c>
      <c r="AD98" s="410"/>
      <c r="AE98" s="181"/>
      <c r="AF98" s="181"/>
      <c r="AG98" s="181"/>
      <c r="AH98" s="181" t="e">
        <f t="shared" si="30"/>
        <v>#N/A</v>
      </c>
      <c r="AI98" s="410"/>
      <c r="AJ98" s="181"/>
      <c r="AK98" s="181"/>
      <c r="AL98" s="181"/>
      <c r="AM98" s="181" t="e">
        <f t="shared" si="31"/>
        <v>#N/A</v>
      </c>
      <c r="AN98" s="410"/>
      <c r="AO98" s="181"/>
      <c r="AP98" s="181"/>
      <c r="AQ98" s="181"/>
      <c r="AR98" s="181" t="e">
        <f t="shared" si="32"/>
        <v>#N/A</v>
      </c>
      <c r="AS98" s="410"/>
      <c r="AT98" s="181"/>
      <c r="AU98" s="181"/>
      <c r="AV98" s="181"/>
      <c r="AW98" s="181" t="e">
        <f t="shared" si="33"/>
        <v>#N/A</v>
      </c>
      <c r="AX98" s="410"/>
    </row>
    <row r="99" spans="2:50">
      <c r="B99" s="400"/>
      <c r="C99" s="181">
        <v>13</v>
      </c>
      <c r="D99" s="196"/>
      <c r="E99" s="165"/>
      <c r="F99" s="181"/>
      <c r="G99" s="179"/>
      <c r="H99" s="413"/>
      <c r="I99" s="165"/>
      <c r="J99" s="165"/>
      <c r="K99" s="179"/>
      <c r="L99" s="413"/>
      <c r="M99" s="180" t="e">
        <f>RANK(K99, K$87:$K$101)</f>
        <v>#N/A</v>
      </c>
      <c r="N99" s="401"/>
      <c r="O99" s="401"/>
      <c r="P99" s="181"/>
      <c r="Q99" s="165"/>
      <c r="R99" s="179"/>
      <c r="S99" s="181" t="e">
        <f t="shared" si="27"/>
        <v>#N/A</v>
      </c>
      <c r="T99" s="410"/>
      <c r="U99" s="181"/>
      <c r="V99" s="181"/>
      <c r="W99" s="181"/>
      <c r="X99" s="181" t="e">
        <f t="shared" si="28"/>
        <v>#N/A</v>
      </c>
      <c r="Y99" s="410"/>
      <c r="Z99" s="181"/>
      <c r="AA99" s="181"/>
      <c r="AB99" s="181"/>
      <c r="AC99" s="181" t="e">
        <f t="shared" si="29"/>
        <v>#N/A</v>
      </c>
      <c r="AD99" s="410"/>
      <c r="AE99" s="181"/>
      <c r="AF99" s="181"/>
      <c r="AG99" s="181"/>
      <c r="AH99" s="181" t="e">
        <f t="shared" si="30"/>
        <v>#N/A</v>
      </c>
      <c r="AI99" s="410"/>
      <c r="AJ99" s="181"/>
      <c r="AK99" s="181"/>
      <c r="AL99" s="181"/>
      <c r="AM99" s="181" t="e">
        <f t="shared" si="31"/>
        <v>#N/A</v>
      </c>
      <c r="AN99" s="410"/>
      <c r="AO99" s="181"/>
      <c r="AP99" s="181"/>
      <c r="AQ99" s="181"/>
      <c r="AR99" s="181" t="e">
        <f t="shared" si="32"/>
        <v>#N/A</v>
      </c>
      <c r="AS99" s="410"/>
      <c r="AT99" s="181"/>
      <c r="AU99" s="181"/>
      <c r="AV99" s="181"/>
      <c r="AW99" s="181" t="e">
        <f t="shared" si="33"/>
        <v>#N/A</v>
      </c>
      <c r="AX99" s="410"/>
    </row>
    <row r="100" spans="2:50">
      <c r="B100" s="400"/>
      <c r="C100" s="181">
        <v>14</v>
      </c>
      <c r="D100" s="196"/>
      <c r="E100" s="165"/>
      <c r="F100" s="181"/>
      <c r="G100" s="179"/>
      <c r="H100" s="413"/>
      <c r="I100" s="165"/>
      <c r="J100" s="165"/>
      <c r="K100" s="179"/>
      <c r="L100" s="413"/>
      <c r="M100" s="180" t="e">
        <f>RANK(K100, K$87:$K$101)</f>
        <v>#N/A</v>
      </c>
      <c r="N100" s="401"/>
      <c r="O100" s="401"/>
      <c r="P100" s="181"/>
      <c r="Q100" s="165"/>
      <c r="R100" s="179"/>
      <c r="S100" s="181" t="e">
        <f t="shared" si="27"/>
        <v>#N/A</v>
      </c>
      <c r="T100" s="410"/>
      <c r="U100" s="181"/>
      <c r="V100" s="181"/>
      <c r="W100" s="181"/>
      <c r="X100" s="181" t="e">
        <f t="shared" si="28"/>
        <v>#N/A</v>
      </c>
      <c r="Y100" s="410"/>
      <c r="Z100" s="181"/>
      <c r="AA100" s="181"/>
      <c r="AB100" s="181"/>
      <c r="AC100" s="181" t="e">
        <f t="shared" si="29"/>
        <v>#N/A</v>
      </c>
      <c r="AD100" s="410"/>
      <c r="AE100" s="181"/>
      <c r="AF100" s="181"/>
      <c r="AG100" s="181"/>
      <c r="AH100" s="181" t="e">
        <f t="shared" si="30"/>
        <v>#N/A</v>
      </c>
      <c r="AI100" s="410"/>
      <c r="AJ100" s="181"/>
      <c r="AK100" s="181"/>
      <c r="AL100" s="181"/>
      <c r="AM100" s="181" t="e">
        <f t="shared" si="31"/>
        <v>#N/A</v>
      </c>
      <c r="AN100" s="410"/>
      <c r="AO100" s="181"/>
      <c r="AP100" s="181"/>
      <c r="AQ100" s="181"/>
      <c r="AR100" s="181" t="e">
        <f t="shared" si="32"/>
        <v>#N/A</v>
      </c>
      <c r="AS100" s="410"/>
      <c r="AT100" s="181"/>
      <c r="AU100" s="181"/>
      <c r="AV100" s="181"/>
      <c r="AW100" s="181" t="e">
        <f t="shared" si="33"/>
        <v>#N/A</v>
      </c>
      <c r="AX100" s="410"/>
    </row>
    <row r="101" spans="2:50">
      <c r="B101" s="400"/>
      <c r="C101" s="181">
        <v>15</v>
      </c>
      <c r="D101" s="196"/>
      <c r="E101" s="165"/>
      <c r="F101" s="181"/>
      <c r="G101" s="179"/>
      <c r="H101" s="414"/>
      <c r="I101" s="165"/>
      <c r="J101" s="165"/>
      <c r="K101" s="179"/>
      <c r="L101" s="414"/>
      <c r="M101" s="165" t="e">
        <f>RANK(K101, K$87:$K$101)</f>
        <v>#N/A</v>
      </c>
      <c r="N101" s="401"/>
      <c r="O101" s="401"/>
      <c r="P101" s="181"/>
      <c r="Q101" s="165"/>
      <c r="R101" s="179"/>
      <c r="S101" s="181" t="e">
        <f t="shared" si="27"/>
        <v>#N/A</v>
      </c>
      <c r="T101" s="411"/>
      <c r="U101" s="181"/>
      <c r="V101" s="181"/>
      <c r="W101" s="181"/>
      <c r="X101" s="181" t="e">
        <f t="shared" si="28"/>
        <v>#N/A</v>
      </c>
      <c r="Y101" s="411"/>
      <c r="Z101" s="181"/>
      <c r="AA101" s="181"/>
      <c r="AB101" s="181"/>
      <c r="AC101" s="181" t="e">
        <f t="shared" si="29"/>
        <v>#N/A</v>
      </c>
      <c r="AD101" s="411"/>
      <c r="AE101" s="181"/>
      <c r="AF101" s="181"/>
      <c r="AG101" s="181"/>
      <c r="AH101" s="181" t="e">
        <f t="shared" si="30"/>
        <v>#N/A</v>
      </c>
      <c r="AI101" s="411"/>
      <c r="AJ101" s="181"/>
      <c r="AK101" s="181"/>
      <c r="AL101" s="181"/>
      <c r="AM101" s="181" t="e">
        <f t="shared" si="31"/>
        <v>#N/A</v>
      </c>
      <c r="AN101" s="411"/>
      <c r="AO101" s="181"/>
      <c r="AP101" s="181"/>
      <c r="AQ101" s="181"/>
      <c r="AR101" s="181" t="e">
        <f t="shared" si="32"/>
        <v>#N/A</v>
      </c>
      <c r="AS101" s="411"/>
      <c r="AT101" s="181"/>
      <c r="AU101" s="181"/>
      <c r="AV101" s="181"/>
      <c r="AW101" s="181" t="e">
        <f t="shared" si="33"/>
        <v>#N/A</v>
      </c>
      <c r="AX101" s="411"/>
    </row>
    <row r="102" spans="2:50" ht="15.75">
      <c r="B102" s="394" t="s">
        <v>187</v>
      </c>
      <c r="C102" s="395"/>
      <c r="D102" s="395"/>
      <c r="E102" s="395"/>
      <c r="F102" s="395"/>
      <c r="G102" s="395"/>
      <c r="H102" s="395"/>
      <c r="I102" s="185"/>
      <c r="J102" s="185"/>
      <c r="K102" s="185"/>
      <c r="L102" s="185"/>
      <c r="M102" s="184"/>
      <c r="N102" s="397" t="s">
        <v>188</v>
      </c>
      <c r="O102" s="397" t="s">
        <v>135</v>
      </c>
      <c r="P102" s="399">
        <f>P82+7</f>
        <v>45930</v>
      </c>
      <c r="Q102" s="400"/>
      <c r="R102" s="400"/>
      <c r="S102" s="400"/>
      <c r="T102" s="400"/>
      <c r="X102" s="103"/>
      <c r="AC102" s="103"/>
      <c r="AH102" s="103"/>
      <c r="AM102" s="103"/>
    </row>
    <row r="103" spans="2:50" ht="15.75">
      <c r="B103" s="396"/>
      <c r="C103" s="396"/>
      <c r="D103" s="396"/>
      <c r="E103" s="396"/>
      <c r="F103" s="396"/>
      <c r="G103" s="396"/>
      <c r="H103" s="396"/>
      <c r="I103" s="183"/>
      <c r="J103" s="183"/>
      <c r="K103" s="183"/>
      <c r="L103" s="183"/>
      <c r="M103" s="178"/>
      <c r="N103" s="398"/>
      <c r="O103" s="398"/>
      <c r="P103" s="399" t="s">
        <v>223</v>
      </c>
      <c r="Q103" s="400"/>
      <c r="R103" s="400"/>
      <c r="S103" s="400"/>
      <c r="T103" s="400"/>
      <c r="X103" s="103"/>
      <c r="AC103" s="103"/>
      <c r="AH103" s="103"/>
      <c r="AM103" s="103"/>
    </row>
    <row r="104" spans="2:50">
      <c r="B104" s="401" t="s">
        <v>190</v>
      </c>
      <c r="C104" s="401" t="s">
        <v>191</v>
      </c>
      <c r="D104" s="401"/>
      <c r="E104" s="401" t="s">
        <v>192</v>
      </c>
      <c r="F104" s="401"/>
      <c r="G104" s="401"/>
      <c r="H104" s="402" t="s">
        <v>193</v>
      </c>
      <c r="I104" s="401" t="s">
        <v>194</v>
      </c>
      <c r="J104" s="401"/>
      <c r="K104" s="401"/>
      <c r="L104" s="402" t="s">
        <v>193</v>
      </c>
      <c r="M104" s="397" t="s">
        <v>195</v>
      </c>
      <c r="N104" s="401"/>
      <c r="O104" s="401" t="s">
        <v>196</v>
      </c>
      <c r="P104" s="406" t="s">
        <v>197</v>
      </c>
      <c r="Q104" s="407"/>
      <c r="R104" s="407"/>
      <c r="S104" s="408"/>
      <c r="T104" s="401" t="s">
        <v>193</v>
      </c>
      <c r="X104" s="103"/>
      <c r="AC104" s="103"/>
      <c r="AH104" s="103"/>
      <c r="AM104" s="103"/>
    </row>
    <row r="105" spans="2:50">
      <c r="B105" s="401"/>
      <c r="C105" s="401"/>
      <c r="D105" s="401"/>
      <c r="E105" s="401" t="s">
        <v>198</v>
      </c>
      <c r="F105" s="401"/>
      <c r="G105" s="401"/>
      <c r="H105" s="403"/>
      <c r="I105" s="401" t="s">
        <v>198</v>
      </c>
      <c r="J105" s="401"/>
      <c r="K105" s="401"/>
      <c r="L105" s="403"/>
      <c r="M105" s="405"/>
      <c r="N105" s="401"/>
      <c r="O105" s="401"/>
      <c r="P105" s="406" t="s">
        <v>199</v>
      </c>
      <c r="Q105" s="407"/>
      <c r="R105" s="407"/>
      <c r="S105" s="408"/>
      <c r="T105" s="401"/>
      <c r="X105" s="103"/>
      <c r="AC105" s="103"/>
      <c r="AH105" s="103"/>
      <c r="AM105" s="103"/>
    </row>
    <row r="106" spans="2:50">
      <c r="B106" s="401"/>
      <c r="C106" s="401"/>
      <c r="D106" s="401"/>
      <c r="E106" s="234" t="s">
        <v>200</v>
      </c>
      <c r="F106" s="234" t="s">
        <v>201</v>
      </c>
      <c r="G106" s="234" t="s">
        <v>202</v>
      </c>
      <c r="H106" s="404"/>
      <c r="I106" s="234" t="s">
        <v>200</v>
      </c>
      <c r="J106" s="234" t="s">
        <v>201</v>
      </c>
      <c r="K106" s="234" t="s">
        <v>202</v>
      </c>
      <c r="L106" s="404"/>
      <c r="M106" s="398"/>
      <c r="N106" s="401"/>
      <c r="O106" s="401"/>
      <c r="P106" s="234" t="s">
        <v>200</v>
      </c>
      <c r="Q106" s="234" t="s">
        <v>201</v>
      </c>
      <c r="R106" s="234" t="s">
        <v>202</v>
      </c>
      <c r="S106" s="234" t="s">
        <v>195</v>
      </c>
      <c r="T106" s="401"/>
      <c r="X106" s="103"/>
      <c r="AC106" s="103"/>
      <c r="AH106" s="103"/>
      <c r="AM106" s="103"/>
    </row>
    <row r="107" spans="2:50">
      <c r="B107" s="401" t="s">
        <v>176</v>
      </c>
      <c r="C107" s="181">
        <v>1</v>
      </c>
      <c r="D107" s="196" t="s">
        <v>315</v>
      </c>
      <c r="E107" s="165">
        <v>7</v>
      </c>
      <c r="F107" s="181">
        <v>1500</v>
      </c>
      <c r="G107" s="179">
        <v>214.28571428571428</v>
      </c>
      <c r="H107" s="412">
        <f>AVERAGE(G107:G121)</f>
        <v>115.73098330241187</v>
      </c>
      <c r="I107" s="165">
        <f>AVERAGE(P107,U107,Z107,AE107,AJ107,AO107,AT107)</f>
        <v>7</v>
      </c>
      <c r="J107" s="165">
        <f>AVERAGE(Q107,V107,AA107,AF107,AK107,AP107,AU107)</f>
        <v>1304.5161290322576</v>
      </c>
      <c r="K107" s="179">
        <f>AVERAGE(R107,W107,AB107,AG107,AL107,AQ107,AV107)</f>
        <v>186.35944700460823</v>
      </c>
      <c r="L107" s="412">
        <f>IFERROR(AVERAGE(K107:K121),"-")</f>
        <v>102.95655701476369</v>
      </c>
      <c r="M107" s="180">
        <f>RANK(K107, K$107:$K$121)</f>
        <v>1</v>
      </c>
      <c r="N107" s="401"/>
      <c r="O107" s="401"/>
      <c r="P107" s="165">
        <v>7</v>
      </c>
      <c r="Q107" s="165">
        <v>1304.5161290322576</v>
      </c>
      <c r="R107" s="179">
        <v>186.35944700460823</v>
      </c>
      <c r="S107" s="181">
        <f>RANK(R107, R$107:R$121)</f>
        <v>1</v>
      </c>
      <c r="T107" s="409">
        <f>AVERAGE(R107:R121)</f>
        <v>102.95655701476369</v>
      </c>
      <c r="X107" s="103"/>
      <c r="AC107" s="103"/>
      <c r="AH107" s="103"/>
      <c r="AM107" s="103"/>
    </row>
    <row r="108" spans="2:50">
      <c r="B108" s="400"/>
      <c r="C108" s="181">
        <v>2</v>
      </c>
      <c r="D108" s="196" t="s">
        <v>316</v>
      </c>
      <c r="E108" s="165">
        <v>15</v>
      </c>
      <c r="F108" s="181">
        <v>1500</v>
      </c>
      <c r="G108" s="179">
        <v>100</v>
      </c>
      <c r="H108" s="413"/>
      <c r="I108" s="165">
        <f t="shared" ref="I108:K113" si="34">AVERAGE(P108,U108,Z108,AE108,AJ108,AO108,AT108)</f>
        <v>15</v>
      </c>
      <c r="J108" s="165">
        <f t="shared" si="34"/>
        <v>1285.8333333333337</v>
      </c>
      <c r="K108" s="179">
        <f t="shared" si="34"/>
        <v>85.722222222222243</v>
      </c>
      <c r="L108" s="413"/>
      <c r="M108" s="180">
        <f>RANK(K108, K$107:$K$121)</f>
        <v>3</v>
      </c>
      <c r="N108" s="401"/>
      <c r="O108" s="401"/>
      <c r="P108" s="181">
        <v>15</v>
      </c>
      <c r="Q108" s="165">
        <v>1285.8333333333337</v>
      </c>
      <c r="R108" s="179">
        <v>85.722222222222243</v>
      </c>
      <c r="S108" s="181">
        <f t="shared" ref="S108:S121" si="35">RANK(R108, R$107:R$121)</f>
        <v>3</v>
      </c>
      <c r="T108" s="410"/>
      <c r="X108" s="103"/>
      <c r="AC108" s="103"/>
      <c r="AH108" s="103"/>
      <c r="AM108" s="103"/>
    </row>
    <row r="109" spans="2:50">
      <c r="B109" s="400"/>
      <c r="C109" s="181">
        <v>3</v>
      </c>
      <c r="D109" s="196" t="s">
        <v>317</v>
      </c>
      <c r="E109" s="165">
        <v>20</v>
      </c>
      <c r="F109" s="181">
        <v>1500</v>
      </c>
      <c r="G109" s="179">
        <v>75</v>
      </c>
      <c r="H109" s="413"/>
      <c r="I109" s="165">
        <f t="shared" si="34"/>
        <v>18</v>
      </c>
      <c r="J109" s="165">
        <f t="shared" si="34"/>
        <v>1294.875</v>
      </c>
      <c r="K109" s="179">
        <f t="shared" si="34"/>
        <v>71.9375</v>
      </c>
      <c r="L109" s="413"/>
      <c r="M109" s="180">
        <f>RANK(K109, K$107:$K$121)</f>
        <v>6</v>
      </c>
      <c r="N109" s="401"/>
      <c r="O109" s="401"/>
      <c r="P109" s="181">
        <v>18</v>
      </c>
      <c r="Q109" s="165">
        <v>1294.875</v>
      </c>
      <c r="R109" s="179">
        <v>71.9375</v>
      </c>
      <c r="S109" s="181">
        <f t="shared" si="35"/>
        <v>6</v>
      </c>
      <c r="T109" s="410"/>
      <c r="X109" s="103"/>
      <c r="AC109" s="103"/>
      <c r="AH109" s="103"/>
      <c r="AM109" s="103"/>
    </row>
    <row r="110" spans="2:50">
      <c r="B110" s="400"/>
      <c r="C110" s="181">
        <v>4</v>
      </c>
      <c r="D110" s="196" t="s">
        <v>319</v>
      </c>
      <c r="E110" s="165">
        <v>18</v>
      </c>
      <c r="F110" s="181">
        <v>1440</v>
      </c>
      <c r="G110" s="179">
        <v>80</v>
      </c>
      <c r="H110" s="413"/>
      <c r="I110" s="165">
        <f t="shared" si="34"/>
        <v>17</v>
      </c>
      <c r="J110" s="165">
        <f t="shared" si="34"/>
        <v>1277.9999999999995</v>
      </c>
      <c r="K110" s="179">
        <f t="shared" si="34"/>
        <v>75.176470588235262</v>
      </c>
      <c r="L110" s="413"/>
      <c r="M110" s="180">
        <f>RANK(K110, K$107:$K$121)</f>
        <v>4</v>
      </c>
      <c r="N110" s="401"/>
      <c r="O110" s="401"/>
      <c r="P110" s="181">
        <v>17</v>
      </c>
      <c r="Q110" s="165">
        <v>1277.9999999999995</v>
      </c>
      <c r="R110" s="179">
        <v>75.176470588235262</v>
      </c>
      <c r="S110" s="181">
        <f t="shared" si="35"/>
        <v>4</v>
      </c>
      <c r="T110" s="410"/>
      <c r="X110" s="103"/>
      <c r="AC110" s="103"/>
      <c r="AH110" s="103"/>
      <c r="AM110" s="103"/>
    </row>
    <row r="111" spans="2:50">
      <c r="B111" s="400"/>
      <c r="C111" s="181">
        <v>5</v>
      </c>
      <c r="D111" s="196" t="s">
        <v>320</v>
      </c>
      <c r="E111" s="165">
        <v>7</v>
      </c>
      <c r="F111" s="181">
        <v>1500</v>
      </c>
      <c r="G111" s="179">
        <v>214.28571428571428</v>
      </c>
      <c r="H111" s="413"/>
      <c r="I111" s="165">
        <f t="shared" si="34"/>
        <v>7</v>
      </c>
      <c r="J111" s="165">
        <f t="shared" si="34"/>
        <v>1264.1772151898736</v>
      </c>
      <c r="K111" s="179">
        <f t="shared" si="34"/>
        <v>180.5967450271248</v>
      </c>
      <c r="L111" s="413"/>
      <c r="M111" s="180">
        <f>RANK(K111, K$107:$K$121)</f>
        <v>2</v>
      </c>
      <c r="N111" s="401"/>
      <c r="O111" s="401"/>
      <c r="P111" s="181">
        <v>7</v>
      </c>
      <c r="Q111" s="165">
        <v>1264.1772151898736</v>
      </c>
      <c r="R111" s="179">
        <v>180.5967450271248</v>
      </c>
      <c r="S111" s="181">
        <f t="shared" si="35"/>
        <v>2</v>
      </c>
      <c r="T111" s="410"/>
      <c r="X111" s="103"/>
      <c r="AC111" s="103"/>
      <c r="AH111" s="103"/>
      <c r="AM111" s="103"/>
    </row>
    <row r="112" spans="2:50">
      <c r="B112" s="400"/>
      <c r="C112" s="181">
        <v>6</v>
      </c>
      <c r="D112" s="196" t="s">
        <v>321</v>
      </c>
      <c r="E112" s="165">
        <v>20</v>
      </c>
      <c r="F112" s="181">
        <v>1440</v>
      </c>
      <c r="G112" s="179">
        <v>72</v>
      </c>
      <c r="H112" s="413"/>
      <c r="I112" s="165">
        <f t="shared" si="34"/>
        <v>18</v>
      </c>
      <c r="J112" s="165">
        <f t="shared" si="34"/>
        <v>1298.4525547445255</v>
      </c>
      <c r="K112" s="179">
        <f t="shared" si="34"/>
        <v>72.136253041362522</v>
      </c>
      <c r="L112" s="413"/>
      <c r="M112" s="180">
        <f>RANK(K112, K$107:$K$121)</f>
        <v>5</v>
      </c>
      <c r="N112" s="401"/>
      <c r="O112" s="401"/>
      <c r="P112" s="181">
        <v>18</v>
      </c>
      <c r="Q112" s="165">
        <v>1298.4525547445255</v>
      </c>
      <c r="R112" s="179">
        <v>72.136253041362522</v>
      </c>
      <c r="S112" s="181">
        <f t="shared" si="35"/>
        <v>5</v>
      </c>
      <c r="T112" s="410"/>
      <c r="X112" s="103"/>
      <c r="AC112" s="103"/>
      <c r="AH112" s="103"/>
      <c r="AM112" s="103"/>
    </row>
    <row r="113" spans="2:39">
      <c r="B113" s="400"/>
      <c r="C113" s="181">
        <v>7</v>
      </c>
      <c r="D113" s="196" t="s">
        <v>322</v>
      </c>
      <c r="E113" s="165">
        <v>22</v>
      </c>
      <c r="F113" s="181">
        <v>1200</v>
      </c>
      <c r="G113" s="179">
        <v>54.545454545454547</v>
      </c>
      <c r="H113" s="413"/>
      <c r="I113" s="165">
        <f t="shared" si="34"/>
        <v>22</v>
      </c>
      <c r="J113" s="165">
        <f t="shared" si="34"/>
        <v>1072.8797468354426</v>
      </c>
      <c r="K113" s="179">
        <f t="shared" si="34"/>
        <v>48.767261219792843</v>
      </c>
      <c r="L113" s="413"/>
      <c r="M113" s="180">
        <f>RANK(K113, K$107:$K$121)</f>
        <v>7</v>
      </c>
      <c r="N113" s="401"/>
      <c r="O113" s="401"/>
      <c r="P113" s="181">
        <v>22</v>
      </c>
      <c r="Q113" s="165">
        <v>1072.8797468354426</v>
      </c>
      <c r="R113" s="179">
        <v>48.767261219792843</v>
      </c>
      <c r="S113" s="181">
        <f t="shared" si="35"/>
        <v>7</v>
      </c>
      <c r="T113" s="410"/>
      <c r="X113" s="103"/>
      <c r="AC113" s="103"/>
      <c r="AH113" s="103"/>
      <c r="AM113" s="103"/>
    </row>
    <row r="114" spans="2:39">
      <c r="B114" s="400"/>
      <c r="C114" s="181">
        <v>8</v>
      </c>
      <c r="D114" s="196"/>
      <c r="E114" s="165"/>
      <c r="F114" s="181"/>
      <c r="G114" s="179"/>
      <c r="H114" s="413"/>
      <c r="I114" s="165"/>
      <c r="J114" s="165"/>
      <c r="K114" s="179"/>
      <c r="L114" s="413"/>
      <c r="M114" s="180" t="e">
        <f>RANK(K114, K$107:$K$121)</f>
        <v>#N/A</v>
      </c>
      <c r="N114" s="401"/>
      <c r="O114" s="401"/>
      <c r="P114" s="181"/>
      <c r="Q114" s="165"/>
      <c r="R114" s="179"/>
      <c r="S114" s="181" t="e">
        <f t="shared" si="35"/>
        <v>#N/A</v>
      </c>
      <c r="T114" s="410"/>
      <c r="X114" s="103"/>
      <c r="AC114" s="103"/>
      <c r="AH114" s="103"/>
      <c r="AM114" s="103"/>
    </row>
    <row r="115" spans="2:39">
      <c r="B115" s="400"/>
      <c r="C115" s="181">
        <v>9</v>
      </c>
      <c r="D115" s="196"/>
      <c r="E115" s="165"/>
      <c r="F115" s="181"/>
      <c r="G115" s="179"/>
      <c r="H115" s="413"/>
      <c r="I115" s="165"/>
      <c r="J115" s="165"/>
      <c r="K115" s="179"/>
      <c r="L115" s="413"/>
      <c r="M115" s="180" t="e">
        <f>RANK(K115, K$107:$K$121)</f>
        <v>#N/A</v>
      </c>
      <c r="N115" s="401"/>
      <c r="O115" s="401"/>
      <c r="P115" s="181"/>
      <c r="Q115" s="165"/>
      <c r="R115" s="179"/>
      <c r="S115" s="181" t="e">
        <f t="shared" si="35"/>
        <v>#N/A</v>
      </c>
      <c r="T115" s="410"/>
      <c r="X115" s="103"/>
      <c r="AC115" s="103"/>
      <c r="AH115" s="103"/>
      <c r="AM115" s="103"/>
    </row>
    <row r="116" spans="2:39">
      <c r="B116" s="400"/>
      <c r="C116" s="181">
        <v>10</v>
      </c>
      <c r="D116" s="196"/>
      <c r="E116" s="165"/>
      <c r="F116" s="181"/>
      <c r="G116" s="179"/>
      <c r="H116" s="413"/>
      <c r="I116" s="165"/>
      <c r="J116" s="165"/>
      <c r="K116" s="179"/>
      <c r="L116" s="413"/>
      <c r="M116" s="180" t="e">
        <f>RANK(K116, K$107:$K$121)</f>
        <v>#N/A</v>
      </c>
      <c r="N116" s="401"/>
      <c r="O116" s="401"/>
      <c r="P116" s="181"/>
      <c r="Q116" s="165"/>
      <c r="R116" s="179"/>
      <c r="S116" s="181" t="e">
        <f t="shared" si="35"/>
        <v>#N/A</v>
      </c>
      <c r="T116" s="410"/>
      <c r="X116" s="103"/>
      <c r="AC116" s="103"/>
      <c r="AH116" s="103"/>
      <c r="AM116" s="103"/>
    </row>
    <row r="117" spans="2:39">
      <c r="B117" s="400"/>
      <c r="C117" s="181">
        <v>11</v>
      </c>
      <c r="D117" s="196"/>
      <c r="E117" s="165"/>
      <c r="F117" s="181"/>
      <c r="G117" s="179"/>
      <c r="H117" s="413"/>
      <c r="I117" s="165"/>
      <c r="J117" s="165"/>
      <c r="K117" s="179"/>
      <c r="L117" s="413"/>
      <c r="M117" s="180" t="e">
        <f>RANK(K117, K$107:$K$121)</f>
        <v>#N/A</v>
      </c>
      <c r="N117" s="401"/>
      <c r="O117" s="401"/>
      <c r="P117" s="181"/>
      <c r="Q117" s="165"/>
      <c r="R117" s="179"/>
      <c r="S117" s="181" t="e">
        <f t="shared" si="35"/>
        <v>#N/A</v>
      </c>
      <c r="T117" s="410"/>
      <c r="X117" s="103"/>
      <c r="AC117" s="103"/>
      <c r="AH117" s="103"/>
      <c r="AM117" s="103"/>
    </row>
    <row r="118" spans="2:39">
      <c r="B118" s="400"/>
      <c r="C118" s="181">
        <v>12</v>
      </c>
      <c r="D118" s="196"/>
      <c r="E118" s="165"/>
      <c r="F118" s="181"/>
      <c r="G118" s="179"/>
      <c r="H118" s="413"/>
      <c r="I118" s="165"/>
      <c r="J118" s="165"/>
      <c r="K118" s="179"/>
      <c r="L118" s="413"/>
      <c r="M118" s="180" t="e">
        <f>RANK(K118, K$107:$K$121)</f>
        <v>#N/A</v>
      </c>
      <c r="N118" s="401"/>
      <c r="O118" s="401"/>
      <c r="P118" s="181"/>
      <c r="Q118" s="165"/>
      <c r="R118" s="179"/>
      <c r="S118" s="181" t="e">
        <f t="shared" si="35"/>
        <v>#N/A</v>
      </c>
      <c r="T118" s="410"/>
      <c r="X118" s="103"/>
      <c r="AC118" s="103"/>
      <c r="AH118" s="103"/>
      <c r="AM118" s="103"/>
    </row>
    <row r="119" spans="2:39">
      <c r="B119" s="400"/>
      <c r="C119" s="181">
        <v>13</v>
      </c>
      <c r="D119" s="196"/>
      <c r="E119" s="165"/>
      <c r="F119" s="181"/>
      <c r="G119" s="179"/>
      <c r="H119" s="413"/>
      <c r="I119" s="165"/>
      <c r="J119" s="165"/>
      <c r="K119" s="179"/>
      <c r="L119" s="413"/>
      <c r="M119" s="180" t="e">
        <f>RANK(K119, K$107:$K$121)</f>
        <v>#N/A</v>
      </c>
      <c r="N119" s="401"/>
      <c r="O119" s="401"/>
      <c r="P119" s="181"/>
      <c r="Q119" s="165"/>
      <c r="R119" s="179"/>
      <c r="S119" s="181" t="e">
        <f t="shared" si="35"/>
        <v>#N/A</v>
      </c>
      <c r="T119" s="410"/>
      <c r="X119" s="103"/>
      <c r="AC119" s="103"/>
      <c r="AH119" s="103"/>
      <c r="AM119" s="103"/>
    </row>
    <row r="120" spans="2:39">
      <c r="B120" s="400"/>
      <c r="C120" s="181">
        <v>14</v>
      </c>
      <c r="D120" s="196"/>
      <c r="E120" s="165"/>
      <c r="F120" s="181"/>
      <c r="G120" s="179"/>
      <c r="H120" s="413"/>
      <c r="I120" s="165"/>
      <c r="J120" s="165"/>
      <c r="K120" s="179"/>
      <c r="L120" s="413"/>
      <c r="M120" s="180" t="e">
        <f>RANK(K120, K$107:$K$121)</f>
        <v>#N/A</v>
      </c>
      <c r="N120" s="401"/>
      <c r="O120" s="401"/>
      <c r="P120" s="181"/>
      <c r="Q120" s="165"/>
      <c r="R120" s="179"/>
      <c r="S120" s="181" t="e">
        <f t="shared" si="35"/>
        <v>#N/A</v>
      </c>
      <c r="T120" s="410"/>
      <c r="X120" s="103"/>
      <c r="AC120" s="103"/>
      <c r="AH120" s="103"/>
      <c r="AM120" s="103"/>
    </row>
    <row r="121" spans="2:39">
      <c r="B121" s="400"/>
      <c r="C121" s="181">
        <v>15</v>
      </c>
      <c r="D121" s="196"/>
      <c r="E121" s="165"/>
      <c r="F121" s="181"/>
      <c r="G121" s="179"/>
      <c r="H121" s="414"/>
      <c r="I121" s="165"/>
      <c r="J121" s="165"/>
      <c r="K121" s="179"/>
      <c r="L121" s="414"/>
      <c r="M121" s="180" t="e">
        <f>RANK(K121, K$107:$K$121)</f>
        <v>#N/A</v>
      </c>
      <c r="N121" s="401"/>
      <c r="O121" s="401"/>
      <c r="P121" s="181"/>
      <c r="Q121" s="165"/>
      <c r="R121" s="179"/>
      <c r="S121" s="181" t="e">
        <f t="shared" si="35"/>
        <v>#N/A</v>
      </c>
      <c r="T121" s="411"/>
      <c r="X121" s="103"/>
      <c r="AC121" s="103"/>
      <c r="AH121" s="103"/>
      <c r="AM121" s="103"/>
    </row>
    <row r="122" spans="2:39">
      <c r="X122" s="103"/>
      <c r="AC122" s="103"/>
      <c r="AH122" s="103"/>
      <c r="AM122" s="103"/>
    </row>
    <row r="123" spans="2:39"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X123" s="103"/>
      <c r="AC123" s="103"/>
      <c r="AH123" s="103"/>
      <c r="AM123" s="103"/>
    </row>
    <row r="124" spans="2:39"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</row>
    <row r="125" spans="2:39"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</row>
    <row r="126" spans="2:39"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</row>
    <row r="127" spans="2:39"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</row>
    <row r="128" spans="2:39"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</row>
    <row r="129" spans="3:13"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</row>
    <row r="130" spans="3:13"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</row>
    <row r="131" spans="3:13"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</row>
    <row r="132" spans="3:13"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</row>
    <row r="133" spans="3:13"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</row>
    <row r="134" spans="3:13"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</row>
    <row r="135" spans="3:13"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</row>
    <row r="136" spans="3:13"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</row>
    <row r="137" spans="3:13"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</row>
    <row r="138" spans="3:13"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</row>
    <row r="139" spans="3:13"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</row>
    <row r="140" spans="3:13"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</row>
    <row r="141" spans="3:13"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</row>
    <row r="142" spans="3:13"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</row>
  </sheetData>
  <mergeCells count="282"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B2:H3"/>
    <mergeCell ref="N2:N3"/>
    <mergeCell ref="O2:O3"/>
    <mergeCell ref="AT4:AW4"/>
    <mergeCell ref="AX4:AX6"/>
    <mergeCell ref="E5:G5"/>
    <mergeCell ref="I5:K5"/>
    <mergeCell ref="AT2:AX2"/>
    <mergeCell ref="AT3:AX3"/>
    <mergeCell ref="AT5:AW5"/>
    <mergeCell ref="M4:M6"/>
    <mergeCell ref="N4:N21"/>
    <mergeCell ref="O4:O21"/>
    <mergeCell ref="B7:B21"/>
    <mergeCell ref="H7:H21"/>
    <mergeCell ref="L7:L21"/>
    <mergeCell ref="B4:B6"/>
    <mergeCell ref="C4:D6"/>
    <mergeCell ref="E4:G4"/>
    <mergeCell ref="H4:H6"/>
    <mergeCell ref="I4:K4"/>
    <mergeCell ref="L4:L6"/>
    <mergeCell ref="B102:H103"/>
    <mergeCell ref="N102:N103"/>
    <mergeCell ref="O102:O103"/>
    <mergeCell ref="P102:T102"/>
    <mergeCell ref="P103:T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E105:G105"/>
    <mergeCell ref="I105:K105"/>
    <mergeCell ref="P105:S105"/>
    <mergeCell ref="B107:B121"/>
    <mergeCell ref="H107:H121"/>
    <mergeCell ref="L107:L121"/>
    <mergeCell ref="T107:T121"/>
  </mergeCells>
  <phoneticPr fontId="12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O19" sqref="O19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115"/>
    </row>
    <row r="2" spans="1:13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3" ht="15.75" customHeight="1">
      <c r="A3" s="451" t="s">
        <v>324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115"/>
    </row>
    <row r="4" spans="1:13" s="116" customFormat="1" ht="15.75" customHeight="1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</row>
    <row r="5" spans="1:13" s="122" customFormat="1" ht="16.350000000000001" customHeight="1">
      <c r="A5" s="434" t="s">
        <v>190</v>
      </c>
      <c r="B5" s="150">
        <v>1</v>
      </c>
      <c r="C5" s="150">
        <v>2</v>
      </c>
      <c r="D5" s="141">
        <v>3</v>
      </c>
      <c r="E5" s="141">
        <v>4</v>
      </c>
      <c r="F5" s="141">
        <v>5</v>
      </c>
      <c r="G5" s="141">
        <v>6</v>
      </c>
      <c r="H5" s="141">
        <v>7</v>
      </c>
      <c r="I5" s="141">
        <v>8</v>
      </c>
      <c r="J5" s="141">
        <v>9</v>
      </c>
      <c r="K5" s="139"/>
      <c r="L5" s="139"/>
      <c r="M5" s="139"/>
    </row>
    <row r="6" spans="1:13" ht="16.350000000000001" customHeight="1">
      <c r="A6" s="434"/>
      <c r="B6" s="151" t="s">
        <v>325</v>
      </c>
      <c r="C6" s="151" t="s">
        <v>326</v>
      </c>
      <c r="D6" s="142" t="s">
        <v>327</v>
      </c>
      <c r="E6" s="142" t="s">
        <v>328</v>
      </c>
      <c r="F6" s="131" t="s">
        <v>329</v>
      </c>
      <c r="G6" s="143" t="s">
        <v>330</v>
      </c>
      <c r="H6" s="144" t="s">
        <v>331</v>
      </c>
      <c r="I6" s="143" t="s">
        <v>332</v>
      </c>
      <c r="J6" s="143" t="s">
        <v>333</v>
      </c>
      <c r="K6" s="140"/>
      <c r="L6" s="140"/>
    </row>
    <row r="7" spans="1:13" s="122" customFormat="1" ht="15.75" customHeight="1">
      <c r="A7" s="435" t="s">
        <v>131</v>
      </c>
      <c r="B7" s="435"/>
      <c r="C7" s="146" t="s">
        <v>52</v>
      </c>
      <c r="D7" s="435" t="s">
        <v>53</v>
      </c>
      <c r="E7" s="436"/>
      <c r="F7" s="436"/>
      <c r="G7" s="146" t="s">
        <v>54</v>
      </c>
      <c r="H7" s="146" t="s">
        <v>334</v>
      </c>
      <c r="I7" s="146" t="s">
        <v>335</v>
      </c>
      <c r="J7" s="195" t="s">
        <v>57</v>
      </c>
      <c r="K7" s="435" t="s">
        <v>58</v>
      </c>
      <c r="L7" s="436"/>
      <c r="M7" s="139"/>
    </row>
    <row r="8" spans="1:13" ht="15.75" customHeight="1">
      <c r="A8" s="434">
        <v>1</v>
      </c>
      <c r="B8" s="435" t="s">
        <v>203</v>
      </c>
      <c r="C8" s="123">
        <v>1</v>
      </c>
      <c r="D8" s="431" t="s">
        <v>209</v>
      </c>
      <c r="E8" s="432"/>
      <c r="F8" s="433"/>
      <c r="G8" s="141">
        <v>3</v>
      </c>
      <c r="H8" s="206">
        <v>2985.2040126085144</v>
      </c>
      <c r="I8" s="206">
        <v>995.06800420283798</v>
      </c>
      <c r="J8" s="207" t="s">
        <v>336</v>
      </c>
      <c r="K8" s="437" t="s">
        <v>337</v>
      </c>
      <c r="L8" s="438"/>
    </row>
    <row r="9" spans="1:13" ht="15.75" customHeight="1">
      <c r="A9" s="434"/>
      <c r="B9" s="435"/>
      <c r="C9" s="123">
        <v>2</v>
      </c>
      <c r="D9" s="431" t="s">
        <v>222</v>
      </c>
      <c r="E9" s="432"/>
      <c r="F9" s="433"/>
      <c r="G9" s="141">
        <v>3</v>
      </c>
      <c r="H9" s="206">
        <v>2668.320686484723</v>
      </c>
      <c r="I9" s="206">
        <v>889.44022882824117</v>
      </c>
      <c r="J9" s="207" t="s">
        <v>336</v>
      </c>
      <c r="K9" s="439"/>
      <c r="L9" s="440"/>
    </row>
    <row r="10" spans="1:13" ht="15.75" customHeight="1">
      <c r="A10" s="434"/>
      <c r="B10" s="435"/>
      <c r="C10" s="123">
        <v>3</v>
      </c>
      <c r="D10" s="431" t="s">
        <v>205</v>
      </c>
      <c r="E10" s="432"/>
      <c r="F10" s="433"/>
      <c r="G10" s="141">
        <v>3</v>
      </c>
      <c r="H10" s="206">
        <v>2659.5962927601963</v>
      </c>
      <c r="I10" s="206">
        <v>886.53209758673211</v>
      </c>
      <c r="J10" s="207" t="s">
        <v>336</v>
      </c>
      <c r="K10" s="439"/>
      <c r="L10" s="440"/>
    </row>
    <row r="11" spans="1:13" ht="15.75" customHeight="1">
      <c r="A11" s="434"/>
      <c r="B11" s="435"/>
      <c r="C11" s="123">
        <v>4</v>
      </c>
      <c r="D11" s="431" t="s">
        <v>211</v>
      </c>
      <c r="E11" s="432"/>
      <c r="F11" s="433"/>
      <c r="G11" s="141">
        <v>3</v>
      </c>
      <c r="H11" s="206">
        <v>2490.1338998248975</v>
      </c>
      <c r="I11" s="206">
        <v>830.0446332749658</v>
      </c>
      <c r="J11" s="207" t="s">
        <v>336</v>
      </c>
      <c r="K11" s="439"/>
      <c r="L11" s="440"/>
    </row>
    <row r="12" spans="1:13" ht="15.75" customHeight="1">
      <c r="A12" s="434"/>
      <c r="B12" s="435"/>
      <c r="C12" s="123">
        <v>5</v>
      </c>
      <c r="D12" s="431" t="s">
        <v>212</v>
      </c>
      <c r="E12" s="432"/>
      <c r="F12" s="433"/>
      <c r="G12" s="141">
        <v>3</v>
      </c>
      <c r="H12" s="206">
        <v>2477.2383961873957</v>
      </c>
      <c r="I12" s="206">
        <v>825.74613206246511</v>
      </c>
      <c r="J12" s="207" t="s">
        <v>336</v>
      </c>
      <c r="K12" s="441"/>
      <c r="L12" s="442"/>
    </row>
    <row r="13" spans="1:13" ht="15.75" customHeight="1">
      <c r="A13" s="434"/>
      <c r="B13" s="435"/>
      <c r="C13" s="149" t="s">
        <v>338</v>
      </c>
      <c r="D13" s="431" t="s">
        <v>204</v>
      </c>
      <c r="E13" s="432"/>
      <c r="F13" s="433"/>
      <c r="G13" s="141">
        <v>4</v>
      </c>
      <c r="H13" s="206">
        <v>2191.5454748774005</v>
      </c>
      <c r="I13" s="206">
        <v>547.88636871935012</v>
      </c>
      <c r="J13" s="207" t="s">
        <v>336</v>
      </c>
      <c r="K13" s="443" t="s">
        <v>339</v>
      </c>
      <c r="L13" s="444"/>
    </row>
    <row r="14" spans="1:13" ht="15.75" customHeight="1">
      <c r="A14" s="434"/>
      <c r="B14" s="435"/>
      <c r="C14" s="149" t="s">
        <v>340</v>
      </c>
      <c r="D14" s="431" t="s">
        <v>220</v>
      </c>
      <c r="E14" s="432"/>
      <c r="F14" s="433"/>
      <c r="G14" s="141">
        <v>4</v>
      </c>
      <c r="H14" s="206">
        <v>2193.8963298606163</v>
      </c>
      <c r="I14" s="206">
        <v>548.47408246515408</v>
      </c>
      <c r="J14" s="207" t="s">
        <v>336</v>
      </c>
      <c r="K14" s="448"/>
      <c r="L14" s="449"/>
    </row>
    <row r="15" spans="1:13" ht="15.75" customHeight="1">
      <c r="A15" s="434"/>
      <c r="B15" s="435"/>
      <c r="C15" s="149" t="s">
        <v>341</v>
      </c>
      <c r="D15" s="431" t="s">
        <v>221</v>
      </c>
      <c r="E15" s="432"/>
      <c r="F15" s="433"/>
      <c r="G15" s="141">
        <v>4</v>
      </c>
      <c r="H15" s="206">
        <v>2389.1514118082118</v>
      </c>
      <c r="I15" s="206">
        <v>597.28785295205296</v>
      </c>
      <c r="J15" s="207" t="s">
        <v>336</v>
      </c>
      <c r="K15" s="445" t="s">
        <v>342</v>
      </c>
      <c r="L15" s="445"/>
    </row>
    <row r="16" spans="1:13" ht="15.75" customHeight="1">
      <c r="A16" s="434"/>
      <c r="B16" s="435"/>
      <c r="C16" s="149" t="s">
        <v>343</v>
      </c>
      <c r="D16" s="431" t="s">
        <v>210</v>
      </c>
      <c r="E16" s="432"/>
      <c r="F16" s="433"/>
      <c r="G16" s="141">
        <v>4</v>
      </c>
      <c r="H16" s="206">
        <v>2418.3820985270531</v>
      </c>
      <c r="I16" s="206">
        <v>604.59552463176328</v>
      </c>
      <c r="J16" s="207" t="s">
        <v>336</v>
      </c>
      <c r="K16" s="445"/>
      <c r="L16" s="445"/>
      <c r="M16" s="115"/>
    </row>
    <row r="17" spans="1:13" ht="15.75" customHeight="1">
      <c r="A17" s="434"/>
      <c r="B17" s="435"/>
      <c r="C17" s="149" t="s">
        <v>344</v>
      </c>
      <c r="D17" s="431" t="s">
        <v>213</v>
      </c>
      <c r="E17" s="432"/>
      <c r="F17" s="433"/>
      <c r="G17" s="141">
        <v>4</v>
      </c>
      <c r="H17" s="206">
        <v>2471.9789431184886</v>
      </c>
      <c r="I17" s="206">
        <v>617.99473577962215</v>
      </c>
      <c r="J17" s="207" t="s">
        <v>336</v>
      </c>
      <c r="K17" s="446" t="s">
        <v>345</v>
      </c>
      <c r="L17" s="447"/>
      <c r="M17" s="115"/>
    </row>
    <row r="18" spans="1:13" s="120" customFormat="1" ht="15.75" customHeight="1">
      <c r="A18" s="464" t="s">
        <v>131</v>
      </c>
      <c r="B18" s="464"/>
      <c r="C18" s="221" t="s">
        <v>52</v>
      </c>
      <c r="D18" s="464" t="s">
        <v>53</v>
      </c>
      <c r="E18" s="465"/>
      <c r="F18" s="465"/>
      <c r="G18" s="221" t="s">
        <v>54</v>
      </c>
      <c r="H18" s="221" t="s">
        <v>334</v>
      </c>
      <c r="I18" s="221" t="s">
        <v>335</v>
      </c>
      <c r="J18" s="195" t="s">
        <v>57</v>
      </c>
      <c r="K18" s="464" t="s">
        <v>58</v>
      </c>
      <c r="L18" s="465"/>
      <c r="M18" s="140"/>
    </row>
    <row r="19" spans="1:13" ht="15.75" customHeight="1">
      <c r="A19" s="434">
        <v>2</v>
      </c>
      <c r="B19" s="435" t="s">
        <v>326</v>
      </c>
      <c r="C19" s="123">
        <v>1</v>
      </c>
      <c r="D19" s="431" t="s">
        <v>346</v>
      </c>
      <c r="E19" s="432"/>
      <c r="F19" s="433"/>
      <c r="G19" s="141">
        <v>5</v>
      </c>
      <c r="H19" s="206">
        <v>1620.9528883183275</v>
      </c>
      <c r="I19" s="206">
        <v>324.19057766366547</v>
      </c>
      <c r="J19" s="207" t="s">
        <v>336</v>
      </c>
      <c r="K19" s="453" t="s">
        <v>347</v>
      </c>
      <c r="L19" s="454"/>
      <c r="M19" s="115"/>
    </row>
    <row r="20" spans="1:13" ht="15.75" customHeight="1">
      <c r="A20" s="434"/>
      <c r="B20" s="435"/>
      <c r="C20" s="123">
        <v>2</v>
      </c>
      <c r="D20" s="431" t="s">
        <v>239</v>
      </c>
      <c r="E20" s="432"/>
      <c r="F20" s="433"/>
      <c r="G20" s="141">
        <v>5</v>
      </c>
      <c r="H20" s="206">
        <v>1480.1999290357044</v>
      </c>
      <c r="I20" s="206">
        <v>296.03998580714091</v>
      </c>
      <c r="J20" s="207" t="s">
        <v>336</v>
      </c>
      <c r="K20" s="455"/>
      <c r="L20" s="456"/>
      <c r="M20" s="115"/>
    </row>
    <row r="21" spans="1:13" ht="15.75" customHeight="1">
      <c r="A21" s="434"/>
      <c r="B21" s="435"/>
      <c r="C21" s="123">
        <v>3</v>
      </c>
      <c r="D21" s="431" t="s">
        <v>238</v>
      </c>
      <c r="E21" s="432"/>
      <c r="F21" s="433"/>
      <c r="G21" s="141">
        <v>5</v>
      </c>
      <c r="H21" s="206">
        <v>1467.654308631807</v>
      </c>
      <c r="I21" s="206">
        <v>293.53086172636142</v>
      </c>
      <c r="J21" s="207" t="s">
        <v>336</v>
      </c>
      <c r="K21" s="457"/>
      <c r="L21" s="458"/>
      <c r="M21" s="115"/>
    </row>
    <row r="22" spans="1:13" ht="15.75" customHeight="1">
      <c r="A22" s="434"/>
      <c r="B22" s="435"/>
      <c r="C22" s="123">
        <v>4</v>
      </c>
      <c r="D22" s="431" t="s">
        <v>236</v>
      </c>
      <c r="E22" s="432"/>
      <c r="F22" s="433"/>
      <c r="G22" s="206">
        <v>11.761904761904761</v>
      </c>
      <c r="H22" s="206">
        <v>1775.7150793650781</v>
      </c>
      <c r="I22" s="206">
        <v>151.36732804232796</v>
      </c>
      <c r="J22" s="207" t="s">
        <v>336</v>
      </c>
      <c r="K22" s="460"/>
      <c r="L22" s="461"/>
      <c r="M22" s="115"/>
    </row>
    <row r="23" spans="1:13" ht="15.75" customHeight="1">
      <c r="A23" s="434"/>
      <c r="B23" s="435"/>
      <c r="C23" s="123">
        <v>5</v>
      </c>
      <c r="D23" s="431"/>
      <c r="E23" s="432"/>
      <c r="F23" s="433"/>
      <c r="G23" s="141"/>
      <c r="H23" s="206"/>
      <c r="I23" s="206"/>
      <c r="J23" s="211"/>
      <c r="K23" s="462"/>
      <c r="L23" s="463"/>
      <c r="M23" s="115"/>
    </row>
    <row r="24" spans="1:13" ht="15.75" customHeight="1">
      <c r="A24" s="434"/>
      <c r="B24" s="435"/>
      <c r="C24" s="149" t="s">
        <v>338</v>
      </c>
      <c r="D24" s="431"/>
      <c r="E24" s="432"/>
      <c r="F24" s="433"/>
      <c r="G24" s="141"/>
      <c r="H24" s="206"/>
      <c r="I24" s="206"/>
      <c r="J24" s="207" t="s">
        <v>336</v>
      </c>
      <c r="K24" s="459"/>
      <c r="L24" s="444"/>
      <c r="M24" s="115"/>
    </row>
    <row r="25" spans="1:13" ht="15.75" customHeight="1">
      <c r="A25" s="434"/>
      <c r="B25" s="435"/>
      <c r="C25" s="149" t="s">
        <v>340</v>
      </c>
      <c r="D25" s="431" t="s">
        <v>241</v>
      </c>
      <c r="E25" s="432"/>
      <c r="F25" s="433"/>
      <c r="G25" s="141">
        <v>10</v>
      </c>
      <c r="H25" s="206">
        <v>1255.7282051282066</v>
      </c>
      <c r="I25" s="206">
        <v>125.57282051282067</v>
      </c>
      <c r="J25" s="207" t="s">
        <v>336</v>
      </c>
      <c r="K25" s="466" t="s">
        <v>348</v>
      </c>
      <c r="L25" s="467"/>
      <c r="M25" s="115"/>
    </row>
    <row r="26" spans="1:13" ht="15.75" customHeight="1">
      <c r="A26" s="434"/>
      <c r="B26" s="435"/>
      <c r="C26" s="149" t="s">
        <v>341</v>
      </c>
      <c r="D26" s="431" t="s">
        <v>235</v>
      </c>
      <c r="E26" s="432"/>
      <c r="F26" s="433"/>
      <c r="G26" s="206">
        <v>10.357142857142856</v>
      </c>
      <c r="H26" s="206">
        <v>1518.5632653061227</v>
      </c>
      <c r="I26" s="206">
        <v>147.82418367346943</v>
      </c>
      <c r="J26" s="207" t="s">
        <v>336</v>
      </c>
      <c r="K26" s="468"/>
      <c r="L26" s="469"/>
      <c r="M26" s="115"/>
    </row>
    <row r="27" spans="1:13" ht="15.75" customHeight="1">
      <c r="A27" s="434"/>
      <c r="B27" s="435"/>
      <c r="C27" s="149" t="s">
        <v>343</v>
      </c>
      <c r="D27" s="431" t="s">
        <v>237</v>
      </c>
      <c r="E27" s="432"/>
      <c r="F27" s="433"/>
      <c r="G27" s="141">
        <v>12</v>
      </c>
      <c r="H27" s="206">
        <v>1811.5016079158922</v>
      </c>
      <c r="I27" s="206">
        <v>150.95846732632435</v>
      </c>
      <c r="J27" s="148"/>
      <c r="K27" s="450"/>
      <c r="L27" s="444"/>
      <c r="M27" s="115"/>
    </row>
    <row r="28" spans="1:13" ht="15.75" customHeight="1">
      <c r="A28" s="434"/>
      <c r="B28" s="435"/>
      <c r="C28" s="149" t="s">
        <v>344</v>
      </c>
      <c r="D28" s="431"/>
      <c r="E28" s="432"/>
      <c r="F28" s="433"/>
      <c r="G28" s="141"/>
      <c r="H28" s="206"/>
      <c r="I28" s="206"/>
      <c r="J28" s="148"/>
      <c r="K28" s="450"/>
      <c r="L28" s="444"/>
      <c r="M28" s="115"/>
    </row>
  </sheetData>
  <mergeCells count="45">
    <mergeCell ref="A3:L4"/>
    <mergeCell ref="K19:L21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5:L26"/>
    <mergeCell ref="K28:L28"/>
    <mergeCell ref="D27:F27"/>
    <mergeCell ref="K17:L17"/>
    <mergeCell ref="D19:F19"/>
    <mergeCell ref="K14:L14"/>
    <mergeCell ref="B19:B28"/>
    <mergeCell ref="D28:F28"/>
    <mergeCell ref="K27:L27"/>
    <mergeCell ref="D22:F22"/>
    <mergeCell ref="D23:F23"/>
    <mergeCell ref="D24:F24"/>
    <mergeCell ref="D25:F25"/>
    <mergeCell ref="D26:F26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K8:L12"/>
    <mergeCell ref="K13:L13"/>
    <mergeCell ref="K15:L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J32" sqref="J3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115"/>
    </row>
    <row r="2" spans="1:13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3" ht="15.75" customHeight="1">
      <c r="A3" s="451" t="s">
        <v>324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115"/>
    </row>
    <row r="4" spans="1:13" s="116" customFormat="1" ht="15.75" customHeight="1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</row>
    <row r="5" spans="1:13" s="122" customFormat="1" ht="16.350000000000001" customHeight="1">
      <c r="A5" s="434" t="s">
        <v>190</v>
      </c>
      <c r="B5" s="141">
        <v>1</v>
      </c>
      <c r="C5" s="141">
        <v>2</v>
      </c>
      <c r="D5" s="150">
        <v>3</v>
      </c>
      <c r="E5" s="150">
        <v>4</v>
      </c>
      <c r="F5" s="141">
        <v>5</v>
      </c>
      <c r="G5" s="141">
        <v>6</v>
      </c>
      <c r="H5" s="141">
        <v>7</v>
      </c>
      <c r="I5" s="141">
        <v>8</v>
      </c>
      <c r="J5" s="141">
        <v>9</v>
      </c>
      <c r="K5" s="139"/>
      <c r="L5" s="139"/>
      <c r="M5" s="139"/>
    </row>
    <row r="6" spans="1:13" ht="16.350000000000001" customHeight="1">
      <c r="A6" s="434"/>
      <c r="B6" s="142" t="s">
        <v>325</v>
      </c>
      <c r="C6" s="142" t="s">
        <v>326</v>
      </c>
      <c r="D6" s="151" t="s">
        <v>327</v>
      </c>
      <c r="E6" s="151" t="s">
        <v>328</v>
      </c>
      <c r="F6" s="131" t="s">
        <v>329</v>
      </c>
      <c r="G6" s="143" t="s">
        <v>330</v>
      </c>
      <c r="H6" s="144" t="s">
        <v>331</v>
      </c>
      <c r="I6" s="143" t="s">
        <v>332</v>
      </c>
      <c r="J6" s="143" t="s">
        <v>333</v>
      </c>
      <c r="K6" s="140"/>
      <c r="L6" s="140"/>
    </row>
    <row r="7" spans="1:13" s="122" customFormat="1" ht="15.75" customHeight="1">
      <c r="A7" s="435" t="s">
        <v>131</v>
      </c>
      <c r="B7" s="435"/>
      <c r="C7" s="146" t="s">
        <v>52</v>
      </c>
      <c r="D7" s="435" t="s">
        <v>53</v>
      </c>
      <c r="E7" s="436"/>
      <c r="F7" s="436"/>
      <c r="G7" s="146" t="s">
        <v>54</v>
      </c>
      <c r="H7" s="146" t="s">
        <v>334</v>
      </c>
      <c r="I7" s="146" t="s">
        <v>335</v>
      </c>
      <c r="J7" s="195" t="s">
        <v>57</v>
      </c>
      <c r="K7" s="435" t="s">
        <v>58</v>
      </c>
      <c r="L7" s="436"/>
      <c r="M7" s="139"/>
    </row>
    <row r="8" spans="1:13" ht="15.75" customHeight="1">
      <c r="A8" s="434">
        <v>3</v>
      </c>
      <c r="B8" s="435" t="s">
        <v>349</v>
      </c>
      <c r="C8" s="123">
        <v>1</v>
      </c>
      <c r="D8" s="443" t="s">
        <v>350</v>
      </c>
      <c r="E8" s="444"/>
      <c r="F8" s="444"/>
      <c r="G8" s="206">
        <v>4.6428571428571432</v>
      </c>
      <c r="H8" s="206">
        <v>2016.664062993618</v>
      </c>
      <c r="I8" s="206">
        <v>437.12691273877971</v>
      </c>
      <c r="J8" s="209" t="s">
        <v>351</v>
      </c>
      <c r="K8" s="471" t="s">
        <v>352</v>
      </c>
      <c r="L8" s="472"/>
    </row>
    <row r="9" spans="1:13" ht="15.75" customHeight="1">
      <c r="A9" s="434"/>
      <c r="B9" s="435"/>
      <c r="C9" s="123">
        <v>2</v>
      </c>
      <c r="D9" s="443" t="s">
        <v>353</v>
      </c>
      <c r="E9" s="444"/>
      <c r="F9" s="444"/>
      <c r="G9" s="206">
        <v>4.6428571428571432</v>
      </c>
      <c r="H9" s="206">
        <v>1998.7647453718328</v>
      </c>
      <c r="I9" s="206">
        <v>432.77584270550318</v>
      </c>
      <c r="J9" s="209" t="s">
        <v>351</v>
      </c>
      <c r="K9" s="473"/>
      <c r="L9" s="474"/>
    </row>
    <row r="10" spans="1:13" ht="15.75" customHeight="1">
      <c r="A10" s="434"/>
      <c r="B10" s="435"/>
      <c r="C10" s="123">
        <v>3</v>
      </c>
      <c r="D10" s="443" t="s">
        <v>354</v>
      </c>
      <c r="E10" s="444"/>
      <c r="F10" s="444"/>
      <c r="G10" s="206">
        <v>4.9523809523809526</v>
      </c>
      <c r="H10" s="206">
        <v>2100.1298848998595</v>
      </c>
      <c r="I10" s="206">
        <v>425.19179330650263</v>
      </c>
      <c r="J10" s="209" t="s">
        <v>351</v>
      </c>
      <c r="K10" s="473"/>
      <c r="L10" s="474"/>
    </row>
    <row r="11" spans="1:13" ht="15.75" customHeight="1">
      <c r="A11" s="434"/>
      <c r="B11" s="435"/>
      <c r="C11" s="123">
        <v>4</v>
      </c>
      <c r="D11" s="443" t="s">
        <v>355</v>
      </c>
      <c r="E11" s="444"/>
      <c r="F11" s="444"/>
      <c r="G11" s="206">
        <v>4.9444444444444438</v>
      </c>
      <c r="H11" s="206">
        <v>2045.294334757423</v>
      </c>
      <c r="I11" s="206">
        <v>414.14220028481787</v>
      </c>
      <c r="J11" s="209" t="s">
        <v>351</v>
      </c>
      <c r="K11" s="475"/>
      <c r="L11" s="476"/>
    </row>
    <row r="12" spans="1:13" ht="15.75" customHeight="1">
      <c r="A12" s="434"/>
      <c r="B12" s="435"/>
      <c r="C12" s="123">
        <v>5</v>
      </c>
      <c r="D12" s="443" t="s">
        <v>356</v>
      </c>
      <c r="E12" s="444"/>
      <c r="F12" s="444"/>
      <c r="G12" s="206">
        <v>9.5714285714285712</v>
      </c>
      <c r="H12" s="206">
        <v>1996.9757217171755</v>
      </c>
      <c r="I12" s="206">
        <v>209.21499980596028</v>
      </c>
      <c r="J12" s="209" t="s">
        <v>351</v>
      </c>
      <c r="K12" s="459"/>
      <c r="L12" s="444"/>
    </row>
    <row r="13" spans="1:13" ht="15.75" customHeight="1">
      <c r="A13" s="434"/>
      <c r="B13" s="435"/>
      <c r="C13" s="149" t="s">
        <v>338</v>
      </c>
      <c r="D13" s="443" t="s">
        <v>357</v>
      </c>
      <c r="E13" s="444"/>
      <c r="F13" s="444"/>
      <c r="G13" s="206">
        <v>13.833333333333334</v>
      </c>
      <c r="H13" s="206">
        <v>1239.8939310540597</v>
      </c>
      <c r="I13" s="206">
        <v>91.032484603721983</v>
      </c>
      <c r="J13" s="209" t="s">
        <v>351</v>
      </c>
      <c r="K13" s="477" t="s">
        <v>358</v>
      </c>
      <c r="L13" s="478"/>
    </row>
    <row r="14" spans="1:13" ht="15.75" customHeight="1">
      <c r="A14" s="434"/>
      <c r="B14" s="435"/>
      <c r="C14" s="149" t="s">
        <v>340</v>
      </c>
      <c r="D14" s="443" t="s">
        <v>359</v>
      </c>
      <c r="E14" s="444"/>
      <c r="F14" s="444"/>
      <c r="G14" s="141">
        <v>12.5</v>
      </c>
      <c r="H14" s="206">
        <v>1916.2518755412839</v>
      </c>
      <c r="I14" s="206">
        <v>153.37136189620085</v>
      </c>
      <c r="J14" s="209" t="s">
        <v>351</v>
      </c>
      <c r="K14" s="450"/>
      <c r="L14" s="444"/>
    </row>
    <row r="15" spans="1:13" ht="15.75" customHeight="1">
      <c r="A15" s="434"/>
      <c r="B15" s="435"/>
      <c r="C15" s="149" t="s">
        <v>341</v>
      </c>
      <c r="D15" s="443" t="s">
        <v>360</v>
      </c>
      <c r="E15" s="444"/>
      <c r="F15" s="444"/>
      <c r="G15" s="206">
        <v>12</v>
      </c>
      <c r="H15" s="206">
        <v>1969.0774788907354</v>
      </c>
      <c r="I15" s="206">
        <v>164.08978990756125</v>
      </c>
      <c r="J15" s="209" t="s">
        <v>351</v>
      </c>
      <c r="K15" s="459"/>
      <c r="L15" s="444"/>
    </row>
    <row r="16" spans="1:13" ht="15.75" customHeight="1">
      <c r="A16" s="434"/>
      <c r="B16" s="435"/>
      <c r="C16" s="149" t="s">
        <v>343</v>
      </c>
      <c r="D16" s="443" t="s">
        <v>361</v>
      </c>
      <c r="E16" s="444"/>
      <c r="F16" s="444"/>
      <c r="G16" s="206">
        <v>11</v>
      </c>
      <c r="H16" s="206">
        <v>1972.2819500135977</v>
      </c>
      <c r="I16" s="206">
        <v>179.29835909214523</v>
      </c>
      <c r="J16" s="209" t="s">
        <v>351</v>
      </c>
      <c r="K16" s="459"/>
      <c r="L16" s="444"/>
      <c r="M16" s="115"/>
    </row>
    <row r="17" spans="1:13" ht="15.75" customHeight="1">
      <c r="A17" s="434"/>
      <c r="B17" s="435"/>
      <c r="C17" s="149" t="s">
        <v>344</v>
      </c>
      <c r="D17" s="443" t="s">
        <v>362</v>
      </c>
      <c r="E17" s="444"/>
      <c r="F17" s="444"/>
      <c r="G17" s="206">
        <v>11.428571428571429</v>
      </c>
      <c r="H17" s="206">
        <v>2055.4193596502314</v>
      </c>
      <c r="I17" s="206">
        <v>180.28456895734553</v>
      </c>
      <c r="J17" s="209" t="s">
        <v>351</v>
      </c>
      <c r="K17" s="450"/>
      <c r="L17" s="444"/>
      <c r="M17" s="115"/>
    </row>
    <row r="18" spans="1:13" s="120" customFormat="1" ht="15.75" customHeight="1">
      <c r="A18" s="464" t="s">
        <v>131</v>
      </c>
      <c r="B18" s="464"/>
      <c r="C18" s="221" t="s">
        <v>52</v>
      </c>
      <c r="D18" s="464" t="s">
        <v>53</v>
      </c>
      <c r="E18" s="465"/>
      <c r="F18" s="465"/>
      <c r="G18" s="221" t="s">
        <v>54</v>
      </c>
      <c r="H18" s="221" t="s">
        <v>334</v>
      </c>
      <c r="I18" s="221" t="s">
        <v>335</v>
      </c>
      <c r="J18" s="195" t="s">
        <v>57</v>
      </c>
      <c r="K18" s="464" t="s">
        <v>58</v>
      </c>
      <c r="L18" s="465"/>
      <c r="M18" s="140"/>
    </row>
    <row r="19" spans="1:13" ht="15.75" customHeight="1">
      <c r="A19" s="434">
        <v>4</v>
      </c>
      <c r="B19" s="435" t="s">
        <v>328</v>
      </c>
      <c r="C19" s="123">
        <v>1</v>
      </c>
      <c r="D19" s="443" t="s">
        <v>363</v>
      </c>
      <c r="E19" s="444"/>
      <c r="F19" s="444"/>
      <c r="G19" s="210">
        <v>12.928571428571429</v>
      </c>
      <c r="H19" s="210">
        <v>1408.2095238095228</v>
      </c>
      <c r="I19" s="210">
        <v>108.99340659340653</v>
      </c>
      <c r="J19" s="209" t="s">
        <v>351</v>
      </c>
      <c r="K19" s="459"/>
      <c r="L19" s="444"/>
      <c r="M19" s="115"/>
    </row>
    <row r="20" spans="1:13" ht="15.75" customHeight="1">
      <c r="A20" s="434"/>
      <c r="B20" s="435"/>
      <c r="C20" s="123">
        <v>2</v>
      </c>
      <c r="D20" s="450"/>
      <c r="E20" s="444"/>
      <c r="F20" s="444"/>
      <c r="G20" s="148"/>
      <c r="H20" s="148"/>
      <c r="I20" s="148"/>
      <c r="J20" s="148"/>
      <c r="K20" s="450"/>
      <c r="L20" s="444"/>
      <c r="M20" s="115"/>
    </row>
    <row r="21" spans="1:13" ht="15.75" customHeight="1">
      <c r="A21" s="434"/>
      <c r="B21" s="435"/>
      <c r="C21" s="123">
        <v>3</v>
      </c>
      <c r="D21" s="450"/>
      <c r="E21" s="444"/>
      <c r="F21" s="444"/>
      <c r="G21" s="148"/>
      <c r="H21" s="148"/>
      <c r="I21" s="148"/>
      <c r="J21" s="148"/>
      <c r="K21" s="450"/>
      <c r="L21" s="444"/>
      <c r="M21" s="115"/>
    </row>
    <row r="22" spans="1:13" ht="15.75" customHeight="1">
      <c r="A22" s="434"/>
      <c r="B22" s="435"/>
      <c r="C22" s="123">
        <v>4</v>
      </c>
      <c r="D22" s="450"/>
      <c r="E22" s="444"/>
      <c r="F22" s="444"/>
      <c r="G22" s="148"/>
      <c r="H22" s="148"/>
      <c r="I22" s="148"/>
      <c r="J22" s="148"/>
      <c r="K22" s="450"/>
      <c r="L22" s="444"/>
      <c r="M22" s="115"/>
    </row>
    <row r="23" spans="1:13" ht="15.75" customHeight="1">
      <c r="A23" s="434"/>
      <c r="B23" s="435"/>
      <c r="C23" s="123">
        <v>5</v>
      </c>
      <c r="D23" s="450"/>
      <c r="E23" s="444"/>
      <c r="F23" s="444"/>
      <c r="G23" s="148"/>
      <c r="H23" s="148"/>
      <c r="I23" s="148"/>
      <c r="J23" s="148"/>
      <c r="K23" s="450"/>
      <c r="L23" s="444"/>
      <c r="M23" s="115"/>
    </row>
    <row r="24" spans="1:13" ht="15.75" customHeight="1">
      <c r="A24" s="434"/>
      <c r="B24" s="435"/>
      <c r="C24" s="149" t="s">
        <v>338</v>
      </c>
      <c r="D24" s="443"/>
      <c r="E24" s="444"/>
      <c r="F24" s="444"/>
      <c r="G24" s="210"/>
      <c r="H24" s="210"/>
      <c r="I24" s="210"/>
      <c r="J24" s="209"/>
      <c r="K24" s="470"/>
      <c r="L24" s="444"/>
      <c r="M24" s="115"/>
    </row>
    <row r="25" spans="1:13" ht="15.75" customHeight="1">
      <c r="A25" s="434"/>
      <c r="B25" s="435"/>
      <c r="C25" s="149" t="s">
        <v>340</v>
      </c>
      <c r="D25" s="450"/>
      <c r="E25" s="444"/>
      <c r="F25" s="444"/>
      <c r="G25" s="148"/>
      <c r="H25" s="148"/>
      <c r="I25" s="148"/>
      <c r="J25" s="148"/>
      <c r="K25" s="450"/>
      <c r="L25" s="444"/>
      <c r="M25" s="115"/>
    </row>
    <row r="26" spans="1:13" ht="15.75" customHeight="1">
      <c r="A26" s="434"/>
      <c r="B26" s="435"/>
      <c r="C26" s="149" t="s">
        <v>341</v>
      </c>
      <c r="D26" s="450"/>
      <c r="E26" s="444"/>
      <c r="F26" s="444"/>
      <c r="G26" s="148"/>
      <c r="H26" s="148"/>
      <c r="I26" s="148"/>
      <c r="J26" s="148"/>
      <c r="K26" s="450"/>
      <c r="L26" s="444"/>
      <c r="M26" s="115"/>
    </row>
    <row r="27" spans="1:13" ht="15.75" customHeight="1">
      <c r="A27" s="434"/>
      <c r="B27" s="435"/>
      <c r="C27" s="149" t="s">
        <v>343</v>
      </c>
      <c r="D27" s="450"/>
      <c r="E27" s="444"/>
      <c r="F27" s="444"/>
      <c r="G27" s="148"/>
      <c r="H27" s="148"/>
      <c r="I27" s="148"/>
      <c r="J27" s="148"/>
      <c r="K27" s="450"/>
      <c r="L27" s="444"/>
      <c r="M27" s="115"/>
    </row>
    <row r="28" spans="1:13" ht="15.75" customHeight="1">
      <c r="A28" s="434"/>
      <c r="B28" s="435"/>
      <c r="C28" s="149" t="s">
        <v>344</v>
      </c>
      <c r="D28" s="450"/>
      <c r="E28" s="444"/>
      <c r="F28" s="444"/>
      <c r="G28" s="148"/>
      <c r="H28" s="148"/>
      <c r="I28" s="148"/>
      <c r="J28" s="148"/>
      <c r="K28" s="450"/>
      <c r="L28" s="444"/>
      <c r="M28" s="115"/>
    </row>
  </sheetData>
  <mergeCells count="50">
    <mergeCell ref="A18:B18"/>
    <mergeCell ref="D18:F18"/>
    <mergeCell ref="K18:L18"/>
    <mergeCell ref="K22:L22"/>
    <mergeCell ref="D23:F23"/>
    <mergeCell ref="K23:L23"/>
    <mergeCell ref="D14:F14"/>
    <mergeCell ref="K8:L11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  <outlinePr summaryBelow="0" summaryRight="0"/>
  </sheetPr>
  <dimension ref="A1:R28"/>
  <sheetViews>
    <sheetView view="pageBreakPreview" topLeftCell="A24" zoomScaleNormal="60" zoomScaleSheetLayoutView="100" workbookViewId="0">
      <selection activeCell="L31" sqref="L31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8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115"/>
    </row>
    <row r="2" spans="1:18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8" ht="15.75" customHeight="1">
      <c r="A3" s="451" t="s">
        <v>324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115"/>
    </row>
    <row r="4" spans="1:18" s="116" customFormat="1" ht="15.75" customHeight="1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</row>
    <row r="5" spans="1:18" s="122" customFormat="1" ht="16.350000000000001" customHeight="1">
      <c r="A5" s="434" t="s">
        <v>190</v>
      </c>
      <c r="B5" s="141">
        <v>1</v>
      </c>
      <c r="C5" s="141">
        <v>2</v>
      </c>
      <c r="D5" s="141">
        <v>3</v>
      </c>
      <c r="E5" s="141">
        <v>4</v>
      </c>
      <c r="F5" s="150">
        <v>5</v>
      </c>
      <c r="G5" s="150">
        <v>6</v>
      </c>
      <c r="H5" s="141">
        <v>7</v>
      </c>
      <c r="I5" s="141">
        <v>8</v>
      </c>
      <c r="J5" s="141">
        <v>9</v>
      </c>
      <c r="K5" s="139"/>
      <c r="L5" s="139"/>
      <c r="M5" s="139"/>
    </row>
    <row r="6" spans="1:18" ht="16.350000000000001" customHeight="1">
      <c r="A6" s="434"/>
      <c r="B6" s="142" t="s">
        <v>325</v>
      </c>
      <c r="C6" s="142" t="s">
        <v>326</v>
      </c>
      <c r="D6" s="142" t="s">
        <v>327</v>
      </c>
      <c r="E6" s="142" t="s">
        <v>328</v>
      </c>
      <c r="F6" s="152" t="s">
        <v>329</v>
      </c>
      <c r="G6" s="153" t="s">
        <v>330</v>
      </c>
      <c r="H6" s="144" t="s">
        <v>331</v>
      </c>
      <c r="I6" s="143" t="s">
        <v>332</v>
      </c>
      <c r="J6" s="143" t="s">
        <v>333</v>
      </c>
      <c r="K6" s="140"/>
      <c r="L6" s="140"/>
    </row>
    <row r="7" spans="1:18" s="122" customFormat="1" ht="15.75" customHeight="1">
      <c r="A7" s="435" t="s">
        <v>131</v>
      </c>
      <c r="B7" s="435"/>
      <c r="C7" s="146" t="s">
        <v>52</v>
      </c>
      <c r="D7" s="435" t="s">
        <v>53</v>
      </c>
      <c r="E7" s="436"/>
      <c r="F7" s="436"/>
      <c r="G7" s="146" t="s">
        <v>54</v>
      </c>
      <c r="H7" s="146" t="s">
        <v>334</v>
      </c>
      <c r="I7" s="146" t="s">
        <v>335</v>
      </c>
      <c r="J7" s="195" t="s">
        <v>57</v>
      </c>
      <c r="K7" s="435" t="s">
        <v>58</v>
      </c>
      <c r="L7" s="436"/>
      <c r="M7" s="139"/>
    </row>
    <row r="8" spans="1:18" ht="15.75" customHeight="1">
      <c r="A8" s="434">
        <v>5</v>
      </c>
      <c r="B8" s="435" t="s">
        <v>329</v>
      </c>
      <c r="C8" s="123">
        <v>1</v>
      </c>
      <c r="D8" s="479" t="s">
        <v>262</v>
      </c>
      <c r="E8" s="480"/>
      <c r="F8" s="481"/>
      <c r="G8" s="210">
        <v>5.7857142857142856</v>
      </c>
      <c r="H8" s="210">
        <v>1482.4379334086116</v>
      </c>
      <c r="I8" s="210">
        <v>257.92923277116273</v>
      </c>
      <c r="J8" s="209" t="s">
        <v>351</v>
      </c>
      <c r="K8" s="443"/>
      <c r="L8" s="444"/>
      <c r="P8" s="219"/>
      <c r="Q8" s="219"/>
      <c r="R8" s="219"/>
    </row>
    <row r="9" spans="1:18" ht="15.75" customHeight="1">
      <c r="A9" s="434"/>
      <c r="B9" s="435"/>
      <c r="C9" s="123">
        <v>2</v>
      </c>
      <c r="D9" s="479" t="s">
        <v>263</v>
      </c>
      <c r="E9" s="480"/>
      <c r="F9" s="481"/>
      <c r="G9" s="210">
        <v>7.1904761904761898</v>
      </c>
      <c r="H9" s="210">
        <v>1476.9027036338011</v>
      </c>
      <c r="I9" s="210">
        <v>205.95853374496144</v>
      </c>
      <c r="J9" s="209" t="s">
        <v>351</v>
      </c>
      <c r="K9" s="450"/>
      <c r="L9" s="444"/>
      <c r="P9" s="219"/>
      <c r="Q9" s="219"/>
      <c r="R9" s="219"/>
    </row>
    <row r="10" spans="1:18" ht="15.75" customHeight="1">
      <c r="A10" s="434"/>
      <c r="B10" s="435"/>
      <c r="C10" s="123">
        <v>3</v>
      </c>
      <c r="D10" s="479" t="s">
        <v>279</v>
      </c>
      <c r="E10" s="480"/>
      <c r="F10" s="481"/>
      <c r="G10" s="210">
        <v>15.571428571428571</v>
      </c>
      <c r="H10" s="210">
        <v>1291.1652857883043</v>
      </c>
      <c r="I10" s="210">
        <v>83.061145881066068</v>
      </c>
      <c r="J10" s="209" t="s">
        <v>351</v>
      </c>
      <c r="K10" s="450"/>
      <c r="L10" s="444"/>
      <c r="P10" s="219"/>
      <c r="Q10" s="219"/>
      <c r="R10" s="219"/>
    </row>
    <row r="11" spans="1:18" ht="15.75" customHeight="1">
      <c r="A11" s="434"/>
      <c r="B11" s="435"/>
      <c r="C11" s="123">
        <v>4</v>
      </c>
      <c r="D11" s="479" t="s">
        <v>268</v>
      </c>
      <c r="E11" s="480"/>
      <c r="F11" s="481"/>
      <c r="G11" s="210">
        <v>17.166666666666668</v>
      </c>
      <c r="H11" s="210">
        <v>1381.6706449129499</v>
      </c>
      <c r="I11" s="210">
        <v>80.549684563937788</v>
      </c>
      <c r="J11" s="209" t="s">
        <v>351</v>
      </c>
      <c r="K11" s="450"/>
      <c r="L11" s="444"/>
      <c r="P11" s="219"/>
      <c r="Q11" s="219"/>
      <c r="R11" s="219"/>
    </row>
    <row r="12" spans="1:18" ht="15.75" customHeight="1">
      <c r="A12" s="434"/>
      <c r="B12" s="435"/>
      <c r="C12" s="123">
        <v>5</v>
      </c>
      <c r="D12" s="479" t="s">
        <v>280</v>
      </c>
      <c r="E12" s="480"/>
      <c r="F12" s="481"/>
      <c r="G12" s="210">
        <v>17</v>
      </c>
      <c r="H12" s="210">
        <v>1338.4813330684085</v>
      </c>
      <c r="I12" s="210">
        <v>78.734196062847573</v>
      </c>
      <c r="J12" s="209" t="s">
        <v>351</v>
      </c>
      <c r="K12" s="450"/>
      <c r="L12" s="444"/>
      <c r="P12" s="219"/>
      <c r="Q12" s="219"/>
      <c r="R12" s="219"/>
    </row>
    <row r="13" spans="1:18" ht="15.75" customHeight="1">
      <c r="A13" s="434"/>
      <c r="B13" s="435"/>
      <c r="C13" s="149" t="s">
        <v>338</v>
      </c>
      <c r="D13" s="479" t="s">
        <v>265</v>
      </c>
      <c r="E13" s="480"/>
      <c r="F13" s="481"/>
      <c r="G13" s="210">
        <v>20.30952380952381</v>
      </c>
      <c r="H13" s="210">
        <v>1253.2807597717285</v>
      </c>
      <c r="I13" s="210">
        <v>61.718980409441542</v>
      </c>
      <c r="J13" s="209" t="s">
        <v>351</v>
      </c>
      <c r="K13" s="482" t="s">
        <v>364</v>
      </c>
      <c r="L13" s="483"/>
      <c r="P13" s="219"/>
      <c r="Q13" s="219"/>
      <c r="R13" s="219"/>
    </row>
    <row r="14" spans="1:18" ht="15.75" customHeight="1">
      <c r="A14" s="434"/>
      <c r="B14" s="435"/>
      <c r="C14" s="149" t="s">
        <v>340</v>
      </c>
      <c r="D14" s="479" t="s">
        <v>275</v>
      </c>
      <c r="E14" s="480"/>
      <c r="F14" s="481"/>
      <c r="G14" s="210">
        <v>19.142857142857142</v>
      </c>
      <c r="H14" s="210">
        <v>1238.120798685891</v>
      </c>
      <c r="I14" s="210">
        <v>64.862045753745747</v>
      </c>
      <c r="J14" s="209" t="s">
        <v>351</v>
      </c>
      <c r="K14" s="484"/>
      <c r="L14" s="485"/>
      <c r="P14" s="219"/>
      <c r="Q14" s="219"/>
      <c r="R14" s="219"/>
    </row>
    <row r="15" spans="1:18" ht="15.75" customHeight="1">
      <c r="A15" s="434"/>
      <c r="B15" s="435"/>
      <c r="C15" s="149" t="s">
        <v>341</v>
      </c>
      <c r="D15" s="479" t="s">
        <v>266</v>
      </c>
      <c r="E15" s="480"/>
      <c r="F15" s="481"/>
      <c r="G15" s="210">
        <v>19.166666666666668</v>
      </c>
      <c r="H15" s="210">
        <v>1249.7879261688392</v>
      </c>
      <c r="I15" s="210">
        <v>65.302663828210711</v>
      </c>
      <c r="J15" s="209" t="s">
        <v>351</v>
      </c>
      <c r="K15" s="486"/>
      <c r="L15" s="487"/>
      <c r="P15" s="219"/>
      <c r="Q15" s="219"/>
      <c r="R15" s="219"/>
    </row>
    <row r="16" spans="1:18" ht="15.75" customHeight="1">
      <c r="A16" s="434"/>
      <c r="B16" s="435"/>
      <c r="C16" s="149" t="s">
        <v>343</v>
      </c>
      <c r="D16" s="479" t="s">
        <v>273</v>
      </c>
      <c r="E16" s="480"/>
      <c r="F16" s="481"/>
      <c r="G16" s="210">
        <v>19</v>
      </c>
      <c r="H16" s="210">
        <v>1282.2415602516683</v>
      </c>
      <c r="I16" s="210">
        <v>67.486397907982521</v>
      </c>
      <c r="J16" s="209" t="s">
        <v>351</v>
      </c>
      <c r="K16" s="459"/>
      <c r="L16" s="444"/>
      <c r="M16" s="115"/>
      <c r="P16" s="219"/>
      <c r="Q16" s="219"/>
      <c r="R16" s="219"/>
    </row>
    <row r="17" spans="1:18" ht="15.75" customHeight="1">
      <c r="A17" s="434"/>
      <c r="B17" s="435"/>
      <c r="C17" s="149" t="s">
        <v>344</v>
      </c>
      <c r="D17" s="479" t="s">
        <v>274</v>
      </c>
      <c r="E17" s="480"/>
      <c r="F17" s="481"/>
      <c r="G17" s="210">
        <v>18.976190476190478</v>
      </c>
      <c r="H17" s="210">
        <v>1288.0354593822992</v>
      </c>
      <c r="I17" s="210">
        <v>67.880408793400363</v>
      </c>
      <c r="J17" s="209" t="s">
        <v>351</v>
      </c>
      <c r="K17" s="459"/>
      <c r="L17" s="444"/>
      <c r="M17" s="115"/>
      <c r="P17" s="219"/>
      <c r="Q17" s="219"/>
      <c r="R17" s="219"/>
    </row>
    <row r="18" spans="1:18" s="120" customFormat="1" ht="15.75" customHeight="1">
      <c r="A18" s="464" t="s">
        <v>131</v>
      </c>
      <c r="B18" s="464"/>
      <c r="C18" s="221" t="s">
        <v>52</v>
      </c>
      <c r="D18" s="464" t="s">
        <v>53</v>
      </c>
      <c r="E18" s="465"/>
      <c r="F18" s="465"/>
      <c r="G18" s="221" t="s">
        <v>54</v>
      </c>
      <c r="H18" s="221" t="s">
        <v>334</v>
      </c>
      <c r="I18" s="221" t="s">
        <v>335</v>
      </c>
      <c r="J18" s="195" t="s">
        <v>57</v>
      </c>
      <c r="K18" s="464" t="s">
        <v>58</v>
      </c>
      <c r="L18" s="465"/>
      <c r="M18" s="140"/>
    </row>
    <row r="19" spans="1:18" ht="15.75" customHeight="1">
      <c r="A19" s="434">
        <v>6</v>
      </c>
      <c r="B19" s="435" t="s">
        <v>330</v>
      </c>
      <c r="C19" s="123">
        <v>1</v>
      </c>
      <c r="D19" s="479" t="s">
        <v>290</v>
      </c>
      <c r="E19" s="480"/>
      <c r="F19" s="481"/>
      <c r="G19" s="210">
        <v>17.166666666666668</v>
      </c>
      <c r="H19" s="210">
        <v>1362.0444043227851</v>
      </c>
      <c r="I19" s="210">
        <v>79.458661105288556</v>
      </c>
      <c r="J19" s="209" t="s">
        <v>351</v>
      </c>
      <c r="K19" s="470"/>
      <c r="L19" s="444"/>
      <c r="M19" s="115"/>
      <c r="P19" s="219"/>
      <c r="Q19" s="219"/>
      <c r="R19" s="219"/>
    </row>
    <row r="20" spans="1:18" ht="15.75" customHeight="1">
      <c r="A20" s="434"/>
      <c r="B20" s="435"/>
      <c r="C20" s="123">
        <v>2</v>
      </c>
      <c r="D20" s="479" t="s">
        <v>291</v>
      </c>
      <c r="E20" s="480"/>
      <c r="F20" s="481"/>
      <c r="G20" s="210">
        <v>17.261904761904763</v>
      </c>
      <c r="H20" s="210">
        <v>1290.5569373540761</v>
      </c>
      <c r="I20" s="210">
        <v>74.808980582224322</v>
      </c>
      <c r="J20" s="209" t="s">
        <v>351</v>
      </c>
      <c r="K20" s="459"/>
      <c r="L20" s="444"/>
      <c r="M20" s="115"/>
      <c r="P20" s="219"/>
      <c r="Q20" s="219"/>
      <c r="R20" s="219"/>
    </row>
    <row r="21" spans="1:18" ht="15.75" customHeight="1">
      <c r="A21" s="434"/>
      <c r="B21" s="435"/>
      <c r="C21" s="123">
        <v>3</v>
      </c>
      <c r="D21" s="479" t="s">
        <v>288</v>
      </c>
      <c r="E21" s="480"/>
      <c r="F21" s="481"/>
      <c r="G21" s="210">
        <v>18.785714285714288</v>
      </c>
      <c r="H21" s="210">
        <v>1247.9606877754402</v>
      </c>
      <c r="I21" s="210">
        <v>66.446126489424373</v>
      </c>
      <c r="J21" s="209" t="s">
        <v>351</v>
      </c>
      <c r="K21" s="459"/>
      <c r="L21" s="444"/>
      <c r="M21" s="115"/>
      <c r="P21" s="219"/>
      <c r="Q21" s="219"/>
      <c r="R21" s="219"/>
    </row>
    <row r="22" spans="1:18" ht="15.75" customHeight="1">
      <c r="A22" s="434"/>
      <c r="B22" s="435"/>
      <c r="C22" s="123">
        <v>4</v>
      </c>
      <c r="D22" s="479" t="s">
        <v>292</v>
      </c>
      <c r="E22" s="480"/>
      <c r="F22" s="481"/>
      <c r="G22" s="210">
        <v>18.833333333333332</v>
      </c>
      <c r="H22" s="210">
        <v>1232.2068373673401</v>
      </c>
      <c r="I22" s="210">
        <v>65.440125943310306</v>
      </c>
      <c r="J22" s="209" t="s">
        <v>351</v>
      </c>
      <c r="K22" s="459"/>
      <c r="L22" s="444"/>
      <c r="M22" s="115"/>
      <c r="P22" s="219"/>
      <c r="Q22" s="219"/>
      <c r="R22" s="219"/>
    </row>
    <row r="23" spans="1:18" ht="15.75" customHeight="1">
      <c r="A23" s="434"/>
      <c r="B23" s="435"/>
      <c r="C23" s="123">
        <v>5</v>
      </c>
      <c r="D23" s="479" t="s">
        <v>292</v>
      </c>
      <c r="E23" s="480"/>
      <c r="F23" s="481"/>
      <c r="G23" s="210">
        <v>18.833333333333332</v>
      </c>
      <c r="H23" s="210">
        <v>1232.2068373673401</v>
      </c>
      <c r="I23" s="210">
        <v>65.440125943310306</v>
      </c>
      <c r="J23" s="209" t="s">
        <v>351</v>
      </c>
      <c r="K23" s="459"/>
      <c r="L23" s="444"/>
      <c r="M23" s="115"/>
      <c r="P23" s="219"/>
      <c r="Q23" s="219"/>
      <c r="R23" s="219"/>
    </row>
    <row r="24" spans="1:18" ht="15.75" customHeight="1">
      <c r="A24" s="434"/>
      <c r="B24" s="435"/>
      <c r="C24" s="149" t="s">
        <v>338</v>
      </c>
      <c r="D24" s="479" t="s">
        <v>293</v>
      </c>
      <c r="E24" s="480"/>
      <c r="F24" s="481"/>
      <c r="G24" s="210">
        <v>20</v>
      </c>
      <c r="H24" s="210">
        <v>1227.0288776195696</v>
      </c>
      <c r="I24" s="210">
        <v>61.351443880978458</v>
      </c>
      <c r="J24" s="209" t="s">
        <v>351</v>
      </c>
      <c r="K24" s="488" t="s">
        <v>365</v>
      </c>
      <c r="L24" s="489"/>
      <c r="M24" s="115"/>
      <c r="P24" s="219"/>
      <c r="Q24" s="219"/>
      <c r="R24" s="219"/>
    </row>
    <row r="25" spans="1:18" ht="15.75" customHeight="1">
      <c r="A25" s="434"/>
      <c r="B25" s="435"/>
      <c r="C25" s="149" t="s">
        <v>340</v>
      </c>
      <c r="D25" s="479" t="s">
        <v>294</v>
      </c>
      <c r="E25" s="480"/>
      <c r="F25" s="481"/>
      <c r="G25" s="210">
        <v>19.666666666666668</v>
      </c>
      <c r="H25" s="210">
        <v>1230.1448122324562</v>
      </c>
      <c r="I25" s="210">
        <v>62.5998332042154</v>
      </c>
      <c r="J25" s="209" t="s">
        <v>351</v>
      </c>
      <c r="K25" s="490"/>
      <c r="L25" s="491"/>
      <c r="M25" s="115"/>
      <c r="P25" s="219"/>
      <c r="Q25" s="219"/>
      <c r="R25" s="219"/>
    </row>
    <row r="26" spans="1:18" ht="15.75" customHeight="1">
      <c r="A26" s="434"/>
      <c r="B26" s="435"/>
      <c r="C26" s="149" t="s">
        <v>341</v>
      </c>
      <c r="D26" s="479" t="s">
        <v>289</v>
      </c>
      <c r="E26" s="480"/>
      <c r="F26" s="481"/>
      <c r="G26" s="210">
        <v>18.833333333333332</v>
      </c>
      <c r="H26" s="210">
        <v>1211.7315422749443</v>
      </c>
      <c r="I26" s="210">
        <v>64.372206856947315</v>
      </c>
      <c r="J26" s="209" t="s">
        <v>351</v>
      </c>
      <c r="K26" s="492" t="s">
        <v>366</v>
      </c>
      <c r="L26" s="493"/>
      <c r="M26" s="115"/>
      <c r="P26" s="219"/>
      <c r="Q26" s="219"/>
      <c r="R26" s="219"/>
    </row>
    <row r="27" spans="1:18" ht="15.75" customHeight="1">
      <c r="A27" s="434"/>
      <c r="B27" s="435"/>
      <c r="C27" s="149" t="s">
        <v>343</v>
      </c>
      <c r="D27" s="479"/>
      <c r="E27" s="480"/>
      <c r="F27" s="481"/>
      <c r="G27" s="210"/>
      <c r="H27" s="210"/>
      <c r="I27" s="210"/>
      <c r="J27" s="209" t="s">
        <v>351</v>
      </c>
      <c r="K27" s="494"/>
      <c r="L27" s="495"/>
      <c r="M27" s="115"/>
      <c r="P27" s="219"/>
      <c r="Q27" s="219"/>
      <c r="R27" s="219"/>
    </row>
    <row r="28" spans="1:18" ht="15.75" customHeight="1">
      <c r="A28" s="434"/>
      <c r="B28" s="435"/>
      <c r="C28" s="149" t="s">
        <v>344</v>
      </c>
      <c r="D28" s="479"/>
      <c r="E28" s="480"/>
      <c r="F28" s="481"/>
      <c r="G28" s="210"/>
      <c r="H28" s="210"/>
      <c r="I28" s="210"/>
      <c r="J28" s="209" t="s">
        <v>351</v>
      </c>
      <c r="K28" s="450"/>
      <c r="L28" s="444"/>
      <c r="M28" s="115"/>
      <c r="P28" s="219"/>
      <c r="Q28" s="219"/>
      <c r="R28" s="219"/>
    </row>
  </sheetData>
  <mergeCells count="50">
    <mergeCell ref="D26:F26"/>
    <mergeCell ref="D22:F22"/>
    <mergeCell ref="D23:F23"/>
    <mergeCell ref="K26:L26"/>
    <mergeCell ref="K28:L28"/>
    <mergeCell ref="K27:L27"/>
    <mergeCell ref="D27:F27"/>
    <mergeCell ref="D28:F28"/>
    <mergeCell ref="K21:L21"/>
    <mergeCell ref="K20:L20"/>
    <mergeCell ref="K24:L25"/>
    <mergeCell ref="D9:F9"/>
    <mergeCell ref="K9:L9"/>
    <mergeCell ref="D19:F19"/>
    <mergeCell ref="D20:F20"/>
    <mergeCell ref="D21:F21"/>
    <mergeCell ref="D24:F24"/>
    <mergeCell ref="D25:F25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D8:F8"/>
    <mergeCell ref="D10:F10"/>
    <mergeCell ref="K10:L10"/>
    <mergeCell ref="K13:L15"/>
    <mergeCell ref="K8:L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K32" sqref="K32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115"/>
    </row>
    <row r="2" spans="1:13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3" ht="15.75" customHeight="1">
      <c r="A3" s="451" t="s">
        <v>324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115"/>
    </row>
    <row r="4" spans="1:13" s="116" customFormat="1" ht="15.75" customHeight="1">
      <c r="A4" s="451"/>
      <c r="B4" s="451"/>
      <c r="C4" s="451"/>
      <c r="D4" s="451"/>
      <c r="E4" s="451"/>
      <c r="F4" s="451"/>
      <c r="G4" s="451"/>
      <c r="H4" s="451"/>
      <c r="I4" s="451"/>
      <c r="J4" s="451"/>
      <c r="K4" s="451"/>
      <c r="L4" s="451"/>
    </row>
    <row r="5" spans="1:13" s="122" customFormat="1" ht="16.350000000000001" customHeight="1">
      <c r="A5" s="507" t="s">
        <v>190</v>
      </c>
      <c r="B5" s="141">
        <v>1</v>
      </c>
      <c r="C5" s="141">
        <v>2</v>
      </c>
      <c r="D5" s="141">
        <v>3</v>
      </c>
      <c r="E5" s="141">
        <v>4</v>
      </c>
      <c r="F5" s="141">
        <v>5</v>
      </c>
      <c r="G5" s="141">
        <v>6</v>
      </c>
      <c r="H5" s="150">
        <v>7</v>
      </c>
      <c r="I5" s="150">
        <v>8</v>
      </c>
      <c r="J5" s="141">
        <v>9</v>
      </c>
      <c r="K5" s="139"/>
      <c r="L5" s="139"/>
      <c r="M5" s="139"/>
    </row>
    <row r="6" spans="1:13" ht="16.350000000000001" customHeight="1">
      <c r="A6" s="509"/>
      <c r="B6" s="142" t="s">
        <v>325</v>
      </c>
      <c r="C6" s="142" t="s">
        <v>326</v>
      </c>
      <c r="D6" s="142" t="s">
        <v>327</v>
      </c>
      <c r="E6" s="142" t="s">
        <v>328</v>
      </c>
      <c r="F6" s="131" t="s">
        <v>329</v>
      </c>
      <c r="G6" s="143" t="s">
        <v>330</v>
      </c>
      <c r="H6" s="151" t="s">
        <v>331</v>
      </c>
      <c r="I6" s="153" t="s">
        <v>332</v>
      </c>
      <c r="J6" s="143" t="s">
        <v>333</v>
      </c>
      <c r="K6" s="140"/>
      <c r="L6" s="140"/>
    </row>
    <row r="7" spans="1:13" s="122" customFormat="1" ht="15.75" customHeight="1">
      <c r="A7" s="515" t="s">
        <v>131</v>
      </c>
      <c r="B7" s="516"/>
      <c r="C7" s="146" t="s">
        <v>52</v>
      </c>
      <c r="D7" s="515" t="s">
        <v>53</v>
      </c>
      <c r="E7" s="517"/>
      <c r="F7" s="516"/>
      <c r="G7" s="146" t="s">
        <v>54</v>
      </c>
      <c r="H7" s="146" t="s">
        <v>334</v>
      </c>
      <c r="I7" s="146" t="s">
        <v>335</v>
      </c>
      <c r="J7" s="195" t="s">
        <v>57</v>
      </c>
      <c r="K7" s="515" t="s">
        <v>58</v>
      </c>
      <c r="L7" s="516"/>
      <c r="M7" s="139"/>
    </row>
    <row r="8" spans="1:13" ht="15.75" customHeight="1">
      <c r="A8" s="507">
        <v>7</v>
      </c>
      <c r="B8" s="510" t="s">
        <v>367</v>
      </c>
      <c r="C8" s="123">
        <v>1</v>
      </c>
      <c r="D8" s="498" t="s">
        <v>304</v>
      </c>
      <c r="E8" s="499"/>
      <c r="F8" s="500"/>
      <c r="G8" s="206">
        <v>8.4761904761904763</v>
      </c>
      <c r="H8" s="206">
        <v>1347.45542468859</v>
      </c>
      <c r="I8" s="206">
        <v>159.34839580012701</v>
      </c>
      <c r="J8" s="209" t="s">
        <v>351</v>
      </c>
      <c r="K8" s="502" t="s">
        <v>368</v>
      </c>
      <c r="L8" s="503"/>
    </row>
    <row r="9" spans="1:13" ht="15.75" customHeight="1">
      <c r="A9" s="508"/>
      <c r="B9" s="511"/>
      <c r="C9" s="123">
        <v>2</v>
      </c>
      <c r="D9" s="498" t="s">
        <v>300</v>
      </c>
      <c r="E9" s="499"/>
      <c r="F9" s="500"/>
      <c r="G9" s="206">
        <v>17.714285714285712</v>
      </c>
      <c r="H9" s="206">
        <v>1389.6909745393477</v>
      </c>
      <c r="I9" s="206">
        <v>78.490583349770091</v>
      </c>
      <c r="J9" s="209" t="s">
        <v>351</v>
      </c>
      <c r="K9" s="513"/>
      <c r="L9" s="514"/>
    </row>
    <row r="10" spans="1:13" ht="15.75" customHeight="1">
      <c r="A10" s="508"/>
      <c r="B10" s="511"/>
      <c r="C10" s="123">
        <v>3</v>
      </c>
      <c r="D10" s="498" t="s">
        <v>306</v>
      </c>
      <c r="E10" s="499"/>
      <c r="F10" s="500"/>
      <c r="G10" s="206">
        <v>17.857142857142858</v>
      </c>
      <c r="H10" s="206">
        <v>1394.6289576577947</v>
      </c>
      <c r="I10" s="206">
        <v>78.198946421104026</v>
      </c>
      <c r="J10" s="209" t="s">
        <v>351</v>
      </c>
      <c r="K10" s="513"/>
      <c r="L10" s="514"/>
    </row>
    <row r="11" spans="1:13" ht="15.75" customHeight="1">
      <c r="A11" s="508"/>
      <c r="B11" s="511"/>
      <c r="C11" s="123">
        <v>4</v>
      </c>
      <c r="D11" s="498" t="s">
        <v>301</v>
      </c>
      <c r="E11" s="499"/>
      <c r="F11" s="500"/>
      <c r="G11" s="206">
        <v>17.666666666666668</v>
      </c>
      <c r="H11" s="206">
        <v>1375.9260306255658</v>
      </c>
      <c r="I11" s="206">
        <v>78.024439973025267</v>
      </c>
      <c r="J11" s="209" t="s">
        <v>351</v>
      </c>
      <c r="K11" s="513"/>
      <c r="L11" s="514"/>
    </row>
    <row r="12" spans="1:13" ht="15.75" customHeight="1">
      <c r="A12" s="508"/>
      <c r="B12" s="511"/>
      <c r="C12" s="123">
        <v>5</v>
      </c>
      <c r="D12" s="498" t="s">
        <v>307</v>
      </c>
      <c r="E12" s="499"/>
      <c r="F12" s="500"/>
      <c r="G12" s="206">
        <v>17.857142857142858</v>
      </c>
      <c r="H12" s="206">
        <v>1390.651206683217</v>
      </c>
      <c r="I12" s="206">
        <v>77.931709550033787</v>
      </c>
      <c r="J12" s="209" t="s">
        <v>351</v>
      </c>
      <c r="K12" s="513"/>
      <c r="L12" s="514"/>
    </row>
    <row r="13" spans="1:13" ht="15.75" customHeight="1">
      <c r="A13" s="508"/>
      <c r="B13" s="511"/>
      <c r="C13" s="149" t="s">
        <v>338</v>
      </c>
      <c r="D13" s="498" t="s">
        <v>308</v>
      </c>
      <c r="E13" s="499"/>
      <c r="F13" s="500"/>
      <c r="G13" s="206">
        <v>18.214285714285715</v>
      </c>
      <c r="H13" s="206">
        <v>1072.6681630356065</v>
      </c>
      <c r="I13" s="206">
        <v>58.91348862602014</v>
      </c>
      <c r="J13" s="209" t="s">
        <v>351</v>
      </c>
      <c r="K13" s="513" t="s">
        <v>369</v>
      </c>
      <c r="L13" s="514"/>
    </row>
    <row r="14" spans="1:13" ht="15.75" customHeight="1">
      <c r="A14" s="508"/>
      <c r="B14" s="511"/>
      <c r="C14" s="149" t="s">
        <v>340</v>
      </c>
      <c r="D14" s="498" t="s">
        <v>302</v>
      </c>
      <c r="E14" s="499"/>
      <c r="F14" s="500"/>
      <c r="G14" s="206">
        <v>19.738095238095237</v>
      </c>
      <c r="H14" s="206">
        <v>1374.4897236591407</v>
      </c>
      <c r="I14" s="206">
        <v>69.836287185464968</v>
      </c>
      <c r="J14" s="209" t="s">
        <v>351</v>
      </c>
      <c r="K14" s="513"/>
      <c r="L14" s="514"/>
    </row>
    <row r="15" spans="1:13" ht="15.75" customHeight="1">
      <c r="A15" s="508"/>
      <c r="B15" s="511"/>
      <c r="C15" s="149" t="s">
        <v>341</v>
      </c>
      <c r="D15" s="498" t="s">
        <v>299</v>
      </c>
      <c r="E15" s="499"/>
      <c r="F15" s="500"/>
      <c r="G15" s="206">
        <v>19</v>
      </c>
      <c r="H15" s="206">
        <v>1388.938033841998</v>
      </c>
      <c r="I15" s="206">
        <v>73.102001781157767</v>
      </c>
      <c r="J15" s="209" t="s">
        <v>351</v>
      </c>
      <c r="K15" s="513"/>
      <c r="L15" s="514"/>
    </row>
    <row r="16" spans="1:13" ht="15.75" customHeight="1">
      <c r="A16" s="508"/>
      <c r="B16" s="511"/>
      <c r="C16" s="149" t="s">
        <v>343</v>
      </c>
      <c r="D16" s="498" t="s">
        <v>305</v>
      </c>
      <c r="E16" s="499"/>
      <c r="F16" s="500"/>
      <c r="G16" s="206">
        <v>18.114285714285717</v>
      </c>
      <c r="H16" s="206">
        <v>1342.6199493053923</v>
      </c>
      <c r="I16" s="206">
        <v>74.169931153846846</v>
      </c>
      <c r="J16" s="209" t="s">
        <v>351</v>
      </c>
      <c r="K16" s="496"/>
      <c r="L16" s="497"/>
      <c r="M16" s="115"/>
    </row>
    <row r="17" spans="1:13" ht="15.75" customHeight="1">
      <c r="A17" s="509"/>
      <c r="B17" s="512"/>
      <c r="C17" s="149" t="s">
        <v>344</v>
      </c>
      <c r="D17" s="498" t="s">
        <v>303</v>
      </c>
      <c r="E17" s="499"/>
      <c r="F17" s="500"/>
      <c r="G17" s="206">
        <v>17.833333333333332</v>
      </c>
      <c r="H17" s="206">
        <v>1353.0039336317898</v>
      </c>
      <c r="I17" s="206">
        <v>75.867249179692593</v>
      </c>
      <c r="J17" s="209" t="s">
        <v>351</v>
      </c>
      <c r="K17" s="501"/>
      <c r="L17" s="497"/>
      <c r="M17" s="115"/>
    </row>
    <row r="18" spans="1:13" s="120" customFormat="1" ht="15.75" customHeight="1">
      <c r="A18" s="504" t="s">
        <v>131</v>
      </c>
      <c r="B18" s="505"/>
      <c r="C18" s="221" t="s">
        <v>52</v>
      </c>
      <c r="D18" s="504" t="s">
        <v>53</v>
      </c>
      <c r="E18" s="506"/>
      <c r="F18" s="505"/>
      <c r="G18" s="221" t="s">
        <v>54</v>
      </c>
      <c r="H18" s="221" t="s">
        <v>334</v>
      </c>
      <c r="I18" s="221" t="s">
        <v>335</v>
      </c>
      <c r="J18" s="195" t="s">
        <v>57</v>
      </c>
      <c r="K18" s="504" t="s">
        <v>58</v>
      </c>
      <c r="L18" s="505"/>
      <c r="M18" s="140"/>
    </row>
    <row r="19" spans="1:13" ht="15.75" customHeight="1">
      <c r="A19" s="507">
        <v>8</v>
      </c>
      <c r="B19" s="510" t="s">
        <v>370</v>
      </c>
      <c r="C19" s="123">
        <v>1</v>
      </c>
      <c r="D19" s="498" t="s">
        <v>314</v>
      </c>
      <c r="E19" s="499"/>
      <c r="F19" s="500"/>
      <c r="G19" s="206">
        <v>20</v>
      </c>
      <c r="H19" s="206">
        <v>2475.5401486840847</v>
      </c>
      <c r="I19" s="206">
        <v>123.77700743420424</v>
      </c>
      <c r="J19" s="209" t="s">
        <v>351</v>
      </c>
      <c r="K19" s="502"/>
      <c r="L19" s="503"/>
      <c r="M19" s="115"/>
    </row>
    <row r="20" spans="1:13" ht="15.75" customHeight="1">
      <c r="A20" s="508"/>
      <c r="B20" s="511"/>
      <c r="C20" s="123">
        <v>2</v>
      </c>
      <c r="D20" s="498" t="s">
        <v>371</v>
      </c>
      <c r="E20" s="499"/>
      <c r="F20" s="500"/>
      <c r="G20" s="206">
        <v>20</v>
      </c>
      <c r="H20" s="206">
        <v>2479.9955265355397</v>
      </c>
      <c r="I20" s="206">
        <v>123.999776326777</v>
      </c>
      <c r="J20" s="209" t="s">
        <v>351</v>
      </c>
      <c r="K20" s="502"/>
      <c r="L20" s="503"/>
      <c r="M20" s="115"/>
    </row>
    <row r="21" spans="1:13" ht="15.75" customHeight="1">
      <c r="A21" s="508"/>
      <c r="B21" s="511"/>
      <c r="C21" s="123">
        <v>3</v>
      </c>
      <c r="D21" s="498" t="s">
        <v>311</v>
      </c>
      <c r="E21" s="499"/>
      <c r="F21" s="500"/>
      <c r="G21" s="206">
        <v>20</v>
      </c>
      <c r="H21" s="206">
        <v>2382.076933145685</v>
      </c>
      <c r="I21" s="206">
        <v>119.10384665728428</v>
      </c>
      <c r="J21" s="209" t="s">
        <v>351</v>
      </c>
      <c r="K21" s="496"/>
      <c r="L21" s="497"/>
      <c r="M21" s="115"/>
    </row>
    <row r="22" spans="1:13" ht="15.75" customHeight="1">
      <c r="A22" s="508"/>
      <c r="B22" s="511"/>
      <c r="C22" s="123">
        <v>4</v>
      </c>
      <c r="D22" s="498"/>
      <c r="E22" s="499"/>
      <c r="F22" s="500"/>
      <c r="G22" s="206"/>
      <c r="H22" s="206"/>
      <c r="I22" s="206"/>
      <c r="J22" s="208"/>
      <c r="K22" s="496"/>
      <c r="L22" s="497"/>
      <c r="M22" s="115"/>
    </row>
    <row r="23" spans="1:13" ht="15.75" customHeight="1">
      <c r="A23" s="508"/>
      <c r="B23" s="511"/>
      <c r="C23" s="123">
        <v>5</v>
      </c>
      <c r="D23" s="498"/>
      <c r="E23" s="499"/>
      <c r="F23" s="500"/>
      <c r="G23" s="206"/>
      <c r="H23" s="206"/>
      <c r="I23" s="206"/>
      <c r="J23" s="148"/>
      <c r="K23" s="496"/>
      <c r="L23" s="497"/>
      <c r="M23" s="115"/>
    </row>
    <row r="24" spans="1:13" ht="15.75" customHeight="1">
      <c r="A24" s="508"/>
      <c r="B24" s="511"/>
      <c r="C24" s="149" t="s">
        <v>338</v>
      </c>
      <c r="D24" s="498" t="s">
        <v>310</v>
      </c>
      <c r="E24" s="499"/>
      <c r="F24" s="500" t="s">
        <v>310</v>
      </c>
      <c r="G24" s="206">
        <v>20.666666666666668</v>
      </c>
      <c r="H24" s="206">
        <v>2175.0556329953261</v>
      </c>
      <c r="I24" s="206">
        <v>105.30417383583988</v>
      </c>
      <c r="J24" s="209" t="s">
        <v>351</v>
      </c>
      <c r="K24" s="502" t="s">
        <v>372</v>
      </c>
      <c r="L24" s="503"/>
      <c r="M24" s="115"/>
    </row>
    <row r="25" spans="1:13" ht="15.75" customHeight="1">
      <c r="A25" s="508"/>
      <c r="B25" s="511"/>
      <c r="C25" s="149" t="s">
        <v>340</v>
      </c>
      <c r="D25" s="498" t="s">
        <v>312</v>
      </c>
      <c r="E25" s="499"/>
      <c r="F25" s="500" t="s">
        <v>373</v>
      </c>
      <c r="G25" s="206">
        <v>20</v>
      </c>
      <c r="H25" s="206">
        <v>2282.4124501794577</v>
      </c>
      <c r="I25" s="206">
        <v>114.12062250897289</v>
      </c>
      <c r="J25" s="209" t="s">
        <v>351</v>
      </c>
      <c r="K25" s="496"/>
      <c r="L25" s="497"/>
      <c r="M25" s="115"/>
    </row>
    <row r="26" spans="1:13" ht="15.75" customHeight="1">
      <c r="A26" s="508"/>
      <c r="B26" s="511"/>
      <c r="C26" s="149" t="s">
        <v>341</v>
      </c>
      <c r="D26" s="498"/>
      <c r="E26" s="499"/>
      <c r="F26" s="500"/>
      <c r="G26" s="206"/>
      <c r="H26" s="206"/>
      <c r="I26" s="206"/>
      <c r="J26" s="209"/>
      <c r="K26" s="496"/>
      <c r="L26" s="497"/>
      <c r="M26" s="115"/>
    </row>
    <row r="27" spans="1:13" ht="15.75" customHeight="1">
      <c r="A27" s="508"/>
      <c r="B27" s="511"/>
      <c r="C27" s="149" t="s">
        <v>343</v>
      </c>
      <c r="D27" s="498"/>
      <c r="E27" s="499"/>
      <c r="F27" s="500"/>
      <c r="G27" s="148"/>
      <c r="H27" s="148"/>
      <c r="I27" s="148"/>
      <c r="J27" s="148"/>
      <c r="K27" s="496"/>
      <c r="L27" s="497"/>
      <c r="M27" s="115"/>
    </row>
    <row r="28" spans="1:13" ht="15.75" customHeight="1">
      <c r="A28" s="509"/>
      <c r="B28" s="512"/>
      <c r="C28" s="149" t="s">
        <v>344</v>
      </c>
      <c r="D28" s="498"/>
      <c r="E28" s="499"/>
      <c r="F28" s="500"/>
      <c r="G28" s="148"/>
      <c r="H28" s="148"/>
      <c r="I28" s="148"/>
      <c r="J28" s="148"/>
      <c r="K28" s="496"/>
      <c r="L28" s="497"/>
      <c r="M28" s="115"/>
    </row>
  </sheetData>
  <mergeCells count="53">
    <mergeCell ref="D11:F11"/>
    <mergeCell ref="D13:F13"/>
    <mergeCell ref="D14:F14"/>
    <mergeCell ref="D12:F12"/>
    <mergeCell ref="K9:L9"/>
    <mergeCell ref="K10:L10"/>
    <mergeCell ref="K11:L11"/>
    <mergeCell ref="K12:L12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6:L16"/>
    <mergeCell ref="D17:F17"/>
    <mergeCell ref="D27:F27"/>
    <mergeCell ref="K27:L27"/>
    <mergeCell ref="K17:L17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  <outlinePr summaryBelow="0" summaryRight="0"/>
  </sheetPr>
  <dimension ref="A1:M28"/>
  <sheetViews>
    <sheetView view="pageBreakPreview" zoomScaleNormal="60" zoomScaleSheetLayoutView="100" workbookViewId="0">
      <selection activeCell="N15" sqref="N15"/>
    </sheetView>
  </sheetViews>
  <sheetFormatPr defaultColWidth="12.5703125" defaultRowHeight="15.75" customHeight="1"/>
  <cols>
    <col min="1" max="1" width="6.42578125" style="115" customWidth="1"/>
    <col min="2" max="10" width="11.5703125" style="115" customWidth="1"/>
    <col min="11" max="12" width="12.85546875" style="115" customWidth="1"/>
    <col min="13" max="13" width="12.5703125" style="116"/>
    <col min="14" max="16384" width="12.5703125" style="115"/>
  </cols>
  <sheetData>
    <row r="1" spans="1:13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115"/>
    </row>
    <row r="2" spans="1:13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</row>
    <row r="3" spans="1:13" ht="15.75" customHeight="1">
      <c r="A3" s="451" t="s">
        <v>324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115"/>
    </row>
    <row r="4" spans="1:13" s="116" customFormat="1" ht="15.75" customHeight="1">
      <c r="A4" s="451"/>
      <c r="B4" s="451"/>
      <c r="C4" s="451"/>
      <c r="D4" s="451"/>
      <c r="E4" s="451"/>
      <c r="F4" s="451"/>
      <c r="G4" s="451"/>
      <c r="H4" s="451"/>
      <c r="I4" s="451"/>
      <c r="J4" s="451"/>
      <c r="K4" s="451"/>
      <c r="L4" s="451"/>
    </row>
    <row r="5" spans="1:13" s="122" customFormat="1" ht="16.350000000000001" customHeight="1">
      <c r="A5" s="507" t="s">
        <v>190</v>
      </c>
      <c r="B5" s="141">
        <v>1</v>
      </c>
      <c r="C5" s="141">
        <v>2</v>
      </c>
      <c r="D5" s="141">
        <v>3</v>
      </c>
      <c r="E5" s="141">
        <v>4</v>
      </c>
      <c r="F5" s="141">
        <v>5</v>
      </c>
      <c r="G5" s="141">
        <v>6</v>
      </c>
      <c r="H5" s="141">
        <v>7</v>
      </c>
      <c r="I5" s="141">
        <v>8</v>
      </c>
      <c r="J5" s="150">
        <v>9</v>
      </c>
      <c r="K5" s="139"/>
      <c r="L5" s="139"/>
      <c r="M5" s="139"/>
    </row>
    <row r="6" spans="1:13" ht="16.350000000000001" customHeight="1">
      <c r="A6" s="509"/>
      <c r="B6" s="142" t="s">
        <v>325</v>
      </c>
      <c r="C6" s="142" t="s">
        <v>326</v>
      </c>
      <c r="D6" s="142" t="s">
        <v>327</v>
      </c>
      <c r="E6" s="142" t="s">
        <v>328</v>
      </c>
      <c r="F6" s="131" t="s">
        <v>329</v>
      </c>
      <c r="G6" s="143" t="s">
        <v>330</v>
      </c>
      <c r="H6" s="144" t="s">
        <v>331</v>
      </c>
      <c r="I6" s="143" t="s">
        <v>332</v>
      </c>
      <c r="J6" s="153" t="s">
        <v>333</v>
      </c>
      <c r="K6" s="140"/>
      <c r="L6" s="140"/>
    </row>
    <row r="7" spans="1:13" s="122" customFormat="1" ht="15.75" customHeight="1">
      <c r="A7" s="515" t="s">
        <v>131</v>
      </c>
      <c r="B7" s="516"/>
      <c r="C7" s="146" t="s">
        <v>52</v>
      </c>
      <c r="D7" s="515" t="s">
        <v>53</v>
      </c>
      <c r="E7" s="517"/>
      <c r="F7" s="516"/>
      <c r="G7" s="146" t="s">
        <v>54</v>
      </c>
      <c r="H7" s="146" t="s">
        <v>334</v>
      </c>
      <c r="I7" s="146" t="s">
        <v>335</v>
      </c>
      <c r="J7" s="195" t="s">
        <v>57</v>
      </c>
      <c r="K7" s="515" t="s">
        <v>58</v>
      </c>
      <c r="L7" s="516"/>
      <c r="M7" s="139"/>
    </row>
    <row r="8" spans="1:13" ht="15.75" customHeight="1">
      <c r="A8" s="507">
        <f>J5</f>
        <v>9</v>
      </c>
      <c r="B8" s="510" t="str">
        <f>J6</f>
        <v>微波小吃</v>
      </c>
      <c r="C8" s="123">
        <v>1</v>
      </c>
      <c r="D8" s="479" t="s">
        <v>320</v>
      </c>
      <c r="E8" s="480"/>
      <c r="F8" s="481"/>
      <c r="G8" s="206">
        <v>6.8857142857142861</v>
      </c>
      <c r="H8" s="206">
        <v>1287.6757844004594</v>
      </c>
      <c r="I8" s="206">
        <v>187.46134512954589</v>
      </c>
      <c r="J8" s="207" t="s">
        <v>336</v>
      </c>
      <c r="K8" s="521" t="s">
        <v>374</v>
      </c>
      <c r="L8" s="522"/>
    </row>
    <row r="9" spans="1:13" ht="15.75" customHeight="1">
      <c r="A9" s="508"/>
      <c r="B9" s="511"/>
      <c r="C9" s="123">
        <v>2</v>
      </c>
      <c r="D9" s="479" t="s">
        <v>315</v>
      </c>
      <c r="E9" s="480"/>
      <c r="F9" s="481"/>
      <c r="G9" s="206">
        <v>6.9285714285714279</v>
      </c>
      <c r="H9" s="206">
        <v>1272.8065171722446</v>
      </c>
      <c r="I9" s="206">
        <v>184.01801929199425</v>
      </c>
      <c r="J9" s="207" t="s">
        <v>336</v>
      </c>
      <c r="K9" s="523"/>
      <c r="L9" s="524"/>
    </row>
    <row r="10" spans="1:13" ht="15.75" customHeight="1">
      <c r="A10" s="508"/>
      <c r="B10" s="511"/>
      <c r="C10" s="123">
        <v>3</v>
      </c>
      <c r="D10" s="479" t="s">
        <v>316</v>
      </c>
      <c r="E10" s="480"/>
      <c r="F10" s="481"/>
      <c r="G10" s="206">
        <v>15.023809523809524</v>
      </c>
      <c r="H10" s="206">
        <v>1267.0794844061027</v>
      </c>
      <c r="I10" s="206">
        <v>84.34445802828931</v>
      </c>
      <c r="J10" s="207" t="s">
        <v>336</v>
      </c>
      <c r="K10" s="496"/>
      <c r="L10" s="497"/>
    </row>
    <row r="11" spans="1:13" ht="15.75" customHeight="1">
      <c r="A11" s="508"/>
      <c r="B11" s="511"/>
      <c r="C11" s="123">
        <v>4</v>
      </c>
      <c r="D11" s="479"/>
      <c r="E11" s="480"/>
      <c r="F11" s="481"/>
      <c r="G11" s="148"/>
      <c r="H11" s="148"/>
      <c r="I11" s="148"/>
      <c r="J11" s="148"/>
      <c r="K11" s="496"/>
      <c r="L11" s="497"/>
    </row>
    <row r="12" spans="1:13" ht="15.75" customHeight="1">
      <c r="A12" s="508"/>
      <c r="B12" s="511"/>
      <c r="C12" s="123">
        <v>5</v>
      </c>
      <c r="D12" s="479"/>
      <c r="E12" s="480"/>
      <c r="F12" s="481"/>
      <c r="G12" s="148"/>
      <c r="H12" s="148"/>
      <c r="I12" s="148"/>
      <c r="J12" s="148"/>
      <c r="K12" s="496"/>
      <c r="L12" s="497"/>
    </row>
    <row r="13" spans="1:13" ht="15.75" customHeight="1">
      <c r="A13" s="508"/>
      <c r="B13" s="511"/>
      <c r="C13" s="149" t="s">
        <v>338</v>
      </c>
      <c r="D13" s="479" t="s">
        <v>317</v>
      </c>
      <c r="E13" s="480"/>
      <c r="F13" s="481"/>
      <c r="G13" s="206">
        <v>18</v>
      </c>
      <c r="H13" s="206">
        <v>1282.8592021370671</v>
      </c>
      <c r="I13" s="206">
        <v>71.269955674281505</v>
      </c>
      <c r="J13" s="207" t="s">
        <v>336</v>
      </c>
      <c r="K13" s="502"/>
      <c r="L13" s="503"/>
    </row>
    <row r="14" spans="1:13" ht="15.75" customHeight="1">
      <c r="A14" s="508"/>
      <c r="B14" s="511"/>
      <c r="C14" s="149" t="s">
        <v>340</v>
      </c>
      <c r="D14" s="479" t="s">
        <v>321</v>
      </c>
      <c r="E14" s="480"/>
      <c r="F14" s="481"/>
      <c r="G14" s="206">
        <v>18</v>
      </c>
      <c r="H14" s="206">
        <v>1288.6815819747087</v>
      </c>
      <c r="I14" s="206">
        <v>71.59342122081712</v>
      </c>
      <c r="J14" s="207" t="s">
        <v>336</v>
      </c>
      <c r="K14" s="501"/>
      <c r="L14" s="497"/>
    </row>
    <row r="15" spans="1:13" ht="15.75" customHeight="1">
      <c r="A15" s="508"/>
      <c r="B15" s="511"/>
      <c r="C15" s="149" t="s">
        <v>341</v>
      </c>
      <c r="D15" s="479" t="s">
        <v>319</v>
      </c>
      <c r="E15" s="480"/>
      <c r="F15" s="481"/>
      <c r="G15" s="206">
        <v>17.833333333333332</v>
      </c>
      <c r="H15" s="206">
        <v>1298.7023441349172</v>
      </c>
      <c r="I15" s="206">
        <v>72.846208661090159</v>
      </c>
      <c r="J15" s="207" t="s">
        <v>336</v>
      </c>
      <c r="K15" s="496"/>
      <c r="L15" s="497"/>
    </row>
    <row r="16" spans="1:13" ht="15.75" customHeight="1">
      <c r="A16" s="508"/>
      <c r="B16" s="511"/>
      <c r="C16" s="149" t="s">
        <v>343</v>
      </c>
      <c r="D16" s="479"/>
      <c r="E16" s="480"/>
      <c r="F16" s="481"/>
      <c r="G16" s="148"/>
      <c r="H16" s="148"/>
      <c r="I16" s="148"/>
      <c r="J16" s="148"/>
      <c r="K16" s="496"/>
      <c r="L16" s="497"/>
      <c r="M16" s="115"/>
    </row>
    <row r="17" spans="1:13" ht="15.75" customHeight="1">
      <c r="A17" s="509"/>
      <c r="B17" s="512"/>
      <c r="C17" s="149" t="s">
        <v>344</v>
      </c>
      <c r="D17" s="479"/>
      <c r="E17" s="480"/>
      <c r="F17" s="481"/>
      <c r="G17" s="148"/>
      <c r="H17" s="148"/>
      <c r="I17" s="148"/>
      <c r="J17" s="148"/>
      <c r="K17" s="496"/>
      <c r="L17" s="497"/>
      <c r="M17" s="115"/>
    </row>
    <row r="18" spans="1:13" s="120" customFormat="1" ht="15.75" customHeight="1">
      <c r="A18" s="504" t="s">
        <v>131</v>
      </c>
      <c r="B18" s="505"/>
      <c r="C18" s="221" t="s">
        <v>52</v>
      </c>
      <c r="D18" s="504" t="s">
        <v>53</v>
      </c>
      <c r="E18" s="506"/>
      <c r="F18" s="505"/>
      <c r="G18" s="221" t="s">
        <v>54</v>
      </c>
      <c r="H18" s="221" t="s">
        <v>334</v>
      </c>
      <c r="I18" s="221" t="s">
        <v>335</v>
      </c>
      <c r="J18" s="195" t="s">
        <v>57</v>
      </c>
      <c r="K18" s="504" t="s">
        <v>58</v>
      </c>
      <c r="L18" s="505"/>
      <c r="M18" s="140"/>
    </row>
    <row r="19" spans="1:13" ht="15.75" customHeight="1">
      <c r="A19" s="507"/>
      <c r="B19" s="510"/>
      <c r="C19" s="123">
        <v>1</v>
      </c>
      <c r="D19" s="519"/>
      <c r="E19" s="520"/>
      <c r="F19" s="503"/>
      <c r="G19" s="148"/>
      <c r="H19" s="148"/>
      <c r="I19" s="148"/>
      <c r="J19" s="148"/>
      <c r="K19" s="519"/>
      <c r="L19" s="503"/>
      <c r="M19" s="115"/>
    </row>
    <row r="20" spans="1:13" ht="15.75" customHeight="1">
      <c r="A20" s="508"/>
      <c r="B20" s="511"/>
      <c r="C20" s="123">
        <v>2</v>
      </c>
      <c r="D20" s="496"/>
      <c r="E20" s="518"/>
      <c r="F20" s="497"/>
      <c r="G20" s="148"/>
      <c r="H20" s="148"/>
      <c r="I20" s="148"/>
      <c r="J20" s="148"/>
      <c r="K20" s="496"/>
      <c r="L20" s="497"/>
      <c r="M20" s="115"/>
    </row>
    <row r="21" spans="1:13" ht="15.75" customHeight="1">
      <c r="A21" s="508"/>
      <c r="B21" s="511"/>
      <c r="C21" s="123">
        <v>3</v>
      </c>
      <c r="D21" s="496"/>
      <c r="E21" s="518"/>
      <c r="F21" s="497"/>
      <c r="G21" s="148"/>
      <c r="H21" s="148"/>
      <c r="I21" s="148"/>
      <c r="J21" s="148"/>
      <c r="K21" s="496"/>
      <c r="L21" s="497"/>
      <c r="M21" s="115"/>
    </row>
    <row r="22" spans="1:13" ht="15.75" customHeight="1">
      <c r="A22" s="508"/>
      <c r="B22" s="511"/>
      <c r="C22" s="123">
        <v>4</v>
      </c>
      <c r="D22" s="496"/>
      <c r="E22" s="518"/>
      <c r="F22" s="497"/>
      <c r="G22" s="148"/>
      <c r="H22" s="148"/>
      <c r="I22" s="148"/>
      <c r="J22" s="148"/>
      <c r="K22" s="496"/>
      <c r="L22" s="497"/>
      <c r="M22" s="115"/>
    </row>
    <row r="23" spans="1:13" ht="15.75" customHeight="1">
      <c r="A23" s="508"/>
      <c r="B23" s="511"/>
      <c r="C23" s="123">
        <v>5</v>
      </c>
      <c r="D23" s="496"/>
      <c r="E23" s="518"/>
      <c r="F23" s="497"/>
      <c r="G23" s="148"/>
      <c r="H23" s="148"/>
      <c r="I23" s="148"/>
      <c r="J23" s="148"/>
      <c r="K23" s="496"/>
      <c r="L23" s="497"/>
      <c r="M23" s="115"/>
    </row>
    <row r="24" spans="1:13" ht="15.75" customHeight="1">
      <c r="A24" s="508"/>
      <c r="B24" s="511"/>
      <c r="C24" s="149" t="s">
        <v>338</v>
      </c>
      <c r="D24" s="519"/>
      <c r="E24" s="520"/>
      <c r="F24" s="503"/>
      <c r="G24" s="148"/>
      <c r="H24" s="148"/>
      <c r="I24" s="148"/>
      <c r="J24" s="148"/>
      <c r="K24" s="519"/>
      <c r="L24" s="503"/>
      <c r="M24" s="115"/>
    </row>
    <row r="25" spans="1:13" ht="15.75" customHeight="1">
      <c r="A25" s="508"/>
      <c r="B25" s="511"/>
      <c r="C25" s="149" t="s">
        <v>340</v>
      </c>
      <c r="D25" s="496"/>
      <c r="E25" s="518"/>
      <c r="F25" s="497"/>
      <c r="G25" s="148"/>
      <c r="H25" s="148"/>
      <c r="I25" s="148"/>
      <c r="J25" s="148"/>
      <c r="K25" s="496"/>
      <c r="L25" s="497"/>
      <c r="M25" s="115"/>
    </row>
    <row r="26" spans="1:13" ht="15.75" customHeight="1">
      <c r="A26" s="508"/>
      <c r="B26" s="511"/>
      <c r="C26" s="149" t="s">
        <v>341</v>
      </c>
      <c r="D26" s="496"/>
      <c r="E26" s="518"/>
      <c r="F26" s="497"/>
      <c r="G26" s="148"/>
      <c r="H26" s="148"/>
      <c r="I26" s="148"/>
      <c r="J26" s="148"/>
      <c r="K26" s="496"/>
      <c r="L26" s="497"/>
      <c r="M26" s="115"/>
    </row>
    <row r="27" spans="1:13" ht="15.75" customHeight="1">
      <c r="A27" s="508"/>
      <c r="B27" s="511"/>
      <c r="C27" s="149" t="s">
        <v>343</v>
      </c>
      <c r="D27" s="496"/>
      <c r="E27" s="518"/>
      <c r="F27" s="497"/>
      <c r="G27" s="148"/>
      <c r="H27" s="148"/>
      <c r="I27" s="148"/>
      <c r="J27" s="148"/>
      <c r="K27" s="496"/>
      <c r="L27" s="497"/>
      <c r="M27" s="115"/>
    </row>
    <row r="28" spans="1:13" ht="15.75" customHeight="1">
      <c r="A28" s="509"/>
      <c r="B28" s="512"/>
      <c r="C28" s="149" t="s">
        <v>344</v>
      </c>
      <c r="D28" s="496"/>
      <c r="E28" s="518"/>
      <c r="F28" s="497"/>
      <c r="G28" s="148"/>
      <c r="H28" s="148"/>
      <c r="I28" s="148"/>
      <c r="J28" s="148"/>
      <c r="K28" s="496"/>
      <c r="L28" s="497"/>
      <c r="M28" s="115"/>
    </row>
  </sheetData>
  <mergeCells count="52">
    <mergeCell ref="D11:F11"/>
    <mergeCell ref="K11:L11"/>
    <mergeCell ref="D13:F13"/>
    <mergeCell ref="D14:F14"/>
    <mergeCell ref="D12:F12"/>
    <mergeCell ref="K12:L12"/>
    <mergeCell ref="D15:F15"/>
    <mergeCell ref="A3:L4"/>
    <mergeCell ref="A5:A6"/>
    <mergeCell ref="A7:B7"/>
    <mergeCell ref="D7:F7"/>
    <mergeCell ref="K7:L7"/>
    <mergeCell ref="K15:L15"/>
    <mergeCell ref="K8:L9"/>
    <mergeCell ref="K13:L13"/>
    <mergeCell ref="K14:L14"/>
    <mergeCell ref="A8:A17"/>
    <mergeCell ref="B8:B17"/>
    <mergeCell ref="D8:F8"/>
    <mergeCell ref="D9:F9"/>
    <mergeCell ref="D10:F10"/>
    <mergeCell ref="K10:L10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D28:F28"/>
    <mergeCell ref="K28:L28"/>
    <mergeCell ref="K21:L21"/>
    <mergeCell ref="D22:F22"/>
    <mergeCell ref="K22:L22"/>
    <mergeCell ref="D23:F23"/>
    <mergeCell ref="K23:L23"/>
    <mergeCell ref="D24:F24"/>
    <mergeCell ref="K16:L16"/>
    <mergeCell ref="D17:F17"/>
    <mergeCell ref="K17:L17"/>
    <mergeCell ref="D27:F27"/>
    <mergeCell ref="K27:L27"/>
    <mergeCell ref="D16:F16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5" tint="0.39997558519241921"/>
    <outlinePr summaryBelow="0" summaryRight="0"/>
  </sheetPr>
  <dimension ref="A1:M15"/>
  <sheetViews>
    <sheetView zoomScale="115" zoomScaleNormal="115" zoomScaleSheetLayoutView="115" workbookViewId="0">
      <selection activeCell="R8" sqref="R8"/>
    </sheetView>
  </sheetViews>
  <sheetFormatPr defaultColWidth="12.5703125" defaultRowHeight="15.75" customHeight="1"/>
  <cols>
    <col min="1" max="1" width="7.5703125" style="166" customWidth="1"/>
    <col min="2" max="2" width="14.85546875" style="166" customWidth="1"/>
    <col min="3" max="3" width="12.85546875" style="166" customWidth="1"/>
    <col min="4" max="4" width="2.5703125" style="166" customWidth="1"/>
    <col min="5" max="5" width="7.5703125" style="166" customWidth="1"/>
    <col min="6" max="6" width="12.85546875" style="166" customWidth="1"/>
    <col min="7" max="7" width="9.42578125" style="166" customWidth="1"/>
    <col min="8" max="8" width="12.85546875" style="166" customWidth="1"/>
    <col min="9" max="9" width="9.42578125" style="166" customWidth="1"/>
    <col min="10" max="10" width="12.85546875" style="166" customWidth="1"/>
    <col min="11" max="11" width="9.42578125" style="166" customWidth="1"/>
    <col min="12" max="12" width="12.85546875" style="166" customWidth="1"/>
    <col min="13" max="13" width="9.42578125" style="166" customWidth="1"/>
    <col min="14" max="16384" width="12.5703125" style="166"/>
  </cols>
  <sheetData>
    <row r="1" spans="1:13" ht="15.75" customHeight="1">
      <c r="A1" s="525" t="s">
        <v>323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</row>
    <row r="2" spans="1:13" s="167" customFormat="1" ht="15.75" customHeight="1">
      <c r="A2" s="525"/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</row>
    <row r="3" spans="1:13" ht="15.75" customHeight="1">
      <c r="A3" s="526" t="s">
        <v>375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3" s="16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3" ht="15.75" customHeight="1">
      <c r="A5" s="168" t="s">
        <v>376</v>
      </c>
      <c r="B5" s="169">
        <v>214950446</v>
      </c>
    </row>
    <row r="6" spans="1:13" ht="15.75" customHeight="1">
      <c r="A6" s="527" t="s">
        <v>105</v>
      </c>
      <c r="B6" s="528" t="s">
        <v>47</v>
      </c>
      <c r="C6" s="528"/>
      <c r="D6" s="529"/>
      <c r="E6" s="527" t="s">
        <v>105</v>
      </c>
      <c r="F6" s="531">
        <v>1</v>
      </c>
      <c r="G6" s="531"/>
      <c r="H6" s="531">
        <v>2</v>
      </c>
      <c r="I6" s="531"/>
      <c r="J6" s="531">
        <v>3</v>
      </c>
      <c r="K6" s="531"/>
      <c r="L6" s="531">
        <v>4</v>
      </c>
      <c r="M6" s="531"/>
    </row>
    <row r="7" spans="1:13" ht="31.35" customHeight="1">
      <c r="A7" s="527"/>
      <c r="B7" s="528"/>
      <c r="C7" s="528"/>
      <c r="D7" s="530"/>
      <c r="E7" s="527"/>
      <c r="F7" s="533" t="s">
        <v>377</v>
      </c>
      <c r="G7" s="533"/>
      <c r="H7" s="533" t="s">
        <v>378</v>
      </c>
      <c r="I7" s="533"/>
      <c r="J7" s="533" t="s">
        <v>379</v>
      </c>
      <c r="K7" s="533"/>
      <c r="L7" s="533" t="s">
        <v>380</v>
      </c>
      <c r="M7" s="533"/>
    </row>
    <row r="8" spans="1:13" ht="15.75" customHeight="1">
      <c r="A8" s="527"/>
      <c r="B8" s="192" t="s">
        <v>50</v>
      </c>
      <c r="C8" s="192" t="s">
        <v>15</v>
      </c>
      <c r="D8" s="530"/>
      <c r="E8" s="527"/>
      <c r="F8" s="192" t="s">
        <v>50</v>
      </c>
      <c r="G8" s="192" t="s">
        <v>15</v>
      </c>
      <c r="H8" s="192" t="s">
        <v>50</v>
      </c>
      <c r="I8" s="192" t="s">
        <v>15</v>
      </c>
      <c r="J8" s="192" t="s">
        <v>50</v>
      </c>
      <c r="K8" s="192" t="s">
        <v>15</v>
      </c>
      <c r="L8" s="192" t="s">
        <v>50</v>
      </c>
      <c r="M8" s="192" t="s">
        <v>15</v>
      </c>
    </row>
    <row r="9" spans="1:13" ht="19.350000000000001" customHeight="1">
      <c r="A9" s="170" t="s">
        <v>381</v>
      </c>
      <c r="B9" s="171">
        <v>535425</v>
      </c>
      <c r="C9" s="172">
        <f>B9/$B$5</f>
        <v>2.490922954400383E-3</v>
      </c>
      <c r="D9" s="530"/>
      <c r="E9" s="170" t="s">
        <v>381</v>
      </c>
      <c r="F9" s="173">
        <v>0</v>
      </c>
      <c r="G9" s="174">
        <f>IFERROR(F9/$B$9,"")</f>
        <v>0</v>
      </c>
      <c r="H9" s="173">
        <v>1634.3929999999998</v>
      </c>
      <c r="I9" s="174">
        <f>IFERROR(H9/$B$9,"")</f>
        <v>3.0525152915907919E-3</v>
      </c>
      <c r="J9" s="173">
        <v>13336.315000000002</v>
      </c>
      <c r="K9" s="174">
        <f>IFERROR(J9/$B$9,"")</f>
        <v>2.4907904935331751E-2</v>
      </c>
      <c r="L9" s="173">
        <v>18979.396999999994</v>
      </c>
      <c r="M9" s="174">
        <f>IFERROR(L9/$B$9,"")</f>
        <v>3.544734930195638E-2</v>
      </c>
    </row>
    <row r="10" spans="1:13" ht="19.350000000000001" customHeight="1">
      <c r="A10" s="175" t="s">
        <v>382</v>
      </c>
      <c r="B10" s="176">
        <v>533423.91178055282</v>
      </c>
      <c r="C10" s="172">
        <f>B10/$B$5</f>
        <v>2.4816134216374356E-3</v>
      </c>
      <c r="D10" s="530"/>
      <c r="E10" s="175" t="s">
        <v>382</v>
      </c>
      <c r="F10" s="173">
        <v>0</v>
      </c>
      <c r="G10" s="174">
        <f>IFERROR(F10/$B$10,"")</f>
        <v>0</v>
      </c>
      <c r="H10" s="173">
        <v>2735.1427799999992</v>
      </c>
      <c r="I10" s="174">
        <f>IFERROR(H10/$B$10,"")</f>
        <v>5.1275218819309687E-3</v>
      </c>
      <c r="J10" s="173">
        <v>6461.5267000000094</v>
      </c>
      <c r="K10" s="174">
        <f>IFERROR(J10/$B$10,"")</f>
        <v>1.2113305304277849E-2</v>
      </c>
      <c r="L10" s="173">
        <v>9057.9659731147622</v>
      </c>
      <c r="M10" s="174">
        <f>IFERROR(L10/$B$10,"")</f>
        <v>1.6980802272023289E-2</v>
      </c>
    </row>
    <row r="11" spans="1:13" ht="15.75" customHeight="1">
      <c r="D11" s="530"/>
      <c r="E11" s="527" t="s">
        <v>105</v>
      </c>
      <c r="F11" s="531">
        <v>5</v>
      </c>
      <c r="G11" s="531"/>
      <c r="H11" s="531">
        <v>6</v>
      </c>
      <c r="I11" s="531"/>
      <c r="J11" s="531">
        <v>7</v>
      </c>
      <c r="K11" s="531"/>
      <c r="L11" s="532">
        <v>8</v>
      </c>
      <c r="M11" s="532"/>
    </row>
    <row r="12" spans="1:13" ht="31.35" customHeight="1">
      <c r="D12" s="530"/>
      <c r="E12" s="527"/>
      <c r="F12" s="533" t="s">
        <v>383</v>
      </c>
      <c r="G12" s="533"/>
      <c r="H12" s="533" t="s">
        <v>384</v>
      </c>
      <c r="I12" s="533"/>
      <c r="J12" s="533" t="s">
        <v>385</v>
      </c>
      <c r="K12" s="533"/>
      <c r="L12" s="534" t="s">
        <v>386</v>
      </c>
      <c r="M12" s="534"/>
    </row>
    <row r="13" spans="1:13" ht="15.75" customHeight="1">
      <c r="D13" s="530"/>
      <c r="E13" s="527"/>
      <c r="F13" s="192" t="s">
        <v>50</v>
      </c>
      <c r="G13" s="192" t="s">
        <v>15</v>
      </c>
      <c r="H13" s="192" t="s">
        <v>50</v>
      </c>
      <c r="I13" s="192" t="s">
        <v>15</v>
      </c>
      <c r="J13" s="192" t="s">
        <v>50</v>
      </c>
      <c r="K13" s="192" t="s">
        <v>15</v>
      </c>
      <c r="L13" s="192" t="s">
        <v>50</v>
      </c>
      <c r="M13" s="192" t="s">
        <v>15</v>
      </c>
    </row>
    <row r="14" spans="1:13" ht="19.350000000000001" customHeight="1">
      <c r="D14" s="530"/>
      <c r="E14" s="170" t="s">
        <v>381</v>
      </c>
      <c r="F14" s="173">
        <v>8556.5210000000006</v>
      </c>
      <c r="G14" s="174">
        <f>IFERROR(F14/$B$9,"")</f>
        <v>1.5980802166503248E-2</v>
      </c>
      <c r="H14" s="173">
        <v>3420.7880000000009</v>
      </c>
      <c r="I14" s="174">
        <f>IFERROR(H14/$B$9,"")</f>
        <v>6.388920950646684E-3</v>
      </c>
      <c r="J14" s="173">
        <v>0</v>
      </c>
      <c r="K14" s="174">
        <f>IFERROR(J14/$B$9,"")</f>
        <v>0</v>
      </c>
      <c r="L14" s="173">
        <v>0</v>
      </c>
      <c r="M14" s="174">
        <f>IFERROR(L14/$B$9,"")</f>
        <v>0</v>
      </c>
    </row>
    <row r="15" spans="1:13" ht="19.350000000000001" customHeight="1">
      <c r="D15" s="530"/>
      <c r="E15" s="175" t="s">
        <v>382</v>
      </c>
      <c r="F15" s="173">
        <v>87603.642679999961</v>
      </c>
      <c r="G15" s="174">
        <f>IFERROR(F15/$B$10,"")</f>
        <v>0.16422893827084289</v>
      </c>
      <c r="H15" s="173">
        <v>22743.279759999987</v>
      </c>
      <c r="I15" s="174">
        <f>IFERROR(H15/$B$10,"")</f>
        <v>4.2636408413120455E-2</v>
      </c>
      <c r="J15" s="173">
        <v>0</v>
      </c>
      <c r="K15" s="174">
        <f>IFERROR(J15/$B$10,"")</f>
        <v>0</v>
      </c>
      <c r="L15" s="173">
        <v>0</v>
      </c>
      <c r="M15" s="174">
        <f>IFERROR(L15/$B$10,"")</f>
        <v>0</v>
      </c>
    </row>
  </sheetData>
  <mergeCells count="23"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  <outlinePr summaryBelow="0" summaryRight="0"/>
  </sheetPr>
  <dimension ref="A1:Q31"/>
  <sheetViews>
    <sheetView view="pageBreakPreview" topLeftCell="A12" zoomScale="115" zoomScaleNormal="60" zoomScaleSheetLayoutView="115" workbookViewId="0">
      <selection activeCell="I33" sqref="I33"/>
    </sheetView>
  </sheetViews>
  <sheetFormatPr defaultColWidth="12.5703125" defaultRowHeight="15.75" customHeight="1"/>
  <cols>
    <col min="1" max="1" width="5.42578125" style="115" customWidth="1"/>
    <col min="2" max="2" width="11.42578125" style="159" customWidth="1"/>
    <col min="3" max="3" width="4" style="145" customWidth="1"/>
    <col min="4" max="17" width="9.5703125" style="115" customWidth="1"/>
    <col min="18" max="16384" width="12.5703125" style="115"/>
  </cols>
  <sheetData>
    <row r="1" spans="1:17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17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</row>
    <row r="3" spans="1:17" ht="15.75" customHeight="1">
      <c r="A3" s="451" t="s">
        <v>387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</row>
    <row r="4" spans="1:17" s="116" customFormat="1" ht="15.75" customHeight="1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</row>
    <row r="5" spans="1:17" ht="15.75" customHeight="1">
      <c r="A5" s="379" t="s">
        <v>388</v>
      </c>
      <c r="B5" s="540">
        <v>1</v>
      </c>
      <c r="C5" s="540"/>
      <c r="D5" s="540">
        <v>2</v>
      </c>
      <c r="E5" s="540"/>
      <c r="F5" s="540">
        <v>3</v>
      </c>
      <c r="G5" s="540"/>
      <c r="H5" s="434">
        <v>4</v>
      </c>
      <c r="I5" s="434"/>
      <c r="J5" s="434">
        <v>5</v>
      </c>
      <c r="K5" s="434"/>
      <c r="L5" s="434">
        <v>6</v>
      </c>
      <c r="M5" s="434"/>
      <c r="N5" s="434">
        <v>7</v>
      </c>
      <c r="O5" s="434"/>
      <c r="P5" s="434">
        <v>8</v>
      </c>
      <c r="Q5" s="434"/>
    </row>
    <row r="6" spans="1:17" ht="15.75" customHeight="1">
      <c r="A6" s="379"/>
      <c r="B6" s="541" t="s">
        <v>377</v>
      </c>
      <c r="C6" s="541"/>
      <c r="D6" s="541" t="s">
        <v>389</v>
      </c>
      <c r="E6" s="541"/>
      <c r="F6" s="541" t="s">
        <v>379</v>
      </c>
      <c r="G6" s="541"/>
      <c r="H6" s="379" t="s">
        <v>390</v>
      </c>
      <c r="I6" s="379"/>
      <c r="J6" s="379" t="s">
        <v>383</v>
      </c>
      <c r="K6" s="379"/>
      <c r="L6" s="379" t="s">
        <v>384</v>
      </c>
      <c r="M6" s="379"/>
      <c r="N6" s="379" t="s">
        <v>385</v>
      </c>
      <c r="O6" s="379"/>
      <c r="P6" s="539" t="s">
        <v>391</v>
      </c>
      <c r="Q6" s="379"/>
    </row>
    <row r="8" spans="1:17" s="122" customFormat="1" ht="15.75" customHeight="1">
      <c r="A8" s="552" t="s">
        <v>388</v>
      </c>
      <c r="B8" s="553"/>
      <c r="C8" s="313" t="s">
        <v>52</v>
      </c>
      <c r="D8" s="557" t="s">
        <v>53</v>
      </c>
      <c r="E8" s="558"/>
      <c r="F8" s="559"/>
      <c r="G8" s="311" t="s">
        <v>62</v>
      </c>
      <c r="H8" s="312"/>
      <c r="I8" s="313"/>
      <c r="J8" s="154" t="s">
        <v>63</v>
      </c>
      <c r="K8" s="154" t="s">
        <v>27</v>
      </c>
      <c r="L8" s="154" t="s">
        <v>64</v>
      </c>
      <c r="M8" s="154" t="s">
        <v>50</v>
      </c>
      <c r="N8" s="285" t="s">
        <v>392</v>
      </c>
      <c r="O8" s="550" t="s">
        <v>58</v>
      </c>
      <c r="P8" s="551"/>
    </row>
    <row r="9" spans="1:17" ht="15.75" customHeight="1">
      <c r="A9" s="507">
        <v>1</v>
      </c>
      <c r="B9" s="554" t="s">
        <v>393</v>
      </c>
      <c r="C9" s="155">
        <v>1</v>
      </c>
      <c r="D9" s="333">
        <v>0</v>
      </c>
      <c r="E9" s="548"/>
      <c r="F9" s="549"/>
      <c r="G9" s="333">
        <v>0</v>
      </c>
      <c r="H9" s="548"/>
      <c r="I9" s="549"/>
      <c r="J9" s="4">
        <v>0</v>
      </c>
      <c r="K9" s="14">
        <v>0</v>
      </c>
      <c r="L9" s="4">
        <v>0</v>
      </c>
      <c r="M9" s="16">
        <v>0</v>
      </c>
      <c r="N9" s="156"/>
      <c r="O9" s="535"/>
      <c r="P9" s="536"/>
    </row>
    <row r="10" spans="1:17" ht="15.75" customHeight="1">
      <c r="A10" s="508"/>
      <c r="B10" s="555"/>
      <c r="C10" s="155">
        <v>2</v>
      </c>
      <c r="D10" s="333">
        <v>0</v>
      </c>
      <c r="E10" s="548"/>
      <c r="F10" s="549"/>
      <c r="G10" s="333">
        <v>0</v>
      </c>
      <c r="H10" s="548"/>
      <c r="I10" s="549"/>
      <c r="J10" s="4">
        <v>0</v>
      </c>
      <c r="K10" s="14">
        <v>0</v>
      </c>
      <c r="L10" s="4">
        <v>0</v>
      </c>
      <c r="M10" s="16">
        <v>0</v>
      </c>
      <c r="N10" s="156"/>
      <c r="O10" s="535"/>
      <c r="P10" s="536"/>
    </row>
    <row r="11" spans="1:17" ht="15.75" customHeight="1">
      <c r="A11" s="508"/>
      <c r="B11" s="555"/>
      <c r="C11" s="155">
        <v>3</v>
      </c>
      <c r="D11" s="333">
        <v>0</v>
      </c>
      <c r="E11" s="548"/>
      <c r="F11" s="549"/>
      <c r="G11" s="333">
        <v>0</v>
      </c>
      <c r="H11" s="548"/>
      <c r="I11" s="549"/>
      <c r="J11" s="4">
        <v>0</v>
      </c>
      <c r="K11" s="14">
        <v>0</v>
      </c>
      <c r="L11" s="4">
        <v>0</v>
      </c>
      <c r="M11" s="16">
        <v>0</v>
      </c>
      <c r="N11" s="156"/>
      <c r="O11" s="535"/>
      <c r="P11" s="536"/>
    </row>
    <row r="12" spans="1:17" ht="15.75" customHeight="1">
      <c r="A12" s="508"/>
      <c r="B12" s="555"/>
      <c r="C12" s="155">
        <v>4</v>
      </c>
      <c r="D12" s="333">
        <v>0</v>
      </c>
      <c r="E12" s="548"/>
      <c r="F12" s="549"/>
      <c r="G12" s="333">
        <v>0</v>
      </c>
      <c r="H12" s="548"/>
      <c r="I12" s="549"/>
      <c r="J12" s="4">
        <v>0</v>
      </c>
      <c r="K12" s="14">
        <v>0</v>
      </c>
      <c r="L12" s="4">
        <v>0</v>
      </c>
      <c r="M12" s="16">
        <v>0</v>
      </c>
      <c r="N12" s="156"/>
      <c r="O12" s="535"/>
      <c r="P12" s="536"/>
    </row>
    <row r="13" spans="1:17" ht="15.75" customHeight="1" thickBot="1">
      <c r="A13" s="508"/>
      <c r="B13" s="555"/>
      <c r="C13" s="157">
        <v>5</v>
      </c>
      <c r="D13" s="545">
        <v>0</v>
      </c>
      <c r="E13" s="546"/>
      <c r="F13" s="547"/>
      <c r="G13" s="545">
        <v>0</v>
      </c>
      <c r="H13" s="546"/>
      <c r="I13" s="547"/>
      <c r="J13" s="4">
        <v>0</v>
      </c>
      <c r="K13" s="14">
        <v>0</v>
      </c>
      <c r="L13" s="4">
        <v>0</v>
      </c>
      <c r="M13" s="16">
        <v>0</v>
      </c>
      <c r="N13" s="158"/>
      <c r="O13" s="537"/>
      <c r="P13" s="538"/>
    </row>
    <row r="14" spans="1:17" ht="15.75" customHeight="1" thickTop="1" thickBot="1">
      <c r="A14" s="509"/>
      <c r="B14" s="556"/>
      <c r="C14" s="560"/>
      <c r="D14" s="561"/>
      <c r="E14" s="561"/>
      <c r="F14" s="561"/>
      <c r="G14" s="561"/>
      <c r="H14" s="561"/>
      <c r="I14" s="562"/>
      <c r="J14" s="284" t="s">
        <v>73</v>
      </c>
      <c r="K14" s="213">
        <v>0</v>
      </c>
      <c r="L14" s="284" t="s">
        <v>74</v>
      </c>
      <c r="M14" s="215">
        <v>0</v>
      </c>
      <c r="N14" s="542"/>
      <c r="O14" s="543"/>
      <c r="P14" s="544"/>
    </row>
    <row r="15" spans="1:17" ht="15.75" customHeight="1" thickTop="1"/>
    <row r="16" spans="1:17" ht="15.75" customHeight="1">
      <c r="A16" s="552" t="s">
        <v>388</v>
      </c>
      <c r="B16" s="553"/>
      <c r="C16" s="313" t="s">
        <v>52</v>
      </c>
      <c r="D16" s="557" t="s">
        <v>53</v>
      </c>
      <c r="E16" s="558"/>
      <c r="F16" s="559"/>
      <c r="G16" s="311" t="s">
        <v>62</v>
      </c>
      <c r="H16" s="312"/>
      <c r="I16" s="313"/>
      <c r="J16" s="154" t="s">
        <v>63</v>
      </c>
      <c r="K16" s="154" t="s">
        <v>27</v>
      </c>
      <c r="L16" s="154" t="s">
        <v>64</v>
      </c>
      <c r="M16" s="154" t="s">
        <v>50</v>
      </c>
      <c r="N16" s="285" t="s">
        <v>392</v>
      </c>
      <c r="O16" s="550" t="s">
        <v>58</v>
      </c>
      <c r="P16" s="551"/>
    </row>
    <row r="17" spans="1:16" ht="15.75" customHeight="1">
      <c r="A17" s="507">
        <v>2</v>
      </c>
      <c r="B17" s="554" t="s">
        <v>394</v>
      </c>
      <c r="C17" s="155">
        <v>1</v>
      </c>
      <c r="D17" s="333" t="s">
        <v>290</v>
      </c>
      <c r="E17" s="548"/>
      <c r="F17" s="549"/>
      <c r="G17" s="333" t="s">
        <v>395</v>
      </c>
      <c r="H17" s="548"/>
      <c r="I17" s="549"/>
      <c r="J17" s="247">
        <v>121.63</v>
      </c>
      <c r="K17" s="14">
        <v>5.2946070645185687E-2</v>
      </c>
      <c r="L17" s="4">
        <v>1.4</v>
      </c>
      <c r="M17" s="246">
        <v>170.28199999999998</v>
      </c>
      <c r="N17" s="156"/>
      <c r="O17" s="535" t="s">
        <v>396</v>
      </c>
      <c r="P17" s="536"/>
    </row>
    <row r="18" spans="1:16" ht="15.75" customHeight="1">
      <c r="A18" s="508"/>
      <c r="B18" s="555"/>
      <c r="C18" s="155">
        <v>2</v>
      </c>
      <c r="D18" s="333" t="s">
        <v>281</v>
      </c>
      <c r="E18" s="548"/>
      <c r="F18" s="549"/>
      <c r="G18" s="333" t="s">
        <v>397</v>
      </c>
      <c r="H18" s="548"/>
      <c r="I18" s="549"/>
      <c r="J18" s="247">
        <v>180.96</v>
      </c>
      <c r="K18" s="14">
        <v>4.9059689288634502E-2</v>
      </c>
      <c r="L18" s="4">
        <v>0.89999999999999991</v>
      </c>
      <c r="M18" s="246">
        <v>162.864</v>
      </c>
      <c r="N18" s="156"/>
      <c r="O18" s="535" t="s">
        <v>396</v>
      </c>
      <c r="P18" s="536"/>
    </row>
    <row r="19" spans="1:16" ht="15.75" customHeight="1">
      <c r="A19" s="508"/>
      <c r="B19" s="555"/>
      <c r="C19" s="155">
        <v>3</v>
      </c>
      <c r="D19" s="333" t="s">
        <v>398</v>
      </c>
      <c r="E19" s="548"/>
      <c r="F19" s="549"/>
      <c r="G19" s="333" t="s">
        <v>399</v>
      </c>
      <c r="H19" s="548"/>
      <c r="I19" s="549"/>
      <c r="J19" s="247">
        <v>97.35</v>
      </c>
      <c r="K19" s="14">
        <v>5.0425464859754181E-2</v>
      </c>
      <c r="L19" s="4">
        <v>1.6</v>
      </c>
      <c r="M19" s="246">
        <v>155.76</v>
      </c>
      <c r="N19" s="156"/>
      <c r="O19" s="535" t="s">
        <v>396</v>
      </c>
      <c r="P19" s="536"/>
    </row>
    <row r="20" spans="1:16" ht="15.75" customHeight="1">
      <c r="A20" s="508"/>
      <c r="B20" s="555"/>
      <c r="C20" s="155">
        <v>4</v>
      </c>
      <c r="D20" s="333" t="s">
        <v>277</v>
      </c>
      <c r="E20" s="548"/>
      <c r="F20" s="549"/>
      <c r="G20" s="333" t="s">
        <v>400</v>
      </c>
      <c r="H20" s="548"/>
      <c r="I20" s="549"/>
      <c r="J20" s="247">
        <v>139.33000000000001</v>
      </c>
      <c r="K20" s="14">
        <v>9.3696763202725727E-2</v>
      </c>
      <c r="L20" s="4">
        <v>1.1000000000000001</v>
      </c>
      <c r="M20" s="246">
        <v>153.26300000000003</v>
      </c>
      <c r="N20" s="156"/>
      <c r="O20" s="535" t="s">
        <v>396</v>
      </c>
      <c r="P20" s="536"/>
    </row>
    <row r="21" spans="1:16" ht="15.75" customHeight="1" thickBot="1">
      <c r="A21" s="508"/>
      <c r="B21" s="555"/>
      <c r="C21" s="157">
        <v>5</v>
      </c>
      <c r="D21" s="333" t="s">
        <v>213</v>
      </c>
      <c r="E21" s="548"/>
      <c r="F21" s="549"/>
      <c r="G21" s="333" t="s">
        <v>401</v>
      </c>
      <c r="H21" s="548"/>
      <c r="I21" s="549"/>
      <c r="J21" s="247">
        <v>304.7</v>
      </c>
      <c r="K21" s="14">
        <v>8.3263946711074108E-2</v>
      </c>
      <c r="L21" s="4">
        <v>0.5</v>
      </c>
      <c r="M21" s="246">
        <v>152.35</v>
      </c>
      <c r="N21" s="158"/>
      <c r="O21" s="537" t="s">
        <v>396</v>
      </c>
      <c r="P21" s="538"/>
    </row>
    <row r="22" spans="1:16" ht="15.75" customHeight="1" thickTop="1" thickBot="1">
      <c r="A22" s="509"/>
      <c r="B22" s="556"/>
      <c r="C22" s="563"/>
      <c r="D22" s="564"/>
      <c r="E22" s="564"/>
      <c r="F22" s="564"/>
      <c r="G22" s="564"/>
      <c r="H22" s="564"/>
      <c r="I22" s="565"/>
      <c r="J22" s="284" t="s">
        <v>73</v>
      </c>
      <c r="K22" s="213">
        <v>1.4839034411915767E-3</v>
      </c>
      <c r="L22" s="284" t="s">
        <v>74</v>
      </c>
      <c r="M22" s="215">
        <v>794.51900000000001</v>
      </c>
      <c r="N22" s="542"/>
      <c r="O22" s="543"/>
      <c r="P22" s="544"/>
    </row>
    <row r="23" spans="1:16" ht="15.75" customHeight="1" thickTop="1"/>
    <row r="24" spans="1:16" ht="15.75" customHeight="1">
      <c r="A24" s="552" t="s">
        <v>388</v>
      </c>
      <c r="B24" s="553"/>
      <c r="C24" s="313" t="s">
        <v>52</v>
      </c>
      <c r="D24" s="557" t="s">
        <v>53</v>
      </c>
      <c r="E24" s="558"/>
      <c r="F24" s="559"/>
      <c r="G24" s="311" t="s">
        <v>62</v>
      </c>
      <c r="H24" s="312"/>
      <c r="I24" s="313"/>
      <c r="J24" s="154" t="s">
        <v>63</v>
      </c>
      <c r="K24" s="154" t="s">
        <v>27</v>
      </c>
      <c r="L24" s="154" t="s">
        <v>64</v>
      </c>
      <c r="M24" s="154" t="s">
        <v>50</v>
      </c>
      <c r="N24" s="285" t="s">
        <v>392</v>
      </c>
      <c r="O24" s="550" t="s">
        <v>58</v>
      </c>
      <c r="P24" s="551"/>
    </row>
    <row r="25" spans="1:16" ht="15.75" customHeight="1">
      <c r="A25" s="507">
        <v>3</v>
      </c>
      <c r="B25" s="554" t="s">
        <v>402</v>
      </c>
      <c r="C25" s="155">
        <v>1</v>
      </c>
      <c r="D25" s="333" t="s">
        <v>317</v>
      </c>
      <c r="E25" s="548"/>
      <c r="F25" s="549"/>
      <c r="G25" s="333" t="s">
        <v>403</v>
      </c>
      <c r="H25" s="548"/>
      <c r="I25" s="549"/>
      <c r="J25" s="247">
        <v>127.48</v>
      </c>
      <c r="K25" s="14">
        <v>8.4875260785146171E-3</v>
      </c>
      <c r="L25" s="4">
        <v>9.5</v>
      </c>
      <c r="M25" s="246">
        <v>1211.0600000000002</v>
      </c>
      <c r="N25" s="156"/>
      <c r="O25" s="535" t="s">
        <v>404</v>
      </c>
      <c r="P25" s="536"/>
    </row>
    <row r="26" spans="1:16" ht="15.75" customHeight="1">
      <c r="A26" s="508"/>
      <c r="B26" s="555"/>
      <c r="C26" s="155">
        <v>2</v>
      </c>
      <c r="D26" s="333" t="s">
        <v>307</v>
      </c>
      <c r="E26" s="548"/>
      <c r="F26" s="549"/>
      <c r="G26" s="333" t="s">
        <v>405</v>
      </c>
      <c r="H26" s="548"/>
      <c r="I26" s="549"/>
      <c r="J26" s="247">
        <v>92.96</v>
      </c>
      <c r="K26" s="14">
        <v>2.5055841490867214E-2</v>
      </c>
      <c r="L26" s="4">
        <v>8.1</v>
      </c>
      <c r="M26" s="246">
        <v>752.976</v>
      </c>
      <c r="N26" s="156"/>
      <c r="O26" s="535" t="s">
        <v>404</v>
      </c>
      <c r="P26" s="536"/>
    </row>
    <row r="27" spans="1:16" ht="15.75" customHeight="1">
      <c r="A27" s="508"/>
      <c r="B27" s="555"/>
      <c r="C27" s="155">
        <v>3</v>
      </c>
      <c r="D27" s="333" t="s">
        <v>305</v>
      </c>
      <c r="E27" s="548"/>
      <c r="F27" s="549"/>
      <c r="G27" s="333" t="s">
        <v>406</v>
      </c>
      <c r="H27" s="548"/>
      <c r="I27" s="549"/>
      <c r="J27" s="247">
        <v>86.37</v>
      </c>
      <c r="K27" s="14">
        <v>1.352433596330696E-2</v>
      </c>
      <c r="L27" s="4">
        <v>8.3000000000000007</v>
      </c>
      <c r="M27" s="246">
        <v>716.87100000000009</v>
      </c>
      <c r="N27" s="156"/>
      <c r="O27" s="535" t="s">
        <v>404</v>
      </c>
      <c r="P27" s="536"/>
    </row>
    <row r="28" spans="1:16" ht="15.75" customHeight="1">
      <c r="A28" s="508"/>
      <c r="B28" s="555"/>
      <c r="C28" s="155">
        <v>4</v>
      </c>
      <c r="D28" s="333" t="s">
        <v>294</v>
      </c>
      <c r="E28" s="548"/>
      <c r="F28" s="549"/>
      <c r="G28" s="333" t="s">
        <v>407</v>
      </c>
      <c r="H28" s="548"/>
      <c r="I28" s="549"/>
      <c r="J28" s="247">
        <v>151.29</v>
      </c>
      <c r="K28" s="14">
        <v>2.8494392706932048E-2</v>
      </c>
      <c r="L28" s="4">
        <v>4.2</v>
      </c>
      <c r="M28" s="246">
        <v>635.41799999999989</v>
      </c>
      <c r="N28" s="156"/>
      <c r="O28" s="535" t="s">
        <v>404</v>
      </c>
      <c r="P28" s="536"/>
    </row>
    <row r="29" spans="1:16" ht="15.75" customHeight="1" thickBot="1">
      <c r="A29" s="508"/>
      <c r="B29" s="555"/>
      <c r="C29" s="157">
        <v>5</v>
      </c>
      <c r="D29" s="545" t="s">
        <v>398</v>
      </c>
      <c r="E29" s="546"/>
      <c r="F29" s="547"/>
      <c r="G29" s="545" t="s">
        <v>408</v>
      </c>
      <c r="H29" s="546"/>
      <c r="I29" s="547"/>
      <c r="J29" s="247">
        <v>111.17</v>
      </c>
      <c r="K29" s="14">
        <v>6.0272842067802005E-3</v>
      </c>
      <c r="L29" s="4">
        <v>5.3999999999999995</v>
      </c>
      <c r="M29" s="246">
        <v>600.31799999999998</v>
      </c>
      <c r="N29" s="158"/>
      <c r="O29" s="537" t="s">
        <v>404</v>
      </c>
      <c r="P29" s="538"/>
    </row>
    <row r="30" spans="1:16" ht="15.75" customHeight="1" thickTop="1" thickBot="1">
      <c r="A30" s="509"/>
      <c r="B30" s="556"/>
      <c r="C30" s="560"/>
      <c r="D30" s="561"/>
      <c r="E30" s="561"/>
      <c r="F30" s="561"/>
      <c r="G30" s="561"/>
      <c r="H30" s="561"/>
      <c r="I30" s="562"/>
      <c r="J30" s="284" t="s">
        <v>73</v>
      </c>
      <c r="K30" s="213">
        <v>7.3150170425363027E-3</v>
      </c>
      <c r="L30" s="284" t="s">
        <v>74</v>
      </c>
      <c r="M30" s="215">
        <v>3916.643</v>
      </c>
      <c r="N30" s="542"/>
      <c r="O30" s="543"/>
      <c r="P30" s="544"/>
    </row>
    <row r="31" spans="1:16" ht="15.75" customHeight="1" thickTop="1"/>
  </sheetData>
  <mergeCells count="85"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O17:P17"/>
    <mergeCell ref="O18:P18"/>
    <mergeCell ref="O19:P19"/>
    <mergeCell ref="O20:P20"/>
    <mergeCell ref="O21:P2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5" tint="0.39997558519241921"/>
    <outlinePr summaryBelow="0" summaryRight="0"/>
  </sheetPr>
  <dimension ref="A1:Q39"/>
  <sheetViews>
    <sheetView view="pageBreakPreview" topLeftCell="A18" zoomScaleNormal="60" zoomScaleSheetLayoutView="100" workbookViewId="0">
      <selection activeCell="A8" sqref="A8:B8"/>
    </sheetView>
  </sheetViews>
  <sheetFormatPr defaultColWidth="12.5703125" defaultRowHeight="15.75" customHeight="1"/>
  <cols>
    <col min="1" max="1" width="5.42578125" style="2" customWidth="1"/>
    <col min="2" max="2" width="11.42578125" style="106" customWidth="1"/>
    <col min="3" max="3" width="4" style="104" customWidth="1"/>
    <col min="4" max="17" width="9.5703125" style="2" customWidth="1"/>
    <col min="18" max="16384" width="12.5703125" style="2"/>
  </cols>
  <sheetData>
    <row r="1" spans="1:17" s="115" customFormat="1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17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</row>
    <row r="3" spans="1:17" s="115" customFormat="1" ht="15.75" customHeight="1">
      <c r="A3" s="451" t="s">
        <v>387</v>
      </c>
      <c r="B3" s="452"/>
      <c r="C3" s="452"/>
      <c r="D3" s="452"/>
      <c r="E3" s="452"/>
      <c r="F3" s="452"/>
      <c r="G3" s="452"/>
      <c r="H3" s="452"/>
      <c r="I3" s="452"/>
      <c r="J3" s="452"/>
      <c r="K3" s="452"/>
      <c r="L3" s="452"/>
      <c r="M3" s="452"/>
    </row>
    <row r="4" spans="1:17" s="116" customFormat="1" ht="15.75" customHeight="1">
      <c r="A4" s="452"/>
      <c r="B4" s="452"/>
      <c r="C4" s="452"/>
      <c r="D4" s="452"/>
      <c r="E4" s="452"/>
      <c r="F4" s="452"/>
      <c r="G4" s="452"/>
      <c r="H4" s="452"/>
      <c r="I4" s="452"/>
      <c r="J4" s="452"/>
      <c r="K4" s="452"/>
      <c r="L4" s="452"/>
      <c r="M4" s="452"/>
    </row>
    <row r="5" spans="1:17" s="115" customFormat="1" ht="15.75" customHeight="1">
      <c r="A5" s="379" t="s">
        <v>388</v>
      </c>
      <c r="B5" s="434">
        <v>1</v>
      </c>
      <c r="C5" s="434"/>
      <c r="D5" s="434">
        <v>2</v>
      </c>
      <c r="E5" s="434"/>
      <c r="F5" s="434">
        <v>3</v>
      </c>
      <c r="G5" s="434"/>
      <c r="H5" s="540">
        <v>4</v>
      </c>
      <c r="I5" s="540"/>
      <c r="J5" s="540">
        <v>5</v>
      </c>
      <c r="K5" s="540"/>
      <c r="L5" s="540">
        <v>6</v>
      </c>
      <c r="M5" s="540"/>
      <c r="N5" s="540">
        <v>7</v>
      </c>
      <c r="O5" s="540"/>
      <c r="P5" s="434">
        <v>8</v>
      </c>
      <c r="Q5" s="434"/>
    </row>
    <row r="6" spans="1:17" s="115" customFormat="1" ht="15.75" customHeight="1">
      <c r="A6" s="379"/>
      <c r="B6" s="379" t="s">
        <v>377</v>
      </c>
      <c r="C6" s="379"/>
      <c r="D6" s="379" t="s">
        <v>389</v>
      </c>
      <c r="E6" s="379"/>
      <c r="F6" s="379" t="s">
        <v>379</v>
      </c>
      <c r="G6" s="379"/>
      <c r="H6" s="541" t="s">
        <v>390</v>
      </c>
      <c r="I6" s="541"/>
      <c r="J6" s="541" t="s">
        <v>383</v>
      </c>
      <c r="K6" s="541"/>
      <c r="L6" s="541" t="s">
        <v>384</v>
      </c>
      <c r="M6" s="541"/>
      <c r="N6" s="541" t="s">
        <v>385</v>
      </c>
      <c r="O6" s="541"/>
      <c r="P6" s="539" t="s">
        <v>391</v>
      </c>
      <c r="Q6" s="379"/>
    </row>
    <row r="7" spans="1:17" s="115" customFormat="1" ht="15.75" customHeight="1">
      <c r="B7" s="159"/>
      <c r="C7" s="145"/>
    </row>
    <row r="8" spans="1:17" s="105" customFormat="1" ht="15.75" customHeight="1">
      <c r="A8" s="568" t="s">
        <v>388</v>
      </c>
      <c r="B8" s="569"/>
      <c r="C8" s="112" t="s">
        <v>52</v>
      </c>
      <c r="D8" s="570" t="s">
        <v>53</v>
      </c>
      <c r="E8" s="571"/>
      <c r="F8" s="572"/>
      <c r="G8" s="110" t="s">
        <v>62</v>
      </c>
      <c r="H8" s="111"/>
      <c r="I8" s="112"/>
      <c r="J8" s="109" t="s">
        <v>63</v>
      </c>
      <c r="K8" s="109" t="s">
        <v>27</v>
      </c>
      <c r="L8" s="109" t="s">
        <v>64</v>
      </c>
      <c r="M8" s="113" t="s">
        <v>50</v>
      </c>
      <c r="N8" s="285" t="s">
        <v>392</v>
      </c>
      <c r="O8" s="573" t="s">
        <v>58</v>
      </c>
      <c r="P8" s="574"/>
    </row>
    <row r="9" spans="1:17" ht="15.75" customHeight="1">
      <c r="A9" s="569">
        <v>4</v>
      </c>
      <c r="B9" s="575" t="s">
        <v>390</v>
      </c>
      <c r="C9" s="107">
        <v>1</v>
      </c>
      <c r="D9" s="333" t="s">
        <v>300</v>
      </c>
      <c r="E9" s="548"/>
      <c r="F9" s="549"/>
      <c r="G9" s="333" t="s">
        <v>409</v>
      </c>
      <c r="H9" s="548"/>
      <c r="I9" s="549"/>
      <c r="J9" s="247">
        <v>81.97</v>
      </c>
      <c r="K9" s="14">
        <v>6.1896123897192991E-3</v>
      </c>
      <c r="L9" s="4">
        <v>20.6</v>
      </c>
      <c r="M9" s="246">
        <v>1688.5820000000001</v>
      </c>
      <c r="N9" s="4"/>
      <c r="O9" s="535" t="s">
        <v>410</v>
      </c>
      <c r="P9" s="566"/>
    </row>
    <row r="10" spans="1:17" ht="15.75" customHeight="1">
      <c r="A10" s="569"/>
      <c r="B10" s="575"/>
      <c r="C10" s="107">
        <v>2</v>
      </c>
      <c r="D10" s="333" t="s">
        <v>398</v>
      </c>
      <c r="E10" s="548"/>
      <c r="F10" s="549"/>
      <c r="G10" s="333" t="s">
        <v>408</v>
      </c>
      <c r="H10" s="548"/>
      <c r="I10" s="549"/>
      <c r="J10" s="247">
        <v>111.17</v>
      </c>
      <c r="K10" s="14">
        <v>6.4525380199704488E-3</v>
      </c>
      <c r="L10" s="4">
        <v>11.899999999999999</v>
      </c>
      <c r="M10" s="246">
        <v>1322.923</v>
      </c>
      <c r="N10" s="4"/>
      <c r="O10" s="535" t="s">
        <v>410</v>
      </c>
      <c r="P10" s="566"/>
    </row>
    <row r="11" spans="1:17" ht="15.75" customHeight="1">
      <c r="A11" s="569"/>
      <c r="B11" s="575"/>
      <c r="C11" s="107">
        <v>3</v>
      </c>
      <c r="D11" s="333" t="s">
        <v>280</v>
      </c>
      <c r="E11" s="548"/>
      <c r="F11" s="549"/>
      <c r="G11" s="333" t="s">
        <v>411</v>
      </c>
      <c r="H11" s="548"/>
      <c r="I11" s="549"/>
      <c r="J11" s="247">
        <v>78.849999999999994</v>
      </c>
      <c r="K11" s="14">
        <v>4.8269174648012548E-3</v>
      </c>
      <c r="L11" s="4">
        <v>16.100000000000001</v>
      </c>
      <c r="M11" s="246">
        <v>1269.4850000000001</v>
      </c>
      <c r="N11" s="4"/>
      <c r="O11" s="535" t="s">
        <v>410</v>
      </c>
      <c r="P11" s="566"/>
    </row>
    <row r="12" spans="1:17" ht="15.75" customHeight="1">
      <c r="A12" s="569"/>
      <c r="B12" s="575"/>
      <c r="C12" s="107">
        <v>4</v>
      </c>
      <c r="D12" s="333" t="s">
        <v>278</v>
      </c>
      <c r="E12" s="548"/>
      <c r="F12" s="549"/>
      <c r="G12" s="333" t="s">
        <v>412</v>
      </c>
      <c r="H12" s="548"/>
      <c r="I12" s="549"/>
      <c r="J12" s="247">
        <v>78.73</v>
      </c>
      <c r="K12" s="14">
        <v>5.6848653738558394E-3</v>
      </c>
      <c r="L12" s="4">
        <v>13.600000000000001</v>
      </c>
      <c r="M12" s="246">
        <v>1070.7280000000001</v>
      </c>
      <c r="N12" s="4"/>
      <c r="O12" s="535" t="s">
        <v>410</v>
      </c>
      <c r="P12" s="566"/>
    </row>
    <row r="13" spans="1:17" ht="15.75" customHeight="1" thickBot="1">
      <c r="A13" s="569"/>
      <c r="B13" s="575"/>
      <c r="C13" s="108">
        <v>5</v>
      </c>
      <c r="D13" s="333" t="s">
        <v>305</v>
      </c>
      <c r="E13" s="548"/>
      <c r="F13" s="549"/>
      <c r="G13" s="333" t="s">
        <v>406</v>
      </c>
      <c r="H13" s="548"/>
      <c r="I13" s="549"/>
      <c r="J13" s="247">
        <v>86.37</v>
      </c>
      <c r="K13" s="14">
        <v>1.0353518680521975E-2</v>
      </c>
      <c r="L13" s="4">
        <v>9</v>
      </c>
      <c r="M13" s="246">
        <v>777.33</v>
      </c>
      <c r="N13" s="27"/>
      <c r="O13" s="535" t="s">
        <v>410</v>
      </c>
      <c r="P13" s="566"/>
    </row>
    <row r="14" spans="1:17" ht="15.75" customHeight="1" thickTop="1" thickBot="1">
      <c r="A14" s="569"/>
      <c r="B14" s="575"/>
      <c r="C14" s="577"/>
      <c r="D14" s="577"/>
      <c r="E14" s="577"/>
      <c r="F14" s="577"/>
      <c r="G14" s="577"/>
      <c r="H14" s="577"/>
      <c r="I14" s="577"/>
      <c r="J14" s="214" t="s">
        <v>73</v>
      </c>
      <c r="K14" s="213">
        <v>1.1447071018349908E-2</v>
      </c>
      <c r="L14" s="214" t="s">
        <v>74</v>
      </c>
      <c r="M14" s="215">
        <v>6129.0479999999998</v>
      </c>
      <c r="N14" s="576"/>
      <c r="O14" s="576"/>
      <c r="P14" s="576"/>
    </row>
    <row r="15" spans="1:17" ht="15.75" customHeight="1" thickTop="1"/>
    <row r="16" spans="1:17" ht="15.75" customHeight="1">
      <c r="A16" s="568" t="s">
        <v>388</v>
      </c>
      <c r="B16" s="569"/>
      <c r="C16" s="112" t="s">
        <v>52</v>
      </c>
      <c r="D16" s="570" t="s">
        <v>53</v>
      </c>
      <c r="E16" s="571"/>
      <c r="F16" s="572"/>
      <c r="G16" s="110" t="s">
        <v>62</v>
      </c>
      <c r="H16" s="111"/>
      <c r="I16" s="112"/>
      <c r="J16" s="109" t="s">
        <v>63</v>
      </c>
      <c r="K16" s="109" t="s">
        <v>27</v>
      </c>
      <c r="L16" s="109" t="s">
        <v>64</v>
      </c>
      <c r="M16" s="113" t="s">
        <v>50</v>
      </c>
      <c r="N16" s="285" t="s">
        <v>392</v>
      </c>
      <c r="O16" s="573" t="s">
        <v>58</v>
      </c>
      <c r="P16" s="574"/>
    </row>
    <row r="17" spans="1:16" ht="15.75" customHeight="1">
      <c r="A17" s="569">
        <v>5</v>
      </c>
      <c r="B17" s="578" t="s">
        <v>413</v>
      </c>
      <c r="C17" s="107">
        <v>1</v>
      </c>
      <c r="D17" s="333" t="s">
        <v>398</v>
      </c>
      <c r="E17" s="548"/>
      <c r="F17" s="549"/>
      <c r="G17" s="333" t="s">
        <v>414</v>
      </c>
      <c r="H17" s="548"/>
      <c r="I17" s="549"/>
      <c r="J17" s="247">
        <v>136.88999999999999</v>
      </c>
      <c r="K17" s="14">
        <v>3.6693774370186371E-3</v>
      </c>
      <c r="L17" s="4">
        <v>10.5</v>
      </c>
      <c r="M17" s="246">
        <v>1437.3449999999998</v>
      </c>
      <c r="N17" s="4"/>
      <c r="O17" s="535" t="s">
        <v>415</v>
      </c>
      <c r="P17" s="566"/>
    </row>
    <row r="18" spans="1:16" ht="15.75" customHeight="1">
      <c r="A18" s="569"/>
      <c r="B18" s="575"/>
      <c r="C18" s="107">
        <v>2</v>
      </c>
      <c r="D18" s="333" t="s">
        <v>267</v>
      </c>
      <c r="E18" s="548"/>
      <c r="F18" s="549"/>
      <c r="G18" s="333" t="s">
        <v>416</v>
      </c>
      <c r="H18" s="548"/>
      <c r="I18" s="549"/>
      <c r="J18" s="247">
        <v>273.68</v>
      </c>
      <c r="K18" s="14">
        <v>1.265376437065532E-2</v>
      </c>
      <c r="L18" s="4">
        <v>3.9</v>
      </c>
      <c r="M18" s="246">
        <v>1067.3520000000001</v>
      </c>
      <c r="N18" s="4"/>
      <c r="O18" s="535" t="s">
        <v>417</v>
      </c>
      <c r="P18" s="536"/>
    </row>
    <row r="19" spans="1:16" ht="15.75" customHeight="1">
      <c r="A19" s="569"/>
      <c r="B19" s="575"/>
      <c r="C19" s="107">
        <v>3</v>
      </c>
      <c r="D19" s="333" t="s">
        <v>280</v>
      </c>
      <c r="E19" s="548"/>
      <c r="F19" s="549"/>
      <c r="G19" s="333" t="s">
        <v>418</v>
      </c>
      <c r="H19" s="548"/>
      <c r="I19" s="549"/>
      <c r="J19" s="247">
        <v>330.54</v>
      </c>
      <c r="K19" s="14">
        <v>6.4523095150262107E-3</v>
      </c>
      <c r="L19" s="4">
        <v>1.7999999999999998</v>
      </c>
      <c r="M19" s="246">
        <v>594.97199999999998</v>
      </c>
      <c r="N19" s="4"/>
      <c r="O19" s="535" t="s">
        <v>417</v>
      </c>
      <c r="P19" s="566"/>
    </row>
    <row r="20" spans="1:16" ht="15.75" customHeight="1">
      <c r="A20" s="569"/>
      <c r="B20" s="575"/>
      <c r="C20" s="107">
        <v>4</v>
      </c>
      <c r="D20" s="333" t="s">
        <v>303</v>
      </c>
      <c r="E20" s="548"/>
      <c r="F20" s="549"/>
      <c r="G20" s="333" t="s">
        <v>419</v>
      </c>
      <c r="H20" s="548"/>
      <c r="I20" s="549"/>
      <c r="J20" s="247">
        <v>258.04000000000002</v>
      </c>
      <c r="K20" s="14">
        <v>1.235839061951856E-2</v>
      </c>
      <c r="L20" s="4">
        <v>1.8</v>
      </c>
      <c r="M20" s="246">
        <v>464.47200000000009</v>
      </c>
      <c r="N20" s="4"/>
      <c r="O20" s="535" t="s">
        <v>417</v>
      </c>
      <c r="P20" s="566"/>
    </row>
    <row r="21" spans="1:16" ht="15.75" customHeight="1" thickBot="1">
      <c r="A21" s="569"/>
      <c r="B21" s="575"/>
      <c r="C21" s="108">
        <v>5</v>
      </c>
      <c r="D21" s="333" t="s">
        <v>277</v>
      </c>
      <c r="E21" s="548"/>
      <c r="F21" s="549"/>
      <c r="G21" s="333" t="s">
        <v>420</v>
      </c>
      <c r="H21" s="548"/>
      <c r="I21" s="549"/>
      <c r="J21" s="247">
        <v>581.91999999999996</v>
      </c>
      <c r="K21" s="14">
        <v>1.2916664027381005E-2</v>
      </c>
      <c r="L21" s="4">
        <v>0.6</v>
      </c>
      <c r="M21" s="246">
        <v>349.15199999999999</v>
      </c>
      <c r="N21" s="4"/>
      <c r="O21" s="535" t="s">
        <v>415</v>
      </c>
      <c r="P21" s="536"/>
    </row>
    <row r="22" spans="1:16" ht="15.75" customHeight="1" thickTop="1" thickBot="1">
      <c r="A22" s="569"/>
      <c r="B22" s="575"/>
      <c r="C22" s="582"/>
      <c r="D22" s="582"/>
      <c r="E22" s="582"/>
      <c r="F22" s="582"/>
      <c r="G22" s="582"/>
      <c r="H22" s="582"/>
      <c r="I22" s="583"/>
      <c r="J22" s="114" t="s">
        <v>73</v>
      </c>
      <c r="K22" s="213">
        <v>7.3087603305785126E-3</v>
      </c>
      <c r="L22" s="114" t="s">
        <v>74</v>
      </c>
      <c r="M22" s="215">
        <v>3913.2930000000001</v>
      </c>
      <c r="N22" s="579"/>
      <c r="O22" s="580"/>
      <c r="P22" s="581"/>
    </row>
    <row r="23" spans="1:16" ht="15.75" customHeight="1" thickTop="1"/>
    <row r="24" spans="1:16" ht="15.75" customHeight="1">
      <c r="A24" s="568" t="s">
        <v>388</v>
      </c>
      <c r="B24" s="569"/>
      <c r="C24" s="112" t="s">
        <v>52</v>
      </c>
      <c r="D24" s="570" t="s">
        <v>53</v>
      </c>
      <c r="E24" s="571"/>
      <c r="F24" s="572"/>
      <c r="G24" s="110" t="s">
        <v>62</v>
      </c>
      <c r="H24" s="111"/>
      <c r="I24" s="112"/>
      <c r="J24" s="109" t="s">
        <v>63</v>
      </c>
      <c r="K24" s="109" t="s">
        <v>27</v>
      </c>
      <c r="L24" s="109" t="s">
        <v>64</v>
      </c>
      <c r="M24" s="113" t="s">
        <v>50</v>
      </c>
      <c r="N24" s="285" t="s">
        <v>392</v>
      </c>
      <c r="O24" s="573" t="s">
        <v>58</v>
      </c>
      <c r="P24" s="574"/>
    </row>
    <row r="25" spans="1:16" ht="15.75" customHeight="1">
      <c r="A25" s="569">
        <v>6</v>
      </c>
      <c r="B25" s="578" t="s">
        <v>421</v>
      </c>
      <c r="C25" s="107">
        <v>1</v>
      </c>
      <c r="D25" s="333" t="s">
        <v>304</v>
      </c>
      <c r="E25" s="548"/>
      <c r="F25" s="549"/>
      <c r="G25" s="333" t="s">
        <v>422</v>
      </c>
      <c r="H25" s="548"/>
      <c r="I25" s="549"/>
      <c r="J25" s="247">
        <v>13.45</v>
      </c>
      <c r="K25" s="14">
        <v>8.599190791625775E-3</v>
      </c>
      <c r="L25" s="4">
        <v>130</v>
      </c>
      <c r="M25" s="246">
        <v>1748.5</v>
      </c>
      <c r="N25" s="4"/>
      <c r="O25" s="535" t="s">
        <v>423</v>
      </c>
      <c r="P25" s="566"/>
    </row>
    <row r="26" spans="1:16" ht="15.75" customHeight="1">
      <c r="A26" s="569"/>
      <c r="B26" s="575"/>
      <c r="C26" s="107">
        <v>2</v>
      </c>
      <c r="D26" s="333" t="s">
        <v>317</v>
      </c>
      <c r="E26" s="548"/>
      <c r="F26" s="549"/>
      <c r="G26" s="333" t="s">
        <v>424</v>
      </c>
      <c r="H26" s="548"/>
      <c r="I26" s="549"/>
      <c r="J26" s="247">
        <v>758.19</v>
      </c>
      <c r="K26" s="14">
        <v>1.1139833238253944E-2</v>
      </c>
      <c r="L26" s="4">
        <v>0.8</v>
      </c>
      <c r="M26" s="246">
        <v>606.55200000000002</v>
      </c>
      <c r="N26" s="4"/>
      <c r="O26" s="535" t="s">
        <v>423</v>
      </c>
      <c r="P26" s="566"/>
    </row>
    <row r="27" spans="1:16" ht="15.75" customHeight="1">
      <c r="A27" s="569"/>
      <c r="B27" s="575"/>
      <c r="C27" s="107">
        <v>3</v>
      </c>
      <c r="D27" s="333" t="s">
        <v>398</v>
      </c>
      <c r="E27" s="548"/>
      <c r="F27" s="549"/>
      <c r="G27" s="333" t="s">
        <v>425</v>
      </c>
      <c r="H27" s="548"/>
      <c r="I27" s="549"/>
      <c r="J27" s="247">
        <v>2.2200000000000002</v>
      </c>
      <c r="K27" s="14">
        <v>5.6628117729970685E-3</v>
      </c>
      <c r="L27" s="4">
        <v>115</v>
      </c>
      <c r="M27" s="246">
        <v>255.3</v>
      </c>
      <c r="N27" s="4"/>
      <c r="O27" s="535" t="s">
        <v>423</v>
      </c>
      <c r="P27" s="566"/>
    </row>
    <row r="28" spans="1:16" ht="15.75" customHeight="1">
      <c r="A28" s="569"/>
      <c r="B28" s="575"/>
      <c r="C28" s="107">
        <v>4</v>
      </c>
      <c r="D28" s="333" t="s">
        <v>300</v>
      </c>
      <c r="E28" s="548"/>
      <c r="F28" s="549"/>
      <c r="G28" s="333" t="s">
        <v>426</v>
      </c>
      <c r="H28" s="548"/>
      <c r="I28" s="549"/>
      <c r="J28" s="247">
        <v>318.05</v>
      </c>
      <c r="K28" s="14">
        <v>1.2054001928640309E-2</v>
      </c>
      <c r="L28" s="4">
        <v>0.5</v>
      </c>
      <c r="M28" s="246">
        <v>159.02500000000001</v>
      </c>
      <c r="N28" s="4"/>
      <c r="O28" s="535" t="s">
        <v>423</v>
      </c>
      <c r="P28" s="566"/>
    </row>
    <row r="29" spans="1:16" ht="15.75" customHeight="1" thickBot="1">
      <c r="A29" s="569"/>
      <c r="B29" s="575"/>
      <c r="C29" s="108">
        <v>5</v>
      </c>
      <c r="D29" s="333" t="s">
        <v>266</v>
      </c>
      <c r="E29" s="548"/>
      <c r="F29" s="549"/>
      <c r="G29" s="333" t="s">
        <v>427</v>
      </c>
      <c r="H29" s="548"/>
      <c r="I29" s="549"/>
      <c r="J29" s="247">
        <v>525.73</v>
      </c>
      <c r="K29" s="14">
        <v>1.1190689346463742E-2</v>
      </c>
      <c r="L29" s="4">
        <v>0.3</v>
      </c>
      <c r="M29" s="246">
        <v>157.71899999999999</v>
      </c>
      <c r="N29" s="4"/>
      <c r="O29" s="567" t="s">
        <v>423</v>
      </c>
      <c r="P29" s="566"/>
    </row>
    <row r="30" spans="1:16" ht="15.75" customHeight="1" thickTop="1" thickBot="1">
      <c r="A30" s="569"/>
      <c r="B30" s="575"/>
      <c r="C30" s="582"/>
      <c r="D30" s="582"/>
      <c r="E30" s="582"/>
      <c r="F30" s="582"/>
      <c r="G30" s="582"/>
      <c r="H30" s="582"/>
      <c r="I30" s="583"/>
      <c r="J30" s="114" t="s">
        <v>73</v>
      </c>
      <c r="K30" s="213">
        <v>5.4668646402390633E-3</v>
      </c>
      <c r="L30" s="114" t="s">
        <v>74</v>
      </c>
      <c r="M30" s="215">
        <v>2927.0960000000005</v>
      </c>
      <c r="N30" s="579"/>
      <c r="O30" s="580"/>
      <c r="P30" s="581"/>
    </row>
    <row r="31" spans="1:16" ht="15.75" customHeight="1" thickTop="1"/>
    <row r="32" spans="1:16" ht="15.75" customHeight="1">
      <c r="A32" s="568" t="s">
        <v>388</v>
      </c>
      <c r="B32" s="569"/>
      <c r="C32" s="112" t="s">
        <v>52</v>
      </c>
      <c r="D32" s="570" t="s">
        <v>53</v>
      </c>
      <c r="E32" s="571"/>
      <c r="F32" s="572"/>
      <c r="G32" s="110" t="s">
        <v>62</v>
      </c>
      <c r="H32" s="111"/>
      <c r="I32" s="112"/>
      <c r="J32" s="109" t="s">
        <v>63</v>
      </c>
      <c r="K32" s="109" t="s">
        <v>27</v>
      </c>
      <c r="L32" s="109" t="s">
        <v>64</v>
      </c>
      <c r="M32" s="113" t="s">
        <v>50</v>
      </c>
      <c r="N32" s="113" t="s">
        <v>57</v>
      </c>
      <c r="O32" s="573" t="s">
        <v>58</v>
      </c>
      <c r="P32" s="574"/>
    </row>
    <row r="33" spans="1:16" ht="15.75" customHeight="1">
      <c r="A33" s="569">
        <v>7</v>
      </c>
      <c r="B33" s="578" t="s">
        <v>428</v>
      </c>
      <c r="C33" s="107">
        <v>1</v>
      </c>
      <c r="D33" s="333">
        <v>0</v>
      </c>
      <c r="E33" s="548"/>
      <c r="F33" s="549"/>
      <c r="G33" s="333">
        <v>0</v>
      </c>
      <c r="H33" s="548"/>
      <c r="I33" s="549"/>
      <c r="J33" s="4">
        <v>0</v>
      </c>
      <c r="K33" s="14">
        <v>0</v>
      </c>
      <c r="L33" s="4">
        <v>0</v>
      </c>
      <c r="M33" s="246">
        <v>0</v>
      </c>
      <c r="N33" s="4"/>
      <c r="O33" s="535"/>
      <c r="P33" s="566"/>
    </row>
    <row r="34" spans="1:16" ht="15.75" customHeight="1">
      <c r="A34" s="569"/>
      <c r="B34" s="575"/>
      <c r="C34" s="107">
        <v>2</v>
      </c>
      <c r="D34" s="333">
        <v>0</v>
      </c>
      <c r="E34" s="548"/>
      <c r="F34" s="549"/>
      <c r="G34" s="333">
        <v>0</v>
      </c>
      <c r="H34" s="548"/>
      <c r="I34" s="549"/>
      <c r="J34" s="4">
        <v>0</v>
      </c>
      <c r="K34" s="14">
        <v>0</v>
      </c>
      <c r="L34" s="4">
        <v>0</v>
      </c>
      <c r="M34" s="246">
        <v>0</v>
      </c>
      <c r="N34" s="4"/>
      <c r="O34" s="535"/>
      <c r="P34" s="566"/>
    </row>
    <row r="35" spans="1:16" ht="15.75" customHeight="1">
      <c r="A35" s="569"/>
      <c r="B35" s="575"/>
      <c r="C35" s="107">
        <v>3</v>
      </c>
      <c r="D35" s="333">
        <v>0</v>
      </c>
      <c r="E35" s="548"/>
      <c r="F35" s="549"/>
      <c r="G35" s="333">
        <v>0</v>
      </c>
      <c r="H35" s="548"/>
      <c r="I35" s="549"/>
      <c r="J35" s="4">
        <v>0</v>
      </c>
      <c r="K35" s="14">
        <v>0</v>
      </c>
      <c r="L35" s="4">
        <v>0</v>
      </c>
      <c r="M35" s="246">
        <v>0</v>
      </c>
      <c r="N35" s="4"/>
      <c r="O35" s="535"/>
      <c r="P35" s="566"/>
    </row>
    <row r="36" spans="1:16" ht="15.75" customHeight="1">
      <c r="A36" s="569"/>
      <c r="B36" s="575"/>
      <c r="C36" s="107">
        <v>4</v>
      </c>
      <c r="D36" s="333">
        <v>0</v>
      </c>
      <c r="E36" s="548"/>
      <c r="F36" s="549"/>
      <c r="G36" s="333">
        <v>0</v>
      </c>
      <c r="H36" s="548"/>
      <c r="I36" s="549"/>
      <c r="J36" s="4">
        <v>0</v>
      </c>
      <c r="K36" s="14">
        <v>0</v>
      </c>
      <c r="L36" s="4">
        <v>0</v>
      </c>
      <c r="M36" s="246">
        <v>0</v>
      </c>
      <c r="N36" s="4"/>
      <c r="O36" s="535"/>
      <c r="P36" s="566"/>
    </row>
    <row r="37" spans="1:16" ht="15.75" customHeight="1" thickBot="1">
      <c r="A37" s="569"/>
      <c r="B37" s="575"/>
      <c r="C37" s="108">
        <v>5</v>
      </c>
      <c r="D37" s="333">
        <v>0</v>
      </c>
      <c r="E37" s="548"/>
      <c r="F37" s="549"/>
      <c r="G37" s="333">
        <v>0</v>
      </c>
      <c r="H37" s="548"/>
      <c r="I37" s="549"/>
      <c r="J37" s="4">
        <v>0</v>
      </c>
      <c r="K37" s="14">
        <v>0</v>
      </c>
      <c r="L37" s="4">
        <v>0</v>
      </c>
      <c r="M37" s="246">
        <v>0</v>
      </c>
      <c r="N37" s="4"/>
      <c r="O37" s="535"/>
      <c r="P37" s="566"/>
    </row>
    <row r="38" spans="1:16" ht="15.75" customHeight="1" thickTop="1" thickBot="1">
      <c r="A38" s="569"/>
      <c r="B38" s="575"/>
      <c r="C38" s="582"/>
      <c r="D38" s="582"/>
      <c r="E38" s="582"/>
      <c r="F38" s="582"/>
      <c r="G38" s="582"/>
      <c r="H38" s="582"/>
      <c r="I38" s="583"/>
      <c r="J38" s="114" t="s">
        <v>73</v>
      </c>
      <c r="K38" s="213">
        <v>0</v>
      </c>
      <c r="L38" s="114" t="s">
        <v>74</v>
      </c>
      <c r="M38" s="215">
        <v>0</v>
      </c>
      <c r="N38" s="579"/>
      <c r="O38" s="580"/>
      <c r="P38" s="581"/>
    </row>
    <row r="39" spans="1:16" ht="15.75" customHeight="1" thickTop="1"/>
  </sheetData>
  <mergeCells count="107"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5" tint="0.39997558519241921"/>
    <outlinePr summaryBelow="0" summaryRight="0"/>
  </sheetPr>
  <dimension ref="A1:Q31"/>
  <sheetViews>
    <sheetView view="pageBreakPreview" zoomScale="115" zoomScaleNormal="60" zoomScaleSheetLayoutView="115" workbookViewId="0">
      <selection activeCell="S21" sqref="S21"/>
    </sheetView>
  </sheetViews>
  <sheetFormatPr defaultColWidth="12.5703125" defaultRowHeight="15.75" customHeight="1"/>
  <cols>
    <col min="1" max="1" width="5.42578125" style="166" customWidth="1"/>
    <col min="2" max="2" width="11.42578125" style="257" customWidth="1"/>
    <col min="3" max="3" width="4" style="258" customWidth="1"/>
    <col min="4" max="17" width="9.5703125" style="166" customWidth="1"/>
    <col min="18" max="16384" width="12.5703125" style="166"/>
  </cols>
  <sheetData>
    <row r="1" spans="1:17" ht="15.75" customHeight="1">
      <c r="A1" s="525" t="s">
        <v>323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</row>
    <row r="2" spans="1:17" s="167" customFormat="1" ht="15.75" customHeight="1">
      <c r="A2" s="525"/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</row>
    <row r="3" spans="1:17" ht="15.75" customHeight="1">
      <c r="A3" s="526" t="s">
        <v>429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6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ht="15.75" customHeight="1">
      <c r="A5" s="528" t="s">
        <v>388</v>
      </c>
      <c r="B5" s="585">
        <v>1</v>
      </c>
      <c r="C5" s="585"/>
      <c r="D5" s="585">
        <v>2</v>
      </c>
      <c r="E5" s="585"/>
      <c r="F5" s="585">
        <v>3</v>
      </c>
      <c r="G5" s="585"/>
      <c r="H5" s="531">
        <v>4</v>
      </c>
      <c r="I5" s="531"/>
      <c r="J5" s="531">
        <v>5</v>
      </c>
      <c r="K5" s="531"/>
      <c r="L5" s="531">
        <v>6</v>
      </c>
      <c r="M5" s="531"/>
      <c r="N5" s="531">
        <v>7</v>
      </c>
      <c r="O5" s="531"/>
      <c r="P5" s="531">
        <v>8</v>
      </c>
      <c r="Q5" s="531"/>
    </row>
    <row r="6" spans="1:17" ht="15.75" customHeight="1">
      <c r="A6" s="528"/>
      <c r="B6" s="586" t="s">
        <v>377</v>
      </c>
      <c r="C6" s="586"/>
      <c r="D6" s="586" t="s">
        <v>389</v>
      </c>
      <c r="E6" s="586"/>
      <c r="F6" s="586" t="s">
        <v>379</v>
      </c>
      <c r="G6" s="586"/>
      <c r="H6" s="584" t="s">
        <v>430</v>
      </c>
      <c r="I6" s="528"/>
      <c r="J6" s="528" t="s">
        <v>383</v>
      </c>
      <c r="K6" s="528"/>
      <c r="L6" s="528" t="s">
        <v>384</v>
      </c>
      <c r="M6" s="528"/>
      <c r="N6" s="528" t="s">
        <v>385</v>
      </c>
      <c r="O6" s="528"/>
      <c r="P6" s="584" t="s">
        <v>391</v>
      </c>
      <c r="Q6" s="528"/>
    </row>
    <row r="8" spans="1:17" s="256" customFormat="1" ht="15.75" customHeight="1">
      <c r="A8" s="552" t="s">
        <v>388</v>
      </c>
      <c r="B8" s="553"/>
      <c r="C8" s="313" t="s">
        <v>52</v>
      </c>
      <c r="D8" s="557" t="s">
        <v>53</v>
      </c>
      <c r="E8" s="558"/>
      <c r="F8" s="559"/>
      <c r="G8" s="311" t="s">
        <v>62</v>
      </c>
      <c r="H8" s="312"/>
      <c r="I8" s="313"/>
      <c r="J8" s="154" t="s">
        <v>63</v>
      </c>
      <c r="K8" s="285" t="s">
        <v>31</v>
      </c>
      <c r="L8" s="154" t="s">
        <v>64</v>
      </c>
      <c r="M8" s="154" t="s">
        <v>50</v>
      </c>
      <c r="N8" s="285" t="s">
        <v>392</v>
      </c>
      <c r="O8" s="550" t="s">
        <v>58</v>
      </c>
      <c r="P8" s="551"/>
    </row>
    <row r="9" spans="1:17" ht="15.75" customHeight="1">
      <c r="A9" s="507">
        <v>1</v>
      </c>
      <c r="B9" s="554" t="s">
        <v>393</v>
      </c>
      <c r="C9" s="155">
        <v>1</v>
      </c>
      <c r="D9" s="333">
        <v>0</v>
      </c>
      <c r="E9" s="548"/>
      <c r="F9" s="549"/>
      <c r="G9" s="333">
        <v>0</v>
      </c>
      <c r="H9" s="548"/>
      <c r="I9" s="549"/>
      <c r="J9" s="4">
        <v>0</v>
      </c>
      <c r="K9" s="14">
        <v>0</v>
      </c>
      <c r="L9" s="247">
        <v>0</v>
      </c>
      <c r="M9" s="16">
        <v>0</v>
      </c>
      <c r="N9" s="156"/>
      <c r="O9" s="535"/>
      <c r="P9" s="536"/>
    </row>
    <row r="10" spans="1:17" ht="15.75" customHeight="1">
      <c r="A10" s="508"/>
      <c r="B10" s="555"/>
      <c r="C10" s="155">
        <v>2</v>
      </c>
      <c r="D10" s="333">
        <v>0</v>
      </c>
      <c r="E10" s="548"/>
      <c r="F10" s="549"/>
      <c r="G10" s="333">
        <v>0</v>
      </c>
      <c r="H10" s="548"/>
      <c r="I10" s="549"/>
      <c r="J10" s="4">
        <v>0</v>
      </c>
      <c r="K10" s="14">
        <v>0</v>
      </c>
      <c r="L10" s="247">
        <v>0</v>
      </c>
      <c r="M10" s="16">
        <v>0</v>
      </c>
      <c r="N10" s="156"/>
      <c r="O10" s="535"/>
      <c r="P10" s="536"/>
    </row>
    <row r="11" spans="1:17" ht="15.75" customHeight="1">
      <c r="A11" s="508"/>
      <c r="B11" s="555"/>
      <c r="C11" s="155">
        <v>3</v>
      </c>
      <c r="D11" s="333">
        <v>0</v>
      </c>
      <c r="E11" s="548"/>
      <c r="F11" s="549"/>
      <c r="G11" s="333">
        <v>0</v>
      </c>
      <c r="H11" s="548"/>
      <c r="I11" s="549"/>
      <c r="J11" s="4">
        <v>0</v>
      </c>
      <c r="K11" s="14">
        <v>0</v>
      </c>
      <c r="L11" s="247">
        <v>0</v>
      </c>
      <c r="M11" s="16">
        <v>0</v>
      </c>
      <c r="N11" s="156"/>
      <c r="O11" s="535"/>
      <c r="P11" s="536"/>
    </row>
    <row r="12" spans="1:17" ht="15.75" customHeight="1">
      <c r="A12" s="508"/>
      <c r="B12" s="555"/>
      <c r="C12" s="155">
        <v>4</v>
      </c>
      <c r="D12" s="333">
        <v>0</v>
      </c>
      <c r="E12" s="548"/>
      <c r="F12" s="549"/>
      <c r="G12" s="333">
        <v>0</v>
      </c>
      <c r="H12" s="548"/>
      <c r="I12" s="549"/>
      <c r="J12" s="4">
        <v>0</v>
      </c>
      <c r="K12" s="14">
        <v>0</v>
      </c>
      <c r="L12" s="247">
        <v>0</v>
      </c>
      <c r="M12" s="16">
        <v>0</v>
      </c>
      <c r="N12" s="156"/>
      <c r="O12" s="535"/>
      <c r="P12" s="536"/>
    </row>
    <row r="13" spans="1:17" ht="15.75" customHeight="1" thickBot="1">
      <c r="A13" s="508"/>
      <c r="B13" s="555"/>
      <c r="C13" s="157">
        <v>5</v>
      </c>
      <c r="D13" s="545">
        <v>0</v>
      </c>
      <c r="E13" s="546"/>
      <c r="F13" s="547"/>
      <c r="G13" s="545">
        <v>0</v>
      </c>
      <c r="H13" s="546"/>
      <c r="I13" s="547"/>
      <c r="J13" s="4">
        <v>0</v>
      </c>
      <c r="K13" s="14">
        <v>0</v>
      </c>
      <c r="L13" s="247">
        <v>0</v>
      </c>
      <c r="M13" s="16">
        <v>0</v>
      </c>
      <c r="N13" s="158"/>
      <c r="O13" s="537"/>
      <c r="P13" s="538"/>
    </row>
    <row r="14" spans="1:17" ht="15.75" customHeight="1" thickTop="1" thickBot="1">
      <c r="A14" s="509"/>
      <c r="B14" s="556"/>
      <c r="C14" s="560"/>
      <c r="D14" s="561"/>
      <c r="E14" s="561"/>
      <c r="F14" s="561"/>
      <c r="G14" s="561"/>
      <c r="H14" s="561"/>
      <c r="I14" s="562"/>
      <c r="J14" s="284" t="s">
        <v>73</v>
      </c>
      <c r="K14" s="213">
        <v>0</v>
      </c>
      <c r="L14" s="284" t="s">
        <v>74</v>
      </c>
      <c r="M14" s="215">
        <v>0</v>
      </c>
      <c r="N14" s="542"/>
      <c r="O14" s="543"/>
      <c r="P14" s="544"/>
    </row>
    <row r="15" spans="1:17" ht="15.75" customHeight="1" thickTop="1">
      <c r="A15" s="115"/>
      <c r="B15" s="159"/>
      <c r="C15" s="145"/>
      <c r="D15" s="115"/>
      <c r="E15" s="115"/>
      <c r="F15" s="115"/>
      <c r="G15" s="115"/>
      <c r="H15" s="115"/>
      <c r="I15" s="115"/>
      <c r="J15" s="115"/>
      <c r="K15" s="115"/>
      <c r="L15" s="115"/>
      <c r="M15" s="115"/>
      <c r="N15" s="115"/>
      <c r="O15" s="115"/>
      <c r="P15" s="115"/>
    </row>
    <row r="16" spans="1:17" ht="15.75" customHeight="1">
      <c r="A16" s="552" t="s">
        <v>388</v>
      </c>
      <c r="B16" s="553"/>
      <c r="C16" s="313" t="s">
        <v>52</v>
      </c>
      <c r="D16" s="557" t="s">
        <v>53</v>
      </c>
      <c r="E16" s="558"/>
      <c r="F16" s="559"/>
      <c r="G16" s="311" t="s">
        <v>62</v>
      </c>
      <c r="H16" s="312"/>
      <c r="I16" s="313"/>
      <c r="J16" s="154" t="s">
        <v>63</v>
      </c>
      <c r="K16" s="285" t="s">
        <v>31</v>
      </c>
      <c r="L16" s="154" t="s">
        <v>64</v>
      </c>
      <c r="M16" s="154" t="s">
        <v>50</v>
      </c>
      <c r="N16" s="285" t="s">
        <v>392</v>
      </c>
      <c r="O16" s="550" t="s">
        <v>58</v>
      </c>
      <c r="P16" s="551"/>
    </row>
    <row r="17" spans="1:16" ht="15.75" customHeight="1">
      <c r="A17" s="507">
        <v>2</v>
      </c>
      <c r="B17" s="554" t="s">
        <v>394</v>
      </c>
      <c r="C17" s="155">
        <v>1</v>
      </c>
      <c r="D17" s="333" t="s">
        <v>269</v>
      </c>
      <c r="E17" s="548"/>
      <c r="F17" s="549"/>
      <c r="G17" s="333" t="s">
        <v>431</v>
      </c>
      <c r="H17" s="548"/>
      <c r="I17" s="549"/>
      <c r="J17" s="247">
        <v>846.44</v>
      </c>
      <c r="K17" s="14">
        <v>1.1691604346873122E-2</v>
      </c>
      <c r="L17" s="247">
        <v>1.1349999999999996</v>
      </c>
      <c r="M17" s="246">
        <v>960.70939999999973</v>
      </c>
      <c r="N17" s="156"/>
      <c r="O17" s="535" t="s">
        <v>396</v>
      </c>
      <c r="P17" s="536"/>
    </row>
    <row r="18" spans="1:16" ht="15.75" customHeight="1">
      <c r="A18" s="508"/>
      <c r="B18" s="555"/>
      <c r="C18" s="155">
        <v>2</v>
      </c>
      <c r="D18" s="333" t="s">
        <v>221</v>
      </c>
      <c r="E18" s="548"/>
      <c r="F18" s="549"/>
      <c r="G18" s="333" t="s">
        <v>432</v>
      </c>
      <c r="H18" s="548"/>
      <c r="I18" s="549"/>
      <c r="J18" s="247">
        <v>410.47</v>
      </c>
      <c r="K18" s="14">
        <v>2.4014409238125461E-2</v>
      </c>
      <c r="L18" s="247">
        <v>2.219999999999998</v>
      </c>
      <c r="M18" s="246">
        <v>911.24339999999916</v>
      </c>
      <c r="N18" s="156"/>
      <c r="O18" s="535" t="s">
        <v>396</v>
      </c>
      <c r="P18" s="536"/>
    </row>
    <row r="19" spans="1:16" ht="15.75" customHeight="1">
      <c r="A19" s="508"/>
      <c r="B19" s="555"/>
      <c r="C19" s="155">
        <v>3</v>
      </c>
      <c r="D19" s="333" t="s">
        <v>277</v>
      </c>
      <c r="E19" s="548"/>
      <c r="F19" s="549"/>
      <c r="G19" s="333" t="s">
        <v>433</v>
      </c>
      <c r="H19" s="548"/>
      <c r="I19" s="549"/>
      <c r="J19" s="247">
        <v>436.5</v>
      </c>
      <c r="K19" s="14">
        <v>0</v>
      </c>
      <c r="L19" s="247">
        <v>0.7430000000000001</v>
      </c>
      <c r="M19" s="246">
        <v>324.31950000000006</v>
      </c>
      <c r="N19" s="156"/>
      <c r="O19" s="535" t="s">
        <v>396</v>
      </c>
      <c r="P19" s="536"/>
    </row>
    <row r="20" spans="1:16" ht="15.75" customHeight="1">
      <c r="A20" s="508"/>
      <c r="B20" s="555"/>
      <c r="C20" s="155">
        <v>4</v>
      </c>
      <c r="D20" s="333" t="s">
        <v>271</v>
      </c>
      <c r="E20" s="548"/>
      <c r="F20" s="549"/>
      <c r="G20" s="333" t="s">
        <v>434</v>
      </c>
      <c r="H20" s="548"/>
      <c r="I20" s="549"/>
      <c r="J20" s="247">
        <v>348.6</v>
      </c>
      <c r="K20" s="14">
        <v>0</v>
      </c>
      <c r="L20" s="247">
        <v>0.78800000000000026</v>
      </c>
      <c r="M20" s="246">
        <v>274.69680000000011</v>
      </c>
      <c r="N20" s="156"/>
      <c r="O20" s="535" t="s">
        <v>396</v>
      </c>
      <c r="P20" s="536"/>
    </row>
    <row r="21" spans="1:16" ht="15.75" customHeight="1" thickBot="1">
      <c r="A21" s="508"/>
      <c r="B21" s="555"/>
      <c r="C21" s="157">
        <v>5</v>
      </c>
      <c r="D21" s="333" t="s">
        <v>276</v>
      </c>
      <c r="E21" s="548"/>
      <c r="F21" s="549"/>
      <c r="G21" s="333" t="s">
        <v>435</v>
      </c>
      <c r="H21" s="548"/>
      <c r="I21" s="549"/>
      <c r="J21" s="247">
        <v>340.43</v>
      </c>
      <c r="K21" s="14">
        <v>0</v>
      </c>
      <c r="L21" s="247">
        <v>0.7759999999999998</v>
      </c>
      <c r="M21" s="246">
        <v>264.17367999999993</v>
      </c>
      <c r="N21" s="158"/>
      <c r="O21" s="537" t="s">
        <v>396</v>
      </c>
      <c r="P21" s="538"/>
    </row>
    <row r="22" spans="1:16" ht="15.75" customHeight="1" thickTop="1" thickBot="1">
      <c r="A22" s="509"/>
      <c r="B22" s="556"/>
      <c r="C22" s="563"/>
      <c r="D22" s="564"/>
      <c r="E22" s="564"/>
      <c r="F22" s="564"/>
      <c r="G22" s="564"/>
      <c r="H22" s="564"/>
      <c r="I22" s="565"/>
      <c r="J22" s="284" t="s">
        <v>73</v>
      </c>
      <c r="K22" s="213">
        <v>5.1275218819309678E-3</v>
      </c>
      <c r="L22" s="284" t="s">
        <v>74</v>
      </c>
      <c r="M22" s="215">
        <v>2735.1427799999988</v>
      </c>
      <c r="N22" s="542"/>
      <c r="O22" s="543"/>
      <c r="P22" s="544"/>
    </row>
    <row r="23" spans="1:16" ht="15.75" customHeight="1" thickTop="1">
      <c r="A23" s="115"/>
      <c r="B23" s="159"/>
      <c r="C23" s="145"/>
      <c r="D23" s="115"/>
      <c r="E23" s="115"/>
      <c r="F23" s="115"/>
      <c r="G23" s="115"/>
      <c r="H23" s="115"/>
      <c r="I23" s="115"/>
      <c r="J23" s="115"/>
      <c r="K23" s="115"/>
      <c r="L23" s="115"/>
      <c r="M23" s="115"/>
      <c r="N23" s="115"/>
      <c r="O23" s="115"/>
      <c r="P23" s="115"/>
    </row>
    <row r="24" spans="1:16" ht="15.75" customHeight="1">
      <c r="A24" s="552" t="s">
        <v>388</v>
      </c>
      <c r="B24" s="553"/>
      <c r="C24" s="313" t="s">
        <v>52</v>
      </c>
      <c r="D24" s="557" t="s">
        <v>53</v>
      </c>
      <c r="E24" s="558"/>
      <c r="F24" s="559"/>
      <c r="G24" s="311" t="s">
        <v>62</v>
      </c>
      <c r="H24" s="312"/>
      <c r="I24" s="313"/>
      <c r="J24" s="154" t="s">
        <v>63</v>
      </c>
      <c r="K24" s="285" t="s">
        <v>31</v>
      </c>
      <c r="L24" s="154" t="s">
        <v>64</v>
      </c>
      <c r="M24" s="154" t="s">
        <v>50</v>
      </c>
      <c r="N24" s="285" t="s">
        <v>392</v>
      </c>
      <c r="O24" s="550" t="s">
        <v>58</v>
      </c>
      <c r="P24" s="551"/>
    </row>
    <row r="25" spans="1:16" ht="15.75" customHeight="1">
      <c r="A25" s="507">
        <v>3</v>
      </c>
      <c r="B25" s="554" t="s">
        <v>402</v>
      </c>
      <c r="C25" s="155">
        <v>1</v>
      </c>
      <c r="D25" s="333" t="s">
        <v>286</v>
      </c>
      <c r="E25" s="548"/>
      <c r="F25" s="549"/>
      <c r="G25" s="333" t="s">
        <v>436</v>
      </c>
      <c r="H25" s="548"/>
      <c r="I25" s="549"/>
      <c r="J25" s="247">
        <v>386.74</v>
      </c>
      <c r="K25" s="14">
        <v>6.4254963994935096E-3</v>
      </c>
      <c r="L25" s="247">
        <v>3.4800000000000053</v>
      </c>
      <c r="M25" s="246">
        <v>1345.855200000002</v>
      </c>
      <c r="N25" s="156"/>
      <c r="O25" s="535" t="s">
        <v>404</v>
      </c>
      <c r="P25" s="536"/>
    </row>
    <row r="26" spans="1:16" ht="15.75" customHeight="1">
      <c r="A26" s="508"/>
      <c r="B26" s="555"/>
      <c r="C26" s="155">
        <v>2</v>
      </c>
      <c r="D26" s="333" t="s">
        <v>269</v>
      </c>
      <c r="E26" s="548"/>
      <c r="F26" s="549"/>
      <c r="G26" s="333" t="s">
        <v>431</v>
      </c>
      <c r="H26" s="548"/>
      <c r="I26" s="549"/>
      <c r="J26" s="247">
        <v>846.44</v>
      </c>
      <c r="K26" s="14">
        <v>8.1089796848821602E-3</v>
      </c>
      <c r="L26" s="247">
        <v>1.5440000000000005</v>
      </c>
      <c r="M26" s="246">
        <v>1306.9033600000002</v>
      </c>
      <c r="N26" s="156"/>
      <c r="O26" s="535" t="s">
        <v>404</v>
      </c>
      <c r="P26" s="536"/>
    </row>
    <row r="27" spans="1:16" ht="15.75" customHeight="1">
      <c r="A27" s="508"/>
      <c r="B27" s="555"/>
      <c r="C27" s="155">
        <v>3</v>
      </c>
      <c r="D27" s="333" t="s">
        <v>275</v>
      </c>
      <c r="E27" s="548"/>
      <c r="F27" s="549"/>
      <c r="G27" s="333" t="s">
        <v>437</v>
      </c>
      <c r="H27" s="548"/>
      <c r="I27" s="549"/>
      <c r="J27" s="247">
        <v>451</v>
      </c>
      <c r="K27" s="14">
        <v>9.9597145633380027E-3</v>
      </c>
      <c r="L27" s="247">
        <v>1.9440000000000026</v>
      </c>
      <c r="M27" s="246">
        <v>876.74400000000117</v>
      </c>
      <c r="N27" s="156"/>
      <c r="O27" s="535" t="s">
        <v>404</v>
      </c>
      <c r="P27" s="536"/>
    </row>
    <row r="28" spans="1:16" ht="15.75" customHeight="1">
      <c r="A28" s="508"/>
      <c r="B28" s="555"/>
      <c r="C28" s="155">
        <v>4</v>
      </c>
      <c r="D28" s="333" t="s">
        <v>317</v>
      </c>
      <c r="E28" s="548"/>
      <c r="F28" s="549"/>
      <c r="G28" s="333" t="s">
        <v>403</v>
      </c>
      <c r="H28" s="548"/>
      <c r="I28" s="549"/>
      <c r="J28" s="247">
        <v>127.48</v>
      </c>
      <c r="K28" s="14">
        <v>7.6553548392891734E-3</v>
      </c>
      <c r="L28" s="247">
        <v>5.8370000000000282</v>
      </c>
      <c r="M28" s="246">
        <v>744.10076000000367</v>
      </c>
      <c r="N28" s="156"/>
      <c r="O28" s="535" t="s">
        <v>404</v>
      </c>
      <c r="P28" s="536"/>
    </row>
    <row r="29" spans="1:16" ht="15.75" customHeight="1" thickBot="1">
      <c r="A29" s="508"/>
      <c r="B29" s="555"/>
      <c r="C29" s="157">
        <v>5</v>
      </c>
      <c r="D29" s="545" t="s">
        <v>310</v>
      </c>
      <c r="E29" s="546"/>
      <c r="F29" s="547"/>
      <c r="G29" s="545" t="s">
        <v>438</v>
      </c>
      <c r="H29" s="546"/>
      <c r="I29" s="547"/>
      <c r="J29" s="247">
        <v>371.13</v>
      </c>
      <c r="K29" s="14">
        <v>2.2562284601021364E-3</v>
      </c>
      <c r="L29" s="247">
        <v>1.9440000000000026</v>
      </c>
      <c r="M29" s="246">
        <v>721.47672000000102</v>
      </c>
      <c r="N29" s="158"/>
      <c r="O29" s="537" t="s">
        <v>404</v>
      </c>
      <c r="P29" s="538"/>
    </row>
    <row r="30" spans="1:16" ht="15.75" customHeight="1" thickTop="1" thickBot="1">
      <c r="A30" s="509"/>
      <c r="B30" s="556"/>
      <c r="C30" s="560"/>
      <c r="D30" s="561"/>
      <c r="E30" s="561"/>
      <c r="F30" s="561"/>
      <c r="G30" s="561"/>
      <c r="H30" s="561"/>
      <c r="I30" s="562"/>
      <c r="J30" s="284" t="s">
        <v>73</v>
      </c>
      <c r="K30" s="213">
        <v>9.3641847125423804E-3</v>
      </c>
      <c r="L30" s="284" t="s">
        <v>74</v>
      </c>
      <c r="M30" s="215">
        <v>4995.080040000008</v>
      </c>
      <c r="N30" s="542"/>
      <c r="O30" s="543"/>
      <c r="P30" s="544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G20:I20"/>
    <mergeCell ref="O20:P20"/>
    <mergeCell ref="D21:F21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D29:F29"/>
    <mergeCell ref="G29:I29"/>
    <mergeCell ref="O29:P29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C22:I22"/>
    <mergeCell ref="N22:P22"/>
    <mergeCell ref="D28:F28"/>
    <mergeCell ref="G28:I28"/>
    <mergeCell ref="O28:P28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5" tint="0.39997558519241921"/>
    <outlinePr summaryBelow="0" summaryRight="0"/>
  </sheetPr>
  <dimension ref="A1:Q39"/>
  <sheetViews>
    <sheetView tabSelected="1" view="pageBreakPreview" topLeftCell="A24" zoomScaleNormal="60" zoomScaleSheetLayoutView="100" workbookViewId="0">
      <selection activeCell="T15" sqref="T15"/>
    </sheetView>
  </sheetViews>
  <sheetFormatPr defaultColWidth="12.5703125" defaultRowHeight="15.75" customHeight="1"/>
  <cols>
    <col min="1" max="1" width="5.42578125" style="260" customWidth="1"/>
    <col min="2" max="2" width="11.42578125" style="261" customWidth="1"/>
    <col min="3" max="3" width="4" style="262" customWidth="1"/>
    <col min="4" max="17" width="9.5703125" style="260" customWidth="1"/>
    <col min="18" max="16384" width="12.5703125" style="260"/>
  </cols>
  <sheetData>
    <row r="1" spans="1:17" s="166" customFormat="1" ht="15.75" customHeight="1">
      <c r="A1" s="525" t="s">
        <v>323</v>
      </c>
      <c r="B1" s="525"/>
      <c r="C1" s="525"/>
      <c r="D1" s="525"/>
      <c r="E1" s="525"/>
      <c r="F1" s="525"/>
      <c r="G1" s="525"/>
      <c r="H1" s="525"/>
      <c r="I1" s="525"/>
      <c r="J1" s="525"/>
      <c r="K1" s="525"/>
      <c r="L1" s="525"/>
      <c r="M1" s="525"/>
      <c r="N1" s="525"/>
      <c r="O1" s="525"/>
      <c r="P1" s="525"/>
      <c r="Q1" s="525"/>
    </row>
    <row r="2" spans="1:17" s="167" customFormat="1" ht="15.75" customHeight="1">
      <c r="A2" s="525"/>
      <c r="B2" s="525"/>
      <c r="C2" s="525"/>
      <c r="D2" s="525"/>
      <c r="E2" s="525"/>
      <c r="F2" s="525"/>
      <c r="G2" s="525"/>
      <c r="H2" s="525"/>
      <c r="I2" s="525"/>
      <c r="J2" s="525"/>
      <c r="K2" s="525"/>
      <c r="L2" s="525"/>
      <c r="M2" s="525"/>
      <c r="N2" s="525"/>
      <c r="O2" s="525"/>
      <c r="P2" s="525"/>
      <c r="Q2" s="525"/>
    </row>
    <row r="3" spans="1:17" s="166" customFormat="1" ht="15.75" customHeight="1">
      <c r="A3" s="526" t="s">
        <v>429</v>
      </c>
      <c r="B3" s="526"/>
      <c r="C3" s="526"/>
      <c r="D3" s="526"/>
      <c r="E3" s="526"/>
      <c r="F3" s="526"/>
      <c r="G3" s="526"/>
      <c r="H3" s="526"/>
      <c r="I3" s="526"/>
      <c r="J3" s="526"/>
      <c r="K3" s="526"/>
      <c r="L3" s="526"/>
      <c r="M3" s="526"/>
    </row>
    <row r="4" spans="1:17" s="167" customFormat="1" ht="15.75" customHeight="1">
      <c r="A4" s="526"/>
      <c r="B4" s="526"/>
      <c r="C4" s="526"/>
      <c r="D4" s="526"/>
      <c r="E4" s="526"/>
      <c r="F4" s="526"/>
      <c r="G4" s="526"/>
      <c r="H4" s="526"/>
      <c r="I4" s="526"/>
      <c r="J4" s="526"/>
      <c r="K4" s="526"/>
      <c r="L4" s="526"/>
      <c r="M4" s="526"/>
    </row>
    <row r="5" spans="1:17" s="166" customFormat="1" ht="15.75" customHeight="1">
      <c r="A5" s="528" t="s">
        <v>388</v>
      </c>
      <c r="B5" s="531">
        <v>1</v>
      </c>
      <c r="C5" s="531"/>
      <c r="D5" s="531">
        <v>2</v>
      </c>
      <c r="E5" s="531"/>
      <c r="F5" s="531">
        <v>3</v>
      </c>
      <c r="G5" s="531"/>
      <c r="H5" s="585">
        <v>4</v>
      </c>
      <c r="I5" s="585"/>
      <c r="J5" s="585">
        <v>5</v>
      </c>
      <c r="K5" s="585"/>
      <c r="L5" s="585">
        <v>6</v>
      </c>
      <c r="M5" s="585"/>
      <c r="N5" s="585">
        <v>7</v>
      </c>
      <c r="O5" s="585"/>
      <c r="P5" s="531">
        <v>8</v>
      </c>
      <c r="Q5" s="531"/>
    </row>
    <row r="6" spans="1:17" s="166" customFormat="1" ht="15.75" customHeight="1">
      <c r="A6" s="528"/>
      <c r="B6" s="528" t="s">
        <v>377</v>
      </c>
      <c r="C6" s="528"/>
      <c r="D6" s="528" t="s">
        <v>389</v>
      </c>
      <c r="E6" s="528"/>
      <c r="F6" s="528" t="s">
        <v>379</v>
      </c>
      <c r="G6" s="528"/>
      <c r="H6" s="587" t="s">
        <v>430</v>
      </c>
      <c r="I6" s="586"/>
      <c r="J6" s="586" t="s">
        <v>383</v>
      </c>
      <c r="K6" s="586"/>
      <c r="L6" s="586" t="s">
        <v>384</v>
      </c>
      <c r="M6" s="586"/>
      <c r="N6" s="586" t="s">
        <v>385</v>
      </c>
      <c r="O6" s="586"/>
      <c r="P6" s="584" t="s">
        <v>391</v>
      </c>
      <c r="Q6" s="528"/>
    </row>
    <row r="7" spans="1:17" s="166" customFormat="1" ht="15.75" customHeight="1">
      <c r="B7" s="257"/>
      <c r="C7" s="258"/>
    </row>
    <row r="8" spans="1:17" s="259" customFormat="1" ht="15.75" customHeight="1">
      <c r="A8" s="568" t="s">
        <v>388</v>
      </c>
      <c r="B8" s="569"/>
      <c r="C8" s="112" t="s">
        <v>52</v>
      </c>
      <c r="D8" s="570" t="s">
        <v>53</v>
      </c>
      <c r="E8" s="571"/>
      <c r="F8" s="572"/>
      <c r="G8" s="110" t="s">
        <v>62</v>
      </c>
      <c r="H8" s="111"/>
      <c r="I8" s="112"/>
      <c r="J8" s="109" t="s">
        <v>63</v>
      </c>
      <c r="K8" s="109" t="s">
        <v>31</v>
      </c>
      <c r="L8" s="109" t="s">
        <v>64</v>
      </c>
      <c r="M8" s="113" t="s">
        <v>50</v>
      </c>
      <c r="N8" s="285" t="s">
        <v>392</v>
      </c>
      <c r="O8" s="573" t="s">
        <v>58</v>
      </c>
      <c r="P8" s="574"/>
    </row>
    <row r="9" spans="1:17" ht="15.75" customHeight="1">
      <c r="A9" s="569">
        <v>4</v>
      </c>
      <c r="B9" s="575" t="s">
        <v>390</v>
      </c>
      <c r="C9" s="107">
        <v>1</v>
      </c>
      <c r="D9" s="333" t="s">
        <v>286</v>
      </c>
      <c r="E9" s="548"/>
      <c r="F9" s="549"/>
      <c r="G9" s="333" t="s">
        <v>436</v>
      </c>
      <c r="H9" s="548"/>
      <c r="I9" s="549"/>
      <c r="J9" s="247">
        <v>386.74</v>
      </c>
      <c r="K9" s="14">
        <v>5.426626966824344E-3</v>
      </c>
      <c r="L9" s="247">
        <v>5.0199999999999791</v>
      </c>
      <c r="M9" s="246">
        <v>1941.434799999992</v>
      </c>
      <c r="N9" s="4"/>
      <c r="O9" s="535" t="s">
        <v>410</v>
      </c>
      <c r="P9" s="566"/>
    </row>
    <row r="10" spans="1:17" ht="15.75" customHeight="1">
      <c r="A10" s="569"/>
      <c r="B10" s="575"/>
      <c r="C10" s="107">
        <v>2</v>
      </c>
      <c r="D10" s="333" t="s">
        <v>310</v>
      </c>
      <c r="E10" s="548"/>
      <c r="F10" s="549"/>
      <c r="G10" s="333" t="s">
        <v>438</v>
      </c>
      <c r="H10" s="548"/>
      <c r="I10" s="549"/>
      <c r="J10" s="247">
        <v>371.13</v>
      </c>
      <c r="K10" s="14">
        <v>4.1670360965910544E-3</v>
      </c>
      <c r="L10" s="247">
        <v>4.6180000000000012</v>
      </c>
      <c r="M10" s="246">
        <v>1713.8783400000002</v>
      </c>
      <c r="N10" s="4"/>
      <c r="O10" s="535" t="s">
        <v>410</v>
      </c>
      <c r="P10" s="566"/>
    </row>
    <row r="11" spans="1:17" ht="15.75" customHeight="1">
      <c r="A11" s="569"/>
      <c r="B11" s="575"/>
      <c r="C11" s="107">
        <v>3</v>
      </c>
      <c r="D11" s="333" t="s">
        <v>228</v>
      </c>
      <c r="E11" s="548"/>
      <c r="F11" s="549"/>
      <c r="G11" s="333" t="s">
        <v>439</v>
      </c>
      <c r="H11" s="548"/>
      <c r="I11" s="549"/>
      <c r="J11" s="247">
        <v>1682.05</v>
      </c>
      <c r="K11" s="14">
        <v>0</v>
      </c>
      <c r="L11" s="247">
        <v>0.75999999999999801</v>
      </c>
      <c r="M11" s="246">
        <v>1278.3579999999965</v>
      </c>
      <c r="N11" s="4"/>
      <c r="O11" s="535" t="s">
        <v>410</v>
      </c>
      <c r="P11" s="566"/>
    </row>
    <row r="12" spans="1:17" ht="15.75" customHeight="1">
      <c r="A12" s="569"/>
      <c r="B12" s="575"/>
      <c r="C12" s="107">
        <v>4</v>
      </c>
      <c r="D12" s="333" t="s">
        <v>277</v>
      </c>
      <c r="E12" s="548"/>
      <c r="F12" s="549"/>
      <c r="G12" s="333" t="s">
        <v>420</v>
      </c>
      <c r="H12" s="548"/>
      <c r="I12" s="549"/>
      <c r="J12" s="247">
        <v>581.91999999999996</v>
      </c>
      <c r="K12" s="14">
        <v>7.7218101176578513E-3</v>
      </c>
      <c r="L12" s="247">
        <v>1.4729999999999983</v>
      </c>
      <c r="M12" s="246">
        <v>857.16815999999892</v>
      </c>
      <c r="N12" s="4"/>
      <c r="O12" s="535" t="s">
        <v>410</v>
      </c>
      <c r="P12" s="566"/>
    </row>
    <row r="13" spans="1:17" ht="15.75" customHeight="1" thickBot="1">
      <c r="A13" s="569"/>
      <c r="B13" s="575"/>
      <c r="C13" s="108">
        <v>5</v>
      </c>
      <c r="D13" s="333" t="s">
        <v>230</v>
      </c>
      <c r="E13" s="548"/>
      <c r="F13" s="549"/>
      <c r="G13" s="333" t="s">
        <v>440</v>
      </c>
      <c r="H13" s="548"/>
      <c r="I13" s="549"/>
      <c r="J13" s="247">
        <v>1223.46</v>
      </c>
      <c r="K13" s="14">
        <v>2.110060769750169E-3</v>
      </c>
      <c r="L13" s="247">
        <v>0.47200000000000275</v>
      </c>
      <c r="M13" s="246">
        <v>577.47312000000329</v>
      </c>
      <c r="N13" s="4"/>
      <c r="O13" s="535" t="s">
        <v>410</v>
      </c>
      <c r="P13" s="566"/>
    </row>
    <row r="14" spans="1:17" ht="15.75" customHeight="1" thickTop="1" thickBot="1">
      <c r="A14" s="569"/>
      <c r="B14" s="575"/>
      <c r="C14" s="577"/>
      <c r="D14" s="577"/>
      <c r="E14" s="577"/>
      <c r="F14" s="577"/>
      <c r="G14" s="577"/>
      <c r="H14" s="577"/>
      <c r="I14" s="577"/>
      <c r="J14" s="214" t="s">
        <v>73</v>
      </c>
      <c r="K14" s="213">
        <v>1.1938558207379114E-2</v>
      </c>
      <c r="L14" s="214" t="s">
        <v>74</v>
      </c>
      <c r="M14" s="215">
        <v>6368.3124199999911</v>
      </c>
      <c r="N14" s="576"/>
      <c r="O14" s="576"/>
      <c r="P14" s="576"/>
    </row>
    <row r="15" spans="1:17" ht="15.75" customHeight="1" thickTop="1">
      <c r="A15" s="2"/>
      <c r="B15" s="106"/>
      <c r="C15" s="10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</row>
    <row r="16" spans="1:17" ht="15.75" customHeight="1">
      <c r="A16" s="568" t="s">
        <v>388</v>
      </c>
      <c r="B16" s="569"/>
      <c r="C16" s="112" t="s">
        <v>52</v>
      </c>
      <c r="D16" s="570" t="s">
        <v>53</v>
      </c>
      <c r="E16" s="571"/>
      <c r="F16" s="572"/>
      <c r="G16" s="110" t="s">
        <v>62</v>
      </c>
      <c r="H16" s="111"/>
      <c r="I16" s="112"/>
      <c r="J16" s="109" t="s">
        <v>63</v>
      </c>
      <c r="K16" s="109" t="s">
        <v>31</v>
      </c>
      <c r="L16" s="109" t="s">
        <v>64</v>
      </c>
      <c r="M16" s="113" t="s">
        <v>50</v>
      </c>
      <c r="N16" s="285" t="s">
        <v>392</v>
      </c>
      <c r="O16" s="573" t="s">
        <v>58</v>
      </c>
      <c r="P16" s="574"/>
    </row>
    <row r="17" spans="1:16" ht="15.75" customHeight="1">
      <c r="A17" s="569">
        <v>5</v>
      </c>
      <c r="B17" s="578" t="s">
        <v>413</v>
      </c>
      <c r="C17" s="107">
        <v>1</v>
      </c>
      <c r="D17" s="333" t="s">
        <v>305</v>
      </c>
      <c r="E17" s="548"/>
      <c r="F17" s="549"/>
      <c r="G17" s="333" t="s">
        <v>441</v>
      </c>
      <c r="H17" s="548"/>
      <c r="I17" s="549"/>
      <c r="J17" s="247">
        <v>290.60000000000002</v>
      </c>
      <c r="K17" s="14">
        <v>2.3176433734453977E-3</v>
      </c>
      <c r="L17" s="247">
        <v>190.74199999999996</v>
      </c>
      <c r="M17" s="246">
        <v>55429.625199999973</v>
      </c>
      <c r="N17" s="4"/>
      <c r="O17" s="535" t="s">
        <v>442</v>
      </c>
      <c r="P17" s="566"/>
    </row>
    <row r="18" spans="1:16" ht="15.75" customHeight="1">
      <c r="A18" s="569"/>
      <c r="B18" s="575"/>
      <c r="C18" s="107">
        <v>2</v>
      </c>
      <c r="D18" s="333" t="s">
        <v>230</v>
      </c>
      <c r="E18" s="548"/>
      <c r="F18" s="549"/>
      <c r="G18" s="333" t="s">
        <v>440</v>
      </c>
      <c r="H18" s="548"/>
      <c r="I18" s="549"/>
      <c r="J18" s="247">
        <v>1223.46</v>
      </c>
      <c r="K18" s="14">
        <v>2.2660164940350933E-3</v>
      </c>
      <c r="L18" s="247">
        <v>4.4519999999999929</v>
      </c>
      <c r="M18" s="246">
        <v>5446.8439199999921</v>
      </c>
      <c r="N18" s="4"/>
      <c r="O18" s="535" t="s">
        <v>415</v>
      </c>
      <c r="P18" s="566"/>
    </row>
    <row r="19" spans="1:16" ht="15.75" customHeight="1">
      <c r="A19" s="569"/>
      <c r="B19" s="575"/>
      <c r="C19" s="107">
        <v>3</v>
      </c>
      <c r="D19" s="333" t="s">
        <v>293</v>
      </c>
      <c r="E19" s="548"/>
      <c r="F19" s="549"/>
      <c r="G19" s="333" t="s">
        <v>443</v>
      </c>
      <c r="H19" s="548"/>
      <c r="I19" s="549"/>
      <c r="J19" s="247">
        <v>420.33</v>
      </c>
      <c r="K19" s="14">
        <v>1.643980925950504E-3</v>
      </c>
      <c r="L19" s="247">
        <v>11.950000000000049</v>
      </c>
      <c r="M19" s="246">
        <v>5022.9435000000194</v>
      </c>
      <c r="N19" s="4"/>
      <c r="O19" s="535" t="s">
        <v>442</v>
      </c>
      <c r="P19" s="566"/>
    </row>
    <row r="20" spans="1:16" ht="15.75" customHeight="1">
      <c r="A20" s="569"/>
      <c r="B20" s="575"/>
      <c r="C20" s="107">
        <v>4</v>
      </c>
      <c r="D20" s="333" t="s">
        <v>206</v>
      </c>
      <c r="E20" s="548"/>
      <c r="F20" s="549"/>
      <c r="G20" s="333" t="s">
        <v>444</v>
      </c>
      <c r="H20" s="548"/>
      <c r="I20" s="549"/>
      <c r="J20" s="247">
        <v>1800</v>
      </c>
      <c r="K20" s="14">
        <v>0</v>
      </c>
      <c r="L20" s="247">
        <v>2.0080000000000018</v>
      </c>
      <c r="M20" s="246">
        <v>3610.4000000000028</v>
      </c>
      <c r="N20" s="4"/>
      <c r="O20" s="535" t="s">
        <v>445</v>
      </c>
      <c r="P20" s="566"/>
    </row>
    <row r="21" spans="1:16" ht="15.75" customHeight="1" thickBot="1">
      <c r="A21" s="569"/>
      <c r="B21" s="575"/>
      <c r="C21" s="108">
        <v>5</v>
      </c>
      <c r="D21" s="333" t="s">
        <v>229</v>
      </c>
      <c r="E21" s="548"/>
      <c r="F21" s="549"/>
      <c r="G21" s="333" t="s">
        <v>446</v>
      </c>
      <c r="H21" s="548"/>
      <c r="I21" s="549"/>
      <c r="J21" s="247">
        <v>919.94</v>
      </c>
      <c r="K21" s="14">
        <v>2.8049480632332188E-3</v>
      </c>
      <c r="L21" s="247">
        <v>3.9080000000000004</v>
      </c>
      <c r="M21" s="246">
        <v>3595.1255200000005</v>
      </c>
      <c r="N21" s="4"/>
      <c r="O21" s="535" t="s">
        <v>415</v>
      </c>
      <c r="P21" s="566"/>
    </row>
    <row r="22" spans="1:16" ht="15.75" customHeight="1" thickTop="1" thickBot="1">
      <c r="A22" s="569"/>
      <c r="B22" s="575"/>
      <c r="C22" s="582"/>
      <c r="D22" s="582"/>
      <c r="E22" s="582"/>
      <c r="F22" s="582"/>
      <c r="G22" s="582"/>
      <c r="H22" s="582"/>
      <c r="I22" s="583"/>
      <c r="J22" s="114" t="s">
        <v>73</v>
      </c>
      <c r="K22" s="213">
        <v>0.13704848343970547</v>
      </c>
      <c r="L22" s="114" t="s">
        <v>74</v>
      </c>
      <c r="M22" s="215">
        <v>73104.938139999998</v>
      </c>
      <c r="N22" s="579"/>
      <c r="O22" s="580"/>
      <c r="P22" s="581"/>
    </row>
    <row r="23" spans="1:16" ht="15.75" customHeight="1" thickTop="1">
      <c r="A23" s="2"/>
      <c r="B23" s="106"/>
      <c r="C23" s="104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spans="1:16" ht="15.75" customHeight="1">
      <c r="A24" s="568" t="s">
        <v>388</v>
      </c>
      <c r="B24" s="569"/>
      <c r="C24" s="112" t="s">
        <v>52</v>
      </c>
      <c r="D24" s="570" t="s">
        <v>53</v>
      </c>
      <c r="E24" s="571"/>
      <c r="F24" s="572"/>
      <c r="G24" s="110" t="s">
        <v>62</v>
      </c>
      <c r="H24" s="111"/>
      <c r="I24" s="112"/>
      <c r="J24" s="109" t="s">
        <v>63</v>
      </c>
      <c r="K24" s="109" t="s">
        <v>31</v>
      </c>
      <c r="L24" s="109" t="s">
        <v>64</v>
      </c>
      <c r="M24" s="113" t="s">
        <v>50</v>
      </c>
      <c r="N24" s="285" t="s">
        <v>392</v>
      </c>
      <c r="O24" s="573" t="s">
        <v>58</v>
      </c>
      <c r="P24" s="574"/>
    </row>
    <row r="25" spans="1:16" ht="15.75" customHeight="1">
      <c r="A25" s="569">
        <v>6</v>
      </c>
      <c r="B25" s="578" t="s">
        <v>421</v>
      </c>
      <c r="C25" s="107">
        <v>1</v>
      </c>
      <c r="D25" s="333" t="s">
        <v>398</v>
      </c>
      <c r="E25" s="548"/>
      <c r="F25" s="549"/>
      <c r="G25" s="333" t="s">
        <v>447</v>
      </c>
      <c r="H25" s="548"/>
      <c r="I25" s="549"/>
      <c r="J25" s="247">
        <v>510.06</v>
      </c>
      <c r="K25" s="14">
        <v>1.2977366047077273E-3</v>
      </c>
      <c r="L25" s="247">
        <v>15.013999999999964</v>
      </c>
      <c r="M25" s="246">
        <v>7658.0408399999797</v>
      </c>
      <c r="N25" s="4"/>
      <c r="O25" s="535" t="s">
        <v>448</v>
      </c>
      <c r="P25" s="566"/>
    </row>
    <row r="26" spans="1:16" ht="15.75" customHeight="1">
      <c r="A26" s="569"/>
      <c r="B26" s="575"/>
      <c r="C26" s="107">
        <v>2</v>
      </c>
      <c r="D26" s="333" t="s">
        <v>266</v>
      </c>
      <c r="E26" s="548"/>
      <c r="F26" s="549"/>
      <c r="G26" s="333" t="s">
        <v>427</v>
      </c>
      <c r="H26" s="548"/>
      <c r="I26" s="549"/>
      <c r="J26" s="247">
        <v>525.73</v>
      </c>
      <c r="K26" s="14">
        <v>6.4645914663663115E-3</v>
      </c>
      <c r="L26" s="247">
        <v>8.1839999999999975</v>
      </c>
      <c r="M26" s="246">
        <v>4302.5743199999988</v>
      </c>
      <c r="N26" s="4"/>
      <c r="O26" s="535" t="s">
        <v>448</v>
      </c>
      <c r="P26" s="566"/>
    </row>
    <row r="27" spans="1:16" ht="15.75" customHeight="1">
      <c r="A27" s="569"/>
      <c r="B27" s="575"/>
      <c r="C27" s="107">
        <v>3</v>
      </c>
      <c r="D27" s="333" t="s">
        <v>398</v>
      </c>
      <c r="E27" s="548"/>
      <c r="F27" s="549"/>
      <c r="G27" s="333" t="s">
        <v>449</v>
      </c>
      <c r="H27" s="548"/>
      <c r="I27" s="549"/>
      <c r="J27" s="247">
        <v>473.79</v>
      </c>
      <c r="K27" s="14">
        <v>2.576738717975772E-3</v>
      </c>
      <c r="L27" s="247">
        <v>8.0220000000000216</v>
      </c>
      <c r="M27" s="246">
        <v>3800.7433800000113</v>
      </c>
      <c r="N27" s="4"/>
      <c r="O27" s="535" t="s">
        <v>448</v>
      </c>
      <c r="P27" s="566"/>
    </row>
    <row r="28" spans="1:16" ht="15.75" customHeight="1">
      <c r="A28" s="569"/>
      <c r="B28" s="575"/>
      <c r="C28" s="107">
        <v>4</v>
      </c>
      <c r="D28" s="333" t="s">
        <v>450</v>
      </c>
      <c r="E28" s="548"/>
      <c r="F28" s="549"/>
      <c r="G28" s="333" t="s">
        <v>451</v>
      </c>
      <c r="H28" s="548"/>
      <c r="I28" s="549"/>
      <c r="J28" s="247">
        <v>444.88</v>
      </c>
      <c r="K28" s="14">
        <v>6.8025501407385953E-3</v>
      </c>
      <c r="L28" s="247">
        <v>6.1720000000000015</v>
      </c>
      <c r="M28" s="246">
        <v>2745.7993600000004</v>
      </c>
      <c r="N28" s="4"/>
      <c r="O28" s="535" t="s">
        <v>448</v>
      </c>
      <c r="P28" s="566"/>
    </row>
    <row r="29" spans="1:16" ht="15.75" customHeight="1" thickBot="1">
      <c r="A29" s="569"/>
      <c r="B29" s="575"/>
      <c r="C29" s="108">
        <v>5</v>
      </c>
      <c r="D29" s="333" t="s">
        <v>270</v>
      </c>
      <c r="E29" s="548"/>
      <c r="F29" s="549"/>
      <c r="G29" s="333" t="s">
        <v>452</v>
      </c>
      <c r="H29" s="548"/>
      <c r="I29" s="549"/>
      <c r="J29" s="247">
        <v>930.36</v>
      </c>
      <c r="K29" s="14">
        <v>3.2535655132019756E-3</v>
      </c>
      <c r="L29" s="247">
        <v>2.795999999999998</v>
      </c>
      <c r="M29" s="246">
        <v>2601.2865599999986</v>
      </c>
      <c r="N29" s="4"/>
      <c r="O29" s="535" t="s">
        <v>453</v>
      </c>
      <c r="P29" s="566"/>
    </row>
    <row r="30" spans="1:16" ht="15.75" customHeight="1" thickTop="1" thickBot="1">
      <c r="A30" s="569"/>
      <c r="B30" s="575"/>
      <c r="C30" s="582"/>
      <c r="D30" s="582"/>
      <c r="E30" s="582"/>
      <c r="F30" s="582"/>
      <c r="G30" s="582"/>
      <c r="H30" s="582"/>
      <c r="I30" s="583"/>
      <c r="J30" s="114" t="s">
        <v>73</v>
      </c>
      <c r="K30" s="213">
        <v>3.9571612733933587E-2</v>
      </c>
      <c r="L30" s="114" t="s">
        <v>74</v>
      </c>
      <c r="M30" s="215">
        <v>21108.444459999992</v>
      </c>
      <c r="N30" s="579"/>
      <c r="O30" s="580"/>
      <c r="P30" s="581"/>
    </row>
    <row r="31" spans="1:16" ht="15.75" customHeight="1" thickTop="1">
      <c r="A31" s="2"/>
      <c r="B31" s="106"/>
      <c r="C31" s="104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ht="15.75" customHeight="1">
      <c r="A32" s="568" t="s">
        <v>388</v>
      </c>
      <c r="B32" s="569"/>
      <c r="C32" s="112" t="s">
        <v>52</v>
      </c>
      <c r="D32" s="570" t="s">
        <v>53</v>
      </c>
      <c r="E32" s="571"/>
      <c r="F32" s="572"/>
      <c r="G32" s="110" t="s">
        <v>62</v>
      </c>
      <c r="H32" s="111"/>
      <c r="I32" s="112"/>
      <c r="J32" s="109" t="s">
        <v>63</v>
      </c>
      <c r="K32" s="109" t="s">
        <v>31</v>
      </c>
      <c r="L32" s="109" t="s">
        <v>64</v>
      </c>
      <c r="M32" s="113" t="s">
        <v>50</v>
      </c>
      <c r="N32" s="113" t="s">
        <v>57</v>
      </c>
      <c r="O32" s="573" t="s">
        <v>58</v>
      </c>
      <c r="P32" s="574"/>
    </row>
    <row r="33" spans="1:16" ht="15.75" customHeight="1">
      <c r="A33" s="569">
        <v>7</v>
      </c>
      <c r="B33" s="578" t="s">
        <v>428</v>
      </c>
      <c r="C33" s="107">
        <v>1</v>
      </c>
      <c r="D33" s="333">
        <v>0</v>
      </c>
      <c r="E33" s="548"/>
      <c r="F33" s="549"/>
      <c r="G33" s="333">
        <v>0</v>
      </c>
      <c r="H33" s="548"/>
      <c r="I33" s="549"/>
      <c r="J33" s="247">
        <v>0</v>
      </c>
      <c r="K33" s="14">
        <v>0</v>
      </c>
      <c r="L33" s="247">
        <v>0</v>
      </c>
      <c r="M33" s="246">
        <v>0</v>
      </c>
      <c r="N33" s="4"/>
      <c r="O33" s="535"/>
      <c r="P33" s="566"/>
    </row>
    <row r="34" spans="1:16" ht="15.75" customHeight="1">
      <c r="A34" s="569"/>
      <c r="B34" s="575"/>
      <c r="C34" s="107">
        <v>2</v>
      </c>
      <c r="D34" s="333">
        <v>0</v>
      </c>
      <c r="E34" s="548"/>
      <c r="F34" s="549"/>
      <c r="G34" s="333">
        <v>0</v>
      </c>
      <c r="H34" s="548"/>
      <c r="I34" s="549"/>
      <c r="J34" s="247">
        <v>0</v>
      </c>
      <c r="K34" s="14">
        <v>0</v>
      </c>
      <c r="L34" s="247">
        <v>0</v>
      </c>
      <c r="M34" s="246">
        <v>0</v>
      </c>
      <c r="N34" s="4"/>
      <c r="O34" s="535"/>
      <c r="P34" s="566"/>
    </row>
    <row r="35" spans="1:16" ht="15.75" customHeight="1">
      <c r="A35" s="569"/>
      <c r="B35" s="575"/>
      <c r="C35" s="107">
        <v>3</v>
      </c>
      <c r="D35" s="333">
        <v>0</v>
      </c>
      <c r="E35" s="548"/>
      <c r="F35" s="549"/>
      <c r="G35" s="333">
        <v>0</v>
      </c>
      <c r="H35" s="548"/>
      <c r="I35" s="549"/>
      <c r="J35" s="247">
        <v>0</v>
      </c>
      <c r="K35" s="14">
        <v>0</v>
      </c>
      <c r="L35" s="247">
        <v>0</v>
      </c>
      <c r="M35" s="246">
        <v>0</v>
      </c>
      <c r="N35" s="4"/>
      <c r="O35" s="535"/>
      <c r="P35" s="566"/>
    </row>
    <row r="36" spans="1:16" ht="15.75" customHeight="1">
      <c r="A36" s="569"/>
      <c r="B36" s="575"/>
      <c r="C36" s="107">
        <v>4</v>
      </c>
      <c r="D36" s="333">
        <v>0</v>
      </c>
      <c r="E36" s="548"/>
      <c r="F36" s="549"/>
      <c r="G36" s="333">
        <v>0</v>
      </c>
      <c r="H36" s="548"/>
      <c r="I36" s="549"/>
      <c r="J36" s="247">
        <v>0</v>
      </c>
      <c r="K36" s="14">
        <v>0</v>
      </c>
      <c r="L36" s="247">
        <v>0</v>
      </c>
      <c r="M36" s="246">
        <v>0</v>
      </c>
      <c r="N36" s="4"/>
      <c r="O36" s="535"/>
      <c r="P36" s="566"/>
    </row>
    <row r="37" spans="1:16" ht="15.75" customHeight="1" thickBot="1">
      <c r="A37" s="569"/>
      <c r="B37" s="575"/>
      <c r="C37" s="108">
        <v>5</v>
      </c>
      <c r="D37" s="333">
        <v>0</v>
      </c>
      <c r="E37" s="548"/>
      <c r="F37" s="549"/>
      <c r="G37" s="333">
        <v>0</v>
      </c>
      <c r="H37" s="548"/>
      <c r="I37" s="549"/>
      <c r="J37" s="247">
        <v>0</v>
      </c>
      <c r="K37" s="14">
        <v>0</v>
      </c>
      <c r="L37" s="247">
        <v>0</v>
      </c>
      <c r="M37" s="246">
        <v>0</v>
      </c>
      <c r="N37" s="4"/>
      <c r="O37" s="535"/>
      <c r="P37" s="566"/>
    </row>
    <row r="38" spans="1:16" ht="15.75" customHeight="1" thickTop="1" thickBot="1">
      <c r="A38" s="569"/>
      <c r="B38" s="575"/>
      <c r="C38" s="582"/>
      <c r="D38" s="582"/>
      <c r="E38" s="582"/>
      <c r="F38" s="582"/>
      <c r="G38" s="582"/>
      <c r="H38" s="582"/>
      <c r="I38" s="583"/>
      <c r="J38" s="114" t="s">
        <v>73</v>
      </c>
      <c r="K38" s="213">
        <v>0</v>
      </c>
      <c r="L38" s="114" t="s">
        <v>74</v>
      </c>
      <c r="M38" s="215">
        <v>0</v>
      </c>
      <c r="N38" s="579"/>
      <c r="O38" s="580"/>
      <c r="P38" s="581"/>
    </row>
    <row r="39" spans="1:16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5" tint="0.39997558519241921"/>
    <outlinePr summaryBelow="0" summaryRight="0"/>
  </sheetPr>
  <dimension ref="A1:Q20"/>
  <sheetViews>
    <sheetView view="pageBreakPreview" zoomScale="115" zoomScaleNormal="60" zoomScaleSheetLayoutView="115" workbookViewId="0">
      <selection activeCell="P25" sqref="P25"/>
    </sheetView>
  </sheetViews>
  <sheetFormatPr defaultColWidth="12.5703125" defaultRowHeight="15.75" customHeight="1"/>
  <cols>
    <col min="1" max="1" width="5.42578125" style="115" customWidth="1"/>
    <col min="2" max="2" width="7.85546875" style="160" customWidth="1"/>
    <col min="3" max="3" width="4" style="145" customWidth="1"/>
    <col min="4" max="17" width="8.5703125" style="115" customWidth="1"/>
    <col min="18" max="16384" width="12.5703125" style="115"/>
  </cols>
  <sheetData>
    <row r="1" spans="1:17" ht="15.75" customHeight="1">
      <c r="A1" s="355" t="s">
        <v>323</v>
      </c>
      <c r="B1" s="355"/>
      <c r="C1" s="355"/>
      <c r="D1" s="355"/>
      <c r="E1" s="355"/>
      <c r="F1" s="355"/>
      <c r="G1" s="355"/>
      <c r="H1" s="355"/>
      <c r="I1" s="355"/>
      <c r="J1" s="355"/>
      <c r="K1" s="355"/>
      <c r="L1" s="355"/>
      <c r="M1" s="355"/>
      <c r="N1" s="355"/>
      <c r="O1" s="355"/>
      <c r="P1" s="355"/>
      <c r="Q1" s="355"/>
    </row>
    <row r="2" spans="1:17" s="116" customFormat="1" ht="15.75" customHeight="1">
      <c r="A2" s="355"/>
      <c r="B2" s="355"/>
      <c r="C2" s="355"/>
      <c r="D2" s="355"/>
      <c r="E2" s="355"/>
      <c r="F2" s="355"/>
      <c r="G2" s="355"/>
      <c r="H2" s="355"/>
      <c r="I2" s="355"/>
      <c r="J2" s="355"/>
      <c r="K2" s="355"/>
      <c r="L2" s="355"/>
      <c r="M2" s="355"/>
      <c r="N2" s="355"/>
      <c r="O2" s="355"/>
      <c r="P2" s="355"/>
      <c r="Q2" s="355"/>
    </row>
    <row r="3" spans="1:17" ht="15.75" customHeight="1">
      <c r="A3" s="451" t="s">
        <v>454</v>
      </c>
      <c r="B3" s="451"/>
      <c r="C3" s="451"/>
      <c r="D3" s="451"/>
      <c r="E3" s="451"/>
      <c r="F3" s="451"/>
      <c r="G3" s="451"/>
      <c r="H3" s="451"/>
      <c r="I3" s="451"/>
      <c r="J3" s="451"/>
      <c r="K3" s="451"/>
      <c r="L3" s="451"/>
      <c r="M3" s="451"/>
      <c r="N3" s="451"/>
      <c r="O3" s="451"/>
      <c r="P3" s="451"/>
      <c r="Q3" s="451"/>
    </row>
    <row r="4" spans="1:17" s="116" customFormat="1" ht="15.75" customHeight="1">
      <c r="A4" s="589"/>
      <c r="B4" s="589"/>
      <c r="C4" s="589"/>
      <c r="D4" s="589"/>
      <c r="E4" s="589"/>
      <c r="F4" s="589"/>
      <c r="G4" s="589"/>
      <c r="H4" s="589"/>
      <c r="I4" s="589"/>
      <c r="J4" s="589"/>
      <c r="K4" s="589"/>
      <c r="L4" s="589"/>
      <c r="M4" s="589"/>
      <c r="N4" s="589"/>
      <c r="O4" s="589"/>
      <c r="P4" s="589"/>
      <c r="Q4" s="589"/>
    </row>
    <row r="5" spans="1:17" ht="15.75" customHeight="1">
      <c r="A5" s="379" t="s">
        <v>388</v>
      </c>
      <c r="B5" s="434">
        <v>1</v>
      </c>
      <c r="C5" s="434"/>
      <c r="D5" s="434">
        <v>2</v>
      </c>
      <c r="E5" s="434"/>
      <c r="F5" s="434">
        <v>3</v>
      </c>
      <c r="G5" s="434"/>
      <c r="H5" s="434">
        <v>4</v>
      </c>
      <c r="I5" s="434"/>
      <c r="J5" s="434">
        <v>5</v>
      </c>
      <c r="K5" s="434"/>
      <c r="L5" s="434">
        <v>6</v>
      </c>
      <c r="M5" s="434"/>
      <c r="N5" s="434">
        <v>7</v>
      </c>
      <c r="O5" s="434"/>
      <c r="P5" s="540">
        <v>8</v>
      </c>
      <c r="Q5" s="540"/>
    </row>
    <row r="6" spans="1:17" ht="15.75" customHeight="1">
      <c r="A6" s="379"/>
      <c r="B6" s="379" t="s">
        <v>377</v>
      </c>
      <c r="C6" s="379"/>
      <c r="D6" s="379" t="s">
        <v>389</v>
      </c>
      <c r="E6" s="379"/>
      <c r="F6" s="379" t="s">
        <v>379</v>
      </c>
      <c r="G6" s="379"/>
      <c r="H6" s="379" t="s">
        <v>390</v>
      </c>
      <c r="I6" s="379"/>
      <c r="J6" s="379" t="s">
        <v>383</v>
      </c>
      <c r="K6" s="379"/>
      <c r="L6" s="379" t="s">
        <v>384</v>
      </c>
      <c r="M6" s="379"/>
      <c r="N6" s="379" t="s">
        <v>385</v>
      </c>
      <c r="O6" s="379"/>
      <c r="P6" s="541" t="s">
        <v>391</v>
      </c>
      <c r="Q6" s="541"/>
    </row>
    <row r="8" spans="1:17" s="122" customFormat="1" ht="15.75" customHeight="1">
      <c r="A8" s="147" t="s">
        <v>388</v>
      </c>
      <c r="B8" s="163" t="s">
        <v>93</v>
      </c>
      <c r="C8" s="590" t="s">
        <v>53</v>
      </c>
      <c r="D8" s="590"/>
      <c r="E8" s="590"/>
      <c r="F8" s="590" t="s">
        <v>62</v>
      </c>
      <c r="G8" s="590"/>
      <c r="H8" s="590"/>
      <c r="I8" s="163" t="s">
        <v>63</v>
      </c>
      <c r="J8" s="164" t="s">
        <v>94</v>
      </c>
      <c r="K8" s="163" t="s">
        <v>95</v>
      </c>
      <c r="L8" s="163" t="s">
        <v>10</v>
      </c>
      <c r="M8" s="591" t="s">
        <v>96</v>
      </c>
      <c r="N8" s="592"/>
      <c r="O8" s="592"/>
      <c r="P8" s="592"/>
      <c r="Q8" s="592"/>
    </row>
    <row r="9" spans="1:17" ht="15.75" customHeight="1">
      <c r="A9" s="590" t="s">
        <v>48</v>
      </c>
      <c r="B9" s="141">
        <v>1</v>
      </c>
      <c r="C9" s="443"/>
      <c r="D9" s="444"/>
      <c r="E9" s="444"/>
      <c r="F9" s="443"/>
      <c r="G9" s="444"/>
      <c r="H9" s="444"/>
      <c r="I9" s="148"/>
      <c r="J9" s="133"/>
      <c r="K9" s="133"/>
      <c r="L9" s="162">
        <f>K9-J9</f>
        <v>0</v>
      </c>
      <c r="M9" s="443"/>
      <c r="N9" s="443"/>
      <c r="O9" s="443"/>
      <c r="P9" s="443"/>
      <c r="Q9" s="443"/>
    </row>
    <row r="10" spans="1:17" ht="15.75" customHeight="1">
      <c r="A10" s="595"/>
      <c r="B10" s="141">
        <v>2</v>
      </c>
      <c r="C10" s="443"/>
      <c r="D10" s="444"/>
      <c r="E10" s="444"/>
      <c r="F10" s="443"/>
      <c r="G10" s="444"/>
      <c r="H10" s="444"/>
      <c r="I10" s="148"/>
      <c r="J10" s="133"/>
      <c r="K10" s="133"/>
      <c r="L10" s="162">
        <f>K10-J10</f>
        <v>0</v>
      </c>
      <c r="M10" s="443"/>
      <c r="N10" s="443"/>
      <c r="O10" s="443"/>
      <c r="P10" s="443"/>
      <c r="Q10" s="443"/>
    </row>
    <row r="11" spans="1:17" ht="15.75" customHeight="1">
      <c r="A11" s="595"/>
      <c r="B11" s="141">
        <v>3</v>
      </c>
      <c r="C11" s="443"/>
      <c r="D11" s="444"/>
      <c r="E11" s="444"/>
      <c r="F11" s="443"/>
      <c r="G11" s="444"/>
      <c r="H11" s="444"/>
      <c r="I11" s="148"/>
      <c r="J11" s="133"/>
      <c r="K11" s="133"/>
      <c r="L11" s="162">
        <f>K11-J11</f>
        <v>0</v>
      </c>
      <c r="M11" s="443"/>
      <c r="N11" s="443"/>
      <c r="O11" s="443"/>
      <c r="P11" s="443"/>
      <c r="Q11" s="443"/>
    </row>
    <row r="12" spans="1:17" ht="15.75" customHeight="1">
      <c r="A12" s="595"/>
      <c r="B12" s="141">
        <v>4</v>
      </c>
      <c r="C12" s="443"/>
      <c r="D12" s="444"/>
      <c r="E12" s="444"/>
      <c r="F12" s="443"/>
      <c r="G12" s="444"/>
      <c r="H12" s="444"/>
      <c r="I12" s="148"/>
      <c r="J12" s="133"/>
      <c r="K12" s="133"/>
      <c r="L12" s="162">
        <f>K12-J12</f>
        <v>0</v>
      </c>
      <c r="M12" s="443"/>
      <c r="N12" s="443"/>
      <c r="O12" s="443"/>
      <c r="P12" s="443"/>
      <c r="Q12" s="443"/>
    </row>
    <row r="13" spans="1:17" ht="15.75" customHeight="1">
      <c r="A13" s="595"/>
      <c r="B13" s="141">
        <v>5</v>
      </c>
      <c r="C13" s="443"/>
      <c r="D13" s="444"/>
      <c r="E13" s="444"/>
      <c r="F13" s="443"/>
      <c r="G13" s="444"/>
      <c r="H13" s="444"/>
      <c r="I13" s="148"/>
      <c r="J13" s="133"/>
      <c r="K13" s="133"/>
      <c r="L13" s="162">
        <f>K13-J13</f>
        <v>0</v>
      </c>
      <c r="M13" s="443"/>
      <c r="N13" s="443"/>
      <c r="O13" s="443"/>
      <c r="P13" s="443"/>
      <c r="Q13" s="443"/>
    </row>
    <row r="14" spans="1:17" ht="15.75" customHeight="1">
      <c r="A14" s="593"/>
      <c r="B14" s="593"/>
      <c r="C14" s="593"/>
      <c r="D14" s="593"/>
      <c r="E14" s="593"/>
      <c r="F14" s="593"/>
      <c r="G14" s="593"/>
      <c r="H14" s="593"/>
      <c r="I14" s="593"/>
      <c r="J14" s="593"/>
      <c r="K14" s="593"/>
      <c r="L14" s="593"/>
      <c r="M14" s="593"/>
      <c r="N14" s="593"/>
      <c r="O14" s="594"/>
    </row>
    <row r="15" spans="1:17" s="122" customFormat="1" ht="15.75" customHeight="1">
      <c r="A15" s="147" t="s">
        <v>388</v>
      </c>
      <c r="B15" s="147" t="s">
        <v>93</v>
      </c>
      <c r="C15" s="588" t="s">
        <v>53</v>
      </c>
      <c r="D15" s="588"/>
      <c r="E15" s="588"/>
      <c r="F15" s="588" t="s">
        <v>62</v>
      </c>
      <c r="G15" s="588"/>
      <c r="H15" s="588"/>
      <c r="I15" s="147" t="s">
        <v>63</v>
      </c>
      <c r="J15" s="161" t="s">
        <v>94</v>
      </c>
      <c r="K15" s="147" t="s">
        <v>95</v>
      </c>
      <c r="L15" s="147" t="s">
        <v>10</v>
      </c>
      <c r="M15" s="588" t="s">
        <v>96</v>
      </c>
      <c r="N15" s="588"/>
      <c r="O15" s="588"/>
      <c r="P15" s="588"/>
      <c r="Q15" s="588"/>
    </row>
    <row r="16" spans="1:17" ht="15.75" customHeight="1">
      <c r="A16" s="588" t="s">
        <v>455</v>
      </c>
      <c r="B16" s="141">
        <v>1</v>
      </c>
      <c r="C16" s="443"/>
      <c r="D16" s="444"/>
      <c r="E16" s="444"/>
      <c r="F16" s="443"/>
      <c r="G16" s="444"/>
      <c r="H16" s="444"/>
      <c r="I16" s="148"/>
      <c r="J16" s="133"/>
      <c r="K16" s="133"/>
      <c r="L16" s="162">
        <f>K16-J16</f>
        <v>0</v>
      </c>
      <c r="M16" s="443"/>
      <c r="N16" s="443"/>
      <c r="O16" s="443"/>
      <c r="P16" s="443"/>
      <c r="Q16" s="443"/>
    </row>
    <row r="17" spans="1:17" ht="15.75" customHeight="1">
      <c r="A17" s="588"/>
      <c r="B17" s="141">
        <v>2</v>
      </c>
      <c r="C17" s="443"/>
      <c r="D17" s="444"/>
      <c r="E17" s="444"/>
      <c r="F17" s="443"/>
      <c r="G17" s="444"/>
      <c r="H17" s="444"/>
      <c r="I17" s="148"/>
      <c r="J17" s="133"/>
      <c r="K17" s="133"/>
      <c r="L17" s="162">
        <f>K17-J17</f>
        <v>0</v>
      </c>
      <c r="M17" s="443"/>
      <c r="N17" s="443"/>
      <c r="O17" s="443"/>
      <c r="P17" s="443"/>
      <c r="Q17" s="443"/>
    </row>
    <row r="18" spans="1:17" ht="15.75" customHeight="1">
      <c r="A18" s="588"/>
      <c r="B18" s="141">
        <v>3</v>
      </c>
      <c r="C18" s="443"/>
      <c r="D18" s="444"/>
      <c r="E18" s="444"/>
      <c r="F18" s="443"/>
      <c r="G18" s="444"/>
      <c r="H18" s="444"/>
      <c r="I18" s="148"/>
      <c r="J18" s="133"/>
      <c r="K18" s="133"/>
      <c r="L18" s="162">
        <f>K18-J18</f>
        <v>0</v>
      </c>
      <c r="M18" s="443"/>
      <c r="N18" s="443"/>
      <c r="O18" s="443"/>
      <c r="P18" s="443"/>
      <c r="Q18" s="443"/>
    </row>
    <row r="19" spans="1:17" ht="15.75" customHeight="1">
      <c r="A19" s="588"/>
      <c r="B19" s="141">
        <v>4</v>
      </c>
      <c r="C19" s="443"/>
      <c r="D19" s="444"/>
      <c r="E19" s="444"/>
      <c r="F19" s="443"/>
      <c r="G19" s="444"/>
      <c r="H19" s="444"/>
      <c r="I19" s="148"/>
      <c r="J19" s="133"/>
      <c r="K19" s="133"/>
      <c r="L19" s="162">
        <f>K19-J19</f>
        <v>0</v>
      </c>
      <c r="M19" s="443"/>
      <c r="N19" s="443"/>
      <c r="O19" s="443"/>
      <c r="P19" s="443"/>
      <c r="Q19" s="443"/>
    </row>
    <row r="20" spans="1:17" ht="15.75" customHeight="1">
      <c r="A20" s="588"/>
      <c r="B20" s="141">
        <v>5</v>
      </c>
      <c r="C20" s="443"/>
      <c r="D20" s="444"/>
      <c r="E20" s="444"/>
      <c r="F20" s="443"/>
      <c r="G20" s="444"/>
      <c r="H20" s="444"/>
      <c r="I20" s="148"/>
      <c r="J20" s="133"/>
      <c r="K20" s="133"/>
      <c r="L20" s="162">
        <f>K20-J20</f>
        <v>0</v>
      </c>
      <c r="M20" s="443"/>
      <c r="N20" s="443"/>
      <c r="O20" s="443"/>
      <c r="P20" s="443"/>
      <c r="Q20" s="443"/>
    </row>
  </sheetData>
  <mergeCells count="58"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C12:E12"/>
    <mergeCell ref="C13:E13"/>
    <mergeCell ref="F10:H10"/>
    <mergeCell ref="F11:H11"/>
    <mergeCell ref="F12:H12"/>
    <mergeCell ref="F13:H13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</mergeCells>
  <phoneticPr fontId="12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5" tint="0.39997558519241921"/>
    <pageSetUpPr fitToPage="1"/>
  </sheetPr>
  <dimension ref="B2:AI297"/>
  <sheetViews>
    <sheetView zoomScale="70" zoomScaleNormal="70" workbookViewId="0">
      <pane xSplit="6" ySplit="6" topLeftCell="S7" activePane="bottomRight" state="frozen"/>
      <selection pane="bottomRight" activeCell="V30" sqref="V30"/>
      <selection pane="bottomLeft" activeCell="W35" sqref="W35:W36"/>
      <selection pane="topRight" activeCell="W35" sqref="W35:W36"/>
    </sheetView>
  </sheetViews>
  <sheetFormatPr defaultColWidth="8.85546875" defaultRowHeight="14.25"/>
  <cols>
    <col min="1" max="1" width="8.85546875" style="286"/>
    <col min="2" max="2" width="12.42578125" style="286" customWidth="1"/>
    <col min="3" max="3" width="8.85546875" style="286"/>
    <col min="4" max="4" width="11.5703125" style="286" customWidth="1"/>
    <col min="5" max="5" width="39.28515625" style="286" bestFit="1" customWidth="1"/>
    <col min="6" max="6" width="15.140625" style="286" bestFit="1" customWidth="1"/>
    <col min="7" max="7" width="14.140625" style="286" customWidth="1"/>
    <col min="8" max="8" width="14" style="286" customWidth="1"/>
    <col min="9" max="9" width="16.85546875" style="286" customWidth="1"/>
    <col min="10" max="10" width="14" style="286" customWidth="1"/>
    <col min="11" max="11" width="16.28515625" style="286" bestFit="1" customWidth="1"/>
    <col min="12" max="12" width="13.42578125" style="286" bestFit="1" customWidth="1"/>
    <col min="13" max="13" width="19.140625" style="286" bestFit="1" customWidth="1"/>
    <col min="14" max="14" width="15.28515625" style="286" bestFit="1" customWidth="1"/>
    <col min="15" max="15" width="12.5703125" style="286" bestFit="1" customWidth="1"/>
    <col min="16" max="16" width="16.28515625" style="286" bestFit="1" customWidth="1"/>
    <col min="17" max="17" width="12.140625" style="286" bestFit="1" customWidth="1"/>
    <col min="18" max="18" width="18" style="286" bestFit="1" customWidth="1"/>
    <col min="19" max="19" width="13.42578125" style="286" bestFit="1" customWidth="1"/>
    <col min="20" max="20" width="12.42578125" style="286" bestFit="1" customWidth="1"/>
    <col min="21" max="21" width="25.28515625" style="286" bestFit="1" customWidth="1"/>
    <col min="22" max="23" width="88.28515625" style="318" customWidth="1"/>
    <col min="24" max="24" width="7.42578125" style="286" bestFit="1" customWidth="1"/>
    <col min="25" max="25" width="69.5703125" style="286" bestFit="1" customWidth="1"/>
    <col min="26" max="26" width="11.42578125" style="286" bestFit="1" customWidth="1"/>
    <col min="27" max="27" width="21.5703125" style="286" customWidth="1"/>
    <col min="28" max="28" width="19.42578125" style="286" bestFit="1" customWidth="1"/>
    <col min="29" max="34" width="14.42578125" style="286" customWidth="1"/>
    <col min="35" max="35" width="11.42578125" style="286" bestFit="1" customWidth="1"/>
    <col min="36" max="16384" width="8.85546875" style="286"/>
  </cols>
  <sheetData>
    <row r="2" spans="2:35" ht="41.1" customHeight="1">
      <c r="B2" s="607" t="s">
        <v>456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287"/>
      <c r="AB2" s="287"/>
    </row>
    <row r="3" spans="2:35" ht="17.100000000000001" customHeight="1">
      <c r="B3" s="609" t="s">
        <v>457</v>
      </c>
      <c r="C3" s="610"/>
      <c r="D3" s="603" t="s">
        <v>458</v>
      </c>
      <c r="E3" s="603"/>
      <c r="F3" s="603"/>
      <c r="G3" s="603" t="s">
        <v>459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460</v>
      </c>
      <c r="U3" s="615" t="s">
        <v>461</v>
      </c>
      <c r="V3" s="618" t="s">
        <v>462</v>
      </c>
      <c r="W3" s="618" t="s">
        <v>463</v>
      </c>
      <c r="X3" s="621" t="s">
        <v>464</v>
      </c>
      <c r="Y3" s="605" t="s">
        <v>465</v>
      </c>
      <c r="AA3" s="603" t="s">
        <v>466</v>
      </c>
      <c r="AB3" s="603"/>
      <c r="AC3" s="603"/>
      <c r="AD3" s="603"/>
      <c r="AE3" s="603"/>
      <c r="AF3" s="603"/>
      <c r="AG3" s="603"/>
      <c r="AH3" s="603"/>
      <c r="AI3" s="603"/>
    </row>
    <row r="4" spans="2:35" ht="17.100000000000001" customHeight="1">
      <c r="B4" s="611"/>
      <c r="C4" s="612"/>
      <c r="D4" s="604" t="s">
        <v>467</v>
      </c>
      <c r="E4" s="603" t="s">
        <v>468</v>
      </c>
      <c r="F4" s="603"/>
      <c r="G4" s="603" t="s">
        <v>469</v>
      </c>
      <c r="H4" s="603"/>
      <c r="I4" s="603"/>
      <c r="J4" s="603"/>
      <c r="K4" s="603"/>
      <c r="L4" s="603"/>
      <c r="M4" s="603"/>
      <c r="N4" s="603"/>
      <c r="O4" s="603" t="s">
        <v>470</v>
      </c>
      <c r="P4" s="603"/>
      <c r="Q4" s="603"/>
      <c r="R4" s="603"/>
      <c r="S4" s="603"/>
      <c r="T4" s="603"/>
      <c r="U4" s="616"/>
      <c r="V4" s="619"/>
      <c r="W4" s="619"/>
      <c r="X4" s="622"/>
      <c r="Y4" s="605"/>
      <c r="AA4" s="603"/>
      <c r="AB4" s="603"/>
      <c r="AC4" s="603"/>
      <c r="AD4" s="603"/>
      <c r="AE4" s="603"/>
      <c r="AF4" s="603"/>
      <c r="AG4" s="603"/>
      <c r="AH4" s="603"/>
      <c r="AI4" s="603"/>
    </row>
    <row r="5" spans="2:35" ht="17.100000000000001" customHeight="1">
      <c r="B5" s="611"/>
      <c r="C5" s="612"/>
      <c r="D5" s="604"/>
      <c r="E5" s="604" t="s">
        <v>471</v>
      </c>
      <c r="F5" s="605" t="s">
        <v>472</v>
      </c>
      <c r="G5" s="606" t="s">
        <v>473</v>
      </c>
      <c r="H5" s="606"/>
      <c r="I5" s="606"/>
      <c r="J5" s="606"/>
      <c r="K5" s="606"/>
      <c r="L5" s="606"/>
      <c r="M5" s="606"/>
      <c r="N5" s="606"/>
      <c r="O5" s="606" t="s">
        <v>474</v>
      </c>
      <c r="P5" s="606"/>
      <c r="Q5" s="606" t="s">
        <v>475</v>
      </c>
      <c r="R5" s="606"/>
      <c r="S5" s="606"/>
      <c r="T5" s="603"/>
      <c r="U5" s="616"/>
      <c r="V5" s="619"/>
      <c r="W5" s="619"/>
      <c r="X5" s="622"/>
      <c r="Y5" s="605"/>
      <c r="AA5" s="603"/>
      <c r="AB5" s="603"/>
      <c r="AC5" s="603"/>
      <c r="AD5" s="603"/>
      <c r="AE5" s="603"/>
      <c r="AF5" s="603"/>
      <c r="AG5" s="603"/>
      <c r="AH5" s="603"/>
      <c r="AI5" s="603"/>
    </row>
    <row r="6" spans="2:35" ht="38.450000000000003" customHeight="1">
      <c r="B6" s="613"/>
      <c r="C6" s="614"/>
      <c r="D6" s="604"/>
      <c r="E6" s="604"/>
      <c r="F6" s="605"/>
      <c r="G6" s="316" t="s">
        <v>476</v>
      </c>
      <c r="H6" s="316" t="s">
        <v>477</v>
      </c>
      <c r="I6" s="316" t="s">
        <v>478</v>
      </c>
      <c r="J6" s="316" t="s">
        <v>479</v>
      </c>
      <c r="K6" s="316" t="s">
        <v>480</v>
      </c>
      <c r="L6" s="316" t="s">
        <v>481</v>
      </c>
      <c r="M6" s="316" t="s">
        <v>482</v>
      </c>
      <c r="N6" s="316" t="s">
        <v>483</v>
      </c>
      <c r="O6" s="317" t="s">
        <v>484</v>
      </c>
      <c r="P6" s="317" t="s">
        <v>485</v>
      </c>
      <c r="Q6" s="317" t="s">
        <v>484</v>
      </c>
      <c r="R6" s="317" t="s">
        <v>485</v>
      </c>
      <c r="S6" s="316" t="s">
        <v>486</v>
      </c>
      <c r="T6" s="603"/>
      <c r="U6" s="617"/>
      <c r="V6" s="620"/>
      <c r="W6" s="620"/>
      <c r="X6" s="623"/>
      <c r="Y6" s="605"/>
      <c r="AA6" s="288" t="s">
        <v>487</v>
      </c>
      <c r="AB6" s="288" t="s">
        <v>393</v>
      </c>
      <c r="AC6" s="315" t="s">
        <v>488</v>
      </c>
      <c r="AD6" s="315" t="s">
        <v>402</v>
      </c>
      <c r="AE6" s="315" t="s">
        <v>489</v>
      </c>
      <c r="AF6" s="315" t="s">
        <v>490</v>
      </c>
      <c r="AG6" s="315" t="s">
        <v>491</v>
      </c>
      <c r="AH6" s="315" t="s">
        <v>428</v>
      </c>
      <c r="AI6" s="315" t="s">
        <v>492</v>
      </c>
    </row>
    <row r="7" spans="2:35" s="314" customFormat="1" ht="27" customHeight="1">
      <c r="B7" s="596" t="s">
        <v>493</v>
      </c>
      <c r="C7" s="597"/>
      <c r="D7" s="289">
        <v>1</v>
      </c>
      <c r="E7" s="290" t="s">
        <v>411</v>
      </c>
      <c r="F7" s="291">
        <v>3816.3399999999997</v>
      </c>
      <c r="G7" s="291">
        <v>12927.93</v>
      </c>
      <c r="H7" s="291">
        <v>13018.6</v>
      </c>
      <c r="I7" s="292">
        <v>1.0070134971337252</v>
      </c>
      <c r="J7" s="291">
        <v>0</v>
      </c>
      <c r="K7" s="292">
        <v>0</v>
      </c>
      <c r="L7" s="291">
        <v>78.849999999999994</v>
      </c>
      <c r="M7" s="292">
        <v>1.0070134971337252</v>
      </c>
      <c r="N7" s="293">
        <v>7149.3295000000053</v>
      </c>
      <c r="O7" s="291">
        <v>48.4</v>
      </c>
      <c r="P7" s="292">
        <v>3.743832152556519E-3</v>
      </c>
      <c r="Q7" s="294">
        <v>90.670000000000073</v>
      </c>
      <c r="R7" s="292">
        <v>7.0134971337252033E-3</v>
      </c>
      <c r="S7" s="291">
        <v>7149.3295000000053</v>
      </c>
      <c r="T7" s="295" t="s">
        <v>494</v>
      </c>
      <c r="U7" s="295" t="s">
        <v>390</v>
      </c>
      <c r="V7" s="308" t="s">
        <v>495</v>
      </c>
      <c r="W7" s="308" t="s">
        <v>496</v>
      </c>
      <c r="X7" s="296">
        <v>1</v>
      </c>
      <c r="Y7" s="297" t="s">
        <v>280</v>
      </c>
      <c r="Z7" s="298" t="s">
        <v>497</v>
      </c>
      <c r="AA7" s="299">
        <f>SUM(X7:X26)</f>
        <v>20</v>
      </c>
      <c r="AB7" s="300">
        <f>SUMIF($U$7:$U$26,TRIM(AB6),$X$7:$X$26)</f>
        <v>0</v>
      </c>
      <c r="AC7" s="300">
        <f>SUMIF($U$7:$U$26,TRIM(AC6),$X$7:$X$26)</f>
        <v>1</v>
      </c>
      <c r="AD7" s="300">
        <f t="shared" ref="AD7:AI7" ca="1" si="0">SUMIF($U$7:$U$9710,TRIM(AD6),$X$7:$X$26)</f>
        <v>7</v>
      </c>
      <c r="AE7" s="300">
        <f t="shared" ca="1" si="0"/>
        <v>10</v>
      </c>
      <c r="AF7" s="300">
        <f t="shared" ca="1" si="0"/>
        <v>1</v>
      </c>
      <c r="AG7" s="300">
        <f t="shared" ca="1" si="0"/>
        <v>1</v>
      </c>
      <c r="AH7" s="300">
        <f t="shared" ca="1" si="0"/>
        <v>0</v>
      </c>
      <c r="AI7" s="300">
        <f t="shared" ca="1" si="0"/>
        <v>0</v>
      </c>
    </row>
    <row r="8" spans="2:35" s="314" customFormat="1" ht="27" customHeight="1">
      <c r="B8" s="598"/>
      <c r="C8" s="599"/>
      <c r="D8" s="289">
        <v>2</v>
      </c>
      <c r="E8" s="290" t="s">
        <v>409</v>
      </c>
      <c r="F8" s="291">
        <v>3787.0140000000006</v>
      </c>
      <c r="G8" s="291">
        <v>9929.8499999999985</v>
      </c>
      <c r="H8" s="291">
        <v>10001.100000000002</v>
      </c>
      <c r="I8" s="292">
        <v>1.0071753349748489</v>
      </c>
      <c r="J8" s="291">
        <v>1.5</v>
      </c>
      <c r="K8" s="292">
        <v>1.510596836810224E-4</v>
      </c>
      <c r="L8" s="291">
        <v>81.97</v>
      </c>
      <c r="M8" s="292">
        <v>1.00732639465853</v>
      </c>
      <c r="N8" s="293">
        <v>5840.3625000002985</v>
      </c>
      <c r="O8" s="291">
        <v>46.20000000000001</v>
      </c>
      <c r="P8" s="292">
        <v>4.6526382573754905E-3</v>
      </c>
      <c r="Q8" s="294">
        <v>72.750000000003638</v>
      </c>
      <c r="R8" s="292">
        <v>7.3263946585299528E-3</v>
      </c>
      <c r="S8" s="291">
        <v>5963.3175000002984</v>
      </c>
      <c r="T8" s="295" t="s">
        <v>494</v>
      </c>
      <c r="U8" s="295" t="s">
        <v>390</v>
      </c>
      <c r="V8" s="308" t="s">
        <v>498</v>
      </c>
      <c r="W8" s="308" t="s">
        <v>499</v>
      </c>
      <c r="X8" s="296">
        <v>1</v>
      </c>
      <c r="Y8" s="297" t="s">
        <v>300</v>
      </c>
      <c r="AA8" s="299"/>
      <c r="AB8" s="302">
        <f>SUMIF($U$7:$U$26,TRIM(AB6),$F$7:$F$26)</f>
        <v>0</v>
      </c>
      <c r="AC8" s="302">
        <f>SUMIF($U$7:$U$26,TRIM(AC6),$F$7:$F$26)</f>
        <v>2913.4560000000001</v>
      </c>
      <c r="AD8" s="302">
        <f t="shared" ref="AD8:AI8" ca="1" si="1">SUMIF($U$7:$U$176,TRIM(AD6),$F$7:$F$26)</f>
        <v>22379.433000000005</v>
      </c>
      <c r="AE8" s="302">
        <f t="shared" ca="1" si="1"/>
        <v>34179.897000000012</v>
      </c>
      <c r="AF8" s="302">
        <f t="shared" ca="1" si="1"/>
        <v>3613.8959999999997</v>
      </c>
      <c r="AG8" s="302">
        <f t="shared" ca="1" si="1"/>
        <v>2932.1000000000004</v>
      </c>
      <c r="AH8" s="302">
        <f t="shared" ca="1" si="1"/>
        <v>0</v>
      </c>
      <c r="AI8" s="302">
        <f t="shared" ca="1" si="1"/>
        <v>0</v>
      </c>
    </row>
    <row r="9" spans="2:35" s="314" customFormat="1" ht="27" customHeight="1">
      <c r="B9" s="598"/>
      <c r="C9" s="599"/>
      <c r="D9" s="289">
        <v>3</v>
      </c>
      <c r="E9" s="290" t="s">
        <v>408</v>
      </c>
      <c r="F9" s="291">
        <v>3624.1420000000012</v>
      </c>
      <c r="G9" s="291">
        <v>6743.89</v>
      </c>
      <c r="H9" s="291">
        <v>6806.4000000000005</v>
      </c>
      <c r="I9" s="292">
        <v>1.0092691310208204</v>
      </c>
      <c r="J9" s="291">
        <v>0</v>
      </c>
      <c r="K9" s="292">
        <v>0</v>
      </c>
      <c r="L9" s="291">
        <v>111.17</v>
      </c>
      <c r="M9" s="292">
        <v>1.0092691310208204</v>
      </c>
      <c r="N9" s="293">
        <v>6949.236700000024</v>
      </c>
      <c r="O9" s="291">
        <v>32.6</v>
      </c>
      <c r="P9" s="292">
        <v>4.8340052996119452E-3</v>
      </c>
      <c r="Q9" s="294">
        <v>62.510000000000218</v>
      </c>
      <c r="R9" s="292">
        <v>9.2691310208203592E-3</v>
      </c>
      <c r="S9" s="291">
        <v>6949.236700000024</v>
      </c>
      <c r="T9" s="295" t="s">
        <v>494</v>
      </c>
      <c r="U9" s="295" t="s">
        <v>390</v>
      </c>
      <c r="V9" s="308" t="s">
        <v>500</v>
      </c>
      <c r="W9" s="308" t="s">
        <v>501</v>
      </c>
      <c r="X9" s="296">
        <v>1</v>
      </c>
      <c r="Y9" s="297" t="s">
        <v>398</v>
      </c>
    </row>
    <row r="10" spans="2:35" s="314" customFormat="1" ht="27" customHeight="1">
      <c r="B10" s="598"/>
      <c r="C10" s="599"/>
      <c r="D10" s="289">
        <v>4</v>
      </c>
      <c r="E10" s="290" t="s">
        <v>414</v>
      </c>
      <c r="F10" s="291">
        <v>3613.8959999999997</v>
      </c>
      <c r="G10" s="291">
        <v>10097.481999999996</v>
      </c>
      <c r="H10" s="291">
        <v>10150.800000000001</v>
      </c>
      <c r="I10" s="292">
        <v>1.0052803263229393</v>
      </c>
      <c r="J10" s="291">
        <v>0</v>
      </c>
      <c r="K10" s="292">
        <v>0</v>
      </c>
      <c r="L10" s="291">
        <v>136.88999999999999</v>
      </c>
      <c r="M10" s="292">
        <v>1.0052803263229393</v>
      </c>
      <c r="N10" s="293">
        <v>7298.7010200006507</v>
      </c>
      <c r="O10" s="291">
        <v>26.4</v>
      </c>
      <c r="P10" s="292">
        <v>2.6145132024003618E-3</v>
      </c>
      <c r="Q10" s="294">
        <v>53.318000000004758</v>
      </c>
      <c r="R10" s="292">
        <v>5.2803263229392015E-3</v>
      </c>
      <c r="S10" s="291">
        <v>7298.7010200006507</v>
      </c>
      <c r="T10" s="295" t="s">
        <v>502</v>
      </c>
      <c r="U10" s="295" t="s">
        <v>413</v>
      </c>
      <c r="V10" s="308" t="s">
        <v>503</v>
      </c>
      <c r="W10" s="310" t="s">
        <v>504</v>
      </c>
      <c r="X10" s="296">
        <v>1</v>
      </c>
      <c r="Y10" s="297" t="s">
        <v>398</v>
      </c>
    </row>
    <row r="11" spans="2:35" s="314" customFormat="1" ht="27" customHeight="1">
      <c r="B11" s="598"/>
      <c r="C11" s="599"/>
      <c r="D11" s="289">
        <v>5</v>
      </c>
      <c r="E11" s="290" t="s">
        <v>403</v>
      </c>
      <c r="F11" s="291">
        <v>3594.9360000000006</v>
      </c>
      <c r="G11" s="291">
        <v>4222.9029999999993</v>
      </c>
      <c r="H11" s="291">
        <v>4278.9000000000005</v>
      </c>
      <c r="I11" s="292">
        <v>1.0132603093180215</v>
      </c>
      <c r="J11" s="291">
        <v>2.7</v>
      </c>
      <c r="K11" s="292">
        <v>6.3937059411499635E-4</v>
      </c>
      <c r="L11" s="291">
        <v>127.48</v>
      </c>
      <c r="M11" s="292">
        <v>1.0138996799121365</v>
      </c>
      <c r="N11" s="293">
        <v>7138.4975600001544</v>
      </c>
      <c r="O11" s="291">
        <v>28.200000000000003</v>
      </c>
      <c r="P11" s="292">
        <v>6.6778706496455177E-3</v>
      </c>
      <c r="Q11" s="294">
        <v>58.697000000001026</v>
      </c>
      <c r="R11" s="292">
        <v>1.3899679912136517E-2</v>
      </c>
      <c r="S11" s="291">
        <v>7482.6935600001307</v>
      </c>
      <c r="T11" s="295" t="s">
        <v>505</v>
      </c>
      <c r="U11" s="295" t="s">
        <v>506</v>
      </c>
      <c r="V11" s="308" t="s">
        <v>507</v>
      </c>
      <c r="W11" s="310" t="s">
        <v>508</v>
      </c>
      <c r="X11" s="296">
        <v>1</v>
      </c>
      <c r="Y11" s="297" t="s">
        <v>317</v>
      </c>
    </row>
    <row r="12" spans="2:35" s="314" customFormat="1" ht="27" customHeight="1">
      <c r="B12" s="598"/>
      <c r="C12" s="599"/>
      <c r="D12" s="289">
        <v>6</v>
      </c>
      <c r="E12" s="290" t="s">
        <v>412</v>
      </c>
      <c r="F12" s="291">
        <v>3534.9770000000003</v>
      </c>
      <c r="G12" s="291">
        <v>10154.160000000002</v>
      </c>
      <c r="H12" s="291">
        <v>10226.900000000001</v>
      </c>
      <c r="I12" s="292">
        <v>1.0071635664594609</v>
      </c>
      <c r="J12" s="291">
        <v>3.5</v>
      </c>
      <c r="K12" s="292">
        <v>3.446863157563008E-4</v>
      </c>
      <c r="L12" s="291">
        <v>78.73</v>
      </c>
      <c r="M12" s="292">
        <v>1.0075082527752173</v>
      </c>
      <c r="N12" s="293">
        <v>5726.8201999999828</v>
      </c>
      <c r="O12" s="291">
        <v>44.9</v>
      </c>
      <c r="P12" s="292">
        <v>4.4218330221308302E-3</v>
      </c>
      <c r="Q12" s="294">
        <v>76.239999999999782</v>
      </c>
      <c r="R12" s="292">
        <v>7.5082527752172281E-3</v>
      </c>
      <c r="S12" s="291">
        <v>6002.3751999999831</v>
      </c>
      <c r="T12" s="295" t="s">
        <v>494</v>
      </c>
      <c r="U12" s="295" t="s">
        <v>390</v>
      </c>
      <c r="V12" s="308" t="s">
        <v>495</v>
      </c>
      <c r="W12" s="308" t="s">
        <v>496</v>
      </c>
      <c r="X12" s="296">
        <v>1</v>
      </c>
      <c r="Y12" s="297" t="s">
        <v>278</v>
      </c>
    </row>
    <row r="13" spans="2:35" s="314" customFormat="1" ht="27" customHeight="1">
      <c r="B13" s="598"/>
      <c r="C13" s="599"/>
      <c r="D13" s="289">
        <v>7</v>
      </c>
      <c r="E13" s="290" t="s">
        <v>509</v>
      </c>
      <c r="F13" s="291">
        <v>3509.0379999999996</v>
      </c>
      <c r="G13" s="291">
        <v>4163.4349999999995</v>
      </c>
      <c r="H13" s="291">
        <v>4236.9000000000005</v>
      </c>
      <c r="I13" s="292">
        <v>1.0176452856835765</v>
      </c>
      <c r="J13" s="291">
        <v>0</v>
      </c>
      <c r="K13" s="292">
        <v>0</v>
      </c>
      <c r="L13" s="291">
        <v>75.14</v>
      </c>
      <c r="M13" s="292">
        <v>1.0176452856835765</v>
      </c>
      <c r="N13" s="293">
        <v>5520.1601000000792</v>
      </c>
      <c r="O13" s="291">
        <v>46.7</v>
      </c>
      <c r="P13" s="292">
        <v>1.1216699672265811E-2</v>
      </c>
      <c r="Q13" s="294">
        <v>73.465000000001055</v>
      </c>
      <c r="R13" s="292">
        <v>1.7645285683576439E-2</v>
      </c>
      <c r="S13" s="291">
        <v>5520.1601000000792</v>
      </c>
      <c r="T13" s="295" t="s">
        <v>494</v>
      </c>
      <c r="U13" s="295" t="s">
        <v>390</v>
      </c>
      <c r="V13" s="308" t="s">
        <v>498</v>
      </c>
      <c r="W13" s="308" t="s">
        <v>499</v>
      </c>
      <c r="X13" s="296">
        <v>1</v>
      </c>
      <c r="Y13" s="297" t="s">
        <v>398</v>
      </c>
      <c r="AB13" s="314">
        <v>1</v>
      </c>
      <c r="AC13" s="303" t="s">
        <v>393</v>
      </c>
    </row>
    <row r="14" spans="2:35" s="314" customFormat="1" ht="27" customHeight="1">
      <c r="B14" s="598"/>
      <c r="C14" s="599"/>
      <c r="D14" s="289">
        <v>8</v>
      </c>
      <c r="E14" s="290" t="s">
        <v>406</v>
      </c>
      <c r="F14" s="291">
        <v>3472.0739999999996</v>
      </c>
      <c r="G14" s="291">
        <v>5300.2349999999988</v>
      </c>
      <c r="H14" s="291">
        <v>5370.9</v>
      </c>
      <c r="I14" s="292">
        <v>1.0133324277131111</v>
      </c>
      <c r="J14" s="291">
        <v>0</v>
      </c>
      <c r="K14" s="292">
        <v>0</v>
      </c>
      <c r="L14" s="291">
        <v>86.37</v>
      </c>
      <c r="M14" s="292">
        <v>1.0133324277131111</v>
      </c>
      <c r="N14" s="293">
        <v>6103.3360500000754</v>
      </c>
      <c r="O14" s="291">
        <v>40.200000000000003</v>
      </c>
      <c r="P14" s="292">
        <v>7.5845693634338874E-3</v>
      </c>
      <c r="Q14" s="294">
        <v>70.665000000000873</v>
      </c>
      <c r="R14" s="292">
        <v>1.3332427713111002E-2</v>
      </c>
      <c r="S14" s="291">
        <v>6103.3360500000754</v>
      </c>
      <c r="T14" s="295" t="s">
        <v>505</v>
      </c>
      <c r="U14" s="295" t="s">
        <v>506</v>
      </c>
      <c r="V14" s="308" t="s">
        <v>507</v>
      </c>
      <c r="W14" s="310" t="s">
        <v>508</v>
      </c>
      <c r="X14" s="296">
        <v>1</v>
      </c>
      <c r="Y14" s="297" t="s">
        <v>305</v>
      </c>
      <c r="AB14" s="314">
        <v>2</v>
      </c>
      <c r="AC14" s="303" t="s">
        <v>510</v>
      </c>
    </row>
    <row r="15" spans="2:35" s="314" customFormat="1" ht="27" customHeight="1">
      <c r="B15" s="598"/>
      <c r="C15" s="599"/>
      <c r="D15" s="289">
        <v>9</v>
      </c>
      <c r="E15" s="290" t="s">
        <v>511</v>
      </c>
      <c r="F15" s="291">
        <v>3435.4799999999996</v>
      </c>
      <c r="G15" s="291">
        <v>2087.3500000000004</v>
      </c>
      <c r="H15" s="291">
        <v>2134.5000000000005</v>
      </c>
      <c r="I15" s="292">
        <v>1.0225884494694231</v>
      </c>
      <c r="J15" s="291">
        <v>0</v>
      </c>
      <c r="K15" s="292">
        <v>0</v>
      </c>
      <c r="L15" s="291">
        <v>95.43</v>
      </c>
      <c r="M15" s="292">
        <v>1.0225884494694231</v>
      </c>
      <c r="N15" s="293">
        <v>4499.5245000000086</v>
      </c>
      <c r="O15" s="291">
        <v>36</v>
      </c>
      <c r="P15" s="292">
        <v>1.7246748269336715E-2</v>
      </c>
      <c r="Q15" s="294">
        <v>47.150000000000091</v>
      </c>
      <c r="R15" s="292">
        <v>2.2588449469422994E-2</v>
      </c>
      <c r="S15" s="291">
        <v>4499.5245000000086</v>
      </c>
      <c r="T15" s="295" t="s">
        <v>505</v>
      </c>
      <c r="U15" s="295" t="s">
        <v>506</v>
      </c>
      <c r="V15" s="308" t="s">
        <v>507</v>
      </c>
      <c r="W15" s="310" t="s">
        <v>508</v>
      </c>
      <c r="X15" s="296">
        <v>1</v>
      </c>
      <c r="Y15" s="297" t="s">
        <v>279</v>
      </c>
      <c r="AB15" s="314">
        <v>3</v>
      </c>
      <c r="AC15" s="303" t="s">
        <v>506</v>
      </c>
    </row>
    <row r="16" spans="2:35" s="314" customFormat="1" ht="27" customHeight="1">
      <c r="B16" s="598"/>
      <c r="C16" s="599"/>
      <c r="D16" s="289">
        <v>10</v>
      </c>
      <c r="E16" s="290" t="s">
        <v>512</v>
      </c>
      <c r="F16" s="291">
        <v>3250.1700000000005</v>
      </c>
      <c r="G16" s="291">
        <v>2535.7920000000004</v>
      </c>
      <c r="H16" s="291">
        <v>2598.1999999999998</v>
      </c>
      <c r="I16" s="292">
        <v>1.0246108513632031</v>
      </c>
      <c r="J16" s="291">
        <v>0</v>
      </c>
      <c r="K16" s="292">
        <v>0</v>
      </c>
      <c r="L16" s="291">
        <v>66.33</v>
      </c>
      <c r="M16" s="292">
        <v>1.0246108513632031</v>
      </c>
      <c r="N16" s="293">
        <v>4139.5226399999628</v>
      </c>
      <c r="O16" s="291">
        <v>49.000000000000007</v>
      </c>
      <c r="P16" s="292">
        <v>1.9323351442074112E-2</v>
      </c>
      <c r="Q16" s="294">
        <v>62.407999999999447</v>
      </c>
      <c r="R16" s="292">
        <v>2.4610851363203068E-2</v>
      </c>
      <c r="S16" s="291">
        <v>4139.5226399999628</v>
      </c>
      <c r="T16" s="295" t="s">
        <v>494</v>
      </c>
      <c r="U16" s="295" t="s">
        <v>390</v>
      </c>
      <c r="V16" s="308" t="s">
        <v>513</v>
      </c>
      <c r="W16" s="309" t="s">
        <v>514</v>
      </c>
      <c r="X16" s="296">
        <v>1</v>
      </c>
      <c r="Y16" s="297" t="s">
        <v>284</v>
      </c>
      <c r="AB16" s="314">
        <v>4</v>
      </c>
      <c r="AC16" s="303" t="s">
        <v>515</v>
      </c>
    </row>
    <row r="17" spans="2:29" s="314" customFormat="1" ht="27" customHeight="1">
      <c r="B17" s="598"/>
      <c r="C17" s="599"/>
      <c r="D17" s="289">
        <v>11</v>
      </c>
      <c r="E17" s="290" t="s">
        <v>516</v>
      </c>
      <c r="F17" s="291">
        <v>3236.8160000000012</v>
      </c>
      <c r="G17" s="291">
        <v>2918.22</v>
      </c>
      <c r="H17" s="291">
        <v>2975.1000000000004</v>
      </c>
      <c r="I17" s="292">
        <v>1.0194913337582501</v>
      </c>
      <c r="J17" s="291">
        <v>0</v>
      </c>
      <c r="K17" s="292">
        <v>0</v>
      </c>
      <c r="L17" s="291">
        <v>76.34</v>
      </c>
      <c r="M17" s="292">
        <v>1.0194913337582501</v>
      </c>
      <c r="N17" s="293">
        <v>4342.2192000000432</v>
      </c>
      <c r="O17" s="291">
        <v>42.400000000000006</v>
      </c>
      <c r="P17" s="292">
        <v>1.4529404911213002E-2</v>
      </c>
      <c r="Q17" s="294">
        <v>56.880000000000564</v>
      </c>
      <c r="R17" s="292">
        <v>1.9491333758250087E-2</v>
      </c>
      <c r="S17" s="291">
        <v>4342.2192000000432</v>
      </c>
      <c r="T17" s="295" t="s">
        <v>494</v>
      </c>
      <c r="U17" s="295" t="s">
        <v>390</v>
      </c>
      <c r="V17" s="308" t="s">
        <v>495</v>
      </c>
      <c r="W17" s="308" t="s">
        <v>496</v>
      </c>
      <c r="X17" s="296">
        <v>1</v>
      </c>
      <c r="Y17" s="297" t="s">
        <v>301</v>
      </c>
      <c r="AB17" s="314">
        <v>5</v>
      </c>
      <c r="AC17" s="303" t="s">
        <v>413</v>
      </c>
    </row>
    <row r="18" spans="2:29" s="314" customFormat="1" ht="27" customHeight="1">
      <c r="B18" s="598"/>
      <c r="C18" s="599"/>
      <c r="D18" s="289">
        <v>12</v>
      </c>
      <c r="E18" s="290" t="s">
        <v>517</v>
      </c>
      <c r="F18" s="291">
        <v>3178.5599999999995</v>
      </c>
      <c r="G18" s="291">
        <v>3492.2979999999989</v>
      </c>
      <c r="H18" s="291">
        <v>3557.2</v>
      </c>
      <c r="I18" s="292">
        <v>1.0185843247053947</v>
      </c>
      <c r="J18" s="291">
        <v>0</v>
      </c>
      <c r="K18" s="292">
        <v>0</v>
      </c>
      <c r="L18" s="291">
        <v>70.95</v>
      </c>
      <c r="M18" s="292">
        <v>1.0185843247053947</v>
      </c>
      <c r="N18" s="293">
        <v>4604.7969000000676</v>
      </c>
      <c r="O18" s="291">
        <v>44.800000000000004</v>
      </c>
      <c r="P18" s="292">
        <v>1.2828229435174209E-2</v>
      </c>
      <c r="Q18" s="294">
        <v>64.902000000000953</v>
      </c>
      <c r="R18" s="292">
        <v>1.8584324705394836E-2</v>
      </c>
      <c r="S18" s="291">
        <v>4604.7969000000676</v>
      </c>
      <c r="T18" s="295" t="s">
        <v>494</v>
      </c>
      <c r="U18" s="295" t="s">
        <v>390</v>
      </c>
      <c r="V18" s="308" t="s">
        <v>495</v>
      </c>
      <c r="W18" s="308" t="s">
        <v>496</v>
      </c>
      <c r="X18" s="296">
        <v>1</v>
      </c>
      <c r="Y18" s="297" t="s">
        <v>288</v>
      </c>
      <c r="AB18" s="314">
        <v>6</v>
      </c>
      <c r="AC18" s="303" t="s">
        <v>421</v>
      </c>
    </row>
    <row r="19" spans="2:29" s="314" customFormat="1" ht="27" customHeight="1">
      <c r="B19" s="598"/>
      <c r="C19" s="599"/>
      <c r="D19" s="289">
        <v>13</v>
      </c>
      <c r="E19" s="290" t="s">
        <v>518</v>
      </c>
      <c r="F19" s="291">
        <v>3145.9200000000014</v>
      </c>
      <c r="G19" s="291">
        <v>6512.5320000000011</v>
      </c>
      <c r="H19" s="291">
        <v>6569.7999999999993</v>
      </c>
      <c r="I19" s="292">
        <v>1.0087935076557011</v>
      </c>
      <c r="J19" s="291">
        <v>0</v>
      </c>
      <c r="K19" s="292">
        <v>0</v>
      </c>
      <c r="L19" s="291">
        <v>90.4</v>
      </c>
      <c r="M19" s="292">
        <v>1.0087935076557011</v>
      </c>
      <c r="N19" s="293">
        <v>5177.0271999998386</v>
      </c>
      <c r="O19" s="291">
        <v>34.799999999999997</v>
      </c>
      <c r="P19" s="292">
        <v>5.343543801397059E-3</v>
      </c>
      <c r="Q19" s="294">
        <v>57.26799999999821</v>
      </c>
      <c r="R19" s="292">
        <v>8.7935076557010706E-3</v>
      </c>
      <c r="S19" s="291">
        <v>5177.0271999998386</v>
      </c>
      <c r="T19" s="295" t="s">
        <v>494</v>
      </c>
      <c r="U19" s="295" t="s">
        <v>390</v>
      </c>
      <c r="V19" s="308" t="s">
        <v>498</v>
      </c>
      <c r="W19" s="308" t="s">
        <v>499</v>
      </c>
      <c r="X19" s="296">
        <v>1</v>
      </c>
      <c r="Y19" s="297" t="s">
        <v>279</v>
      </c>
      <c r="AB19" s="314">
        <v>7</v>
      </c>
      <c r="AC19" s="303" t="s">
        <v>519</v>
      </c>
    </row>
    <row r="20" spans="2:29" s="314" customFormat="1" ht="27" customHeight="1">
      <c r="B20" s="598"/>
      <c r="C20" s="599"/>
      <c r="D20" s="289">
        <v>14</v>
      </c>
      <c r="E20" s="290" t="s">
        <v>520</v>
      </c>
      <c r="F20" s="291">
        <v>3096.92</v>
      </c>
      <c r="G20" s="291">
        <v>7553.28</v>
      </c>
      <c r="H20" s="291">
        <v>7631.5</v>
      </c>
      <c r="I20" s="292">
        <v>1.0103557659718692</v>
      </c>
      <c r="J20" s="291">
        <v>0</v>
      </c>
      <c r="K20" s="292">
        <v>0</v>
      </c>
      <c r="L20" s="291">
        <v>55.6</v>
      </c>
      <c r="M20" s="292">
        <v>1.0103557659718692</v>
      </c>
      <c r="N20" s="293">
        <v>4349.0320000000147</v>
      </c>
      <c r="O20" s="291">
        <v>55.700000000000017</v>
      </c>
      <c r="P20" s="292">
        <v>7.3742797830876148E-3</v>
      </c>
      <c r="Q20" s="294">
        <v>78.220000000000255</v>
      </c>
      <c r="R20" s="292">
        <v>1.035576597186921E-2</v>
      </c>
      <c r="S20" s="291">
        <v>4349.0320000000147</v>
      </c>
      <c r="T20" s="295" t="s">
        <v>494</v>
      </c>
      <c r="U20" s="295" t="s">
        <v>390</v>
      </c>
      <c r="V20" s="308" t="s">
        <v>507</v>
      </c>
      <c r="W20" s="310" t="s">
        <v>508</v>
      </c>
      <c r="X20" s="296">
        <v>1</v>
      </c>
      <c r="Y20" s="297" t="s">
        <v>270</v>
      </c>
      <c r="AB20" s="314">
        <v>8</v>
      </c>
      <c r="AC20" s="304" t="s">
        <v>521</v>
      </c>
    </row>
    <row r="21" spans="2:29" s="314" customFormat="1" ht="27" customHeight="1">
      <c r="B21" s="598"/>
      <c r="C21" s="599"/>
      <c r="D21" s="289">
        <v>15</v>
      </c>
      <c r="E21" s="290" t="s">
        <v>522</v>
      </c>
      <c r="F21" s="291">
        <v>3091.9800000000009</v>
      </c>
      <c r="G21" s="291">
        <v>1787.06</v>
      </c>
      <c r="H21" s="291">
        <v>1858.6</v>
      </c>
      <c r="I21" s="292">
        <v>1.0400322317101831</v>
      </c>
      <c r="J21" s="291">
        <v>0</v>
      </c>
      <c r="K21" s="292">
        <v>0</v>
      </c>
      <c r="L21" s="291">
        <v>53.31</v>
      </c>
      <c r="M21" s="292">
        <v>1.0400322317101831</v>
      </c>
      <c r="N21" s="293">
        <v>3813.7973999999981</v>
      </c>
      <c r="O21" s="291">
        <v>58.000000000000021</v>
      </c>
      <c r="P21" s="292">
        <v>3.2455541503922658E-2</v>
      </c>
      <c r="Q21" s="294">
        <v>71.539999999999964</v>
      </c>
      <c r="R21" s="292">
        <v>4.0032231710183185E-2</v>
      </c>
      <c r="S21" s="291">
        <v>3813.7973999999981</v>
      </c>
      <c r="T21" s="295" t="s">
        <v>505</v>
      </c>
      <c r="U21" s="295" t="s">
        <v>506</v>
      </c>
      <c r="V21" s="308" t="s">
        <v>507</v>
      </c>
      <c r="W21" s="310" t="s">
        <v>508</v>
      </c>
      <c r="X21" s="296">
        <v>1</v>
      </c>
      <c r="Y21" s="297" t="s">
        <v>273</v>
      </c>
      <c r="AC21" s="303"/>
    </row>
    <row r="22" spans="2:29" s="314" customFormat="1" ht="27" customHeight="1">
      <c r="B22" s="598"/>
      <c r="C22" s="599"/>
      <c r="D22" s="289">
        <v>16</v>
      </c>
      <c r="E22" s="290" t="s">
        <v>523</v>
      </c>
      <c r="F22" s="291">
        <v>2975.2580000000003</v>
      </c>
      <c r="G22" s="291">
        <v>1128.2399999999998</v>
      </c>
      <c r="H22" s="291">
        <v>1162.5</v>
      </c>
      <c r="I22" s="292">
        <v>1.0303658796000852</v>
      </c>
      <c r="J22" s="291">
        <v>0</v>
      </c>
      <c r="K22" s="292">
        <v>0</v>
      </c>
      <c r="L22" s="291">
        <v>104.03</v>
      </c>
      <c r="M22" s="292">
        <v>1.0303658796000852</v>
      </c>
      <c r="N22" s="293">
        <v>3564.0678000000225</v>
      </c>
      <c r="O22" s="291">
        <v>28.599999999999998</v>
      </c>
      <c r="P22" s="292">
        <v>2.5349216478763387E-2</v>
      </c>
      <c r="Q22" s="294">
        <v>34.260000000000218</v>
      </c>
      <c r="R22" s="292">
        <v>3.0365879600085289E-2</v>
      </c>
      <c r="S22" s="291">
        <v>3564.0678000000225</v>
      </c>
      <c r="T22" s="295" t="s">
        <v>505</v>
      </c>
      <c r="U22" s="295" t="s">
        <v>506</v>
      </c>
      <c r="V22" s="308" t="s">
        <v>524</v>
      </c>
      <c r="W22" s="310" t="s">
        <v>525</v>
      </c>
      <c r="X22" s="296">
        <v>1</v>
      </c>
      <c r="Y22" s="297" t="s">
        <v>302</v>
      </c>
      <c r="AC22" s="303"/>
    </row>
    <row r="23" spans="2:29" s="314" customFormat="1" ht="27" customHeight="1">
      <c r="B23" s="598"/>
      <c r="C23" s="599"/>
      <c r="D23" s="289">
        <v>17</v>
      </c>
      <c r="E23" s="290" t="s">
        <v>422</v>
      </c>
      <c r="F23" s="291">
        <v>2932.1000000000004</v>
      </c>
      <c r="G23" s="291">
        <v>41236</v>
      </c>
      <c r="H23" s="291">
        <v>41454</v>
      </c>
      <c r="I23" s="292">
        <v>1.0052866427393539</v>
      </c>
      <c r="J23" s="291">
        <v>0</v>
      </c>
      <c r="K23" s="292">
        <v>0</v>
      </c>
      <c r="L23" s="291">
        <v>13.45</v>
      </c>
      <c r="M23" s="292">
        <v>1.0052866427393539</v>
      </c>
      <c r="N23" s="293">
        <v>2932.1</v>
      </c>
      <c r="O23" s="291">
        <v>218</v>
      </c>
      <c r="P23" s="292">
        <v>5.2866427393539629E-3</v>
      </c>
      <c r="Q23" s="294">
        <v>218</v>
      </c>
      <c r="R23" s="292">
        <v>5.2866427393539629E-3</v>
      </c>
      <c r="S23" s="291">
        <v>2932.1</v>
      </c>
      <c r="T23" s="295" t="s">
        <v>502</v>
      </c>
      <c r="U23" s="295" t="s">
        <v>421</v>
      </c>
      <c r="V23" s="308" t="s">
        <v>526</v>
      </c>
      <c r="W23" s="308" t="s">
        <v>527</v>
      </c>
      <c r="X23" s="296">
        <v>1</v>
      </c>
      <c r="Y23" s="297" t="s">
        <v>278</v>
      </c>
      <c r="AB23" s="305">
        <v>1</v>
      </c>
      <c r="AC23" s="303" t="s">
        <v>505</v>
      </c>
    </row>
    <row r="24" spans="2:29" s="314" customFormat="1" ht="27" customHeight="1">
      <c r="B24" s="598"/>
      <c r="C24" s="599"/>
      <c r="D24" s="289">
        <v>18</v>
      </c>
      <c r="E24" s="290" t="s">
        <v>528</v>
      </c>
      <c r="F24" s="291">
        <v>2918.5800000000004</v>
      </c>
      <c r="G24" s="291">
        <v>1702.2949999999998</v>
      </c>
      <c r="H24" s="291">
        <v>1725.0000000000002</v>
      </c>
      <c r="I24" s="292">
        <v>1.0133378762200445</v>
      </c>
      <c r="J24" s="291">
        <v>2.1</v>
      </c>
      <c r="K24" s="292">
        <v>1.2336287188765755E-3</v>
      </c>
      <c r="L24" s="291">
        <v>208.47</v>
      </c>
      <c r="M24" s="292">
        <v>1.0145715049389208</v>
      </c>
      <c r="N24" s="293">
        <v>4733.31135000008</v>
      </c>
      <c r="O24" s="291">
        <v>13.999999999999996</v>
      </c>
      <c r="P24" s="292">
        <v>8.224191459177169E-3</v>
      </c>
      <c r="Q24" s="294">
        <v>24.805000000000291</v>
      </c>
      <c r="R24" s="292">
        <v>1.4571504938920865E-2</v>
      </c>
      <c r="S24" s="291">
        <v>5171.0983500000602</v>
      </c>
      <c r="T24" s="295" t="s">
        <v>505</v>
      </c>
      <c r="U24" s="295" t="s">
        <v>506</v>
      </c>
      <c r="V24" s="308" t="s">
        <v>529</v>
      </c>
      <c r="W24" s="308" t="s">
        <v>530</v>
      </c>
      <c r="X24" s="296">
        <v>1</v>
      </c>
      <c r="Y24" s="297" t="s">
        <v>304</v>
      </c>
      <c r="AB24" s="314">
        <v>2</v>
      </c>
      <c r="AC24" s="303" t="s">
        <v>531</v>
      </c>
    </row>
    <row r="25" spans="2:29" s="314" customFormat="1" ht="27" customHeight="1">
      <c r="B25" s="598"/>
      <c r="C25" s="599"/>
      <c r="D25" s="289">
        <v>19</v>
      </c>
      <c r="E25" s="290" t="s">
        <v>397</v>
      </c>
      <c r="F25" s="291">
        <v>2913.4560000000001</v>
      </c>
      <c r="G25" s="291">
        <v>513.61499999999978</v>
      </c>
      <c r="H25" s="291">
        <v>537.69999999999993</v>
      </c>
      <c r="I25" s="292">
        <v>1.0468931008634876</v>
      </c>
      <c r="J25" s="291">
        <v>0</v>
      </c>
      <c r="K25" s="292">
        <v>0</v>
      </c>
      <c r="L25" s="291">
        <v>180.96</v>
      </c>
      <c r="M25" s="292">
        <v>1.0468931008634876</v>
      </c>
      <c r="N25" s="293">
        <v>4358.421600000027</v>
      </c>
      <c r="O25" s="291">
        <v>16.100000000000001</v>
      </c>
      <c r="P25" s="292">
        <v>3.1346436533200954E-2</v>
      </c>
      <c r="Q25" s="294">
        <v>24.08500000000015</v>
      </c>
      <c r="R25" s="292">
        <v>4.6893100863487552E-2</v>
      </c>
      <c r="S25" s="291">
        <v>4358.421600000027</v>
      </c>
      <c r="T25" s="295" t="s">
        <v>505</v>
      </c>
      <c r="U25" s="295" t="s">
        <v>510</v>
      </c>
      <c r="V25" s="308" t="s">
        <v>529</v>
      </c>
      <c r="W25" s="308" t="s">
        <v>530</v>
      </c>
      <c r="X25" s="296">
        <v>1</v>
      </c>
      <c r="Y25" s="297" t="s">
        <v>301</v>
      </c>
      <c r="AB25" s="306">
        <v>3</v>
      </c>
      <c r="AC25" s="303" t="s">
        <v>494</v>
      </c>
    </row>
    <row r="26" spans="2:29" s="314" customFormat="1" ht="27" customHeight="1">
      <c r="B26" s="600"/>
      <c r="C26" s="601"/>
      <c r="D26" s="289">
        <v>20</v>
      </c>
      <c r="E26" s="290" t="s">
        <v>532</v>
      </c>
      <c r="F26" s="291">
        <v>2891.125</v>
      </c>
      <c r="G26" s="291">
        <v>1418.5499999999997</v>
      </c>
      <c r="H26" s="291">
        <v>1450.5</v>
      </c>
      <c r="I26" s="292">
        <v>1.0225229988368407</v>
      </c>
      <c r="J26" s="291">
        <v>0</v>
      </c>
      <c r="K26" s="292">
        <v>0</v>
      </c>
      <c r="L26" s="291">
        <v>126.25</v>
      </c>
      <c r="M26" s="292">
        <v>1.0225229988368407</v>
      </c>
      <c r="N26" s="293">
        <v>4033.6875000000346</v>
      </c>
      <c r="O26" s="291">
        <v>22.9</v>
      </c>
      <c r="P26" s="292">
        <v>1.6143244862711927E-2</v>
      </c>
      <c r="Q26" s="294">
        <v>31.950000000000273</v>
      </c>
      <c r="R26" s="292">
        <v>2.2522998836840634E-2</v>
      </c>
      <c r="S26" s="291">
        <v>4033.6875000000346</v>
      </c>
      <c r="T26" s="295" t="s">
        <v>505</v>
      </c>
      <c r="U26" s="295" t="s">
        <v>506</v>
      </c>
      <c r="V26" s="308" t="s">
        <v>529</v>
      </c>
      <c r="W26" s="308" t="s">
        <v>530</v>
      </c>
      <c r="X26" s="296">
        <v>1</v>
      </c>
      <c r="Y26" s="297" t="s">
        <v>281</v>
      </c>
      <c r="AB26" s="306">
        <v>4</v>
      </c>
      <c r="AC26" s="303" t="s">
        <v>502</v>
      </c>
    </row>
    <row r="27" spans="2:29" ht="29.45" customHeight="1">
      <c r="C27" s="602"/>
      <c r="AB27" s="314"/>
      <c r="AC27" s="303"/>
    </row>
    <row r="28" spans="2:29">
      <c r="C28" s="602"/>
    </row>
    <row r="29" spans="2:29">
      <c r="C29" s="602"/>
    </row>
    <row r="30" spans="2:29">
      <c r="C30" s="602"/>
    </row>
    <row r="31" spans="2:29">
      <c r="C31" s="602"/>
      <c r="H31" s="319"/>
      <c r="N31" s="320"/>
    </row>
    <row r="32" spans="2:29">
      <c r="C32" s="602"/>
      <c r="N32" s="320"/>
    </row>
    <row r="33" spans="3:14">
      <c r="C33" s="602"/>
      <c r="N33" s="320"/>
    </row>
    <row r="34" spans="3:14">
      <c r="C34" s="602"/>
      <c r="N34" s="320"/>
    </row>
    <row r="35" spans="3:14">
      <c r="C35" s="602"/>
      <c r="N35" s="320"/>
    </row>
    <row r="36" spans="3:14">
      <c r="C36" s="602"/>
      <c r="N36" s="320"/>
    </row>
    <row r="67" ht="14.1" customHeight="1"/>
    <row r="77" ht="14.1" customHeight="1"/>
    <row r="87" ht="14.1" customHeight="1"/>
    <row r="112" spans="26:26">
      <c r="Z112" s="307" t="s">
        <v>533</v>
      </c>
    </row>
    <row r="113" spans="26:26">
      <c r="Z113" s="314" t="s">
        <v>534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2" type="noConversion"/>
  <dataValidations disablePrompts="1" count="2">
    <dataValidation type="list" allowBlank="1" showInputMessage="1" showErrorMessage="1" sqref="T1:T1048576" xr:uid="{00000000-0002-0000-1A00-000000000000}">
      <formula1>$AC$23:$AC$27</formula1>
    </dataValidation>
    <dataValidation type="list" allowBlank="1" showInputMessage="1" showErrorMessage="1" sqref="U1:U1048576" xr:uid="{00000000-0002-0000-1A00-000001000000}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5" tint="0.39997558519241921"/>
    <pageSetUpPr fitToPage="1"/>
  </sheetPr>
  <dimension ref="B2:AI297"/>
  <sheetViews>
    <sheetView zoomScale="70" zoomScaleNormal="70" workbookViewId="0">
      <pane xSplit="4" ySplit="6" topLeftCell="Y15" activePane="bottomRight" state="frozen"/>
      <selection pane="bottomRight" activeCell="W15" sqref="W15"/>
      <selection pane="bottomLeft" activeCell="V10" sqref="V10"/>
      <selection pane="topRight" activeCell="V10" sqref="V10"/>
    </sheetView>
  </sheetViews>
  <sheetFormatPr defaultColWidth="8.85546875" defaultRowHeight="14.25"/>
  <cols>
    <col min="1" max="1" width="8.85546875" style="286"/>
    <col min="2" max="2" width="12.42578125" style="286" customWidth="1"/>
    <col min="3" max="3" width="8.85546875" style="286"/>
    <col min="4" max="4" width="11.5703125" style="286" customWidth="1"/>
    <col min="5" max="5" width="39.28515625" style="286" bestFit="1" customWidth="1"/>
    <col min="6" max="6" width="14" style="286" bestFit="1" customWidth="1"/>
    <col min="7" max="7" width="14.140625" style="286" customWidth="1"/>
    <col min="8" max="8" width="14" style="286" customWidth="1"/>
    <col min="9" max="9" width="16.85546875" style="286" customWidth="1"/>
    <col min="10" max="10" width="14" style="286" customWidth="1"/>
    <col min="11" max="11" width="11.5703125" style="286" bestFit="1" customWidth="1"/>
    <col min="12" max="12" width="12.28515625" style="286" bestFit="1" customWidth="1"/>
    <col min="13" max="13" width="19.140625" style="286" bestFit="1" customWidth="1"/>
    <col min="14" max="14" width="15.28515625" style="286" bestFit="1" customWidth="1"/>
    <col min="15" max="15" width="12.5703125" style="286" bestFit="1" customWidth="1"/>
    <col min="16" max="16" width="9.7109375" style="286" bestFit="1" customWidth="1"/>
    <col min="17" max="17" width="17" style="286" bestFit="1" customWidth="1"/>
    <col min="18" max="18" width="12.140625" style="286" bestFit="1" customWidth="1"/>
    <col min="19" max="19" width="10.7109375" style="286" customWidth="1"/>
    <col min="20" max="20" width="12.42578125" style="286" bestFit="1" customWidth="1"/>
    <col min="21" max="21" width="25.28515625" style="286" bestFit="1" customWidth="1"/>
    <col min="22" max="23" width="88.28515625" style="286" customWidth="1"/>
    <col min="24" max="24" width="7.42578125" style="286" bestFit="1" customWidth="1"/>
    <col min="25" max="25" width="69.5703125" style="286" bestFit="1" customWidth="1"/>
    <col min="26" max="26" width="11.42578125" style="286" bestFit="1" customWidth="1"/>
    <col min="27" max="27" width="21.5703125" style="286" customWidth="1"/>
    <col min="28" max="28" width="19.42578125" style="286" bestFit="1" customWidth="1"/>
    <col min="29" max="34" width="14.42578125" style="286" customWidth="1"/>
    <col min="35" max="35" width="11.42578125" style="286" bestFit="1" customWidth="1"/>
    <col min="36" max="16384" width="8.85546875" style="286"/>
  </cols>
  <sheetData>
    <row r="2" spans="2:35" ht="41.1" customHeight="1">
      <c r="B2" s="607" t="s">
        <v>535</v>
      </c>
      <c r="C2" s="608"/>
      <c r="D2" s="608"/>
      <c r="E2" s="608"/>
      <c r="F2" s="608"/>
      <c r="G2" s="608"/>
      <c r="H2" s="608"/>
      <c r="I2" s="608"/>
      <c r="J2" s="608"/>
      <c r="K2" s="608"/>
      <c r="L2" s="608"/>
      <c r="M2" s="608"/>
      <c r="N2" s="608"/>
      <c r="O2" s="608"/>
      <c r="P2" s="608"/>
      <c r="Q2" s="608"/>
      <c r="R2" s="608"/>
      <c r="S2" s="608"/>
      <c r="T2" s="608"/>
      <c r="U2" s="608"/>
      <c r="V2" s="608"/>
      <c r="W2" s="608"/>
      <c r="X2" s="608"/>
      <c r="Y2" s="608"/>
      <c r="AA2" s="287"/>
      <c r="AB2" s="287"/>
    </row>
    <row r="3" spans="2:35" ht="17.100000000000001" customHeight="1">
      <c r="B3" s="609" t="s">
        <v>457</v>
      </c>
      <c r="C3" s="610"/>
      <c r="D3" s="603" t="s">
        <v>458</v>
      </c>
      <c r="E3" s="603"/>
      <c r="F3" s="603"/>
      <c r="G3" s="603" t="s">
        <v>459</v>
      </c>
      <c r="H3" s="603"/>
      <c r="I3" s="603"/>
      <c r="J3" s="603"/>
      <c r="K3" s="603"/>
      <c r="L3" s="603"/>
      <c r="M3" s="603"/>
      <c r="N3" s="603"/>
      <c r="O3" s="603"/>
      <c r="P3" s="603"/>
      <c r="Q3" s="603"/>
      <c r="R3" s="603"/>
      <c r="S3" s="603"/>
      <c r="T3" s="603" t="s">
        <v>460</v>
      </c>
      <c r="U3" s="615" t="s">
        <v>461</v>
      </c>
      <c r="V3" s="627" t="s">
        <v>536</v>
      </c>
      <c r="W3" s="627" t="s">
        <v>463</v>
      </c>
      <c r="X3" s="621" t="s">
        <v>464</v>
      </c>
      <c r="Y3" s="605" t="s">
        <v>465</v>
      </c>
      <c r="AA3" s="603" t="s">
        <v>466</v>
      </c>
      <c r="AB3" s="603"/>
      <c r="AC3" s="603"/>
      <c r="AD3" s="603"/>
      <c r="AE3" s="603"/>
      <c r="AF3" s="603"/>
      <c r="AG3" s="603"/>
      <c r="AH3" s="603"/>
      <c r="AI3" s="603"/>
    </row>
    <row r="4" spans="2:35" ht="17.100000000000001" customHeight="1">
      <c r="B4" s="611"/>
      <c r="C4" s="612"/>
      <c r="D4" s="604" t="s">
        <v>467</v>
      </c>
      <c r="E4" s="603" t="s">
        <v>468</v>
      </c>
      <c r="F4" s="603"/>
      <c r="G4" s="603" t="s">
        <v>469</v>
      </c>
      <c r="H4" s="603"/>
      <c r="I4" s="603"/>
      <c r="J4" s="603"/>
      <c r="K4" s="603"/>
      <c r="L4" s="603"/>
      <c r="M4" s="603"/>
      <c r="N4" s="603"/>
      <c r="O4" s="603" t="s">
        <v>470</v>
      </c>
      <c r="P4" s="603"/>
      <c r="Q4" s="603"/>
      <c r="R4" s="603"/>
      <c r="S4" s="603"/>
      <c r="T4" s="603"/>
      <c r="U4" s="616"/>
      <c r="V4" s="622"/>
      <c r="W4" s="628"/>
      <c r="X4" s="622"/>
      <c r="Y4" s="605"/>
      <c r="AA4" s="603"/>
      <c r="AB4" s="603"/>
      <c r="AC4" s="603"/>
      <c r="AD4" s="603"/>
      <c r="AE4" s="603"/>
      <c r="AF4" s="603"/>
      <c r="AG4" s="603"/>
      <c r="AH4" s="603"/>
      <c r="AI4" s="603"/>
    </row>
    <row r="5" spans="2:35" ht="17.100000000000001" customHeight="1">
      <c r="B5" s="611"/>
      <c r="C5" s="612"/>
      <c r="D5" s="604"/>
      <c r="E5" s="604" t="s">
        <v>471</v>
      </c>
      <c r="F5" s="605" t="s">
        <v>537</v>
      </c>
      <c r="G5" s="606" t="s">
        <v>473</v>
      </c>
      <c r="H5" s="606"/>
      <c r="I5" s="606"/>
      <c r="J5" s="606"/>
      <c r="K5" s="606"/>
      <c r="L5" s="606"/>
      <c r="M5" s="606"/>
      <c r="N5" s="606"/>
      <c r="O5" s="624" t="s">
        <v>474</v>
      </c>
      <c r="P5" s="625"/>
      <c r="Q5" s="626"/>
      <c r="R5" s="606" t="s">
        <v>475</v>
      </c>
      <c r="S5" s="606"/>
      <c r="T5" s="603"/>
      <c r="U5" s="616"/>
      <c r="V5" s="622"/>
      <c r="W5" s="628"/>
      <c r="X5" s="622"/>
      <c r="Y5" s="605"/>
      <c r="AA5" s="603"/>
      <c r="AB5" s="603"/>
      <c r="AC5" s="603"/>
      <c r="AD5" s="603"/>
      <c r="AE5" s="603"/>
      <c r="AF5" s="603"/>
      <c r="AG5" s="603"/>
      <c r="AH5" s="603"/>
      <c r="AI5" s="603"/>
    </row>
    <row r="6" spans="2:35" ht="38.450000000000003" customHeight="1">
      <c r="B6" s="613"/>
      <c r="C6" s="614"/>
      <c r="D6" s="604"/>
      <c r="E6" s="604"/>
      <c r="F6" s="605"/>
      <c r="G6" s="316" t="s">
        <v>476</v>
      </c>
      <c r="H6" s="316" t="s">
        <v>477</v>
      </c>
      <c r="I6" s="316" t="s">
        <v>478</v>
      </c>
      <c r="J6" s="316" t="s">
        <v>479</v>
      </c>
      <c r="K6" s="316" t="s">
        <v>480</v>
      </c>
      <c r="L6" s="316" t="s">
        <v>481</v>
      </c>
      <c r="M6" s="316" t="s">
        <v>482</v>
      </c>
      <c r="N6" s="316" t="s">
        <v>483</v>
      </c>
      <c r="O6" s="317" t="s">
        <v>484</v>
      </c>
      <c r="P6" s="317" t="s">
        <v>485</v>
      </c>
      <c r="Q6" s="316" t="s">
        <v>486</v>
      </c>
      <c r="R6" s="317" t="s">
        <v>484</v>
      </c>
      <c r="S6" s="317" t="s">
        <v>485</v>
      </c>
      <c r="T6" s="603"/>
      <c r="U6" s="617"/>
      <c r="V6" s="623"/>
      <c r="W6" s="629"/>
      <c r="X6" s="623"/>
      <c r="Y6" s="605"/>
      <c r="AA6" s="288" t="s">
        <v>487</v>
      </c>
      <c r="AB6" s="288" t="s">
        <v>393</v>
      </c>
      <c r="AC6" s="315" t="s">
        <v>488</v>
      </c>
      <c r="AD6" s="315" t="s">
        <v>402</v>
      </c>
      <c r="AE6" s="315" t="s">
        <v>489</v>
      </c>
      <c r="AF6" s="315" t="s">
        <v>490</v>
      </c>
      <c r="AG6" s="315" t="s">
        <v>491</v>
      </c>
      <c r="AH6" s="315" t="s">
        <v>428</v>
      </c>
      <c r="AI6" s="315" t="s">
        <v>492</v>
      </c>
    </row>
    <row r="7" spans="2:35" s="314" customFormat="1" ht="27" customHeight="1">
      <c r="B7" s="596" t="s">
        <v>493</v>
      </c>
      <c r="C7" s="597"/>
      <c r="D7" s="289">
        <v>1</v>
      </c>
      <c r="E7" s="290" t="s">
        <v>441</v>
      </c>
      <c r="F7" s="291">
        <v>57434.765199999558</v>
      </c>
      <c r="G7" s="291">
        <v>3062.3580000000006</v>
      </c>
      <c r="H7" s="291">
        <v>3094.7999999999993</v>
      </c>
      <c r="I7" s="292">
        <v>1.0105937973287247</v>
      </c>
      <c r="J7" s="291">
        <v>165.20000000000005</v>
      </c>
      <c r="K7" s="292">
        <v>5.3945358446007952E-2</v>
      </c>
      <c r="L7" s="291">
        <v>290.60000000000002</v>
      </c>
      <c r="M7" s="292">
        <v>1.0645391557747326</v>
      </c>
      <c r="N7" s="293">
        <v>9427.6451999996061</v>
      </c>
      <c r="O7" s="291">
        <v>6.8999999999999986</v>
      </c>
      <c r="P7" s="292">
        <v>2.2531656978054156E-3</v>
      </c>
      <c r="Q7" s="321">
        <v>2005.1399999999999</v>
      </c>
      <c r="R7" s="294">
        <v>197.64199999999846</v>
      </c>
      <c r="S7" s="292">
        <v>6.4539155774732543E-2</v>
      </c>
      <c r="T7" s="295" t="s">
        <v>502</v>
      </c>
      <c r="U7" s="295" t="s">
        <v>413</v>
      </c>
      <c r="V7" s="308" t="s">
        <v>538</v>
      </c>
      <c r="W7" s="308" t="s">
        <v>539</v>
      </c>
      <c r="X7" s="296">
        <v>1</v>
      </c>
      <c r="Y7" s="297" t="s">
        <v>305</v>
      </c>
      <c r="Z7" s="298" t="s">
        <v>497</v>
      </c>
      <c r="AA7" s="299">
        <f>SUM(X7:X26)</f>
        <v>20</v>
      </c>
      <c r="AB7" s="300">
        <f>SUMIF($U$7:$U$26,TRIM(AB6),$X$7:$X$26)</f>
        <v>0</v>
      </c>
      <c r="AC7" s="300">
        <f>SUMIF($U$7:$U$26,TRIM(AC6),$X$7:$X$26)</f>
        <v>0</v>
      </c>
      <c r="AD7" s="300">
        <f t="shared" ref="AD7:AI7" ca="1" si="0">SUMIF($U$7:$U$9710,TRIM(AD6),$X$7:$X$26)</f>
        <v>3</v>
      </c>
      <c r="AE7" s="300">
        <f t="shared" ca="1" si="0"/>
        <v>3</v>
      </c>
      <c r="AF7" s="300">
        <f t="shared" ca="1" si="0"/>
        <v>7</v>
      </c>
      <c r="AG7" s="300">
        <f t="shared" ca="1" si="0"/>
        <v>6</v>
      </c>
      <c r="AH7" s="300">
        <f t="shared" ca="1" si="0"/>
        <v>0</v>
      </c>
      <c r="AI7" s="300">
        <f t="shared" ca="1" si="0"/>
        <v>0</v>
      </c>
    </row>
    <row r="8" spans="2:35" s="314" customFormat="1" ht="27" customHeight="1">
      <c r="B8" s="598"/>
      <c r="C8" s="599"/>
      <c r="D8" s="289">
        <v>2</v>
      </c>
      <c r="E8" s="290" t="s">
        <v>447</v>
      </c>
      <c r="F8" s="291">
        <v>10797.970199999574</v>
      </c>
      <c r="G8" s="291">
        <v>3473.2300000000005</v>
      </c>
      <c r="H8" s="291">
        <v>3490.0999999999995</v>
      </c>
      <c r="I8" s="292">
        <v>1.004857150260708</v>
      </c>
      <c r="J8" s="291">
        <v>4.3</v>
      </c>
      <c r="K8" s="292">
        <v>1.2380406710756269E-3</v>
      </c>
      <c r="L8" s="291">
        <v>510.06</v>
      </c>
      <c r="M8" s="292">
        <v>1.0060951909317837</v>
      </c>
      <c r="N8" s="293">
        <v>8604.7121999994797</v>
      </c>
      <c r="O8" s="291">
        <v>4.3000000000000007</v>
      </c>
      <c r="P8" s="292">
        <v>1.2380406710756271E-3</v>
      </c>
      <c r="Q8" s="321">
        <v>2193.2579999999998</v>
      </c>
      <c r="R8" s="294">
        <v>21.169999999999163</v>
      </c>
      <c r="S8" s="292">
        <v>6.0951909317837174E-3</v>
      </c>
      <c r="T8" s="301" t="s">
        <v>502</v>
      </c>
      <c r="U8" s="295" t="s">
        <v>421</v>
      </c>
      <c r="V8" s="308" t="s">
        <v>540</v>
      </c>
      <c r="W8" s="308" t="s">
        <v>541</v>
      </c>
      <c r="X8" s="296">
        <v>1</v>
      </c>
      <c r="Y8" s="297" t="s">
        <v>398</v>
      </c>
      <c r="AA8" s="299"/>
      <c r="AB8" s="302">
        <f>SUMIF($U$7:$U$26,TRIM(AB6),$F$7:$F$26)</f>
        <v>0</v>
      </c>
      <c r="AC8" s="302">
        <f>SUMIF($U$7:$U$26,TRIM(AC6),$F$7:$F$26)</f>
        <v>0</v>
      </c>
      <c r="AD8" s="302">
        <f t="shared" ref="AD8:AI8" ca="1" si="1">SUMIF($U$7:$U$176,TRIM(AD6),$F$7:$F$26)</f>
        <v>21190.500660000176</v>
      </c>
      <c r="AE8" s="302">
        <f t="shared" ca="1" si="1"/>
        <v>20133.754600000204</v>
      </c>
      <c r="AF8" s="302">
        <f t="shared" ca="1" si="1"/>
        <v>103367.40971999908</v>
      </c>
      <c r="AG8" s="302">
        <f t="shared" ca="1" si="1"/>
        <v>49335.436569999678</v>
      </c>
      <c r="AH8" s="302">
        <f t="shared" ca="1" si="1"/>
        <v>0</v>
      </c>
      <c r="AI8" s="302">
        <f t="shared" ca="1" si="1"/>
        <v>0</v>
      </c>
    </row>
    <row r="9" spans="2:35" s="314" customFormat="1" ht="27" customHeight="1">
      <c r="B9" s="598"/>
      <c r="C9" s="599"/>
      <c r="D9" s="289">
        <v>3</v>
      </c>
      <c r="E9" s="290" t="s">
        <v>427</v>
      </c>
      <c r="F9" s="291">
        <v>8828.0581599999568</v>
      </c>
      <c r="G9" s="291">
        <v>664.00800000000015</v>
      </c>
      <c r="H9" s="291">
        <v>680.6</v>
      </c>
      <c r="I9" s="292">
        <v>1.0249876507511955</v>
      </c>
      <c r="J9" s="291">
        <v>0.2</v>
      </c>
      <c r="K9" s="292">
        <v>3.012011903471042E-4</v>
      </c>
      <c r="L9" s="291">
        <v>525.73</v>
      </c>
      <c r="M9" s="292">
        <v>1.0252888519415428</v>
      </c>
      <c r="N9" s="293">
        <v>8722.9121599999326</v>
      </c>
      <c r="O9" s="291">
        <v>4.4000000000000012</v>
      </c>
      <c r="P9" s="292">
        <v>6.626426187636294E-3</v>
      </c>
      <c r="Q9" s="321">
        <v>2313.2120000000004</v>
      </c>
      <c r="R9" s="294">
        <v>16.791999999999916</v>
      </c>
      <c r="S9" s="292">
        <v>2.5288851941542741E-2</v>
      </c>
      <c r="T9" s="289" t="s">
        <v>502</v>
      </c>
      <c r="U9" s="295" t="s">
        <v>421</v>
      </c>
      <c r="V9" s="308" t="s">
        <v>540</v>
      </c>
      <c r="W9" s="308" t="s">
        <v>541</v>
      </c>
      <c r="X9" s="296">
        <v>1</v>
      </c>
      <c r="Y9" s="297" t="s">
        <v>266</v>
      </c>
    </row>
    <row r="10" spans="2:35" s="314" customFormat="1" ht="27" customHeight="1">
      <c r="B10" s="598"/>
      <c r="C10" s="599"/>
      <c r="D10" s="289">
        <v>4</v>
      </c>
      <c r="E10" s="290" t="s">
        <v>443</v>
      </c>
      <c r="F10" s="291">
        <v>8688.2210999994568</v>
      </c>
      <c r="G10" s="291">
        <v>2681.6300000000006</v>
      </c>
      <c r="H10" s="291">
        <v>2693.0999999999995</v>
      </c>
      <c r="I10" s="292">
        <v>1.0042772492849494</v>
      </c>
      <c r="J10" s="291">
        <v>9.2000000000000011</v>
      </c>
      <c r="K10" s="292">
        <v>3.4307492085037827E-3</v>
      </c>
      <c r="L10" s="291">
        <v>420.33</v>
      </c>
      <c r="M10" s="292">
        <v>1.0077079984934532</v>
      </c>
      <c r="N10" s="293">
        <v>4821.1850999995331</v>
      </c>
      <c r="O10" s="291">
        <v>4.7</v>
      </c>
      <c r="P10" s="292">
        <v>1.7526653565182368E-3</v>
      </c>
      <c r="Q10" s="321">
        <v>1975.5509999999995</v>
      </c>
      <c r="R10" s="294">
        <v>20.669999999998709</v>
      </c>
      <c r="S10" s="292">
        <v>7.7079984934531253E-3</v>
      </c>
      <c r="T10" s="295" t="s">
        <v>502</v>
      </c>
      <c r="U10" s="295" t="s">
        <v>413</v>
      </c>
      <c r="V10" s="308" t="s">
        <v>538</v>
      </c>
      <c r="W10" s="308" t="s">
        <v>539</v>
      </c>
      <c r="X10" s="296">
        <v>1</v>
      </c>
      <c r="Y10" s="297" t="s">
        <v>293</v>
      </c>
    </row>
    <row r="11" spans="2:35" s="314" customFormat="1" ht="27" customHeight="1">
      <c r="B11" s="598"/>
      <c r="C11" s="599"/>
      <c r="D11" s="289">
        <v>5</v>
      </c>
      <c r="E11" s="290" t="s">
        <v>420</v>
      </c>
      <c r="F11" s="291">
        <v>8394.7779200000259</v>
      </c>
      <c r="G11" s="291">
        <v>681.07399999999984</v>
      </c>
      <c r="H11" s="291">
        <v>689.49999999999989</v>
      </c>
      <c r="I11" s="292">
        <v>1.0123716365622533</v>
      </c>
      <c r="J11" s="291">
        <v>6.0000000000000009</v>
      </c>
      <c r="K11" s="292">
        <v>8.8096154015569559E-3</v>
      </c>
      <c r="L11" s="291">
        <v>581.91999999999996</v>
      </c>
      <c r="M11" s="292">
        <v>1.0211812519638102</v>
      </c>
      <c r="N11" s="293">
        <v>4903.2579200000255</v>
      </c>
      <c r="O11" s="291">
        <v>4.5000000000000018</v>
      </c>
      <c r="P11" s="292">
        <v>6.6072115511677191E-3</v>
      </c>
      <c r="Q11" s="321">
        <v>2618.64</v>
      </c>
      <c r="R11" s="294">
        <v>14.426000000000045</v>
      </c>
      <c r="S11" s="292">
        <v>2.1181251963810169E-2</v>
      </c>
      <c r="T11" s="295" t="s">
        <v>502</v>
      </c>
      <c r="U11" s="295" t="s">
        <v>413</v>
      </c>
      <c r="V11" s="308" t="s">
        <v>542</v>
      </c>
      <c r="W11" s="308" t="s">
        <v>543</v>
      </c>
      <c r="X11" s="296">
        <v>1</v>
      </c>
      <c r="Y11" s="297" t="s">
        <v>277</v>
      </c>
    </row>
    <row r="12" spans="2:35" s="314" customFormat="1" ht="27" customHeight="1">
      <c r="B12" s="598"/>
      <c r="C12" s="599"/>
      <c r="D12" s="289">
        <v>6</v>
      </c>
      <c r="E12" s="290" t="s">
        <v>449</v>
      </c>
      <c r="F12" s="291">
        <v>8130.7101900001353</v>
      </c>
      <c r="G12" s="291">
        <v>1188.9389999999999</v>
      </c>
      <c r="H12" s="291">
        <v>1205.9000000000001</v>
      </c>
      <c r="I12" s="292">
        <v>1.0142656603913238</v>
      </c>
      <c r="J12" s="291">
        <v>0.2</v>
      </c>
      <c r="K12" s="292">
        <v>1.6821720878867631E-4</v>
      </c>
      <c r="L12" s="291">
        <v>473.79</v>
      </c>
      <c r="M12" s="292">
        <v>1.0144338776001127</v>
      </c>
      <c r="N12" s="293">
        <v>8035.9521900001137</v>
      </c>
      <c r="O12" s="291">
        <v>4.1000000000000014</v>
      </c>
      <c r="P12" s="292">
        <v>3.4484527801678655E-3</v>
      </c>
      <c r="Q12" s="321">
        <v>1942.5390000000002</v>
      </c>
      <c r="R12" s="294">
        <v>17.161000000000286</v>
      </c>
      <c r="S12" s="292">
        <v>1.4433877600112612E-2</v>
      </c>
      <c r="T12" s="295" t="s">
        <v>502</v>
      </c>
      <c r="U12" s="295" t="s">
        <v>421</v>
      </c>
      <c r="V12" s="308" t="s">
        <v>540</v>
      </c>
      <c r="W12" s="308" t="s">
        <v>541</v>
      </c>
      <c r="X12" s="296">
        <v>1</v>
      </c>
      <c r="Y12" s="297" t="s">
        <v>398</v>
      </c>
    </row>
    <row r="13" spans="2:35" s="314" customFormat="1" ht="27" customHeight="1">
      <c r="B13" s="598"/>
      <c r="C13" s="599"/>
      <c r="D13" s="289">
        <v>7</v>
      </c>
      <c r="E13" s="290" t="s">
        <v>451</v>
      </c>
      <c r="F13" s="291">
        <v>7951.7851199998586</v>
      </c>
      <c r="G13" s="291">
        <v>697.62600000000009</v>
      </c>
      <c r="H13" s="291">
        <v>714.69999999999982</v>
      </c>
      <c r="I13" s="292">
        <v>1.0244744318589039</v>
      </c>
      <c r="J13" s="291">
        <v>0.8</v>
      </c>
      <c r="K13" s="292">
        <v>1.1467462508564759E-3</v>
      </c>
      <c r="L13" s="291">
        <v>444.88</v>
      </c>
      <c r="M13" s="292">
        <v>1.0256211781097604</v>
      </c>
      <c r="N13" s="293">
        <v>7595.881119999879</v>
      </c>
      <c r="O13" s="291">
        <v>4.7</v>
      </c>
      <c r="P13" s="292">
        <v>6.7371342237817966E-3</v>
      </c>
      <c r="Q13" s="321">
        <v>2090.9360000000001</v>
      </c>
      <c r="R13" s="294">
        <v>17.873999999999683</v>
      </c>
      <c r="S13" s="292">
        <v>2.5621178109760358E-2</v>
      </c>
      <c r="T13" s="289" t="s">
        <v>502</v>
      </c>
      <c r="U13" s="295" t="s">
        <v>421</v>
      </c>
      <c r="V13" s="308" t="s">
        <v>540</v>
      </c>
      <c r="W13" s="308" t="s">
        <v>541</v>
      </c>
      <c r="X13" s="296">
        <v>1</v>
      </c>
      <c r="Y13" s="297" t="s">
        <v>450</v>
      </c>
      <c r="AB13" s="314">
        <v>1</v>
      </c>
      <c r="AC13" s="303" t="s">
        <v>393</v>
      </c>
    </row>
    <row r="14" spans="2:35" s="314" customFormat="1" ht="27" customHeight="1">
      <c r="B14" s="598"/>
      <c r="C14" s="599"/>
      <c r="D14" s="289">
        <v>8</v>
      </c>
      <c r="E14" s="290" t="s">
        <v>403</v>
      </c>
      <c r="F14" s="291">
        <v>7482.6935600001307</v>
      </c>
      <c r="G14" s="291">
        <v>4222.9029999999993</v>
      </c>
      <c r="H14" s="291">
        <v>4278.9000000000005</v>
      </c>
      <c r="I14" s="292">
        <v>1.0132603093180215</v>
      </c>
      <c r="J14" s="291">
        <v>2.7</v>
      </c>
      <c r="K14" s="292">
        <v>6.3937059411499635E-4</v>
      </c>
      <c r="L14" s="291">
        <v>127.48</v>
      </c>
      <c r="M14" s="292">
        <v>1.0138996799121365</v>
      </c>
      <c r="N14" s="293">
        <v>7138.4975600001544</v>
      </c>
      <c r="O14" s="291">
        <v>28.200000000000003</v>
      </c>
      <c r="P14" s="292">
        <v>6.6778706496455177E-3</v>
      </c>
      <c r="Q14" s="321">
        <v>3594.9360000000006</v>
      </c>
      <c r="R14" s="294">
        <v>58.697000000001026</v>
      </c>
      <c r="S14" s="292">
        <v>1.3899679912136517E-2</v>
      </c>
      <c r="T14" s="295" t="s">
        <v>505</v>
      </c>
      <c r="U14" s="295" t="s">
        <v>506</v>
      </c>
      <c r="V14" s="308" t="s">
        <v>544</v>
      </c>
      <c r="W14" s="310" t="s">
        <v>508</v>
      </c>
      <c r="X14" s="296">
        <v>1</v>
      </c>
      <c r="Y14" s="297" t="s">
        <v>317</v>
      </c>
      <c r="AB14" s="314">
        <v>2</v>
      </c>
      <c r="AC14" s="303" t="s">
        <v>510</v>
      </c>
    </row>
    <row r="15" spans="2:35" s="314" customFormat="1" ht="27" customHeight="1">
      <c r="B15" s="598"/>
      <c r="C15" s="599"/>
      <c r="D15" s="289">
        <v>9</v>
      </c>
      <c r="E15" s="290" t="s">
        <v>452</v>
      </c>
      <c r="F15" s="291">
        <v>7481.0247600001558</v>
      </c>
      <c r="G15" s="291">
        <v>360.45899999999983</v>
      </c>
      <c r="H15" s="291">
        <v>368.5</v>
      </c>
      <c r="I15" s="292">
        <v>1.022307668833349</v>
      </c>
      <c r="J15" s="291">
        <v>0</v>
      </c>
      <c r="K15" s="292">
        <v>0</v>
      </c>
      <c r="L15" s="291">
        <v>930.36</v>
      </c>
      <c r="M15" s="292">
        <v>1.022307668833349</v>
      </c>
      <c r="N15" s="293">
        <v>7481.0247600001558</v>
      </c>
      <c r="O15" s="291">
        <v>1.5000000000000002</v>
      </c>
      <c r="P15" s="292">
        <v>4.161360931479033E-3</v>
      </c>
      <c r="Q15" s="321">
        <v>1395.54</v>
      </c>
      <c r="R15" s="294">
        <v>8.0410000000001673</v>
      </c>
      <c r="S15" s="292">
        <v>2.2307668833349066E-2</v>
      </c>
      <c r="T15" s="295" t="s">
        <v>502</v>
      </c>
      <c r="U15" s="295" t="s">
        <v>421</v>
      </c>
      <c r="V15" s="308" t="s">
        <v>545</v>
      </c>
      <c r="W15" s="308" t="s">
        <v>546</v>
      </c>
      <c r="X15" s="296">
        <v>1</v>
      </c>
      <c r="Y15" s="297" t="s">
        <v>270</v>
      </c>
      <c r="AB15" s="314">
        <v>3</v>
      </c>
      <c r="AC15" s="303" t="s">
        <v>506</v>
      </c>
    </row>
    <row r="16" spans="2:35" s="314" customFormat="1" ht="27" customHeight="1">
      <c r="B16" s="598"/>
      <c r="C16" s="599"/>
      <c r="D16" s="289">
        <v>10</v>
      </c>
      <c r="E16" s="290" t="s">
        <v>418</v>
      </c>
      <c r="F16" s="291">
        <v>7352.8623000001144</v>
      </c>
      <c r="G16" s="291">
        <v>2154.6549999999997</v>
      </c>
      <c r="H16" s="291">
        <v>2170.9</v>
      </c>
      <c r="I16" s="292">
        <v>1.0075394900807788</v>
      </c>
      <c r="J16" s="291">
        <v>5.9999999999999991</v>
      </c>
      <c r="K16" s="292">
        <v>2.7846685432238571E-3</v>
      </c>
      <c r="L16" s="291">
        <v>330.54</v>
      </c>
      <c r="M16" s="292">
        <v>1.0103241586240026</v>
      </c>
      <c r="N16" s="293">
        <v>5369.6223000001146</v>
      </c>
      <c r="O16" s="291">
        <v>7.3999999999999995</v>
      </c>
      <c r="P16" s="292">
        <v>3.4344245366427573E-3</v>
      </c>
      <c r="Q16" s="321">
        <v>2445.9960000000005</v>
      </c>
      <c r="R16" s="294">
        <v>22.245000000000346</v>
      </c>
      <c r="S16" s="292">
        <v>1.0324158624002612E-2</v>
      </c>
      <c r="T16" s="295" t="s">
        <v>502</v>
      </c>
      <c r="U16" s="295" t="s">
        <v>413</v>
      </c>
      <c r="V16" s="308" t="s">
        <v>503</v>
      </c>
      <c r="W16" s="308" t="s">
        <v>547</v>
      </c>
      <c r="X16" s="296">
        <v>1</v>
      </c>
      <c r="Y16" s="297" t="s">
        <v>280</v>
      </c>
      <c r="AB16" s="314">
        <v>4</v>
      </c>
      <c r="AC16" s="303" t="s">
        <v>515</v>
      </c>
    </row>
    <row r="17" spans="2:29" s="314" customFormat="1" ht="27" customHeight="1">
      <c r="B17" s="598"/>
      <c r="C17" s="599"/>
      <c r="D17" s="289">
        <v>11</v>
      </c>
      <c r="E17" s="290" t="s">
        <v>440</v>
      </c>
      <c r="F17" s="291">
        <v>7350.5476799998387</v>
      </c>
      <c r="G17" s="291">
        <v>405.59200000000004</v>
      </c>
      <c r="H17" s="291">
        <v>405.39999999999992</v>
      </c>
      <c r="I17" s="292">
        <v>0.99952661788200925</v>
      </c>
      <c r="J17" s="291">
        <v>6.1999999999999993</v>
      </c>
      <c r="K17" s="292">
        <v>1.5286297560109664E-2</v>
      </c>
      <c r="L17" s="291">
        <v>1223.46</v>
      </c>
      <c r="M17" s="292">
        <v>1.0148129154421188</v>
      </c>
      <c r="N17" s="293">
        <v>-234.904320000148</v>
      </c>
      <c r="O17" s="291">
        <v>0.89999999999999991</v>
      </c>
      <c r="P17" s="292">
        <v>2.218978678080435E-3</v>
      </c>
      <c r="Q17" s="321">
        <v>1101.114</v>
      </c>
      <c r="R17" s="294">
        <v>6.0079999999998677</v>
      </c>
      <c r="S17" s="292">
        <v>1.4812915442118846E-2</v>
      </c>
      <c r="T17" s="295" t="s">
        <v>502</v>
      </c>
      <c r="U17" s="295" t="s">
        <v>413</v>
      </c>
      <c r="V17" s="308" t="s">
        <v>548</v>
      </c>
      <c r="W17" s="308" t="s">
        <v>549</v>
      </c>
      <c r="X17" s="296">
        <v>1</v>
      </c>
      <c r="Y17" s="297" t="s">
        <v>230</v>
      </c>
      <c r="AB17" s="314">
        <v>5</v>
      </c>
      <c r="AC17" s="303" t="s">
        <v>413</v>
      </c>
    </row>
    <row r="18" spans="2:29" s="314" customFormat="1" ht="27" customHeight="1">
      <c r="B18" s="598"/>
      <c r="C18" s="599"/>
      <c r="D18" s="289">
        <v>12</v>
      </c>
      <c r="E18" s="290" t="s">
        <v>446</v>
      </c>
      <c r="F18" s="291">
        <v>7320.8825200000774</v>
      </c>
      <c r="G18" s="291">
        <v>546.04200000000003</v>
      </c>
      <c r="H18" s="291">
        <v>554.00000000000011</v>
      </c>
      <c r="I18" s="292">
        <v>1.0145739705004377</v>
      </c>
      <c r="J18" s="291">
        <v>0</v>
      </c>
      <c r="K18" s="292">
        <v>0</v>
      </c>
      <c r="L18" s="291">
        <v>919.94</v>
      </c>
      <c r="M18" s="292">
        <v>1.0145739705004377</v>
      </c>
      <c r="N18" s="293">
        <v>7320.8825200000774</v>
      </c>
      <c r="O18" s="291">
        <v>1.5</v>
      </c>
      <c r="P18" s="292">
        <v>2.7470414363730262E-3</v>
      </c>
      <c r="Q18" s="321">
        <v>1379.91</v>
      </c>
      <c r="R18" s="294">
        <v>7.9580000000000837</v>
      </c>
      <c r="S18" s="292">
        <v>1.4573970500437848E-2</v>
      </c>
      <c r="T18" s="289" t="s">
        <v>502</v>
      </c>
      <c r="U18" s="295" t="s">
        <v>413</v>
      </c>
      <c r="V18" s="308" t="s">
        <v>550</v>
      </c>
      <c r="W18" s="308" t="s">
        <v>547</v>
      </c>
      <c r="X18" s="296">
        <v>1</v>
      </c>
      <c r="Y18" s="297" t="s">
        <v>229</v>
      </c>
      <c r="AB18" s="314">
        <v>6</v>
      </c>
      <c r="AC18" s="303" t="s">
        <v>421</v>
      </c>
    </row>
    <row r="19" spans="2:29" s="314" customFormat="1" ht="27" customHeight="1">
      <c r="B19" s="598"/>
      <c r="C19" s="599"/>
      <c r="D19" s="289">
        <v>13</v>
      </c>
      <c r="E19" s="290" t="s">
        <v>414</v>
      </c>
      <c r="F19" s="291">
        <v>7298.7010200006507</v>
      </c>
      <c r="G19" s="291">
        <v>10097.481999999996</v>
      </c>
      <c r="H19" s="291">
        <v>10150.800000000001</v>
      </c>
      <c r="I19" s="292">
        <v>1.0052803263229393</v>
      </c>
      <c r="J19" s="291">
        <v>0</v>
      </c>
      <c r="K19" s="292">
        <v>0</v>
      </c>
      <c r="L19" s="291">
        <v>136.88999999999999</v>
      </c>
      <c r="M19" s="292">
        <v>1.0052803263229393</v>
      </c>
      <c r="N19" s="293">
        <v>7298.7010200006507</v>
      </c>
      <c r="O19" s="291">
        <v>26.4</v>
      </c>
      <c r="P19" s="292">
        <v>2.6145132024003618E-3</v>
      </c>
      <c r="Q19" s="321">
        <v>3613.8959999999997</v>
      </c>
      <c r="R19" s="294">
        <v>53.318000000004758</v>
      </c>
      <c r="S19" s="292">
        <v>5.2803263229392015E-3</v>
      </c>
      <c r="T19" s="295" t="s">
        <v>494</v>
      </c>
      <c r="U19" s="295" t="s">
        <v>551</v>
      </c>
      <c r="V19" s="308" t="s">
        <v>552</v>
      </c>
      <c r="W19" s="310" t="s">
        <v>504</v>
      </c>
      <c r="X19" s="296">
        <v>1</v>
      </c>
      <c r="Y19" s="297" t="s">
        <v>398</v>
      </c>
      <c r="AB19" s="314">
        <v>7</v>
      </c>
      <c r="AC19" s="303" t="s">
        <v>519</v>
      </c>
    </row>
    <row r="20" spans="2:29" s="314" customFormat="1" ht="27" customHeight="1">
      <c r="B20" s="598"/>
      <c r="C20" s="599"/>
      <c r="D20" s="289">
        <v>14</v>
      </c>
      <c r="E20" s="290" t="s">
        <v>411</v>
      </c>
      <c r="F20" s="291">
        <v>7149.3295000000053</v>
      </c>
      <c r="G20" s="291">
        <v>12927.93</v>
      </c>
      <c r="H20" s="291">
        <v>13018.6</v>
      </c>
      <c r="I20" s="292">
        <v>1.0070134971337252</v>
      </c>
      <c r="J20" s="291">
        <v>0</v>
      </c>
      <c r="K20" s="292">
        <v>0</v>
      </c>
      <c r="L20" s="291">
        <v>78.849999999999994</v>
      </c>
      <c r="M20" s="292">
        <v>1.0070134971337252</v>
      </c>
      <c r="N20" s="293">
        <v>7149.3295000000053</v>
      </c>
      <c r="O20" s="291">
        <v>48.4</v>
      </c>
      <c r="P20" s="292">
        <v>3.743832152556519E-3</v>
      </c>
      <c r="Q20" s="321">
        <v>3816.3399999999997</v>
      </c>
      <c r="R20" s="294">
        <v>90.670000000000073</v>
      </c>
      <c r="S20" s="292">
        <v>7.0134971337252033E-3</v>
      </c>
      <c r="T20" s="295" t="s">
        <v>505</v>
      </c>
      <c r="U20" s="295" t="s">
        <v>506</v>
      </c>
      <c r="V20" s="308" t="s">
        <v>544</v>
      </c>
      <c r="W20" s="310" t="s">
        <v>508</v>
      </c>
      <c r="X20" s="296">
        <v>1</v>
      </c>
      <c r="Y20" s="297" t="s">
        <v>280</v>
      </c>
      <c r="AB20" s="314">
        <v>8</v>
      </c>
      <c r="AC20" s="304" t="s">
        <v>521</v>
      </c>
    </row>
    <row r="21" spans="2:29" s="314" customFormat="1" ht="27" customHeight="1">
      <c r="B21" s="598"/>
      <c r="C21" s="599"/>
      <c r="D21" s="289">
        <v>15</v>
      </c>
      <c r="E21" s="290" t="s">
        <v>438</v>
      </c>
      <c r="F21" s="291">
        <v>6958.6875000002528</v>
      </c>
      <c r="G21" s="291">
        <v>2025.4499999999996</v>
      </c>
      <c r="H21" s="291">
        <v>2037.5000000000002</v>
      </c>
      <c r="I21" s="292">
        <v>1.0059492952183469</v>
      </c>
      <c r="J21" s="291">
        <v>6.7</v>
      </c>
      <c r="K21" s="292">
        <v>3.3079068848897784E-3</v>
      </c>
      <c r="L21" s="291">
        <v>371.13</v>
      </c>
      <c r="M21" s="292">
        <v>1.0092572021032367</v>
      </c>
      <c r="N21" s="293">
        <v>4472.1165000002366</v>
      </c>
      <c r="O21" s="291">
        <v>6.4999999999999982</v>
      </c>
      <c r="P21" s="292">
        <v>3.20916339578859E-3</v>
      </c>
      <c r="Q21" s="321">
        <v>2412.3449999999993</v>
      </c>
      <c r="R21" s="294">
        <v>18.750000000000682</v>
      </c>
      <c r="S21" s="292">
        <v>9.2572021032366562E-3</v>
      </c>
      <c r="T21" s="289" t="s">
        <v>494</v>
      </c>
      <c r="U21" s="295" t="s">
        <v>489</v>
      </c>
      <c r="V21" s="308" t="s">
        <v>553</v>
      </c>
      <c r="W21" s="308" t="s">
        <v>554</v>
      </c>
      <c r="X21" s="296">
        <v>1</v>
      </c>
      <c r="Y21" s="297" t="s">
        <v>310</v>
      </c>
      <c r="AC21" s="303"/>
    </row>
    <row r="22" spans="2:29" s="314" customFormat="1" ht="27" customHeight="1">
      <c r="B22" s="598"/>
      <c r="C22" s="599"/>
      <c r="D22" s="289">
        <v>16</v>
      </c>
      <c r="E22" s="290" t="s">
        <v>408</v>
      </c>
      <c r="F22" s="291">
        <v>6949.236700000024</v>
      </c>
      <c r="G22" s="291">
        <v>6743.89</v>
      </c>
      <c r="H22" s="291">
        <v>6806.4000000000005</v>
      </c>
      <c r="I22" s="292">
        <v>1.0092691310208204</v>
      </c>
      <c r="J22" s="291">
        <v>0</v>
      </c>
      <c r="K22" s="292">
        <v>0</v>
      </c>
      <c r="L22" s="291">
        <v>111.17</v>
      </c>
      <c r="M22" s="292">
        <v>1.0092691310208204</v>
      </c>
      <c r="N22" s="293">
        <v>6949.236700000024</v>
      </c>
      <c r="O22" s="291">
        <v>32.6</v>
      </c>
      <c r="P22" s="292">
        <v>4.8340052996119452E-3</v>
      </c>
      <c r="Q22" s="321">
        <v>3624.1420000000012</v>
      </c>
      <c r="R22" s="294">
        <v>62.510000000000218</v>
      </c>
      <c r="S22" s="292">
        <v>9.2691310208203592E-3</v>
      </c>
      <c r="T22" s="295" t="s">
        <v>494</v>
      </c>
      <c r="U22" s="295" t="s">
        <v>489</v>
      </c>
      <c r="V22" s="308" t="s">
        <v>500</v>
      </c>
      <c r="W22" s="308" t="s">
        <v>554</v>
      </c>
      <c r="X22" s="296">
        <v>1</v>
      </c>
      <c r="Y22" s="297" t="s">
        <v>398</v>
      </c>
      <c r="AC22" s="303"/>
    </row>
    <row r="23" spans="2:29" s="314" customFormat="1" ht="27" customHeight="1">
      <c r="B23" s="598"/>
      <c r="C23" s="599"/>
      <c r="D23" s="289">
        <v>17</v>
      </c>
      <c r="E23" s="290" t="s">
        <v>426</v>
      </c>
      <c r="F23" s="291">
        <v>6825.3530000000119</v>
      </c>
      <c r="G23" s="291">
        <v>1134.8399999999999</v>
      </c>
      <c r="H23" s="291">
        <v>1153.7</v>
      </c>
      <c r="I23" s="292">
        <v>1.0166190828663073</v>
      </c>
      <c r="J23" s="291">
        <v>2.5999999999999996</v>
      </c>
      <c r="K23" s="292">
        <v>2.2910718691621723E-3</v>
      </c>
      <c r="L23" s="291">
        <v>318.05</v>
      </c>
      <c r="M23" s="292">
        <v>1.0189101547354693</v>
      </c>
      <c r="N23" s="293">
        <v>5998.4230000000407</v>
      </c>
      <c r="O23" s="291">
        <v>6.9999999999999982</v>
      </c>
      <c r="P23" s="292">
        <v>6.1682704169750795E-3</v>
      </c>
      <c r="Q23" s="321">
        <v>2226.3499999999995</v>
      </c>
      <c r="R23" s="294">
        <v>21.460000000000036</v>
      </c>
      <c r="S23" s="292">
        <v>1.8910154735469351E-2</v>
      </c>
      <c r="T23" s="295" t="s">
        <v>502</v>
      </c>
      <c r="U23" s="295" t="s">
        <v>413</v>
      </c>
      <c r="V23" s="308" t="s">
        <v>555</v>
      </c>
      <c r="W23" s="308" t="s">
        <v>541</v>
      </c>
      <c r="X23" s="296">
        <v>1</v>
      </c>
      <c r="Y23" s="297" t="s">
        <v>300</v>
      </c>
      <c r="AB23" s="305">
        <v>1</v>
      </c>
      <c r="AC23" s="303" t="s">
        <v>505</v>
      </c>
    </row>
    <row r="24" spans="2:29" s="314" customFormat="1" ht="27" customHeight="1">
      <c r="B24" s="598"/>
      <c r="C24" s="599"/>
      <c r="D24" s="289">
        <v>18</v>
      </c>
      <c r="E24" s="290" t="s">
        <v>556</v>
      </c>
      <c r="F24" s="291">
        <v>6558.4776000000411</v>
      </c>
      <c r="G24" s="291">
        <v>155.21399999999997</v>
      </c>
      <c r="H24" s="291">
        <v>166.30000000000004</v>
      </c>
      <c r="I24" s="292">
        <v>1.0714239694872889</v>
      </c>
      <c r="J24" s="291">
        <v>0</v>
      </c>
      <c r="K24" s="292">
        <v>0</v>
      </c>
      <c r="L24" s="291">
        <v>591.6</v>
      </c>
      <c r="M24" s="292">
        <v>1.0714239694872889</v>
      </c>
      <c r="N24" s="293">
        <v>6558.4776000000411</v>
      </c>
      <c r="O24" s="291">
        <v>4.0000000000000018</v>
      </c>
      <c r="P24" s="292">
        <v>2.5770871184300402E-2</v>
      </c>
      <c r="Q24" s="321">
        <v>2366.3999999999996</v>
      </c>
      <c r="R24" s="294">
        <v>11.08600000000007</v>
      </c>
      <c r="S24" s="292">
        <v>7.1423969487288977E-2</v>
      </c>
      <c r="T24" s="295" t="s">
        <v>531</v>
      </c>
      <c r="U24" s="295" t="s">
        <v>506</v>
      </c>
      <c r="V24" s="308" t="s">
        <v>557</v>
      </c>
      <c r="W24" s="308" t="s">
        <v>558</v>
      </c>
      <c r="X24" s="296">
        <v>1</v>
      </c>
      <c r="Y24" s="297" t="s">
        <v>245</v>
      </c>
      <c r="AB24" s="314">
        <v>2</v>
      </c>
      <c r="AC24" s="303" t="s">
        <v>531</v>
      </c>
    </row>
    <row r="25" spans="2:29" s="314" customFormat="1" ht="27" customHeight="1">
      <c r="B25" s="598"/>
      <c r="C25" s="599"/>
      <c r="D25" s="289">
        <v>19</v>
      </c>
      <c r="E25" s="290" t="s">
        <v>559</v>
      </c>
      <c r="F25" s="291">
        <v>6225.830399999928</v>
      </c>
      <c r="G25" s="291">
        <v>1319.7400000000002</v>
      </c>
      <c r="H25" s="291">
        <v>1336.2</v>
      </c>
      <c r="I25" s="292">
        <v>1.0124721536060131</v>
      </c>
      <c r="J25" s="291">
        <v>0</v>
      </c>
      <c r="K25" s="292">
        <v>0</v>
      </c>
      <c r="L25" s="291">
        <v>378.24</v>
      </c>
      <c r="M25" s="292">
        <v>1.0124721536060131</v>
      </c>
      <c r="N25" s="293">
        <v>6225.830399999928</v>
      </c>
      <c r="O25" s="291">
        <v>6.9999999999999982</v>
      </c>
      <c r="P25" s="292">
        <v>5.3040750450846358E-3</v>
      </c>
      <c r="Q25" s="321">
        <v>2647.6800000000012</v>
      </c>
      <c r="R25" s="294">
        <v>16.459999999999809</v>
      </c>
      <c r="S25" s="292">
        <v>1.247215360601316E-2</v>
      </c>
      <c r="T25" s="295" t="s">
        <v>494</v>
      </c>
      <c r="U25" s="295" t="s">
        <v>489</v>
      </c>
      <c r="V25" s="308" t="s">
        <v>560</v>
      </c>
      <c r="W25" s="310" t="s">
        <v>561</v>
      </c>
      <c r="X25" s="296">
        <v>1</v>
      </c>
      <c r="Y25" s="297" t="s">
        <v>562</v>
      </c>
      <c r="AB25" s="306">
        <v>3</v>
      </c>
      <c r="AC25" s="303" t="s">
        <v>494</v>
      </c>
    </row>
    <row r="26" spans="2:29" s="314" customFormat="1" ht="27" customHeight="1">
      <c r="B26" s="600"/>
      <c r="C26" s="601"/>
      <c r="D26" s="289">
        <v>20</v>
      </c>
      <c r="E26" s="290" t="s">
        <v>424</v>
      </c>
      <c r="F26" s="291">
        <v>6145.8881399999964</v>
      </c>
      <c r="G26" s="291">
        <v>539.09400000000005</v>
      </c>
      <c r="H26" s="291">
        <v>547</v>
      </c>
      <c r="I26" s="292">
        <v>1.0146653459322492</v>
      </c>
      <c r="J26" s="291">
        <v>0.2</v>
      </c>
      <c r="K26" s="292">
        <v>3.7099281386919535E-4</v>
      </c>
      <c r="L26" s="291">
        <v>758.19</v>
      </c>
      <c r="M26" s="292">
        <v>1.0150363387461185</v>
      </c>
      <c r="N26" s="293">
        <v>5994.2501399999619</v>
      </c>
      <c r="O26" s="291">
        <v>2.4000000000000008</v>
      </c>
      <c r="P26" s="292">
        <v>4.4519137664303455E-3</v>
      </c>
      <c r="Q26" s="321">
        <v>1819.6559999999997</v>
      </c>
      <c r="R26" s="294">
        <v>8.1059999999999945</v>
      </c>
      <c r="S26" s="292">
        <v>1.5036338746118476E-2</v>
      </c>
      <c r="T26" s="295" t="s">
        <v>502</v>
      </c>
      <c r="U26" s="295" t="s">
        <v>421</v>
      </c>
      <c r="V26" s="308" t="s">
        <v>545</v>
      </c>
      <c r="W26" s="308" t="s">
        <v>546</v>
      </c>
      <c r="X26" s="296">
        <v>1</v>
      </c>
      <c r="Y26" s="297" t="s">
        <v>317</v>
      </c>
      <c r="AB26" s="306">
        <v>4</v>
      </c>
      <c r="AC26" s="303" t="s">
        <v>502</v>
      </c>
    </row>
    <row r="27" spans="2:29" ht="29.45" customHeight="1">
      <c r="C27" s="602"/>
      <c r="AB27" s="314"/>
      <c r="AC27" s="303"/>
    </row>
    <row r="28" spans="2:29">
      <c r="C28" s="602"/>
    </row>
    <row r="29" spans="2:29">
      <c r="C29" s="602"/>
    </row>
    <row r="30" spans="2:29">
      <c r="C30" s="602"/>
    </row>
    <row r="31" spans="2:29">
      <c r="C31" s="602"/>
    </row>
    <row r="32" spans="2:29">
      <c r="C32" s="602"/>
    </row>
    <row r="33" spans="3:3">
      <c r="C33" s="602"/>
    </row>
    <row r="34" spans="3:3">
      <c r="C34" s="602"/>
    </row>
    <row r="35" spans="3:3">
      <c r="C35" s="602"/>
    </row>
    <row r="36" spans="3:3">
      <c r="C36" s="602"/>
    </row>
    <row r="67" ht="14.1" customHeight="1"/>
    <row r="77" ht="14.1" customHeight="1"/>
    <row r="87" ht="14.1" customHeight="1"/>
    <row r="112" spans="26:26">
      <c r="Z112" s="307" t="s">
        <v>533</v>
      </c>
    </row>
    <row r="113" spans="26:26">
      <c r="Z113" s="314" t="s">
        <v>534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Q5"/>
    <mergeCell ref="R5:S5"/>
  </mergeCells>
  <phoneticPr fontId="12" type="noConversion"/>
  <dataValidations count="2">
    <dataValidation type="list" allowBlank="1" showInputMessage="1" showErrorMessage="1" sqref="U1:U1048576" xr:uid="{00000000-0002-0000-1B00-000000000000}">
      <formula1>$AC$13:$AC$20</formula1>
    </dataValidation>
    <dataValidation type="list" allowBlank="1" showInputMessage="1" showErrorMessage="1" sqref="T1:T1048576" xr:uid="{00000000-0002-0000-1B00-000001000000}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5" tint="0.39997558519241921"/>
  </sheetPr>
  <dimension ref="A1:R66"/>
  <sheetViews>
    <sheetView zoomScale="75" zoomScaleNormal="75" workbookViewId="0">
      <selection activeCell="P37" sqref="P37"/>
    </sheetView>
  </sheetViews>
  <sheetFormatPr defaultColWidth="8.28515625" defaultRowHeight="15"/>
  <cols>
    <col min="1" max="1" width="18.42578125" style="263" customWidth="1"/>
    <col min="2" max="2" width="19.42578125" style="263" bestFit="1" customWidth="1"/>
    <col min="3" max="6" width="14.28515625" style="263" customWidth="1"/>
    <col min="7" max="10" width="18.42578125" style="263" customWidth="1"/>
    <col min="11" max="11" width="17.140625" style="263" bestFit="1" customWidth="1"/>
    <col min="12" max="12" width="16" style="263" customWidth="1"/>
    <col min="13" max="13" width="23.28515625" style="263" bestFit="1" customWidth="1"/>
    <col min="14" max="15" width="12.5703125" style="263" bestFit="1" customWidth="1"/>
    <col min="16" max="16384" width="8.28515625" style="263"/>
  </cols>
  <sheetData>
    <row r="1" spans="1:18" ht="27" customHeight="1">
      <c r="A1" s="636" t="s">
        <v>563</v>
      </c>
      <c r="B1" s="636"/>
      <c r="C1" s="636"/>
      <c r="D1" s="636"/>
      <c r="E1" s="636"/>
      <c r="F1" s="636"/>
      <c r="G1" s="636"/>
      <c r="H1" s="636"/>
      <c r="I1" s="636"/>
      <c r="J1" s="636"/>
      <c r="K1" s="636"/>
      <c r="L1" s="636"/>
      <c r="M1" s="636"/>
      <c r="N1" s="636"/>
      <c r="O1" s="636"/>
    </row>
    <row r="2" spans="1:18" ht="16.5" customHeight="1">
      <c r="A2" s="637" t="s">
        <v>564</v>
      </c>
      <c r="B2" s="637" t="s">
        <v>166</v>
      </c>
      <c r="C2" s="637" t="s">
        <v>565</v>
      </c>
      <c r="D2" s="637" t="s">
        <v>566</v>
      </c>
      <c r="E2" s="637" t="s">
        <v>567</v>
      </c>
      <c r="F2" s="637" t="s">
        <v>568</v>
      </c>
      <c r="G2" s="637" t="s">
        <v>569</v>
      </c>
      <c r="H2" s="637"/>
      <c r="I2" s="637" t="s">
        <v>570</v>
      </c>
      <c r="J2" s="637"/>
      <c r="K2" s="637" t="s">
        <v>571</v>
      </c>
      <c r="L2" s="637"/>
      <c r="M2" s="638" t="s">
        <v>143</v>
      </c>
      <c r="N2" s="639"/>
      <c r="O2" s="640"/>
    </row>
    <row r="3" spans="1:18" ht="37.5" customHeight="1">
      <c r="A3" s="637"/>
      <c r="B3" s="637"/>
      <c r="C3" s="637"/>
      <c r="D3" s="637"/>
      <c r="E3" s="637"/>
      <c r="F3" s="637"/>
      <c r="G3" s="264" t="s">
        <v>572</v>
      </c>
      <c r="H3" s="264" t="s">
        <v>573</v>
      </c>
      <c r="I3" s="264" t="s">
        <v>572</v>
      </c>
      <c r="J3" s="264" t="s">
        <v>573</v>
      </c>
      <c r="K3" s="264" t="s">
        <v>574</v>
      </c>
      <c r="L3" s="264" t="s">
        <v>575</v>
      </c>
      <c r="M3" s="264" t="s">
        <v>166</v>
      </c>
      <c r="N3" s="265" t="s">
        <v>576</v>
      </c>
      <c r="O3" s="265" t="s">
        <v>577</v>
      </c>
    </row>
    <row r="4" spans="1:18" ht="18.75">
      <c r="A4" s="266">
        <v>45901</v>
      </c>
      <c r="B4" s="267">
        <v>7106225</v>
      </c>
      <c r="C4" s="267">
        <f>'[2]0901分析標準表'!$D$5</f>
        <v>17493</v>
      </c>
      <c r="D4" s="268">
        <f t="shared" ref="D4:D35" si="0">C4/B4</f>
        <v>2.4616445440441303E-3</v>
      </c>
      <c r="E4" s="269">
        <f>'[2]0901分析標準表'!$F$5</f>
        <v>15425.990995078968</v>
      </c>
      <c r="F4" s="270">
        <f t="shared" ref="F4:F35" si="1">E4/B4</f>
        <v>2.170771541159894E-3</v>
      </c>
      <c r="G4" s="267">
        <f>'[2]0901分析標準表'!$H$5</f>
        <v>1396.329</v>
      </c>
      <c r="H4" s="271">
        <f t="shared" ref="H4:H35" si="2">G4/C4</f>
        <v>7.9822157434402324E-2</v>
      </c>
      <c r="I4" s="272">
        <f>'[2]0901分析標準表'!$J$5</f>
        <v>2117.9641100000049</v>
      </c>
      <c r="J4" s="271">
        <f t="shared" ref="J4:J35" si="3">I4/E4</f>
        <v>0.1372984147777381</v>
      </c>
      <c r="K4" s="273">
        <f>'[2]0901分析標準表'!$L$5</f>
        <v>2518.7649999999999</v>
      </c>
      <c r="L4" s="274">
        <f t="shared" ref="L4:L35" si="4">K4/C4</f>
        <v>0.14398702338078087</v>
      </c>
      <c r="M4" s="274"/>
      <c r="N4" s="275"/>
      <c r="O4" s="275"/>
    </row>
    <row r="5" spans="1:18" ht="18.75">
      <c r="A5" s="276">
        <f t="shared" ref="A5:A32" si="5">A4+1</f>
        <v>45902</v>
      </c>
      <c r="B5" s="267">
        <v>7727458</v>
      </c>
      <c r="C5" s="267">
        <f>'[2]0902分析標準表'!$D$5</f>
        <v>19443</v>
      </c>
      <c r="D5" s="268">
        <f t="shared" si="0"/>
        <v>2.5160926141559099E-3</v>
      </c>
      <c r="E5" s="269">
        <f>'[2]0902分析標準表'!$F$5</f>
        <v>23159.367163939969</v>
      </c>
      <c r="F5" s="270">
        <f t="shared" si="1"/>
        <v>2.9970227161299316E-3</v>
      </c>
      <c r="G5" s="267">
        <f>'[2]0902分析標準表'!$H$5</f>
        <v>1538.9590000000003</v>
      </c>
      <c r="H5" s="271">
        <f t="shared" si="2"/>
        <v>7.915234274546111E-2</v>
      </c>
      <c r="I5" s="272">
        <f>'[2]0902分析標準表'!$J$5</f>
        <v>8706.0231400000102</v>
      </c>
      <c r="J5" s="271">
        <f t="shared" si="3"/>
        <v>0.37591800666969971</v>
      </c>
      <c r="K5" s="273">
        <f>'[2]0902分析標準表'!$L$5</f>
        <v>2579.453</v>
      </c>
      <c r="L5" s="274">
        <f t="shared" si="4"/>
        <v>0.13266743815254847</v>
      </c>
      <c r="M5" s="631">
        <f>SUM(B5:B11)</f>
        <v>48362935</v>
      </c>
      <c r="N5" s="634">
        <f>SUM(C5:C11)</f>
        <v>120466</v>
      </c>
      <c r="O5" s="634">
        <f>SUM(E5:E11)</f>
        <v>132659.91877008689</v>
      </c>
    </row>
    <row r="6" spans="1:18" ht="18.75">
      <c r="A6" s="276">
        <f t="shared" si="5"/>
        <v>45903</v>
      </c>
      <c r="B6" s="267">
        <v>7254649</v>
      </c>
      <c r="C6" s="267">
        <f>'[2]0903分析標準表'!$D$5</f>
        <v>17732</v>
      </c>
      <c r="D6" s="268">
        <f t="shared" si="0"/>
        <v>2.4442257647475435E-3</v>
      </c>
      <c r="E6" s="269">
        <f>'[2]0903分析標準表'!$F$5</f>
        <v>18911.598026080897</v>
      </c>
      <c r="F6" s="270">
        <f t="shared" si="1"/>
        <v>2.6068246756088265E-3</v>
      </c>
      <c r="G6" s="267">
        <f>'[2]0903分析標準表'!$H$5</f>
        <v>1447.9350000000002</v>
      </c>
      <c r="H6" s="271">
        <f t="shared" si="2"/>
        <v>8.1656609519512757E-2</v>
      </c>
      <c r="I6" s="272">
        <f>'[2]0903分析標準表'!$J$5</f>
        <v>5997.0070599999908</v>
      </c>
      <c r="J6" s="271">
        <f t="shared" si="3"/>
        <v>0.31710736722140276</v>
      </c>
      <c r="K6" s="273">
        <f>'[2]0903分析標準表'!$L$5</f>
        <v>2578.7200000000003</v>
      </c>
      <c r="L6" s="274">
        <f t="shared" si="4"/>
        <v>0.14542747575005641</v>
      </c>
      <c r="M6" s="632"/>
      <c r="N6" s="635"/>
      <c r="O6" s="635"/>
    </row>
    <row r="7" spans="1:18" ht="18.75">
      <c r="A7" s="276">
        <f t="shared" si="5"/>
        <v>45904</v>
      </c>
      <c r="B7" s="267">
        <v>6602059</v>
      </c>
      <c r="C7" s="267">
        <f>'[2]0904分析標準表'!$D$5</f>
        <v>16595</v>
      </c>
      <c r="D7" s="268">
        <f t="shared" si="0"/>
        <v>2.5136097693159057E-3</v>
      </c>
      <c r="E7" s="269">
        <f>'[2]0904分析標準表'!$F$5</f>
        <v>20314.95142431571</v>
      </c>
      <c r="F7" s="270">
        <f t="shared" si="1"/>
        <v>3.0770629926687582E-3</v>
      </c>
      <c r="G7" s="267">
        <f>'[2]0904分析標準表'!$H$5</f>
        <v>1389.931</v>
      </c>
      <c r="H7" s="271">
        <f t="shared" si="2"/>
        <v>8.3756010846640555E-2</v>
      </c>
      <c r="I7" s="272">
        <f>'[2]0904分析標準表'!$J$5</f>
        <v>5773.8425999999972</v>
      </c>
      <c r="J7" s="271">
        <f t="shared" si="3"/>
        <v>0.28421641181425977</v>
      </c>
      <c r="K7" s="273">
        <f>'[2]0904分析標準表'!$L$5</f>
        <v>2350.049</v>
      </c>
      <c r="L7" s="274">
        <f t="shared" si="4"/>
        <v>0.14161187104549564</v>
      </c>
      <c r="M7" s="632"/>
      <c r="N7" s="635"/>
      <c r="O7" s="635"/>
    </row>
    <row r="8" spans="1:18" ht="18.75">
      <c r="A8" s="276">
        <f t="shared" si="5"/>
        <v>45905</v>
      </c>
      <c r="B8" s="267">
        <v>5807177</v>
      </c>
      <c r="C8" s="267">
        <f>'[2]0905分析標準表'!$D$5</f>
        <v>14661</v>
      </c>
      <c r="D8" s="268">
        <f t="shared" si="0"/>
        <v>2.5246346030093451E-3</v>
      </c>
      <c r="E8" s="269">
        <f>'[2]0905分析標準表'!$F$5</f>
        <v>16523.845462971727</v>
      </c>
      <c r="F8" s="270">
        <f t="shared" si="1"/>
        <v>2.8454179135527862E-3</v>
      </c>
      <c r="G8" s="267">
        <f>'[2]0905分析標準表'!$H$5</f>
        <v>1409.78</v>
      </c>
      <c r="H8" s="271">
        <f t="shared" si="2"/>
        <v>9.6158515790191662E-2</v>
      </c>
      <c r="I8" s="272">
        <f>'[2]0905分析標準表'!$J$5</f>
        <v>4830.0334831147793</v>
      </c>
      <c r="J8" s="271">
        <f t="shared" si="3"/>
        <v>0.29230686609472339</v>
      </c>
      <c r="K8" s="273">
        <f>'[2]0905分析標準表'!$L$5</f>
        <v>2620.6470000000004</v>
      </c>
      <c r="L8" s="274">
        <f t="shared" si="4"/>
        <v>0.17874953959484349</v>
      </c>
      <c r="M8" s="632"/>
      <c r="N8" s="635"/>
      <c r="O8" s="635"/>
      <c r="P8" s="277"/>
      <c r="Q8" s="277"/>
    </row>
    <row r="9" spans="1:18" ht="18.75">
      <c r="A9" s="276">
        <f t="shared" si="5"/>
        <v>45906</v>
      </c>
      <c r="B9" s="267">
        <v>6167669</v>
      </c>
      <c r="C9" s="267">
        <f>'[2]0906分析標準表'!$D$5</f>
        <v>15451</v>
      </c>
      <c r="D9" s="268">
        <f t="shared" si="0"/>
        <v>2.5051603774456769E-3</v>
      </c>
      <c r="E9" s="269">
        <f>'[2]0906分析標準表'!$F$5</f>
        <v>17959.668709250822</v>
      </c>
      <c r="F9" s="270">
        <f t="shared" si="1"/>
        <v>2.9119054069293962E-3</v>
      </c>
      <c r="G9" s="267">
        <f>'[2]0906分析標準表'!$H$5</f>
        <v>1455.6889999999999</v>
      </c>
      <c r="H9" s="271">
        <f t="shared" si="2"/>
        <v>9.4213254805514193E-2</v>
      </c>
      <c r="I9" s="272">
        <f>'[2]0906分析標準表'!$J$5</f>
        <v>4238.835810000005</v>
      </c>
      <c r="J9" s="271">
        <f t="shared" si="3"/>
        <v>0.23601971053155502</v>
      </c>
      <c r="K9" s="273">
        <f>'[2]0906分析標準表'!$L$5</f>
        <v>2736.1210000000001</v>
      </c>
      <c r="L9" s="274">
        <f t="shared" si="4"/>
        <v>0.17708374862468448</v>
      </c>
      <c r="M9" s="632"/>
      <c r="N9" s="635"/>
      <c r="O9" s="635"/>
    </row>
    <row r="10" spans="1:18" ht="18.75">
      <c r="A10" s="266">
        <f t="shared" si="5"/>
        <v>45907</v>
      </c>
      <c r="B10" s="267">
        <v>7394780</v>
      </c>
      <c r="C10" s="267">
        <f>'[2]0907分析標準表'!$D$5</f>
        <v>18444</v>
      </c>
      <c r="D10" s="268">
        <f t="shared" si="0"/>
        <v>2.4941918488447256E-3</v>
      </c>
      <c r="E10" s="269">
        <f>'[2]0907分析標準表'!$F$5</f>
        <v>18764.334996042362</v>
      </c>
      <c r="F10" s="270">
        <f t="shared" si="1"/>
        <v>2.5375109193299006E-3</v>
      </c>
      <c r="G10" s="267">
        <f>'[2]0907分析標準表'!$H$5</f>
        <v>1445.288</v>
      </c>
      <c r="H10" s="271">
        <f t="shared" si="2"/>
        <v>7.8360876165690735E-2</v>
      </c>
      <c r="I10" s="272">
        <f>'[2]0907分析標準表'!$J$5</f>
        <v>4427.8308900000002</v>
      </c>
      <c r="J10" s="271">
        <f t="shared" si="3"/>
        <v>0.2359705734806955</v>
      </c>
      <c r="K10" s="273">
        <f>'[2]0907分析標準表'!$L$5</f>
        <v>2749.6240000000003</v>
      </c>
      <c r="L10" s="274">
        <f t="shared" si="4"/>
        <v>0.14907959227933204</v>
      </c>
      <c r="M10" s="632"/>
      <c r="N10" s="635"/>
      <c r="O10" s="635"/>
    </row>
    <row r="11" spans="1:18" ht="18.75">
      <c r="A11" s="278">
        <f t="shared" si="5"/>
        <v>45908</v>
      </c>
      <c r="B11" s="267">
        <v>7409143</v>
      </c>
      <c r="C11" s="267">
        <f>'[2]0908分析標準表'!$D$5</f>
        <v>18140</v>
      </c>
      <c r="D11" s="268">
        <f t="shared" si="0"/>
        <v>2.4483263448957593E-3</v>
      </c>
      <c r="E11" s="269">
        <f>'[2]0908分析標準表'!$F$5</f>
        <v>17026.152987485399</v>
      </c>
      <c r="F11" s="270">
        <f t="shared" si="1"/>
        <v>2.2979922222428964E-3</v>
      </c>
      <c r="G11" s="267">
        <f>'[2]0908分析標準表'!$H$5</f>
        <v>1511.9930000000002</v>
      </c>
      <c r="H11" s="271">
        <f t="shared" si="2"/>
        <v>8.3351323042998901E-2</v>
      </c>
      <c r="I11" s="272">
        <f>'[2]0908分析標準表'!$J$5</f>
        <v>4357.5023100000053</v>
      </c>
      <c r="J11" s="271">
        <f t="shared" si="3"/>
        <v>0.2559299398521126</v>
      </c>
      <c r="K11" s="273">
        <f>'[2]0908分析標準表'!$L$5</f>
        <v>2832.7940000000003</v>
      </c>
      <c r="L11" s="274">
        <f t="shared" si="4"/>
        <v>0.15616284454244764</v>
      </c>
      <c r="M11" s="633"/>
      <c r="N11" s="635"/>
      <c r="O11" s="635"/>
    </row>
    <row r="12" spans="1:18" ht="18.75">
      <c r="A12" s="266">
        <f>A11+1</f>
        <v>45909</v>
      </c>
      <c r="B12" s="267">
        <v>7807316</v>
      </c>
      <c r="C12" s="267">
        <f>'[2]0909分析標準表'!$D$5</f>
        <v>19640</v>
      </c>
      <c r="D12" s="268">
        <f t="shared" si="0"/>
        <v>2.5155892242609366E-3</v>
      </c>
      <c r="E12" s="269">
        <f>'[2]0909分析標準表'!$F$5</f>
        <v>18304.887845551704</v>
      </c>
      <c r="F12" s="270">
        <f t="shared" si="1"/>
        <v>2.3445813959050337E-3</v>
      </c>
      <c r="G12" s="267">
        <f>'[2]0909分析標準表'!$H$5</f>
        <v>1630.8240000000001</v>
      </c>
      <c r="H12" s="271">
        <f t="shared" si="2"/>
        <v>8.3035845213849296E-2</v>
      </c>
      <c r="I12" s="272">
        <f>'[2]0909分析標準表'!$J$5</f>
        <v>4706.8070799999932</v>
      </c>
      <c r="J12" s="271">
        <f t="shared" si="3"/>
        <v>0.25713389340125353</v>
      </c>
      <c r="K12" s="273">
        <f>'[2]0909分析標準表'!$L$5</f>
        <v>2470.8249999999998</v>
      </c>
      <c r="L12" s="274">
        <f t="shared" si="4"/>
        <v>0.12580575356415477</v>
      </c>
      <c r="M12" s="631">
        <f>SUM(B12:B18)</f>
        <v>50470102</v>
      </c>
      <c r="N12" s="634">
        <f>SUM(C12:C18)</f>
        <v>125826</v>
      </c>
      <c r="O12" s="634">
        <f>SUM(E12:E18)</f>
        <v>127524.58717017026</v>
      </c>
    </row>
    <row r="13" spans="1:18" ht="18.75">
      <c r="A13" s="266">
        <f t="shared" si="5"/>
        <v>45910</v>
      </c>
      <c r="B13" s="267">
        <v>7436383</v>
      </c>
      <c r="C13" s="267">
        <f>'[2]0910分析標準表'!$D$5</f>
        <v>18609</v>
      </c>
      <c r="D13" s="268">
        <f t="shared" si="0"/>
        <v>2.5024262467385019E-3</v>
      </c>
      <c r="E13" s="269">
        <f>'[2]0910分析標準表'!$F$5</f>
        <v>17756.216302658173</v>
      </c>
      <c r="F13" s="270">
        <f t="shared" si="1"/>
        <v>2.3877490310354071E-3</v>
      </c>
      <c r="G13" s="267">
        <f>'[2]0910分析標準表'!$H$5</f>
        <v>1745.5630000000001</v>
      </c>
      <c r="H13" s="271">
        <f t="shared" si="2"/>
        <v>9.3802085012628308E-2</v>
      </c>
      <c r="I13" s="272">
        <f>'[2]0910分析標準表'!$J$5</f>
        <v>4787.9780999999994</v>
      </c>
      <c r="J13" s="271">
        <f t="shared" si="3"/>
        <v>0.26965080951864845</v>
      </c>
      <c r="K13" s="273">
        <f>'[2]0910分析標準表'!$L$5</f>
        <v>2597.3760000000002</v>
      </c>
      <c r="L13" s="274">
        <f t="shared" si="4"/>
        <v>0.13957633403192005</v>
      </c>
      <c r="M13" s="632"/>
      <c r="N13" s="635"/>
      <c r="O13" s="635"/>
    </row>
    <row r="14" spans="1:18" ht="18.75">
      <c r="A14" s="266">
        <f t="shared" si="5"/>
        <v>45911</v>
      </c>
      <c r="B14" s="267">
        <v>6919680</v>
      </c>
      <c r="C14" s="267">
        <f>'[2]0911分析標準表'!$D$5</f>
        <v>17040</v>
      </c>
      <c r="D14" s="268">
        <f t="shared" si="0"/>
        <v>2.4625416204217534E-3</v>
      </c>
      <c r="E14" s="269">
        <f>'[2]0911分析標準表'!$F$5</f>
        <v>18185.496696663664</v>
      </c>
      <c r="F14" s="270">
        <f t="shared" si="1"/>
        <v>2.6280834802568419E-3</v>
      </c>
      <c r="G14" s="267">
        <f>'[2]0911分析標準表'!$H$5</f>
        <v>1531.479</v>
      </c>
      <c r="H14" s="271">
        <f t="shared" si="2"/>
        <v>8.9875528169014091E-2</v>
      </c>
      <c r="I14" s="272">
        <f>'[2]0911分析標準表'!$J$5</f>
        <v>4600.222840000004</v>
      </c>
      <c r="J14" s="271">
        <f t="shared" si="3"/>
        <v>0.25296107754065178</v>
      </c>
      <c r="K14" s="273">
        <f>'[2]0911分析標準表'!$L$5</f>
        <v>2144.0030000000006</v>
      </c>
      <c r="L14" s="274">
        <f t="shared" si="4"/>
        <v>0.12582177230046951</v>
      </c>
      <c r="M14" s="632"/>
      <c r="N14" s="635"/>
      <c r="O14" s="635"/>
    </row>
    <row r="15" spans="1:18" ht="18.75">
      <c r="A15" s="266">
        <f t="shared" si="5"/>
        <v>45912</v>
      </c>
      <c r="B15" s="267">
        <v>6171958</v>
      </c>
      <c r="C15" s="267">
        <f>'[2]0912分析標準表'!$D$5</f>
        <v>15319</v>
      </c>
      <c r="D15" s="268">
        <f t="shared" si="0"/>
        <v>2.4820324441611561E-3</v>
      </c>
      <c r="E15" s="269">
        <f>'[2]0912分析標準表'!$F$5</f>
        <v>16238.440008806558</v>
      </c>
      <c r="F15" s="270">
        <f t="shared" si="1"/>
        <v>2.6310029991789569E-3</v>
      </c>
      <c r="G15" s="267">
        <f>'[2]0912分析標準表'!$H$5</f>
        <v>1498.6130000000003</v>
      </c>
      <c r="H15" s="271">
        <f t="shared" si="2"/>
        <v>9.7827077485475575E-2</v>
      </c>
      <c r="I15" s="272">
        <f>'[2]0912分析標準表'!$J$5</f>
        <v>4120.2408699999978</v>
      </c>
      <c r="J15" s="271">
        <f t="shared" si="3"/>
        <v>0.25373378648228995</v>
      </c>
      <c r="K15" s="273">
        <f>'[2]0912分析標準表'!$L$5</f>
        <v>2482.6669999999999</v>
      </c>
      <c r="L15" s="274">
        <f t="shared" si="4"/>
        <v>0.16206456034989228</v>
      </c>
      <c r="M15" s="632"/>
      <c r="N15" s="635"/>
      <c r="O15" s="635"/>
      <c r="P15" s="279"/>
      <c r="Q15" s="279"/>
      <c r="R15" s="279"/>
    </row>
    <row r="16" spans="1:18" ht="18.75">
      <c r="A16" s="266">
        <f t="shared" si="5"/>
        <v>45913</v>
      </c>
      <c r="B16" s="267">
        <v>6541355</v>
      </c>
      <c r="C16" s="267">
        <f>'[2]0913分析標準表'!$D$5</f>
        <v>16054</v>
      </c>
      <c r="D16" s="268">
        <f t="shared" si="0"/>
        <v>2.454231577402541E-3</v>
      </c>
      <c r="E16" s="269">
        <f>'[2]0913分析標準表'!$F$5</f>
        <v>18746.181209784019</v>
      </c>
      <c r="F16" s="270">
        <f t="shared" si="1"/>
        <v>2.8657948100636673E-3</v>
      </c>
      <c r="G16" s="267">
        <f>'[2]0913分析標準表'!$H$5</f>
        <v>1601.8059999999998</v>
      </c>
      <c r="H16" s="271">
        <f t="shared" si="2"/>
        <v>9.9776130559362144E-2</v>
      </c>
      <c r="I16" s="272">
        <f>'[2]0913分析標準表'!$J$5</f>
        <v>3932.6062900000052</v>
      </c>
      <c r="J16" s="271">
        <f t="shared" si="3"/>
        <v>0.20978172812857995</v>
      </c>
      <c r="K16" s="273">
        <f>'[2]0913分析標準表'!$L$5</f>
        <v>2180.1559999999999</v>
      </c>
      <c r="L16" s="274">
        <f t="shared" si="4"/>
        <v>0.13580142020680205</v>
      </c>
      <c r="M16" s="632"/>
      <c r="N16" s="635"/>
      <c r="O16" s="635"/>
    </row>
    <row r="17" spans="1:17" ht="18.75">
      <c r="A17" s="266">
        <f t="shared" si="5"/>
        <v>45914</v>
      </c>
      <c r="B17" s="267">
        <v>7771753</v>
      </c>
      <c r="C17" s="267">
        <f>'[2]0914分析標準表'!$D$5</f>
        <v>19554</v>
      </c>
      <c r="D17" s="268">
        <f t="shared" si="0"/>
        <v>2.5160346706849792E-3</v>
      </c>
      <c r="E17" s="269">
        <f>'[2]0914分析標準表'!$F$5</f>
        <v>18170.223483010599</v>
      </c>
      <c r="F17" s="270">
        <f t="shared" si="1"/>
        <v>2.3379826254141889E-3</v>
      </c>
      <c r="G17" s="267">
        <f>'[2]0914分析標準表'!$H$5</f>
        <v>1618.7539999999999</v>
      </c>
      <c r="H17" s="271">
        <f t="shared" si="2"/>
        <v>8.2783778255088467E-2</v>
      </c>
      <c r="I17" s="272">
        <f>'[2]0914分析標準表'!$J$5</f>
        <v>3977.2563299999993</v>
      </c>
      <c r="J17" s="271">
        <f t="shared" si="3"/>
        <v>0.21888868531082112</v>
      </c>
      <c r="K17" s="273">
        <f>'[2]0914分析標準表'!$L$5</f>
        <v>2976.0859999999998</v>
      </c>
      <c r="L17" s="274">
        <f t="shared" si="4"/>
        <v>0.15219832259384269</v>
      </c>
      <c r="M17" s="632"/>
      <c r="N17" s="635"/>
      <c r="O17" s="635"/>
      <c r="P17" s="327"/>
      <c r="Q17" s="327"/>
    </row>
    <row r="18" spans="1:17" ht="18.75">
      <c r="A18" s="278">
        <f t="shared" si="5"/>
        <v>45915</v>
      </c>
      <c r="B18" s="267">
        <v>7821657</v>
      </c>
      <c r="C18" s="267">
        <f>'[2]0915分析標準表'!$D$5</f>
        <v>19610</v>
      </c>
      <c r="D18" s="268">
        <f t="shared" si="0"/>
        <v>2.5071413896058086E-3</v>
      </c>
      <c r="E18" s="269">
        <f>'[2]0915分析標準表'!$F$5</f>
        <v>20123.141623695545</v>
      </c>
      <c r="F18" s="270">
        <f t="shared" si="1"/>
        <v>2.5727466218085945E-3</v>
      </c>
      <c r="G18" s="267">
        <f>'[2]0915分析標準表'!$H$5</f>
        <v>1633.617</v>
      </c>
      <c r="H18" s="271">
        <f t="shared" si="2"/>
        <v>8.3305303416624163E-2</v>
      </c>
      <c r="I18" s="272">
        <f>'[2]0915分析標準表'!$J$5</f>
        <v>4542.5848399999913</v>
      </c>
      <c r="J18" s="271">
        <f t="shared" si="3"/>
        <v>0.22573934651689648</v>
      </c>
      <c r="K18" s="273">
        <f>'[2]0915分析標準表'!$L$5</f>
        <v>2472.694</v>
      </c>
      <c r="L18" s="274">
        <f t="shared" si="4"/>
        <v>0.12609352371239163</v>
      </c>
      <c r="M18" s="633"/>
      <c r="N18" s="635"/>
      <c r="O18" s="635"/>
    </row>
    <row r="19" spans="1:17" ht="18.75">
      <c r="A19" s="266">
        <f>A18+1</f>
        <v>45916</v>
      </c>
      <c r="B19" s="267">
        <v>8739776</v>
      </c>
      <c r="C19" s="267">
        <f>'[2]0916分析標準表'!$D$5</f>
        <v>21944</v>
      </c>
      <c r="D19" s="268">
        <f t="shared" si="0"/>
        <v>2.5108194992640542E-3</v>
      </c>
      <c r="E19" s="269">
        <f>'[2]0916分析標準表'!$F$5</f>
        <v>20188.317567362079</v>
      </c>
      <c r="F19" s="270">
        <f t="shared" si="1"/>
        <v>2.3099353538765842E-3</v>
      </c>
      <c r="G19" s="267">
        <f>'[2]0916分析標準表'!$H$5</f>
        <v>1655.4130000000002</v>
      </c>
      <c r="H19" s="271">
        <f t="shared" si="2"/>
        <v>7.543806963179002E-2</v>
      </c>
      <c r="I19" s="272">
        <f>'[2]0916分析標準表'!$J$5</f>
        <v>4482.2092599999905</v>
      </c>
      <c r="J19" s="271">
        <f t="shared" si="3"/>
        <v>0.22201995015405643</v>
      </c>
      <c r="K19" s="273">
        <f>'[2]0916分析標準表'!$L$5</f>
        <v>3239.0279999999993</v>
      </c>
      <c r="L19" s="274">
        <f t="shared" si="4"/>
        <v>0.14760426540284358</v>
      </c>
      <c r="M19" s="631">
        <f>SUM(B19:B25)</f>
        <v>52767858</v>
      </c>
      <c r="N19" s="634">
        <f>SUM(C19:C25)</f>
        <v>131776</v>
      </c>
      <c r="O19" s="634">
        <f>SUM(E19:E25)</f>
        <v>125987.44034125606</v>
      </c>
    </row>
    <row r="20" spans="1:17" ht="18.75">
      <c r="A20" s="266">
        <f t="shared" si="5"/>
        <v>45917</v>
      </c>
      <c r="B20" s="267">
        <v>8050591</v>
      </c>
      <c r="C20" s="267">
        <f>'[2]0917分析標準表'!$D$5</f>
        <v>20280</v>
      </c>
      <c r="D20" s="268">
        <f t="shared" si="0"/>
        <v>2.5190697179871637E-3</v>
      </c>
      <c r="E20" s="269">
        <f>'[2]0917分析標準表'!$F$5</f>
        <v>19171.383092097989</v>
      </c>
      <c r="F20" s="270">
        <f t="shared" si="1"/>
        <v>2.3813634417768821E-3</v>
      </c>
      <c r="G20" s="267">
        <f>'[2]0917分析標準表'!$H$5</f>
        <v>1726.5120000000002</v>
      </c>
      <c r="H20" s="271">
        <f t="shared" si="2"/>
        <v>8.51337278106509E-2</v>
      </c>
      <c r="I20" s="272">
        <f>'[2]0917分析標準表'!$J$5</f>
        <v>4888.1827699999913</v>
      </c>
      <c r="J20" s="271">
        <f t="shared" si="3"/>
        <v>0.25497288049159006</v>
      </c>
      <c r="K20" s="273">
        <f>'[2]0917分析標準表'!$L$5</f>
        <v>2290.5389999999998</v>
      </c>
      <c r="L20" s="274">
        <f t="shared" si="4"/>
        <v>0.11294571005917159</v>
      </c>
      <c r="M20" s="632"/>
      <c r="N20" s="635"/>
      <c r="O20" s="635"/>
    </row>
    <row r="21" spans="1:17" ht="18.75">
      <c r="A21" s="266">
        <f t="shared" si="5"/>
        <v>45918</v>
      </c>
      <c r="B21" s="267">
        <v>7502711</v>
      </c>
      <c r="C21" s="267">
        <f>'[2]0918分析標準表'!$D$5</f>
        <v>18698</v>
      </c>
      <c r="D21" s="268">
        <f t="shared" si="0"/>
        <v>2.4921658317906686E-3</v>
      </c>
      <c r="E21" s="269">
        <f>'[2]0918分析標準表'!$F$5</f>
        <v>18481.128170976554</v>
      </c>
      <c r="F21" s="270">
        <f t="shared" si="1"/>
        <v>2.4632600364023821E-3</v>
      </c>
      <c r="G21" s="267">
        <f>'[2]0918分析標準表'!$H$5</f>
        <v>1621.8700000000003</v>
      </c>
      <c r="H21" s="271">
        <f t="shared" si="2"/>
        <v>8.6740293079473757E-2</v>
      </c>
      <c r="I21" s="272">
        <f>'[2]0918分析標準表'!$J$5</f>
        <v>5512.5264699999971</v>
      </c>
      <c r="J21" s="271">
        <f t="shared" si="3"/>
        <v>0.29827867752451781</v>
      </c>
      <c r="K21" s="273">
        <f>'[2]0918分析標準表'!$L$5</f>
        <v>2401.1000000000004</v>
      </c>
      <c r="L21" s="274">
        <f t="shared" si="4"/>
        <v>0.12841480372232325</v>
      </c>
      <c r="M21" s="632"/>
      <c r="N21" s="635"/>
      <c r="O21" s="635"/>
    </row>
    <row r="22" spans="1:17" ht="18.75">
      <c r="A22" s="266">
        <f t="shared" si="5"/>
        <v>45919</v>
      </c>
      <c r="B22" s="267">
        <v>6251144</v>
      </c>
      <c r="C22" s="267">
        <f>'[2]0919分析標準表'!$D$5</f>
        <v>15438</v>
      </c>
      <c r="D22" s="268">
        <f t="shared" si="0"/>
        <v>2.4696279592983299E-3</v>
      </c>
      <c r="E22" s="269">
        <f>'[2]0919分析標準表'!$F$5</f>
        <v>16120.322504411948</v>
      </c>
      <c r="F22" s="270">
        <f t="shared" si="1"/>
        <v>2.5787795808914255E-3</v>
      </c>
      <c r="G22" s="267">
        <f>'[2]0919分析標準表'!$H$5</f>
        <v>1667.481</v>
      </c>
      <c r="H22" s="271">
        <f t="shared" si="2"/>
        <v>0.10801146521570151</v>
      </c>
      <c r="I22" s="272">
        <f>'[2]0919分析標準表'!$J$5</f>
        <v>3302.5847200000012</v>
      </c>
      <c r="J22" s="271">
        <f t="shared" si="3"/>
        <v>0.20487088388561217</v>
      </c>
      <c r="K22" s="273">
        <f>'[2]0919分析標準表'!$L$5</f>
        <v>2720.288</v>
      </c>
      <c r="L22" s="274">
        <f t="shared" si="4"/>
        <v>0.1762072807358466</v>
      </c>
      <c r="M22" s="632"/>
      <c r="N22" s="635"/>
      <c r="O22" s="635"/>
    </row>
    <row r="23" spans="1:17" ht="18.75">
      <c r="A23" s="266">
        <f t="shared" si="5"/>
        <v>45920</v>
      </c>
      <c r="B23" s="267">
        <v>6569112</v>
      </c>
      <c r="C23" s="267">
        <f>'[2]0920分析標準表'!$D$5</f>
        <v>16259</v>
      </c>
      <c r="D23" s="268">
        <f t="shared" si="0"/>
        <v>2.4750681675087898E-3</v>
      </c>
      <c r="E23" s="269">
        <f>'[2]0920分析標準表'!$F$5</f>
        <v>16251.637558967161</v>
      </c>
      <c r="F23" s="270">
        <f t="shared" si="1"/>
        <v>2.4739474009526949E-3</v>
      </c>
      <c r="G23" s="267">
        <f>'[2]0920分析標準表'!$H$5</f>
        <v>1440.415</v>
      </c>
      <c r="H23" s="271">
        <f t="shared" si="2"/>
        <v>8.8591856817762465E-2</v>
      </c>
      <c r="I23" s="272">
        <f>'[2]0920分析標準表'!$J$5</f>
        <v>3231.4683799999966</v>
      </c>
      <c r="J23" s="271">
        <f t="shared" si="3"/>
        <v>0.19883955498484338</v>
      </c>
      <c r="K23" s="273">
        <f>'[2]0920分析標準表'!$L$5</f>
        <v>2307.8389999999999</v>
      </c>
      <c r="L23" s="274">
        <f t="shared" si="4"/>
        <v>0.141942247370687</v>
      </c>
      <c r="M23" s="632"/>
      <c r="N23" s="635"/>
      <c r="O23" s="635"/>
    </row>
    <row r="24" spans="1:17" ht="18.75">
      <c r="A24" s="266">
        <f t="shared" si="5"/>
        <v>45921</v>
      </c>
      <c r="B24" s="267">
        <v>7902663</v>
      </c>
      <c r="C24" s="267">
        <f>'[2]0921分析標準表'!$D$5</f>
        <v>19690</v>
      </c>
      <c r="D24" s="268">
        <f t="shared" si="0"/>
        <v>2.4915651850521778E-3</v>
      </c>
      <c r="E24" s="269">
        <f>'[2]0921分析標準表'!$F$5</f>
        <v>18630.779662896144</v>
      </c>
      <c r="F24" s="270">
        <f t="shared" si="1"/>
        <v>2.3575318424809643E-3</v>
      </c>
      <c r="G24" s="267">
        <f>'[2]0921分析標準表'!$H$5</f>
        <v>1619.3459999999998</v>
      </c>
      <c r="H24" s="271">
        <f t="shared" si="2"/>
        <v>8.2242051802945651E-2</v>
      </c>
      <c r="I24" s="272">
        <f>'[2]0921分析標準表'!$J$5</f>
        <v>3719.6652799999983</v>
      </c>
      <c r="J24" s="271">
        <f t="shared" si="3"/>
        <v>0.19965161669577591</v>
      </c>
      <c r="K24" s="273">
        <f>'[2]0921分析標準表'!$L$5</f>
        <v>3201.0889999999995</v>
      </c>
      <c r="L24" s="274">
        <f t="shared" si="4"/>
        <v>0.16257435246317925</v>
      </c>
      <c r="M24" s="632"/>
      <c r="N24" s="635"/>
      <c r="O24" s="635"/>
    </row>
    <row r="25" spans="1:17" ht="18.75">
      <c r="A25" s="278">
        <f t="shared" si="5"/>
        <v>45922</v>
      </c>
      <c r="B25" s="267">
        <v>7751861</v>
      </c>
      <c r="C25" s="267">
        <f>'[2]0922分析標準表'!$D$5</f>
        <v>19467</v>
      </c>
      <c r="D25" s="268">
        <f t="shared" si="0"/>
        <v>2.5112679394019063E-3</v>
      </c>
      <c r="E25" s="269">
        <f>'[2]0922分析標準表'!$F$5</f>
        <v>17143.871784544179</v>
      </c>
      <c r="F25" s="270">
        <f t="shared" si="1"/>
        <v>2.2115814234213152E-3</v>
      </c>
      <c r="G25" s="267">
        <f>'[2]0922分析標準表'!$H$5</f>
        <v>1519.7640000000001</v>
      </c>
      <c r="H25" s="271">
        <f t="shared" si="2"/>
        <v>7.8068731699799665E-2</v>
      </c>
      <c r="I25" s="272">
        <f>'[2]0922分析標準表'!$J$5</f>
        <v>3886.2089000000055</v>
      </c>
      <c r="J25" s="271">
        <f t="shared" si="3"/>
        <v>0.22668210243520157</v>
      </c>
      <c r="K25" s="273">
        <f>'[2]0922分析標準表'!$L$5</f>
        <v>3069.3179999999998</v>
      </c>
      <c r="L25" s="274">
        <f t="shared" si="4"/>
        <v>0.15766774541531822</v>
      </c>
      <c r="M25" s="633"/>
      <c r="N25" s="635"/>
      <c r="O25" s="635"/>
    </row>
    <row r="26" spans="1:17" ht="18.75">
      <c r="A26" s="276">
        <f>A25+1</f>
        <v>45923</v>
      </c>
      <c r="B26" s="267">
        <v>7508635</v>
      </c>
      <c r="C26" s="267">
        <f>'[2]0923分析標準表'!$D$5</f>
        <v>18826</v>
      </c>
      <c r="D26" s="268">
        <f t="shared" si="0"/>
        <v>2.5072466566826062E-3</v>
      </c>
      <c r="E26" s="269">
        <f>'[2]0923分析標準表'!$F$5</f>
        <v>15907.374685301027</v>
      </c>
      <c r="F26" s="270">
        <f t="shared" si="1"/>
        <v>2.1185441408859301E-3</v>
      </c>
      <c r="G26" s="267">
        <f>'[2]0923分析標準表'!$H$5</f>
        <v>1636.152</v>
      </c>
      <c r="H26" s="271">
        <f t="shared" si="2"/>
        <v>8.6909168171677473E-2</v>
      </c>
      <c r="I26" s="272">
        <f>'[2]0923分析標準表'!$J$5</f>
        <v>3862.2285599999991</v>
      </c>
      <c r="J26" s="271">
        <f t="shared" si="3"/>
        <v>0.24279484430380796</v>
      </c>
      <c r="K26" s="273">
        <f>'[2]0923分析標準表'!$L$5</f>
        <v>2567.9549999999999</v>
      </c>
      <c r="L26" s="274">
        <f t="shared" si="4"/>
        <v>0.13640470625730372</v>
      </c>
      <c r="M26" s="631">
        <f>SUM(B26:B32)</f>
        <v>47691357</v>
      </c>
      <c r="N26" s="634">
        <f>SUM(C26:C32)</f>
        <v>118238</v>
      </c>
      <c r="O26" s="634">
        <f>SUM(E26:E32)</f>
        <v>113495.12185824972</v>
      </c>
    </row>
    <row r="27" spans="1:17" ht="18.75">
      <c r="A27" s="276">
        <f t="shared" si="5"/>
        <v>45924</v>
      </c>
      <c r="B27" s="267">
        <v>7219231</v>
      </c>
      <c r="C27" s="267">
        <f>'[2]0924分析標準表'!$D$5</f>
        <v>17829</v>
      </c>
      <c r="D27" s="268">
        <f t="shared" si="0"/>
        <v>2.4696536237723936E-3</v>
      </c>
      <c r="E27" s="269">
        <f>'[2]0924分析標準表'!$F$5</f>
        <v>16125.161475148878</v>
      </c>
      <c r="F27" s="270">
        <f t="shared" si="1"/>
        <v>2.2336397706554725E-3</v>
      </c>
      <c r="G27" s="267">
        <f>'[2]0924分析標準表'!$H$5</f>
        <v>1460.8700000000001</v>
      </c>
      <c r="H27" s="271">
        <f t="shared" si="2"/>
        <v>8.1937854057995405E-2</v>
      </c>
      <c r="I27" s="272">
        <f>'[2]0924分析標準表'!$J$5</f>
        <v>4416.3536199999944</v>
      </c>
      <c r="J27" s="271">
        <f t="shared" si="3"/>
        <v>0.27387965241812995</v>
      </c>
      <c r="K27" s="273">
        <f>'[2]0924分析標準表'!$L$5</f>
        <v>3205.027</v>
      </c>
      <c r="L27" s="274">
        <f t="shared" si="4"/>
        <v>0.17976482135846095</v>
      </c>
      <c r="M27" s="632"/>
      <c r="N27" s="635"/>
      <c r="O27" s="635"/>
    </row>
    <row r="28" spans="1:17" ht="18.75">
      <c r="A28" s="276">
        <f t="shared" si="5"/>
        <v>45925</v>
      </c>
      <c r="B28" s="267">
        <v>6826680</v>
      </c>
      <c r="C28" s="267">
        <f>'[2]0925分析標準表'!$D$5</f>
        <v>16730</v>
      </c>
      <c r="D28" s="268">
        <f t="shared" si="0"/>
        <v>2.4506788072679547E-3</v>
      </c>
      <c r="E28" s="269">
        <f>'[2]0925分析標準表'!$F$5</f>
        <v>16436.403903160943</v>
      </c>
      <c r="F28" s="270">
        <f t="shared" si="1"/>
        <v>2.4076716505183988E-3</v>
      </c>
      <c r="G28" s="267">
        <f>'[2]0925分析標準表'!$H$5</f>
        <v>1366.8390000000002</v>
      </c>
      <c r="H28" s="271">
        <f t="shared" si="2"/>
        <v>8.1699880454273774E-2</v>
      </c>
      <c r="I28" s="272">
        <f>'[2]0925分析標準表'!$J$5</f>
        <v>3429.1446099999998</v>
      </c>
      <c r="J28" s="271">
        <f t="shared" si="3"/>
        <v>0.20863107466837857</v>
      </c>
      <c r="K28" s="273">
        <f>'[2]0925分析標準表'!$L$5</f>
        <v>2889.5330000000004</v>
      </c>
      <c r="L28" s="274">
        <f t="shared" si="4"/>
        <v>0.17271566049013751</v>
      </c>
      <c r="M28" s="632"/>
      <c r="N28" s="635"/>
      <c r="O28" s="635"/>
    </row>
    <row r="29" spans="1:17" ht="18.75">
      <c r="A29" s="276">
        <f t="shared" si="5"/>
        <v>45926</v>
      </c>
      <c r="B29" s="267">
        <v>5933194</v>
      </c>
      <c r="C29" s="267">
        <f>'[2]0926分析標準表'!$D$5</f>
        <v>14839</v>
      </c>
      <c r="D29" s="268">
        <f t="shared" si="0"/>
        <v>2.5010137878518721E-3</v>
      </c>
      <c r="E29" s="269">
        <f>'[2]0926分析標準表'!$F$5</f>
        <v>16567.181794638873</v>
      </c>
      <c r="F29" s="270">
        <f t="shared" si="1"/>
        <v>2.7922872224705399E-3</v>
      </c>
      <c r="G29" s="267">
        <f>'[2]0926分析標準表'!$H$5</f>
        <v>1406.2560000000001</v>
      </c>
      <c r="H29" s="271">
        <f t="shared" si="2"/>
        <v>9.47675719388099E-2</v>
      </c>
      <c r="I29" s="272">
        <f>'[2]0926分析標準表'!$J$5</f>
        <v>2975.3351799999987</v>
      </c>
      <c r="J29" s="271">
        <f t="shared" si="3"/>
        <v>0.17959211270095526</v>
      </c>
      <c r="K29" s="273">
        <f>'[2]0926分析標準表'!$L$5</f>
        <v>2695.2749999999996</v>
      </c>
      <c r="L29" s="274">
        <f t="shared" si="4"/>
        <v>0.1816345441067457</v>
      </c>
      <c r="M29" s="632"/>
      <c r="N29" s="635"/>
      <c r="O29" s="635"/>
    </row>
    <row r="30" spans="1:17" ht="18.75">
      <c r="A30" s="276">
        <f t="shared" si="5"/>
        <v>45927</v>
      </c>
      <c r="B30" s="267">
        <v>6011714</v>
      </c>
      <c r="C30" s="267">
        <v>14993</v>
      </c>
      <c r="D30" s="268">
        <f t="shared" si="0"/>
        <v>2.4939642837300642E-3</v>
      </c>
      <c r="E30" s="269">
        <v>15957</v>
      </c>
      <c r="F30" s="270">
        <f t="shared" si="1"/>
        <v>2.6543178867125083E-3</v>
      </c>
      <c r="G30" s="267">
        <v>1322</v>
      </c>
      <c r="H30" s="271">
        <f t="shared" si="2"/>
        <v>8.8174481424664844E-2</v>
      </c>
      <c r="I30" s="272">
        <v>2851</v>
      </c>
      <c r="J30" s="271">
        <f t="shared" si="3"/>
        <v>0.17866766936140879</v>
      </c>
      <c r="K30" s="273">
        <v>2578</v>
      </c>
      <c r="L30" s="274">
        <f t="shared" si="4"/>
        <v>0.17194690855732675</v>
      </c>
      <c r="M30" s="632"/>
      <c r="N30" s="635"/>
      <c r="O30" s="635"/>
    </row>
    <row r="31" spans="1:17" ht="18.75">
      <c r="A31" s="276">
        <f t="shared" si="5"/>
        <v>45928</v>
      </c>
      <c r="B31" s="267">
        <v>6495139</v>
      </c>
      <c r="C31" s="267">
        <v>16169</v>
      </c>
      <c r="D31" s="268">
        <f t="shared" si="0"/>
        <v>2.4894001498659227E-3</v>
      </c>
      <c r="E31" s="269">
        <v>16130</v>
      </c>
      <c r="F31" s="270">
        <f t="shared" si="1"/>
        <v>2.4833956594308452E-3</v>
      </c>
      <c r="G31" s="267">
        <v>1393</v>
      </c>
      <c r="H31" s="271">
        <f t="shared" si="2"/>
        <v>8.6152514070134203E-2</v>
      </c>
      <c r="I31" s="272">
        <v>2984</v>
      </c>
      <c r="J31" s="271">
        <f t="shared" si="3"/>
        <v>0.18499690018598883</v>
      </c>
      <c r="K31" s="273">
        <v>2507</v>
      </c>
      <c r="L31" s="274">
        <f t="shared" si="4"/>
        <v>0.155049786628734</v>
      </c>
      <c r="M31" s="632"/>
      <c r="N31" s="635"/>
      <c r="O31" s="635"/>
    </row>
    <row r="32" spans="1:17" ht="18.75">
      <c r="A32" s="278">
        <f t="shared" si="5"/>
        <v>45929</v>
      </c>
      <c r="B32" s="267">
        <v>7696764</v>
      </c>
      <c r="C32" s="267">
        <v>18852</v>
      </c>
      <c r="D32" s="268">
        <f t="shared" si="0"/>
        <v>2.4493410477442207E-3</v>
      </c>
      <c r="E32" s="269">
        <v>16372</v>
      </c>
      <c r="F32" s="270">
        <f t="shared" si="1"/>
        <v>2.1271277123736678E-3</v>
      </c>
      <c r="G32" s="267">
        <v>1455</v>
      </c>
      <c r="H32" s="271">
        <f t="shared" si="2"/>
        <v>7.7180140038192235E-2</v>
      </c>
      <c r="I32" s="272">
        <v>3557</v>
      </c>
      <c r="J32" s="271">
        <f t="shared" si="3"/>
        <v>0.2172611776203274</v>
      </c>
      <c r="K32" s="273">
        <v>3044</v>
      </c>
      <c r="L32" s="274">
        <f t="shared" si="4"/>
        <v>0.16146827922766815</v>
      </c>
      <c r="M32" s="633"/>
      <c r="N32" s="635"/>
      <c r="O32" s="635"/>
    </row>
    <row r="33" spans="1:15" ht="18.75">
      <c r="A33" s="276">
        <f>A32+1</f>
        <v>45930</v>
      </c>
      <c r="B33" s="267">
        <v>8551969</v>
      </c>
      <c r="C33" s="267">
        <v>21626</v>
      </c>
      <c r="D33" s="268">
        <f t="shared" si="0"/>
        <v>2.5287743676339334E-3</v>
      </c>
      <c r="E33" s="269">
        <v>18330.852645710911</v>
      </c>
      <c r="F33" s="270">
        <f t="shared" si="1"/>
        <v>2.1434657499005095E-3</v>
      </c>
      <c r="G33" s="267">
        <v>1780.2560000000001</v>
      </c>
      <c r="H33" s="271">
        <f t="shared" si="2"/>
        <v>8.2320170165541481E-2</v>
      </c>
      <c r="I33" s="272">
        <v>4387.286809999996</v>
      </c>
      <c r="J33" s="271">
        <f t="shared" si="3"/>
        <v>0.23933893828045921</v>
      </c>
      <c r="K33" s="273">
        <v>3121.2903999999994</v>
      </c>
      <c r="L33" s="274">
        <f t="shared" si="4"/>
        <v>0.14433045408304815</v>
      </c>
      <c r="M33" s="274"/>
      <c r="N33" s="275"/>
      <c r="O33" s="275"/>
    </row>
    <row r="34" spans="1:15" ht="18.75">
      <c r="A34" s="276" t="s">
        <v>578</v>
      </c>
      <c r="B34" s="267">
        <f>AVERAGE(B4:B32)</f>
        <v>7117188.8620689651</v>
      </c>
      <c r="C34" s="267">
        <f>AVERAGE(C4:C33)</f>
        <v>17847.5</v>
      </c>
      <c r="D34" s="268">
        <f t="shared" si="0"/>
        <v>2.5076614300792539E-3</v>
      </c>
      <c r="E34" s="269">
        <f>AVERAGE(E4:E33)</f>
        <v>17780.79705935176</v>
      </c>
      <c r="F34" s="280">
        <f t="shared" si="1"/>
        <v>2.4982893392241508E-3</v>
      </c>
      <c r="G34" s="267">
        <f>AVERAGE(G4:G33)</f>
        <v>1530.9244666666671</v>
      </c>
      <c r="H34" s="281">
        <f t="shared" si="2"/>
        <v>8.5778090302096488E-2</v>
      </c>
      <c r="I34" s="282">
        <f>AVERAGE(I4:I33)</f>
        <v>4286.7310104371581</v>
      </c>
      <c r="J34" s="281">
        <f t="shared" si="3"/>
        <v>0.2410876743111223</v>
      </c>
      <c r="K34" s="273">
        <f>AVERAGE(K4:K33)</f>
        <v>2670.9087133333333</v>
      </c>
      <c r="L34" s="274">
        <f t="shared" si="4"/>
        <v>0.14965169986459353</v>
      </c>
      <c r="M34" s="274"/>
      <c r="N34" s="275"/>
      <c r="O34" s="275"/>
    </row>
    <row r="35" spans="1:15" ht="18.75">
      <c r="A35" s="276" t="s">
        <v>579</v>
      </c>
      <c r="B35" s="267">
        <f>SUM(B4:B33)</f>
        <v>214950446</v>
      </c>
      <c r="C35" s="267">
        <f>SUM(C4:C33)</f>
        <v>535425</v>
      </c>
      <c r="D35" s="268">
        <f t="shared" si="0"/>
        <v>2.490922954400383E-3</v>
      </c>
      <c r="E35" s="269">
        <f>SUM(E4:E33)</f>
        <v>533423.91178055282</v>
      </c>
      <c r="F35" s="280">
        <f t="shared" si="1"/>
        <v>2.4816134216374356E-3</v>
      </c>
      <c r="G35" s="267">
        <f>SUM(G4:G33)</f>
        <v>45927.734000000011</v>
      </c>
      <c r="H35" s="281">
        <f t="shared" si="2"/>
        <v>8.5778090302096488E-2</v>
      </c>
      <c r="I35" s="282">
        <f>SUM(I4:I33)</f>
        <v>128601.93031311473</v>
      </c>
      <c r="J35" s="281">
        <f t="shared" si="3"/>
        <v>0.24108767431112227</v>
      </c>
      <c r="K35" s="273">
        <f>SUM(K4:K33)</f>
        <v>80127.261400000003</v>
      </c>
      <c r="L35" s="274">
        <f t="shared" si="4"/>
        <v>0.14965169986459356</v>
      </c>
      <c r="M35" s="274"/>
      <c r="N35" s="275"/>
      <c r="O35" s="275"/>
    </row>
    <row r="36" spans="1:15" ht="27">
      <c r="A36" s="630"/>
      <c r="B36" s="630"/>
      <c r="C36" s="630"/>
      <c r="D36" s="630"/>
      <c r="E36" s="630"/>
      <c r="F36" s="283"/>
      <c r="G36" s="283"/>
      <c r="H36" s="283"/>
      <c r="I36" s="283"/>
      <c r="J36" s="283"/>
      <c r="K36" s="283"/>
      <c r="L36" s="283"/>
      <c r="M36" s="283"/>
    </row>
    <row r="37" spans="1:15" ht="27">
      <c r="A37" s="630"/>
      <c r="B37" s="630"/>
      <c r="C37" s="630"/>
      <c r="D37" s="630"/>
      <c r="E37" s="630"/>
      <c r="F37" s="283"/>
      <c r="G37" s="283"/>
      <c r="H37" s="283"/>
      <c r="I37" s="283"/>
      <c r="J37" s="283"/>
      <c r="K37" s="283"/>
      <c r="L37" s="283"/>
      <c r="M37" s="283"/>
    </row>
    <row r="38" spans="1:15" ht="18.75">
      <c r="A38" s="283"/>
      <c r="B38" s="283"/>
      <c r="C38" s="283"/>
      <c r="D38" s="283"/>
      <c r="E38" s="283"/>
      <c r="F38" s="283"/>
      <c r="G38" s="283"/>
      <c r="H38" s="283"/>
      <c r="I38" s="283"/>
      <c r="J38" s="283"/>
      <c r="K38" s="283"/>
      <c r="L38" s="283"/>
      <c r="M38" s="283"/>
    </row>
    <row r="39" spans="1:15" ht="18.75">
      <c r="A39" s="283"/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</row>
    <row r="40" spans="1:15" ht="18.75">
      <c r="A40" s="283"/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</row>
    <row r="41" spans="1:15" ht="18.75">
      <c r="A41" s="283"/>
      <c r="B41" s="283"/>
      <c r="C41" s="283"/>
      <c r="D41" s="283"/>
      <c r="E41" s="283"/>
      <c r="F41" s="283"/>
      <c r="G41" s="283"/>
      <c r="H41" s="283"/>
      <c r="I41" s="283"/>
      <c r="J41" s="283"/>
      <c r="K41" s="283"/>
      <c r="L41" s="283"/>
      <c r="M41" s="283"/>
    </row>
    <row r="42" spans="1:15" ht="18.75">
      <c r="A42" s="283"/>
      <c r="B42" s="283"/>
      <c r="C42" s="283"/>
      <c r="D42" s="283"/>
      <c r="E42" s="283"/>
      <c r="F42" s="283"/>
      <c r="G42" s="283"/>
      <c r="H42" s="283"/>
      <c r="I42" s="283"/>
      <c r="J42" s="283"/>
      <c r="K42" s="283"/>
      <c r="L42" s="283"/>
      <c r="M42" s="283"/>
    </row>
    <row r="43" spans="1:15" ht="18.75">
      <c r="A43" s="283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</row>
    <row r="44" spans="1:15" ht="18.75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</row>
    <row r="45" spans="1:15" ht="18.75">
      <c r="A45" s="283"/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</row>
    <row r="46" spans="1:15" ht="18.75">
      <c r="A46" s="283"/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</row>
    <row r="47" spans="1:15" ht="18.75">
      <c r="A47" s="283"/>
      <c r="B47" s="283"/>
      <c r="C47" s="283"/>
      <c r="D47" s="283"/>
      <c r="E47" s="283"/>
      <c r="F47" s="283"/>
      <c r="G47" s="283"/>
      <c r="H47" s="283"/>
      <c r="I47" s="283"/>
      <c r="J47" s="283"/>
      <c r="K47" s="283"/>
      <c r="L47" s="283"/>
      <c r="M47" s="283"/>
    </row>
    <row r="48" spans="1:15" ht="18.75">
      <c r="A48" s="283"/>
      <c r="B48" s="283"/>
      <c r="C48" s="283"/>
      <c r="D48" s="283"/>
      <c r="E48" s="283"/>
      <c r="F48" s="283"/>
      <c r="G48" s="283"/>
      <c r="H48" s="283"/>
      <c r="I48" s="283"/>
      <c r="J48" s="283"/>
      <c r="K48" s="283"/>
      <c r="L48" s="283"/>
      <c r="M48" s="283"/>
    </row>
    <row r="49" spans="1:13" ht="18.75">
      <c r="A49" s="283"/>
      <c r="B49" s="283"/>
      <c r="C49" s="283"/>
      <c r="D49" s="283"/>
      <c r="E49" s="283"/>
      <c r="F49" s="283"/>
      <c r="G49" s="283"/>
      <c r="H49" s="283"/>
      <c r="I49" s="283"/>
      <c r="J49" s="283"/>
      <c r="K49" s="283"/>
      <c r="L49" s="283"/>
      <c r="M49" s="283"/>
    </row>
    <row r="50" spans="1:13" ht="18.75">
      <c r="A50" s="283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</row>
    <row r="51" spans="1:13" ht="18.75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</row>
    <row r="52" spans="1:13" ht="18.75">
      <c r="A52" s="283"/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</row>
    <row r="53" spans="1:13" ht="18.75">
      <c r="A53" s="283"/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</row>
    <row r="54" spans="1:13" ht="18.75">
      <c r="A54" s="283"/>
      <c r="B54" s="283"/>
      <c r="C54" s="283"/>
      <c r="D54" s="283"/>
      <c r="E54" s="283"/>
      <c r="F54" s="283"/>
      <c r="G54" s="283"/>
      <c r="H54" s="283"/>
      <c r="I54" s="283"/>
      <c r="J54" s="283"/>
      <c r="K54" s="283"/>
      <c r="L54" s="283"/>
      <c r="M54" s="283"/>
    </row>
    <row r="55" spans="1:13" ht="18.75">
      <c r="A55" s="283"/>
      <c r="B55" s="283"/>
      <c r="C55" s="283"/>
      <c r="D55" s="283"/>
      <c r="E55" s="283"/>
      <c r="F55" s="283"/>
      <c r="G55" s="283"/>
      <c r="H55" s="283"/>
      <c r="I55" s="283"/>
      <c r="J55" s="283"/>
      <c r="K55" s="283"/>
      <c r="L55" s="283"/>
      <c r="M55" s="283"/>
    </row>
    <row r="56" spans="1:13" ht="18.75">
      <c r="A56" s="283"/>
      <c r="B56" s="283"/>
      <c r="C56" s="283"/>
      <c r="D56" s="283"/>
      <c r="E56" s="283"/>
      <c r="F56" s="283"/>
      <c r="G56" s="283"/>
      <c r="H56" s="283"/>
      <c r="I56" s="283"/>
      <c r="J56" s="283"/>
      <c r="K56" s="283"/>
      <c r="L56" s="283"/>
      <c r="M56" s="283"/>
    </row>
    <row r="57" spans="1:13" ht="18.75">
      <c r="A57" s="283"/>
      <c r="B57" s="283"/>
      <c r="C57" s="283"/>
      <c r="D57" s="283"/>
      <c r="E57" s="283"/>
      <c r="F57" s="283"/>
      <c r="G57" s="283"/>
      <c r="H57" s="283"/>
      <c r="I57" s="283"/>
      <c r="J57" s="283"/>
      <c r="K57" s="283"/>
      <c r="L57" s="283"/>
      <c r="M57" s="283"/>
    </row>
    <row r="58" spans="1:13" ht="18.75">
      <c r="A58" s="283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</row>
    <row r="59" spans="1:13" ht="18.75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</row>
    <row r="60" spans="1:13" ht="18.75">
      <c r="A60" s="283"/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</row>
    <row r="61" spans="1:13" ht="18.75">
      <c r="A61" s="283"/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</row>
    <row r="62" spans="1:13" ht="18.75">
      <c r="A62" s="283"/>
      <c r="B62" s="283"/>
      <c r="C62" s="283"/>
      <c r="D62" s="283"/>
      <c r="E62" s="283"/>
      <c r="F62" s="283"/>
      <c r="G62" s="283"/>
      <c r="H62" s="283"/>
      <c r="I62" s="283"/>
      <c r="J62" s="283"/>
      <c r="K62" s="283"/>
      <c r="L62" s="283"/>
      <c r="M62" s="283"/>
    </row>
    <row r="63" spans="1:13" ht="18.75">
      <c r="A63" s="283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</row>
    <row r="64" spans="1:13" ht="18.75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</row>
    <row r="65" spans="1:13" ht="18.75">
      <c r="A65" s="283"/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</row>
    <row r="66" spans="1:13" ht="18.75">
      <c r="A66" s="283"/>
      <c r="B66" s="283"/>
      <c r="C66" s="283"/>
      <c r="D66" s="283"/>
      <c r="E66" s="283"/>
      <c r="F66" s="283"/>
      <c r="G66" s="283"/>
      <c r="H66" s="283"/>
      <c r="I66" s="283"/>
      <c r="J66" s="283"/>
      <c r="K66" s="283"/>
      <c r="L66" s="283"/>
      <c r="M66" s="283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5:M11"/>
    <mergeCell ref="N5:N11"/>
    <mergeCell ref="O5:O11"/>
    <mergeCell ref="M12:M18"/>
    <mergeCell ref="N12:N18"/>
    <mergeCell ref="O12:O18"/>
    <mergeCell ref="A36:E36"/>
    <mergeCell ref="A37:E37"/>
    <mergeCell ref="M19:M25"/>
    <mergeCell ref="N19:N25"/>
    <mergeCell ref="O19:O25"/>
    <mergeCell ref="M26:M32"/>
    <mergeCell ref="N26:N32"/>
    <mergeCell ref="O26:O32"/>
  </mergeCells>
  <phoneticPr fontId="12" type="noConversion"/>
  <conditionalFormatting sqref="D30:D33">
    <cfRule type="cellIs" dxfId="41" priority="41" operator="greaterThan">
      <formula>0.0025</formula>
    </cfRule>
  </conditionalFormatting>
  <conditionalFormatting sqref="H30:H33 J30:J33">
    <cfRule type="cellIs" dxfId="40" priority="42" operator="greaterThan">
      <formula>0.16</formula>
    </cfRule>
  </conditionalFormatting>
  <conditionalFormatting sqref="L33:M33 L30:L32">
    <cfRule type="cellIs" dxfId="39" priority="40" operator="greaterThan">
      <formula>0.15</formula>
    </cfRule>
  </conditionalFormatting>
  <conditionalFormatting sqref="D4">
    <cfRule type="cellIs" dxfId="38" priority="39" operator="greaterThan">
      <formula>0.0025</formula>
    </cfRule>
  </conditionalFormatting>
  <conditionalFormatting sqref="H4">
    <cfRule type="cellIs" dxfId="37" priority="38" operator="greaterThan">
      <formula>0.16</formula>
    </cfRule>
  </conditionalFormatting>
  <conditionalFormatting sqref="J4">
    <cfRule type="cellIs" dxfId="36" priority="37" operator="greaterThan">
      <formula>0.16</formula>
    </cfRule>
  </conditionalFormatting>
  <conditionalFormatting sqref="L4:M4">
    <cfRule type="cellIs" dxfId="35" priority="36" operator="greaterThan">
      <formula>0.15</formula>
    </cfRule>
  </conditionalFormatting>
  <conditionalFormatting sqref="D5:D7">
    <cfRule type="cellIs" dxfId="34" priority="35" operator="greaterThan">
      <formula>0.0025</formula>
    </cfRule>
  </conditionalFormatting>
  <conditionalFormatting sqref="H5:H7">
    <cfRule type="cellIs" dxfId="33" priority="34" operator="greaterThan">
      <formula>0.16</formula>
    </cfRule>
  </conditionalFormatting>
  <conditionalFormatting sqref="J5:J7">
    <cfRule type="cellIs" dxfId="32" priority="33" operator="greaterThan">
      <formula>0.16</formula>
    </cfRule>
  </conditionalFormatting>
  <conditionalFormatting sqref="L5:L7">
    <cfRule type="cellIs" dxfId="31" priority="32" operator="greaterThan">
      <formula>0.15</formula>
    </cfRule>
  </conditionalFormatting>
  <conditionalFormatting sqref="D8">
    <cfRule type="cellIs" dxfId="30" priority="31" operator="greaterThan">
      <formula>0.0025</formula>
    </cfRule>
  </conditionalFormatting>
  <conditionalFormatting sqref="H8">
    <cfRule type="cellIs" dxfId="29" priority="30" operator="greaterThan">
      <formula>0.16</formula>
    </cfRule>
  </conditionalFormatting>
  <conditionalFormatting sqref="J8">
    <cfRule type="cellIs" dxfId="28" priority="29" operator="greaterThan">
      <formula>0.16</formula>
    </cfRule>
  </conditionalFormatting>
  <conditionalFormatting sqref="L8">
    <cfRule type="cellIs" dxfId="27" priority="28" operator="greaterThan">
      <formula>0.15</formula>
    </cfRule>
  </conditionalFormatting>
  <conditionalFormatting sqref="D9:D11">
    <cfRule type="cellIs" dxfId="26" priority="27" operator="greaterThan">
      <formula>0.0025</formula>
    </cfRule>
  </conditionalFormatting>
  <conditionalFormatting sqref="H9:H11">
    <cfRule type="cellIs" dxfId="25" priority="26" operator="greaterThan">
      <formula>0.16</formula>
    </cfRule>
  </conditionalFormatting>
  <conditionalFormatting sqref="J9:J11">
    <cfRule type="cellIs" dxfId="24" priority="25" operator="greaterThan">
      <formula>0.16</formula>
    </cfRule>
  </conditionalFormatting>
  <conditionalFormatting sqref="L9:L11">
    <cfRule type="cellIs" dxfId="23" priority="24" operator="greaterThan">
      <formula>0.15</formula>
    </cfRule>
  </conditionalFormatting>
  <conditionalFormatting sqref="D12:D15">
    <cfRule type="cellIs" dxfId="22" priority="23" operator="greaterThan">
      <formula>0.0025</formula>
    </cfRule>
  </conditionalFormatting>
  <conditionalFormatting sqref="H12:H15">
    <cfRule type="cellIs" dxfId="21" priority="22" operator="greaterThan">
      <formula>0.16</formula>
    </cfRule>
  </conditionalFormatting>
  <conditionalFormatting sqref="J12:J15">
    <cfRule type="cellIs" dxfId="20" priority="21" operator="greaterThan">
      <formula>0.16</formula>
    </cfRule>
  </conditionalFormatting>
  <conditionalFormatting sqref="L12:L15">
    <cfRule type="cellIs" dxfId="19" priority="20" operator="greaterThan">
      <formula>0.15</formula>
    </cfRule>
  </conditionalFormatting>
  <conditionalFormatting sqref="D16:D18">
    <cfRule type="cellIs" dxfId="18" priority="19" operator="greaterThan">
      <formula>0.0025</formula>
    </cfRule>
  </conditionalFormatting>
  <conditionalFormatting sqref="H16:H18">
    <cfRule type="cellIs" dxfId="17" priority="18" operator="greaterThan">
      <formula>0.16</formula>
    </cfRule>
  </conditionalFormatting>
  <conditionalFormatting sqref="J16:J18">
    <cfRule type="cellIs" dxfId="16" priority="17" operator="greaterThan">
      <formula>0.16</formula>
    </cfRule>
  </conditionalFormatting>
  <conditionalFormatting sqref="L16:L18">
    <cfRule type="cellIs" dxfId="15" priority="16" operator="greaterThan">
      <formula>0.15</formula>
    </cfRule>
  </conditionalFormatting>
  <conditionalFormatting sqref="D19:D22">
    <cfRule type="cellIs" dxfId="14" priority="15" operator="greaterThan">
      <formula>0.0025</formula>
    </cfRule>
  </conditionalFormatting>
  <conditionalFormatting sqref="H19:H22">
    <cfRule type="cellIs" dxfId="13" priority="14" operator="greaterThan">
      <formula>0.16</formula>
    </cfRule>
  </conditionalFormatting>
  <conditionalFormatting sqref="J19:J22">
    <cfRule type="cellIs" dxfId="12" priority="13" operator="greaterThan">
      <formula>0.16</formula>
    </cfRule>
  </conditionalFormatting>
  <conditionalFormatting sqref="L19:L22">
    <cfRule type="cellIs" dxfId="11" priority="12" operator="greaterThan">
      <formula>0.15</formula>
    </cfRule>
  </conditionalFormatting>
  <conditionalFormatting sqref="D23:D25">
    <cfRule type="cellIs" dxfId="10" priority="11" operator="greaterThan">
      <formula>0.0025</formula>
    </cfRule>
  </conditionalFormatting>
  <conditionalFormatting sqref="H23:H25">
    <cfRule type="cellIs" dxfId="9" priority="10" operator="greaterThan">
      <formula>0.16</formula>
    </cfRule>
  </conditionalFormatting>
  <conditionalFormatting sqref="J23:J25">
    <cfRule type="cellIs" dxfId="8" priority="9" operator="greaterThan">
      <formula>0.16</formula>
    </cfRule>
  </conditionalFormatting>
  <conditionalFormatting sqref="L23:L25">
    <cfRule type="cellIs" dxfId="7" priority="8" operator="greaterThan">
      <formula>0.15</formula>
    </cfRule>
  </conditionalFormatting>
  <conditionalFormatting sqref="D26:D29">
    <cfRule type="cellIs" dxfId="6" priority="7" operator="greaterThan">
      <formula>0.0025</formula>
    </cfRule>
  </conditionalFormatting>
  <conditionalFormatting sqref="H26:H29">
    <cfRule type="cellIs" dxfId="5" priority="6" operator="greaterThan">
      <formula>0.16</formula>
    </cfRule>
  </conditionalFormatting>
  <conditionalFormatting sqref="J26:J29">
    <cfRule type="cellIs" dxfId="4" priority="5" operator="greaterThan">
      <formula>0.16</formula>
    </cfRule>
  </conditionalFormatting>
  <conditionalFormatting sqref="L26:L29">
    <cfRule type="cellIs" dxfId="3" priority="4" operator="greaterThan">
      <formula>0.15</formula>
    </cfRule>
  </conditionalFormatting>
  <conditionalFormatting sqref="L34:M35">
    <cfRule type="cellIs" dxfId="2" priority="1" operator="greaterThan">
      <formula>0.15</formula>
    </cfRule>
  </conditionalFormatting>
  <conditionalFormatting sqref="D34:D35">
    <cfRule type="cellIs" dxfId="1" priority="2" operator="greaterThan">
      <formula>0.0025</formula>
    </cfRule>
  </conditionalFormatting>
  <conditionalFormatting sqref="J34:J35 H34:H35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186"/>
    <col min="3" max="3" width="14" style="186" bestFit="1" customWidth="1"/>
    <col min="4" max="4" width="0.28515625" style="186" customWidth="1"/>
    <col min="5" max="5" width="8.7109375" style="186"/>
    <col min="6" max="6" width="16.28515625" style="186" bestFit="1" customWidth="1"/>
    <col min="7" max="16384" width="8.7109375" style="186"/>
  </cols>
  <sheetData>
    <row r="2" spans="2:7" ht="15.75">
      <c r="B2" s="641" t="s">
        <v>580</v>
      </c>
      <c r="C2" s="641"/>
      <c r="D2" s="641"/>
      <c r="E2" s="641"/>
      <c r="F2" s="641"/>
    </row>
    <row r="3" spans="2:7" ht="15">
      <c r="B3" s="187" t="s">
        <v>581</v>
      </c>
      <c r="C3" s="187" t="s">
        <v>582</v>
      </c>
      <c r="D3" s="188"/>
      <c r="E3" s="187" t="s">
        <v>583</v>
      </c>
      <c r="F3" s="187" t="s">
        <v>584</v>
      </c>
      <c r="G3" s="188"/>
    </row>
    <row r="4" spans="2:7" ht="15">
      <c r="B4" s="189" t="s">
        <v>585</v>
      </c>
      <c r="C4" s="189" t="s">
        <v>586</v>
      </c>
      <c r="D4" s="188"/>
      <c r="E4" s="189" t="s">
        <v>587</v>
      </c>
      <c r="F4" s="189" t="s">
        <v>588</v>
      </c>
      <c r="G4" s="188"/>
    </row>
    <row r="5" spans="2:7" ht="15">
      <c r="B5" s="189" t="s">
        <v>589</v>
      </c>
      <c r="C5" s="189" t="s">
        <v>590</v>
      </c>
      <c r="D5" s="188"/>
      <c r="E5" s="189" t="s">
        <v>591</v>
      </c>
      <c r="F5" s="189" t="s">
        <v>592</v>
      </c>
      <c r="G5" s="188"/>
    </row>
    <row r="6" spans="2:7" ht="15">
      <c r="B6" s="189" t="s">
        <v>593</v>
      </c>
      <c r="C6" s="189" t="s">
        <v>594</v>
      </c>
      <c r="D6" s="188"/>
      <c r="E6" s="190" t="s">
        <v>595</v>
      </c>
      <c r="F6" s="190" t="s">
        <v>370</v>
      </c>
      <c r="G6" s="188"/>
    </row>
    <row r="7" spans="2:7" ht="15">
      <c r="B7" s="190" t="s">
        <v>596</v>
      </c>
      <c r="C7" s="190" t="s">
        <v>597</v>
      </c>
      <c r="D7" s="188"/>
      <c r="E7" s="189" t="s">
        <v>598</v>
      </c>
      <c r="F7" s="189" t="s">
        <v>599</v>
      </c>
      <c r="G7" s="188"/>
    </row>
    <row r="8" spans="2:7" ht="15">
      <c r="B8" s="189" t="s">
        <v>600</v>
      </c>
      <c r="C8" s="189" t="s">
        <v>601</v>
      </c>
      <c r="D8" s="188"/>
      <c r="E8" s="189" t="s">
        <v>602</v>
      </c>
      <c r="F8" s="189" t="s">
        <v>603</v>
      </c>
      <c r="G8" s="188"/>
    </row>
    <row r="9" spans="2:7" ht="15">
      <c r="B9" s="189" t="s">
        <v>604</v>
      </c>
      <c r="C9" s="189" t="s">
        <v>605</v>
      </c>
      <c r="D9" s="188"/>
      <c r="E9" s="190" t="s">
        <v>606</v>
      </c>
      <c r="F9" s="190" t="s">
        <v>367</v>
      </c>
      <c r="G9" s="188"/>
    </row>
    <row r="10" spans="2:7" ht="15">
      <c r="B10" s="189" t="s">
        <v>607</v>
      </c>
      <c r="C10" s="189" t="s">
        <v>608</v>
      </c>
      <c r="D10" s="188"/>
      <c r="E10" s="189" t="s">
        <v>609</v>
      </c>
      <c r="F10" s="189" t="s">
        <v>610</v>
      </c>
      <c r="G10" s="188"/>
    </row>
    <row r="11" spans="2:7" ht="15">
      <c r="B11" s="189" t="s">
        <v>611</v>
      </c>
      <c r="C11" s="189" t="s">
        <v>612</v>
      </c>
      <c r="D11" s="188"/>
      <c r="E11" s="189" t="s">
        <v>613</v>
      </c>
      <c r="F11" s="189" t="s">
        <v>603</v>
      </c>
      <c r="G11" s="188"/>
    </row>
    <row r="12" spans="2:7" ht="15">
      <c r="B12" s="189" t="s">
        <v>614</v>
      </c>
      <c r="C12" s="189" t="s">
        <v>615</v>
      </c>
      <c r="D12" s="188"/>
      <c r="E12" s="189" t="s">
        <v>616</v>
      </c>
      <c r="F12" s="189" t="s">
        <v>617</v>
      </c>
      <c r="G12" s="188"/>
    </row>
    <row r="13" spans="2:7" ht="15">
      <c r="B13" s="190" t="s">
        <v>618</v>
      </c>
      <c r="C13" s="190" t="s">
        <v>330</v>
      </c>
      <c r="D13" s="188"/>
      <c r="E13" s="189" t="s">
        <v>619</v>
      </c>
      <c r="F13" s="189" t="s">
        <v>620</v>
      </c>
      <c r="G13" s="188"/>
    </row>
    <row r="14" spans="2:7" ht="15">
      <c r="B14" s="189" t="s">
        <v>621</v>
      </c>
      <c r="C14" s="189" t="s">
        <v>622</v>
      </c>
      <c r="D14" s="188"/>
      <c r="E14" s="190" t="s">
        <v>623</v>
      </c>
      <c r="F14" s="190" t="s">
        <v>624</v>
      </c>
      <c r="G14" s="188"/>
    </row>
    <row r="15" spans="2:7" ht="15">
      <c r="B15" s="190" t="s">
        <v>625</v>
      </c>
      <c r="C15" s="190" t="s">
        <v>626</v>
      </c>
      <c r="D15" s="188"/>
      <c r="E15" s="189" t="s">
        <v>627</v>
      </c>
      <c r="F15" s="189" t="s">
        <v>624</v>
      </c>
      <c r="G15" s="188"/>
    </row>
    <row r="16" spans="2:7" ht="15">
      <c r="B16" s="189" t="s">
        <v>628</v>
      </c>
      <c r="C16" s="189" t="s">
        <v>629</v>
      </c>
      <c r="D16" s="188"/>
      <c r="E16" s="190" t="s">
        <v>630</v>
      </c>
      <c r="F16" s="190" t="s">
        <v>631</v>
      </c>
      <c r="G16" s="188"/>
    </row>
    <row r="17" spans="2:7" ht="15">
      <c r="B17" s="189" t="s">
        <v>632</v>
      </c>
      <c r="C17" s="189" t="s">
        <v>633</v>
      </c>
      <c r="D17" s="188"/>
      <c r="E17" s="189" t="s">
        <v>634</v>
      </c>
      <c r="F17" s="189" t="s">
        <v>635</v>
      </c>
      <c r="G17" s="188"/>
    </row>
    <row r="18" spans="2:7" ht="15">
      <c r="B18" s="189" t="s">
        <v>636</v>
      </c>
      <c r="C18" s="189" t="s">
        <v>637</v>
      </c>
      <c r="D18" s="188"/>
      <c r="E18" s="189" t="s">
        <v>638</v>
      </c>
      <c r="F18" s="189" t="s">
        <v>639</v>
      </c>
      <c r="G18" s="188"/>
    </row>
    <row r="19" spans="2:7" ht="15">
      <c r="B19" s="189" t="s">
        <v>640</v>
      </c>
      <c r="C19" s="189" t="s">
        <v>641</v>
      </c>
      <c r="D19" s="188"/>
      <c r="E19" s="189" t="s">
        <v>642</v>
      </c>
      <c r="F19" s="189" t="s">
        <v>643</v>
      </c>
      <c r="G19" s="188"/>
    </row>
    <row r="20" spans="2:7" ht="15">
      <c r="B20" s="189" t="s">
        <v>644</v>
      </c>
      <c r="C20" s="189" t="s">
        <v>645</v>
      </c>
      <c r="D20" s="188"/>
      <c r="G20" s="188"/>
    </row>
    <row r="21" spans="2:7" ht="15">
      <c r="D21" s="188"/>
      <c r="G21" s="188"/>
    </row>
    <row r="22" spans="2:7" ht="15">
      <c r="D22" s="188"/>
      <c r="G22" s="188"/>
    </row>
    <row r="23" spans="2:7" ht="15">
      <c r="D23" s="188"/>
      <c r="G23" s="188"/>
    </row>
  </sheetData>
  <mergeCells count="1">
    <mergeCell ref="B2:F2"/>
  </mergeCells>
  <phoneticPr fontId="12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59F463-204A-43AE-B6C6-EBBDDF66C049}"/>
</file>

<file path=customXml/itemProps2.xml><?xml version="1.0" encoding="utf-8"?>
<ds:datastoreItem xmlns:ds="http://schemas.openxmlformats.org/officeDocument/2006/customXml" ds:itemID="{64CAAD28-6B2F-4506-87F0-B2CC4295887D}"/>
</file>

<file path=customXml/itemProps3.xml><?xml version="1.0" encoding="utf-8"?>
<ds:datastoreItem xmlns:ds="http://schemas.openxmlformats.org/officeDocument/2006/customXml" ds:itemID="{F11B1877-8FA9-40C9-9F79-EF040089E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丁珮心</dc:creator>
  <cp:keywords/>
  <dc:description/>
  <cp:lastModifiedBy>陳佳萱</cp:lastModifiedBy>
  <cp:revision/>
  <dcterms:created xsi:type="dcterms:W3CDTF">2025-07-03T16:36:59Z</dcterms:created>
  <dcterms:modified xsi:type="dcterms:W3CDTF">2025-10-20T07:02:32Z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